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E:\Stochastic Model\"/>
    </mc:Choice>
  </mc:AlternateContent>
  <xr:revisionPtr revIDLastSave="0" documentId="13_ncr:1_{7EBD2310-8429-424D-A366-523F56CC2099}" xr6:coauthVersionLast="47" xr6:coauthVersionMax="47" xr10:uidLastSave="{00000000-0000-0000-0000-000000000000}"/>
  <bookViews>
    <workbookView xWindow="-110" yWindow="-110" windowWidth="19420" windowHeight="10300" firstSheet="1" activeTab="5" xr2:uid="{00000000-000D-0000-FFFF-FFFF00000000}"/>
  </bookViews>
  <sheets>
    <sheet name="Executive_Summary_Dashboard" sheetId="10" r:id="rId1"/>
    <sheet name="Raw" sheetId="1" r:id="rId2"/>
    <sheet name="Hitorical_Sim" sheetId="2" r:id="rId3"/>
    <sheet name="Monte_Carlo" sheetId="3" r:id="rId4"/>
    <sheet name="Backtest_&amp;_ES" sheetId="5" r:id="rId5"/>
    <sheet name="Scenario_Analysis" sheetId="9" r:id="rId6"/>
  </sheets>
  <definedNames>
    <definedName name="_xlnm.Print_Area" localSheetId="0">Executive_Summary_Dashboard!$A$1:$J$26</definedName>
    <definedName name="solver_adj" localSheetId="2" hidden="1">Hitorical_Sim!$T$2:$T$4</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lhs1" localSheetId="2" hidden="1">Hitorical_Sim!$T$5</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1</definedName>
    <definedName name="solver_nwt" localSheetId="2" hidden="1">1</definedName>
    <definedName name="solver_opt" localSheetId="2" hidden="1">Hitorical_Sim!$T$7</definedName>
    <definedName name="solver_pre" localSheetId="2" hidden="1">0.000001</definedName>
    <definedName name="solver_rbv" localSheetId="2" hidden="1">1</definedName>
    <definedName name="solver_rel1" localSheetId="2" hidden="1">2</definedName>
    <definedName name="solver_rhs1" localSheetId="2" hidden="1">1</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10" l="1"/>
  <c r="C7" i="10"/>
  <c r="C6" i="10"/>
  <c r="C5" i="10"/>
  <c r="W3" i="5"/>
  <c r="J4" i="5" a="1"/>
  <c r="J4" i="5" s="1"/>
  <c r="R6" i="5"/>
  <c r="T5" i="5"/>
  <c r="T4" i="5"/>
  <c r="T3" i="5"/>
  <c r="T6" i="5" s="1"/>
  <c r="W2" i="5" s="1"/>
  <c r="W4" i="5" s="1"/>
  <c r="Q3" i="9"/>
  <c r="P3" i="9"/>
  <c r="O3" i="9"/>
  <c r="N3" i="9"/>
  <c r="M3" i="9"/>
  <c r="L3" i="9"/>
  <c r="S470" i="9" s="1"/>
  <c r="I1002" i="5"/>
  <c r="I1001" i="5"/>
  <c r="I1000" i="5"/>
  <c r="I999" i="5"/>
  <c r="I998" i="5"/>
  <c r="I997" i="5"/>
  <c r="I996" i="5"/>
  <c r="I995" i="5"/>
  <c r="I994" i="5"/>
  <c r="I993" i="5"/>
  <c r="I992" i="5"/>
  <c r="I991" i="5"/>
  <c r="I990" i="5"/>
  <c r="I989" i="5"/>
  <c r="I988" i="5"/>
  <c r="I987" i="5"/>
  <c r="I986" i="5"/>
  <c r="I985" i="5"/>
  <c r="I984" i="5"/>
  <c r="I983" i="5"/>
  <c r="I982" i="5"/>
  <c r="I981" i="5"/>
  <c r="I980" i="5"/>
  <c r="I979" i="5"/>
  <c r="I978" i="5"/>
  <c r="I977" i="5"/>
  <c r="I976" i="5"/>
  <c r="I975" i="5"/>
  <c r="I974" i="5"/>
  <c r="I973" i="5"/>
  <c r="I972" i="5"/>
  <c r="I971" i="5"/>
  <c r="I970" i="5"/>
  <c r="I969" i="5"/>
  <c r="I968" i="5"/>
  <c r="I967" i="5"/>
  <c r="I966" i="5"/>
  <c r="I965" i="5"/>
  <c r="I964" i="5"/>
  <c r="I963" i="5"/>
  <c r="I962" i="5"/>
  <c r="I961" i="5"/>
  <c r="I960" i="5"/>
  <c r="I959" i="5"/>
  <c r="I958" i="5"/>
  <c r="I957" i="5"/>
  <c r="I956" i="5"/>
  <c r="I955" i="5"/>
  <c r="I954" i="5"/>
  <c r="I953" i="5"/>
  <c r="I952" i="5"/>
  <c r="I951" i="5"/>
  <c r="I950" i="5"/>
  <c r="I949" i="5"/>
  <c r="I948" i="5"/>
  <c r="I947" i="5"/>
  <c r="I946" i="5"/>
  <c r="I945" i="5"/>
  <c r="I944" i="5"/>
  <c r="I943" i="5"/>
  <c r="I942" i="5"/>
  <c r="I941" i="5"/>
  <c r="I940" i="5"/>
  <c r="I939" i="5"/>
  <c r="I938" i="5"/>
  <c r="I937" i="5"/>
  <c r="I936" i="5"/>
  <c r="I935" i="5"/>
  <c r="I934" i="5"/>
  <c r="I933" i="5"/>
  <c r="I932" i="5"/>
  <c r="I931" i="5"/>
  <c r="I930" i="5"/>
  <c r="I929" i="5"/>
  <c r="I928" i="5"/>
  <c r="I927" i="5"/>
  <c r="I926" i="5"/>
  <c r="I925" i="5"/>
  <c r="I924" i="5"/>
  <c r="I923" i="5"/>
  <c r="I922" i="5"/>
  <c r="I921" i="5"/>
  <c r="I920" i="5"/>
  <c r="I919" i="5"/>
  <c r="I918" i="5"/>
  <c r="I917" i="5"/>
  <c r="I916" i="5"/>
  <c r="I915" i="5"/>
  <c r="I914" i="5"/>
  <c r="I913" i="5"/>
  <c r="I912" i="5"/>
  <c r="I911" i="5"/>
  <c r="I910" i="5"/>
  <c r="I909" i="5"/>
  <c r="I908" i="5"/>
  <c r="I907" i="5"/>
  <c r="I906" i="5"/>
  <c r="I905" i="5"/>
  <c r="I904" i="5"/>
  <c r="I903" i="5"/>
  <c r="I902" i="5"/>
  <c r="I901" i="5"/>
  <c r="I900" i="5"/>
  <c r="I899" i="5"/>
  <c r="I898" i="5"/>
  <c r="I897" i="5"/>
  <c r="I896" i="5"/>
  <c r="I895" i="5"/>
  <c r="I894" i="5"/>
  <c r="I893" i="5"/>
  <c r="I892" i="5"/>
  <c r="I891" i="5"/>
  <c r="I890" i="5"/>
  <c r="I889" i="5"/>
  <c r="I888" i="5"/>
  <c r="I887" i="5"/>
  <c r="I886" i="5"/>
  <c r="I885" i="5"/>
  <c r="I884" i="5"/>
  <c r="I883" i="5"/>
  <c r="I882" i="5"/>
  <c r="I881" i="5"/>
  <c r="I880" i="5"/>
  <c r="I879" i="5"/>
  <c r="I878" i="5"/>
  <c r="I877" i="5"/>
  <c r="I876" i="5"/>
  <c r="I875" i="5"/>
  <c r="I874" i="5"/>
  <c r="I873" i="5"/>
  <c r="I872" i="5"/>
  <c r="I871" i="5"/>
  <c r="I870" i="5"/>
  <c r="I869" i="5"/>
  <c r="I868" i="5"/>
  <c r="I867" i="5"/>
  <c r="I866" i="5"/>
  <c r="I865" i="5"/>
  <c r="I864" i="5"/>
  <c r="I863" i="5"/>
  <c r="I862" i="5"/>
  <c r="I861" i="5"/>
  <c r="I860" i="5"/>
  <c r="I859" i="5"/>
  <c r="I858" i="5"/>
  <c r="I857" i="5"/>
  <c r="I856" i="5"/>
  <c r="I855"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7" i="5"/>
  <c r="I826" i="5"/>
  <c r="I825" i="5"/>
  <c r="I824" i="5"/>
  <c r="I823" i="5"/>
  <c r="I822" i="5"/>
  <c r="I821" i="5"/>
  <c r="I820" i="5"/>
  <c r="I819" i="5"/>
  <c r="I818"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5" i="5"/>
  <c r="I764" i="5"/>
  <c r="I763" i="5"/>
  <c r="I762" i="5"/>
  <c r="I761" i="5"/>
  <c r="I760" i="5"/>
  <c r="I759" i="5"/>
  <c r="I758" i="5"/>
  <c r="I757" i="5"/>
  <c r="I756" i="5"/>
  <c r="I755" i="5"/>
  <c r="I754" i="5"/>
  <c r="I753" i="5"/>
  <c r="I752" i="5"/>
  <c r="I751" i="5"/>
  <c r="I750"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4" i="5"/>
  <c r="I713" i="5"/>
  <c r="I712" i="5"/>
  <c r="I711" i="5"/>
  <c r="I710" i="5"/>
  <c r="I709" i="5"/>
  <c r="I708" i="5"/>
  <c r="I707" i="5"/>
  <c r="I706" i="5"/>
  <c r="I705" i="5"/>
  <c r="I704" i="5"/>
  <c r="I703" i="5"/>
  <c r="I702" i="5"/>
  <c r="I701" i="5"/>
  <c r="I700" i="5"/>
  <c r="I699" i="5"/>
  <c r="I698"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1"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5"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8" i="5"/>
  <c r="I547" i="5"/>
  <c r="I546" i="5"/>
  <c r="I545" i="5"/>
  <c r="I544" i="5"/>
  <c r="I543" i="5"/>
  <c r="I542" i="5"/>
  <c r="I541" i="5"/>
  <c r="I540" i="5"/>
  <c r="I539" i="5"/>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M1002" i="3"/>
  <c r="L1002" i="3"/>
  <c r="K1002" i="3"/>
  <c r="M1001" i="3"/>
  <c r="L1001" i="3"/>
  <c r="K1001" i="3"/>
  <c r="M1000" i="3"/>
  <c r="L1000" i="3"/>
  <c r="K1000" i="3"/>
  <c r="M999" i="3"/>
  <c r="L999" i="3"/>
  <c r="K999" i="3"/>
  <c r="M998" i="3"/>
  <c r="L998" i="3"/>
  <c r="K998" i="3"/>
  <c r="M997" i="3"/>
  <c r="L997" i="3"/>
  <c r="K997" i="3"/>
  <c r="M996" i="3"/>
  <c r="L996" i="3"/>
  <c r="K996" i="3"/>
  <c r="M995" i="3"/>
  <c r="L995" i="3"/>
  <c r="K995" i="3"/>
  <c r="M994" i="3"/>
  <c r="L994" i="3"/>
  <c r="K994" i="3"/>
  <c r="M993" i="3"/>
  <c r="L993" i="3"/>
  <c r="K993" i="3"/>
  <c r="M992" i="3"/>
  <c r="L992" i="3"/>
  <c r="K992" i="3"/>
  <c r="M991" i="3"/>
  <c r="L991" i="3"/>
  <c r="K991" i="3"/>
  <c r="M990" i="3"/>
  <c r="L990" i="3"/>
  <c r="K990" i="3"/>
  <c r="M989" i="3"/>
  <c r="L989" i="3"/>
  <c r="K989" i="3"/>
  <c r="M988" i="3"/>
  <c r="L988" i="3"/>
  <c r="K988" i="3"/>
  <c r="M987" i="3"/>
  <c r="L987" i="3"/>
  <c r="K987" i="3"/>
  <c r="M986" i="3"/>
  <c r="L986" i="3"/>
  <c r="K986" i="3"/>
  <c r="M985" i="3"/>
  <c r="L985" i="3"/>
  <c r="K985" i="3"/>
  <c r="M984" i="3"/>
  <c r="L984" i="3"/>
  <c r="K984" i="3"/>
  <c r="M983" i="3"/>
  <c r="L983" i="3"/>
  <c r="K983" i="3"/>
  <c r="M982" i="3"/>
  <c r="L982" i="3"/>
  <c r="K982" i="3"/>
  <c r="M981" i="3"/>
  <c r="L981" i="3"/>
  <c r="K981" i="3"/>
  <c r="M980" i="3"/>
  <c r="L980" i="3"/>
  <c r="K980" i="3"/>
  <c r="M979" i="3"/>
  <c r="L979" i="3"/>
  <c r="K979" i="3"/>
  <c r="M978" i="3"/>
  <c r="L978" i="3"/>
  <c r="K978" i="3"/>
  <c r="M977" i="3"/>
  <c r="L977" i="3"/>
  <c r="K977" i="3"/>
  <c r="M976" i="3"/>
  <c r="L976" i="3"/>
  <c r="K976" i="3"/>
  <c r="M975" i="3"/>
  <c r="L975" i="3"/>
  <c r="K975" i="3"/>
  <c r="M974" i="3"/>
  <c r="L974" i="3"/>
  <c r="K974" i="3"/>
  <c r="M973" i="3"/>
  <c r="L973" i="3"/>
  <c r="K973" i="3"/>
  <c r="M972" i="3"/>
  <c r="L972" i="3"/>
  <c r="K972" i="3"/>
  <c r="M971" i="3"/>
  <c r="L971" i="3"/>
  <c r="K971" i="3"/>
  <c r="M970" i="3"/>
  <c r="L970" i="3"/>
  <c r="K970" i="3"/>
  <c r="M969" i="3"/>
  <c r="L969" i="3"/>
  <c r="K969" i="3"/>
  <c r="M968" i="3"/>
  <c r="L968" i="3"/>
  <c r="K968" i="3"/>
  <c r="M967" i="3"/>
  <c r="L967" i="3"/>
  <c r="K967" i="3"/>
  <c r="M966" i="3"/>
  <c r="L966" i="3"/>
  <c r="K966" i="3"/>
  <c r="M965" i="3"/>
  <c r="L965" i="3"/>
  <c r="K965" i="3"/>
  <c r="M964" i="3"/>
  <c r="L964" i="3"/>
  <c r="K964" i="3"/>
  <c r="M963" i="3"/>
  <c r="L963" i="3"/>
  <c r="K963" i="3"/>
  <c r="M962" i="3"/>
  <c r="L962" i="3"/>
  <c r="K962" i="3"/>
  <c r="M961" i="3"/>
  <c r="L961" i="3"/>
  <c r="K961" i="3"/>
  <c r="M960" i="3"/>
  <c r="L960" i="3"/>
  <c r="K960" i="3"/>
  <c r="M959" i="3"/>
  <c r="L959" i="3"/>
  <c r="K959" i="3"/>
  <c r="M958" i="3"/>
  <c r="L958" i="3"/>
  <c r="K958" i="3"/>
  <c r="M957" i="3"/>
  <c r="L957" i="3"/>
  <c r="K957" i="3"/>
  <c r="M956" i="3"/>
  <c r="L956" i="3"/>
  <c r="K956" i="3"/>
  <c r="M955" i="3"/>
  <c r="L955" i="3"/>
  <c r="K955" i="3"/>
  <c r="M954" i="3"/>
  <c r="L954" i="3"/>
  <c r="K954" i="3"/>
  <c r="M953" i="3"/>
  <c r="L953" i="3"/>
  <c r="K953" i="3"/>
  <c r="M952" i="3"/>
  <c r="L952" i="3"/>
  <c r="K952" i="3"/>
  <c r="M951" i="3"/>
  <c r="L951" i="3"/>
  <c r="K951" i="3"/>
  <c r="M950" i="3"/>
  <c r="L950" i="3"/>
  <c r="K950" i="3"/>
  <c r="M949" i="3"/>
  <c r="L949" i="3"/>
  <c r="K949" i="3"/>
  <c r="M948" i="3"/>
  <c r="L948" i="3"/>
  <c r="K948" i="3"/>
  <c r="M947" i="3"/>
  <c r="L947" i="3"/>
  <c r="K947" i="3"/>
  <c r="M946" i="3"/>
  <c r="L946" i="3"/>
  <c r="K946" i="3"/>
  <c r="M945" i="3"/>
  <c r="L945" i="3"/>
  <c r="K945" i="3"/>
  <c r="M944" i="3"/>
  <c r="L944" i="3"/>
  <c r="K944" i="3"/>
  <c r="M943" i="3"/>
  <c r="L943" i="3"/>
  <c r="K943" i="3"/>
  <c r="M942" i="3"/>
  <c r="L942" i="3"/>
  <c r="K942" i="3"/>
  <c r="M941" i="3"/>
  <c r="L941" i="3"/>
  <c r="K941" i="3"/>
  <c r="M940" i="3"/>
  <c r="L940" i="3"/>
  <c r="K940" i="3"/>
  <c r="M939" i="3"/>
  <c r="L939" i="3"/>
  <c r="K939" i="3"/>
  <c r="M938" i="3"/>
  <c r="L938" i="3"/>
  <c r="K938" i="3"/>
  <c r="M937" i="3"/>
  <c r="L937" i="3"/>
  <c r="K937" i="3"/>
  <c r="M936" i="3"/>
  <c r="L936" i="3"/>
  <c r="K936" i="3"/>
  <c r="M935" i="3"/>
  <c r="L935" i="3"/>
  <c r="K935" i="3"/>
  <c r="M934" i="3"/>
  <c r="L934" i="3"/>
  <c r="K934" i="3"/>
  <c r="M933" i="3"/>
  <c r="L933" i="3"/>
  <c r="K933" i="3"/>
  <c r="M932" i="3"/>
  <c r="L932" i="3"/>
  <c r="K932" i="3"/>
  <c r="M931" i="3"/>
  <c r="L931" i="3"/>
  <c r="K931" i="3"/>
  <c r="M930" i="3"/>
  <c r="L930" i="3"/>
  <c r="K930" i="3"/>
  <c r="M929" i="3"/>
  <c r="L929" i="3"/>
  <c r="K929" i="3"/>
  <c r="M928" i="3"/>
  <c r="L928" i="3"/>
  <c r="K928" i="3"/>
  <c r="M927" i="3"/>
  <c r="L927" i="3"/>
  <c r="K927" i="3"/>
  <c r="M926" i="3"/>
  <c r="L926" i="3"/>
  <c r="K926" i="3"/>
  <c r="M925" i="3"/>
  <c r="L925" i="3"/>
  <c r="K925" i="3"/>
  <c r="M924" i="3"/>
  <c r="L924" i="3"/>
  <c r="K924" i="3"/>
  <c r="M923" i="3"/>
  <c r="L923" i="3"/>
  <c r="K923" i="3"/>
  <c r="M922" i="3"/>
  <c r="L922" i="3"/>
  <c r="K922" i="3"/>
  <c r="M921" i="3"/>
  <c r="L921" i="3"/>
  <c r="K921" i="3"/>
  <c r="M920" i="3"/>
  <c r="L920" i="3"/>
  <c r="K920" i="3"/>
  <c r="M919" i="3"/>
  <c r="L919" i="3"/>
  <c r="K919" i="3"/>
  <c r="M918" i="3"/>
  <c r="L918" i="3"/>
  <c r="K918" i="3"/>
  <c r="M917" i="3"/>
  <c r="L917" i="3"/>
  <c r="K917" i="3"/>
  <c r="M916" i="3"/>
  <c r="L916" i="3"/>
  <c r="K916" i="3"/>
  <c r="M915" i="3"/>
  <c r="L915" i="3"/>
  <c r="K915" i="3"/>
  <c r="M914" i="3"/>
  <c r="L914" i="3"/>
  <c r="K914" i="3"/>
  <c r="M913" i="3"/>
  <c r="L913" i="3"/>
  <c r="K913" i="3"/>
  <c r="M912" i="3"/>
  <c r="L912" i="3"/>
  <c r="K912" i="3"/>
  <c r="M911" i="3"/>
  <c r="L911" i="3"/>
  <c r="K911" i="3"/>
  <c r="M910" i="3"/>
  <c r="L910" i="3"/>
  <c r="K910" i="3"/>
  <c r="M909" i="3"/>
  <c r="L909" i="3"/>
  <c r="K909" i="3"/>
  <c r="M908" i="3"/>
  <c r="L908" i="3"/>
  <c r="K908" i="3"/>
  <c r="M907" i="3"/>
  <c r="L907" i="3"/>
  <c r="K907" i="3"/>
  <c r="M906" i="3"/>
  <c r="L906" i="3"/>
  <c r="K906" i="3"/>
  <c r="M905" i="3"/>
  <c r="L905" i="3"/>
  <c r="K905" i="3"/>
  <c r="M904" i="3"/>
  <c r="L904" i="3"/>
  <c r="K904" i="3"/>
  <c r="M903" i="3"/>
  <c r="L903" i="3"/>
  <c r="K903" i="3"/>
  <c r="M902" i="3"/>
  <c r="L902" i="3"/>
  <c r="K902" i="3"/>
  <c r="M901" i="3"/>
  <c r="L901" i="3"/>
  <c r="K901" i="3"/>
  <c r="M900" i="3"/>
  <c r="L900" i="3"/>
  <c r="K900" i="3"/>
  <c r="M899" i="3"/>
  <c r="L899" i="3"/>
  <c r="K899" i="3"/>
  <c r="M898" i="3"/>
  <c r="L898" i="3"/>
  <c r="K898" i="3"/>
  <c r="M897" i="3"/>
  <c r="L897" i="3"/>
  <c r="K897" i="3"/>
  <c r="M896" i="3"/>
  <c r="L896" i="3"/>
  <c r="K896" i="3"/>
  <c r="M895" i="3"/>
  <c r="L895" i="3"/>
  <c r="K895" i="3"/>
  <c r="M894" i="3"/>
  <c r="L894" i="3"/>
  <c r="K894" i="3"/>
  <c r="M893" i="3"/>
  <c r="L893" i="3"/>
  <c r="K893" i="3"/>
  <c r="M892" i="3"/>
  <c r="L892" i="3"/>
  <c r="K892" i="3"/>
  <c r="M891" i="3"/>
  <c r="L891" i="3"/>
  <c r="K891" i="3"/>
  <c r="M890" i="3"/>
  <c r="L890" i="3"/>
  <c r="K890" i="3"/>
  <c r="M889" i="3"/>
  <c r="L889" i="3"/>
  <c r="K889" i="3"/>
  <c r="M888" i="3"/>
  <c r="L888" i="3"/>
  <c r="K888" i="3"/>
  <c r="M887" i="3"/>
  <c r="L887" i="3"/>
  <c r="K887" i="3"/>
  <c r="M886" i="3"/>
  <c r="L886" i="3"/>
  <c r="K886" i="3"/>
  <c r="M885" i="3"/>
  <c r="L885" i="3"/>
  <c r="K885" i="3"/>
  <c r="M884" i="3"/>
  <c r="L884" i="3"/>
  <c r="K884" i="3"/>
  <c r="M883" i="3"/>
  <c r="L883" i="3"/>
  <c r="K883" i="3"/>
  <c r="M882" i="3"/>
  <c r="L882" i="3"/>
  <c r="K882" i="3"/>
  <c r="M881" i="3"/>
  <c r="L881" i="3"/>
  <c r="K881" i="3"/>
  <c r="M880" i="3"/>
  <c r="L880" i="3"/>
  <c r="K880" i="3"/>
  <c r="M879" i="3"/>
  <c r="L879" i="3"/>
  <c r="K879" i="3"/>
  <c r="M878" i="3"/>
  <c r="L878" i="3"/>
  <c r="K878" i="3"/>
  <c r="M877" i="3"/>
  <c r="L877" i="3"/>
  <c r="K877" i="3"/>
  <c r="M876" i="3"/>
  <c r="L876" i="3"/>
  <c r="K876" i="3"/>
  <c r="M875" i="3"/>
  <c r="L875" i="3"/>
  <c r="K875" i="3"/>
  <c r="M874" i="3"/>
  <c r="L874" i="3"/>
  <c r="K874" i="3"/>
  <c r="M873" i="3"/>
  <c r="L873" i="3"/>
  <c r="K873" i="3"/>
  <c r="M872" i="3"/>
  <c r="L872" i="3"/>
  <c r="K872" i="3"/>
  <c r="M871" i="3"/>
  <c r="L871" i="3"/>
  <c r="K871" i="3"/>
  <c r="M870" i="3"/>
  <c r="L870" i="3"/>
  <c r="K870" i="3"/>
  <c r="M869" i="3"/>
  <c r="L869" i="3"/>
  <c r="K869" i="3"/>
  <c r="M868" i="3"/>
  <c r="L868" i="3"/>
  <c r="K868" i="3"/>
  <c r="M867" i="3"/>
  <c r="L867" i="3"/>
  <c r="K867" i="3"/>
  <c r="M866" i="3"/>
  <c r="L866" i="3"/>
  <c r="K866" i="3"/>
  <c r="M865" i="3"/>
  <c r="L865" i="3"/>
  <c r="K865" i="3"/>
  <c r="M864" i="3"/>
  <c r="L864" i="3"/>
  <c r="K864" i="3"/>
  <c r="M863" i="3"/>
  <c r="L863" i="3"/>
  <c r="K863" i="3"/>
  <c r="M862" i="3"/>
  <c r="L862" i="3"/>
  <c r="K862" i="3"/>
  <c r="M861" i="3"/>
  <c r="L861" i="3"/>
  <c r="K861" i="3"/>
  <c r="M860" i="3"/>
  <c r="L860" i="3"/>
  <c r="K860" i="3"/>
  <c r="M859" i="3"/>
  <c r="L859" i="3"/>
  <c r="K859" i="3"/>
  <c r="M858" i="3"/>
  <c r="L858" i="3"/>
  <c r="K858" i="3"/>
  <c r="M857" i="3"/>
  <c r="L857" i="3"/>
  <c r="K857" i="3"/>
  <c r="M856" i="3"/>
  <c r="L856" i="3"/>
  <c r="K856" i="3"/>
  <c r="M855" i="3"/>
  <c r="L855" i="3"/>
  <c r="K855" i="3"/>
  <c r="M854" i="3"/>
  <c r="L854" i="3"/>
  <c r="K854" i="3"/>
  <c r="M853" i="3"/>
  <c r="L853" i="3"/>
  <c r="K853" i="3"/>
  <c r="M852" i="3"/>
  <c r="L852" i="3"/>
  <c r="K852" i="3"/>
  <c r="M851" i="3"/>
  <c r="L851" i="3"/>
  <c r="K851" i="3"/>
  <c r="M850" i="3"/>
  <c r="L850" i="3"/>
  <c r="K850" i="3"/>
  <c r="M849" i="3"/>
  <c r="L849" i="3"/>
  <c r="K849" i="3"/>
  <c r="M848" i="3"/>
  <c r="L848" i="3"/>
  <c r="K848" i="3"/>
  <c r="M847" i="3"/>
  <c r="L847" i="3"/>
  <c r="K847" i="3"/>
  <c r="M846" i="3"/>
  <c r="L846" i="3"/>
  <c r="K846" i="3"/>
  <c r="M845" i="3"/>
  <c r="L845" i="3"/>
  <c r="K845" i="3"/>
  <c r="M844" i="3"/>
  <c r="L844" i="3"/>
  <c r="K844" i="3"/>
  <c r="M843" i="3"/>
  <c r="L843" i="3"/>
  <c r="K843" i="3"/>
  <c r="M842" i="3"/>
  <c r="L842" i="3"/>
  <c r="K842" i="3"/>
  <c r="M841" i="3"/>
  <c r="L841" i="3"/>
  <c r="K841" i="3"/>
  <c r="M840" i="3"/>
  <c r="L840" i="3"/>
  <c r="K840" i="3"/>
  <c r="M839" i="3"/>
  <c r="L839" i="3"/>
  <c r="K839" i="3"/>
  <c r="M838" i="3"/>
  <c r="L838" i="3"/>
  <c r="K838" i="3"/>
  <c r="M837" i="3"/>
  <c r="L837" i="3"/>
  <c r="K837" i="3"/>
  <c r="M836" i="3"/>
  <c r="L836" i="3"/>
  <c r="K836" i="3"/>
  <c r="M835" i="3"/>
  <c r="L835" i="3"/>
  <c r="K835" i="3"/>
  <c r="M834" i="3"/>
  <c r="L834" i="3"/>
  <c r="K834" i="3"/>
  <c r="M833" i="3"/>
  <c r="L833" i="3"/>
  <c r="K833" i="3"/>
  <c r="M832" i="3"/>
  <c r="L832" i="3"/>
  <c r="K832" i="3"/>
  <c r="M831" i="3"/>
  <c r="L831" i="3"/>
  <c r="K831" i="3"/>
  <c r="M830" i="3"/>
  <c r="L830" i="3"/>
  <c r="K830" i="3"/>
  <c r="M829" i="3"/>
  <c r="L829" i="3"/>
  <c r="K829" i="3"/>
  <c r="M828" i="3"/>
  <c r="L828" i="3"/>
  <c r="K828" i="3"/>
  <c r="M827" i="3"/>
  <c r="L827" i="3"/>
  <c r="K827" i="3"/>
  <c r="M826" i="3"/>
  <c r="L826" i="3"/>
  <c r="K826" i="3"/>
  <c r="M825" i="3"/>
  <c r="L825" i="3"/>
  <c r="K825" i="3"/>
  <c r="M824" i="3"/>
  <c r="L824" i="3"/>
  <c r="K824" i="3"/>
  <c r="M823" i="3"/>
  <c r="L823" i="3"/>
  <c r="K823" i="3"/>
  <c r="M822" i="3"/>
  <c r="L822" i="3"/>
  <c r="K822" i="3"/>
  <c r="M821" i="3"/>
  <c r="L821" i="3"/>
  <c r="K821" i="3"/>
  <c r="M820" i="3"/>
  <c r="L820" i="3"/>
  <c r="K820" i="3"/>
  <c r="M819" i="3"/>
  <c r="L819" i="3"/>
  <c r="K819" i="3"/>
  <c r="M818" i="3"/>
  <c r="L818" i="3"/>
  <c r="K818" i="3"/>
  <c r="M817" i="3"/>
  <c r="L817" i="3"/>
  <c r="K817" i="3"/>
  <c r="M816" i="3"/>
  <c r="L816" i="3"/>
  <c r="K816" i="3"/>
  <c r="M815" i="3"/>
  <c r="L815" i="3"/>
  <c r="K815" i="3"/>
  <c r="M814" i="3"/>
  <c r="L814" i="3"/>
  <c r="K814" i="3"/>
  <c r="M813" i="3"/>
  <c r="L813" i="3"/>
  <c r="K813" i="3"/>
  <c r="M812" i="3"/>
  <c r="L812" i="3"/>
  <c r="K812" i="3"/>
  <c r="M811" i="3"/>
  <c r="L811" i="3"/>
  <c r="K811" i="3"/>
  <c r="M810" i="3"/>
  <c r="L810" i="3"/>
  <c r="K810" i="3"/>
  <c r="M809" i="3"/>
  <c r="L809" i="3"/>
  <c r="K809" i="3"/>
  <c r="M808" i="3"/>
  <c r="L808" i="3"/>
  <c r="K808" i="3"/>
  <c r="M807" i="3"/>
  <c r="L807" i="3"/>
  <c r="K807" i="3"/>
  <c r="M806" i="3"/>
  <c r="L806" i="3"/>
  <c r="K806" i="3"/>
  <c r="M805" i="3"/>
  <c r="L805" i="3"/>
  <c r="K805" i="3"/>
  <c r="M804" i="3"/>
  <c r="L804" i="3"/>
  <c r="K804" i="3"/>
  <c r="M803" i="3"/>
  <c r="L803" i="3"/>
  <c r="K803" i="3"/>
  <c r="M802" i="3"/>
  <c r="L802" i="3"/>
  <c r="K802" i="3"/>
  <c r="M801" i="3"/>
  <c r="L801" i="3"/>
  <c r="K801" i="3"/>
  <c r="M800" i="3"/>
  <c r="L800" i="3"/>
  <c r="K800" i="3"/>
  <c r="M799" i="3"/>
  <c r="L799" i="3"/>
  <c r="K799" i="3"/>
  <c r="M798" i="3"/>
  <c r="L798" i="3"/>
  <c r="K798" i="3"/>
  <c r="M797" i="3"/>
  <c r="L797" i="3"/>
  <c r="K797" i="3"/>
  <c r="M796" i="3"/>
  <c r="L796" i="3"/>
  <c r="K796" i="3"/>
  <c r="M795" i="3"/>
  <c r="L795" i="3"/>
  <c r="K795" i="3"/>
  <c r="M794" i="3"/>
  <c r="L794" i="3"/>
  <c r="K794" i="3"/>
  <c r="M793" i="3"/>
  <c r="L793" i="3"/>
  <c r="K793" i="3"/>
  <c r="M792" i="3"/>
  <c r="L792" i="3"/>
  <c r="K792" i="3"/>
  <c r="M791" i="3"/>
  <c r="L791" i="3"/>
  <c r="K791" i="3"/>
  <c r="M790" i="3"/>
  <c r="L790" i="3"/>
  <c r="K790" i="3"/>
  <c r="M789" i="3"/>
  <c r="L789" i="3"/>
  <c r="K789" i="3"/>
  <c r="M788" i="3"/>
  <c r="L788" i="3"/>
  <c r="K788" i="3"/>
  <c r="M787" i="3"/>
  <c r="L787" i="3"/>
  <c r="K787" i="3"/>
  <c r="M786" i="3"/>
  <c r="L786" i="3"/>
  <c r="K786" i="3"/>
  <c r="M785" i="3"/>
  <c r="L785" i="3"/>
  <c r="K785" i="3"/>
  <c r="M784" i="3"/>
  <c r="L784" i="3"/>
  <c r="K784" i="3"/>
  <c r="M783" i="3"/>
  <c r="L783" i="3"/>
  <c r="K783" i="3"/>
  <c r="M782" i="3"/>
  <c r="L782" i="3"/>
  <c r="K782" i="3"/>
  <c r="M781" i="3"/>
  <c r="L781" i="3"/>
  <c r="K781" i="3"/>
  <c r="M780" i="3"/>
  <c r="L780" i="3"/>
  <c r="K780" i="3"/>
  <c r="M779" i="3"/>
  <c r="L779" i="3"/>
  <c r="K779" i="3"/>
  <c r="M778" i="3"/>
  <c r="L778" i="3"/>
  <c r="K778" i="3"/>
  <c r="M777" i="3"/>
  <c r="L777" i="3"/>
  <c r="K777" i="3"/>
  <c r="M776" i="3"/>
  <c r="L776" i="3"/>
  <c r="K776" i="3"/>
  <c r="M775" i="3"/>
  <c r="L775" i="3"/>
  <c r="K775" i="3"/>
  <c r="M774" i="3"/>
  <c r="L774" i="3"/>
  <c r="K774" i="3"/>
  <c r="M773" i="3"/>
  <c r="L773" i="3"/>
  <c r="K773" i="3"/>
  <c r="M772" i="3"/>
  <c r="L772" i="3"/>
  <c r="K772" i="3"/>
  <c r="M771" i="3"/>
  <c r="L771" i="3"/>
  <c r="K771" i="3"/>
  <c r="M770" i="3"/>
  <c r="L770" i="3"/>
  <c r="K770" i="3"/>
  <c r="M769" i="3"/>
  <c r="L769" i="3"/>
  <c r="K769" i="3"/>
  <c r="M768" i="3"/>
  <c r="L768" i="3"/>
  <c r="K768" i="3"/>
  <c r="M767" i="3"/>
  <c r="L767" i="3"/>
  <c r="K767" i="3"/>
  <c r="M766" i="3"/>
  <c r="L766" i="3"/>
  <c r="K766" i="3"/>
  <c r="M765" i="3"/>
  <c r="L765" i="3"/>
  <c r="K765" i="3"/>
  <c r="M764" i="3"/>
  <c r="L764" i="3"/>
  <c r="K764" i="3"/>
  <c r="M763" i="3"/>
  <c r="L763" i="3"/>
  <c r="K763" i="3"/>
  <c r="M762" i="3"/>
  <c r="L762" i="3"/>
  <c r="K762" i="3"/>
  <c r="M761" i="3"/>
  <c r="L761" i="3"/>
  <c r="K761" i="3"/>
  <c r="M760" i="3"/>
  <c r="L760" i="3"/>
  <c r="K760" i="3"/>
  <c r="M759" i="3"/>
  <c r="L759" i="3"/>
  <c r="K759" i="3"/>
  <c r="M758" i="3"/>
  <c r="L758" i="3"/>
  <c r="K758" i="3"/>
  <c r="M757" i="3"/>
  <c r="L757" i="3"/>
  <c r="K757" i="3"/>
  <c r="M756" i="3"/>
  <c r="L756" i="3"/>
  <c r="K756" i="3"/>
  <c r="M755" i="3"/>
  <c r="L755" i="3"/>
  <c r="K755" i="3"/>
  <c r="M754" i="3"/>
  <c r="L754" i="3"/>
  <c r="K754" i="3"/>
  <c r="M753" i="3"/>
  <c r="L753" i="3"/>
  <c r="K753" i="3"/>
  <c r="M752" i="3"/>
  <c r="L752" i="3"/>
  <c r="K752" i="3"/>
  <c r="M751" i="3"/>
  <c r="L751" i="3"/>
  <c r="K751" i="3"/>
  <c r="M750" i="3"/>
  <c r="L750" i="3"/>
  <c r="K750" i="3"/>
  <c r="M749" i="3"/>
  <c r="L749" i="3"/>
  <c r="K749" i="3"/>
  <c r="M748" i="3"/>
  <c r="L748" i="3"/>
  <c r="K748" i="3"/>
  <c r="M747" i="3"/>
  <c r="L747" i="3"/>
  <c r="K747" i="3"/>
  <c r="M746" i="3"/>
  <c r="L746" i="3"/>
  <c r="K746" i="3"/>
  <c r="M745" i="3"/>
  <c r="L745" i="3"/>
  <c r="K745" i="3"/>
  <c r="M744" i="3"/>
  <c r="L744" i="3"/>
  <c r="K744" i="3"/>
  <c r="M743" i="3"/>
  <c r="L743" i="3"/>
  <c r="K743" i="3"/>
  <c r="M742" i="3"/>
  <c r="L742" i="3"/>
  <c r="K742" i="3"/>
  <c r="M741" i="3"/>
  <c r="L741" i="3"/>
  <c r="K741" i="3"/>
  <c r="M740" i="3"/>
  <c r="L740" i="3"/>
  <c r="K740" i="3"/>
  <c r="M739" i="3"/>
  <c r="L739" i="3"/>
  <c r="K739" i="3"/>
  <c r="M738" i="3"/>
  <c r="L738" i="3"/>
  <c r="K738" i="3"/>
  <c r="M737" i="3"/>
  <c r="L737" i="3"/>
  <c r="K737" i="3"/>
  <c r="M736" i="3"/>
  <c r="L736" i="3"/>
  <c r="K736" i="3"/>
  <c r="M735" i="3"/>
  <c r="L735" i="3"/>
  <c r="K735" i="3"/>
  <c r="M734" i="3"/>
  <c r="L734" i="3"/>
  <c r="K734" i="3"/>
  <c r="M733" i="3"/>
  <c r="L733" i="3"/>
  <c r="K733" i="3"/>
  <c r="M732" i="3"/>
  <c r="L732" i="3"/>
  <c r="K732" i="3"/>
  <c r="M731" i="3"/>
  <c r="L731" i="3"/>
  <c r="K731" i="3"/>
  <c r="M730" i="3"/>
  <c r="L730" i="3"/>
  <c r="K730" i="3"/>
  <c r="M729" i="3"/>
  <c r="L729" i="3"/>
  <c r="K729" i="3"/>
  <c r="M728" i="3"/>
  <c r="L728" i="3"/>
  <c r="K728" i="3"/>
  <c r="M727" i="3"/>
  <c r="L727" i="3"/>
  <c r="K727" i="3"/>
  <c r="M726" i="3"/>
  <c r="L726" i="3"/>
  <c r="K726" i="3"/>
  <c r="M725" i="3"/>
  <c r="L725" i="3"/>
  <c r="K725" i="3"/>
  <c r="M724" i="3"/>
  <c r="L724" i="3"/>
  <c r="K724" i="3"/>
  <c r="M723" i="3"/>
  <c r="L723" i="3"/>
  <c r="K723" i="3"/>
  <c r="M722" i="3"/>
  <c r="L722" i="3"/>
  <c r="K722" i="3"/>
  <c r="M721" i="3"/>
  <c r="L721" i="3"/>
  <c r="K721" i="3"/>
  <c r="M720" i="3"/>
  <c r="L720" i="3"/>
  <c r="K720" i="3"/>
  <c r="M719" i="3"/>
  <c r="L719" i="3"/>
  <c r="K719" i="3"/>
  <c r="M718" i="3"/>
  <c r="L718" i="3"/>
  <c r="K718" i="3"/>
  <c r="M717" i="3"/>
  <c r="L717" i="3"/>
  <c r="K717" i="3"/>
  <c r="M716" i="3"/>
  <c r="L716" i="3"/>
  <c r="K716" i="3"/>
  <c r="M715" i="3"/>
  <c r="L715" i="3"/>
  <c r="K715" i="3"/>
  <c r="M714" i="3"/>
  <c r="L714" i="3"/>
  <c r="K714" i="3"/>
  <c r="M713" i="3"/>
  <c r="L713" i="3"/>
  <c r="K713" i="3"/>
  <c r="M712" i="3"/>
  <c r="L712" i="3"/>
  <c r="K712" i="3"/>
  <c r="M711" i="3"/>
  <c r="L711" i="3"/>
  <c r="K711" i="3"/>
  <c r="M710" i="3"/>
  <c r="L710" i="3"/>
  <c r="K710" i="3"/>
  <c r="M709" i="3"/>
  <c r="L709" i="3"/>
  <c r="K709" i="3"/>
  <c r="M708" i="3"/>
  <c r="L708" i="3"/>
  <c r="K708" i="3"/>
  <c r="M707" i="3"/>
  <c r="L707" i="3"/>
  <c r="K707" i="3"/>
  <c r="M706" i="3"/>
  <c r="L706" i="3"/>
  <c r="K706" i="3"/>
  <c r="M705" i="3"/>
  <c r="L705" i="3"/>
  <c r="K705" i="3"/>
  <c r="M704" i="3"/>
  <c r="L704" i="3"/>
  <c r="K704" i="3"/>
  <c r="M703" i="3"/>
  <c r="L703" i="3"/>
  <c r="K703" i="3"/>
  <c r="M702" i="3"/>
  <c r="L702" i="3"/>
  <c r="K702" i="3"/>
  <c r="M701" i="3"/>
  <c r="L701" i="3"/>
  <c r="K701" i="3"/>
  <c r="M700" i="3"/>
  <c r="L700" i="3"/>
  <c r="K700" i="3"/>
  <c r="M699" i="3"/>
  <c r="L699" i="3"/>
  <c r="K699" i="3"/>
  <c r="M698" i="3"/>
  <c r="L698" i="3"/>
  <c r="K698" i="3"/>
  <c r="M697" i="3"/>
  <c r="L697" i="3"/>
  <c r="K697" i="3"/>
  <c r="M696" i="3"/>
  <c r="L696" i="3"/>
  <c r="K696" i="3"/>
  <c r="M695" i="3"/>
  <c r="L695" i="3"/>
  <c r="K695" i="3"/>
  <c r="M694" i="3"/>
  <c r="L694" i="3"/>
  <c r="K694" i="3"/>
  <c r="M693" i="3"/>
  <c r="L693" i="3"/>
  <c r="K693" i="3"/>
  <c r="M692" i="3"/>
  <c r="L692" i="3"/>
  <c r="K692" i="3"/>
  <c r="M691" i="3"/>
  <c r="L691" i="3"/>
  <c r="K691" i="3"/>
  <c r="M690" i="3"/>
  <c r="L690" i="3"/>
  <c r="K690" i="3"/>
  <c r="M689" i="3"/>
  <c r="L689" i="3"/>
  <c r="K689" i="3"/>
  <c r="M688" i="3"/>
  <c r="L688" i="3"/>
  <c r="K688" i="3"/>
  <c r="M687" i="3"/>
  <c r="L687" i="3"/>
  <c r="K687" i="3"/>
  <c r="M686" i="3"/>
  <c r="L686" i="3"/>
  <c r="K686" i="3"/>
  <c r="M685" i="3"/>
  <c r="L685" i="3"/>
  <c r="K685" i="3"/>
  <c r="M684" i="3"/>
  <c r="L684" i="3"/>
  <c r="K684" i="3"/>
  <c r="M683" i="3"/>
  <c r="L683" i="3"/>
  <c r="K683" i="3"/>
  <c r="M682" i="3"/>
  <c r="L682" i="3"/>
  <c r="K682" i="3"/>
  <c r="M681" i="3"/>
  <c r="L681" i="3"/>
  <c r="K681" i="3"/>
  <c r="M680" i="3"/>
  <c r="L680" i="3"/>
  <c r="K680" i="3"/>
  <c r="M679" i="3"/>
  <c r="L679" i="3"/>
  <c r="K679" i="3"/>
  <c r="M678" i="3"/>
  <c r="L678" i="3"/>
  <c r="K678" i="3"/>
  <c r="M677" i="3"/>
  <c r="L677" i="3"/>
  <c r="K677" i="3"/>
  <c r="M676" i="3"/>
  <c r="L676" i="3"/>
  <c r="K676" i="3"/>
  <c r="M675" i="3"/>
  <c r="L675" i="3"/>
  <c r="K675" i="3"/>
  <c r="M674" i="3"/>
  <c r="L674" i="3"/>
  <c r="K674" i="3"/>
  <c r="M673" i="3"/>
  <c r="L673" i="3"/>
  <c r="K673" i="3"/>
  <c r="M672" i="3"/>
  <c r="L672" i="3"/>
  <c r="K672" i="3"/>
  <c r="M671" i="3"/>
  <c r="L671" i="3"/>
  <c r="K671" i="3"/>
  <c r="M670" i="3"/>
  <c r="L670" i="3"/>
  <c r="K670" i="3"/>
  <c r="M669" i="3"/>
  <c r="L669" i="3"/>
  <c r="K669" i="3"/>
  <c r="M668" i="3"/>
  <c r="L668" i="3"/>
  <c r="K668" i="3"/>
  <c r="M667" i="3"/>
  <c r="L667" i="3"/>
  <c r="K667" i="3"/>
  <c r="M666" i="3"/>
  <c r="L666" i="3"/>
  <c r="K666" i="3"/>
  <c r="M665" i="3"/>
  <c r="L665" i="3"/>
  <c r="K665" i="3"/>
  <c r="M664" i="3"/>
  <c r="L664" i="3"/>
  <c r="K664" i="3"/>
  <c r="M663" i="3"/>
  <c r="L663" i="3"/>
  <c r="K663" i="3"/>
  <c r="M662" i="3"/>
  <c r="L662" i="3"/>
  <c r="K662" i="3"/>
  <c r="M661" i="3"/>
  <c r="L661" i="3"/>
  <c r="K661" i="3"/>
  <c r="M660" i="3"/>
  <c r="L660" i="3"/>
  <c r="K660" i="3"/>
  <c r="M659" i="3"/>
  <c r="L659" i="3"/>
  <c r="K659" i="3"/>
  <c r="M658" i="3"/>
  <c r="L658" i="3"/>
  <c r="K658" i="3"/>
  <c r="M657" i="3"/>
  <c r="L657" i="3"/>
  <c r="K657" i="3"/>
  <c r="M656" i="3"/>
  <c r="L656" i="3"/>
  <c r="K656" i="3"/>
  <c r="M655" i="3"/>
  <c r="L655" i="3"/>
  <c r="K655" i="3"/>
  <c r="M654" i="3"/>
  <c r="L654" i="3"/>
  <c r="K654" i="3"/>
  <c r="M653" i="3"/>
  <c r="L653" i="3"/>
  <c r="K653" i="3"/>
  <c r="M652" i="3"/>
  <c r="L652" i="3"/>
  <c r="K652" i="3"/>
  <c r="M651" i="3"/>
  <c r="L651" i="3"/>
  <c r="K651" i="3"/>
  <c r="M650" i="3"/>
  <c r="L650" i="3"/>
  <c r="K650" i="3"/>
  <c r="M649" i="3"/>
  <c r="L649" i="3"/>
  <c r="K649" i="3"/>
  <c r="M648" i="3"/>
  <c r="L648" i="3"/>
  <c r="K648" i="3"/>
  <c r="M647" i="3"/>
  <c r="L647" i="3"/>
  <c r="K647" i="3"/>
  <c r="M646" i="3"/>
  <c r="L646" i="3"/>
  <c r="K646" i="3"/>
  <c r="M645" i="3"/>
  <c r="L645" i="3"/>
  <c r="K645" i="3"/>
  <c r="M644" i="3"/>
  <c r="L644" i="3"/>
  <c r="K644" i="3"/>
  <c r="M643" i="3"/>
  <c r="L643" i="3"/>
  <c r="K643" i="3"/>
  <c r="M642" i="3"/>
  <c r="L642" i="3"/>
  <c r="K642" i="3"/>
  <c r="M641" i="3"/>
  <c r="L641" i="3"/>
  <c r="K641" i="3"/>
  <c r="M640" i="3"/>
  <c r="L640" i="3"/>
  <c r="K640" i="3"/>
  <c r="M639" i="3"/>
  <c r="L639" i="3"/>
  <c r="K639" i="3"/>
  <c r="M638" i="3"/>
  <c r="L638" i="3"/>
  <c r="K638" i="3"/>
  <c r="M637" i="3"/>
  <c r="L637" i="3"/>
  <c r="K637" i="3"/>
  <c r="M636" i="3"/>
  <c r="L636" i="3"/>
  <c r="K636" i="3"/>
  <c r="M635" i="3"/>
  <c r="L635" i="3"/>
  <c r="K635" i="3"/>
  <c r="M634" i="3"/>
  <c r="L634" i="3"/>
  <c r="K634" i="3"/>
  <c r="M633" i="3"/>
  <c r="L633" i="3"/>
  <c r="K633" i="3"/>
  <c r="M632" i="3"/>
  <c r="L632" i="3"/>
  <c r="K632" i="3"/>
  <c r="M631" i="3"/>
  <c r="L631" i="3"/>
  <c r="K631" i="3"/>
  <c r="M630" i="3"/>
  <c r="L630" i="3"/>
  <c r="K630" i="3"/>
  <c r="M629" i="3"/>
  <c r="L629" i="3"/>
  <c r="K629" i="3"/>
  <c r="M628" i="3"/>
  <c r="L628" i="3"/>
  <c r="K628" i="3"/>
  <c r="M627" i="3"/>
  <c r="L627" i="3"/>
  <c r="K627" i="3"/>
  <c r="M626" i="3"/>
  <c r="L626" i="3"/>
  <c r="K626" i="3"/>
  <c r="M625" i="3"/>
  <c r="L625" i="3"/>
  <c r="K625" i="3"/>
  <c r="M624" i="3"/>
  <c r="L624" i="3"/>
  <c r="K624" i="3"/>
  <c r="M623" i="3"/>
  <c r="L623" i="3"/>
  <c r="K623" i="3"/>
  <c r="M622" i="3"/>
  <c r="L622" i="3"/>
  <c r="K622" i="3"/>
  <c r="M621" i="3"/>
  <c r="L621" i="3"/>
  <c r="K621" i="3"/>
  <c r="M620" i="3"/>
  <c r="L620" i="3"/>
  <c r="K620" i="3"/>
  <c r="M619" i="3"/>
  <c r="L619" i="3"/>
  <c r="K619" i="3"/>
  <c r="M618" i="3"/>
  <c r="L618" i="3"/>
  <c r="K618" i="3"/>
  <c r="M617" i="3"/>
  <c r="L617" i="3"/>
  <c r="K617" i="3"/>
  <c r="M616" i="3"/>
  <c r="L616" i="3"/>
  <c r="K616" i="3"/>
  <c r="M615" i="3"/>
  <c r="L615" i="3"/>
  <c r="K615" i="3"/>
  <c r="M614" i="3"/>
  <c r="L614" i="3"/>
  <c r="K614" i="3"/>
  <c r="M613" i="3"/>
  <c r="L613" i="3"/>
  <c r="K613" i="3"/>
  <c r="M612" i="3"/>
  <c r="L612" i="3"/>
  <c r="K612" i="3"/>
  <c r="M611" i="3"/>
  <c r="L611" i="3"/>
  <c r="K611" i="3"/>
  <c r="M610" i="3"/>
  <c r="L610" i="3"/>
  <c r="K610" i="3"/>
  <c r="M609" i="3"/>
  <c r="L609" i="3"/>
  <c r="K609" i="3"/>
  <c r="M608" i="3"/>
  <c r="L608" i="3"/>
  <c r="K608" i="3"/>
  <c r="M607" i="3"/>
  <c r="L607" i="3"/>
  <c r="K607" i="3"/>
  <c r="M606" i="3"/>
  <c r="L606" i="3"/>
  <c r="K606" i="3"/>
  <c r="M605" i="3"/>
  <c r="L605" i="3"/>
  <c r="K605" i="3"/>
  <c r="M604" i="3"/>
  <c r="L604" i="3"/>
  <c r="K604" i="3"/>
  <c r="M603" i="3"/>
  <c r="L603" i="3"/>
  <c r="K603" i="3"/>
  <c r="M602" i="3"/>
  <c r="L602" i="3"/>
  <c r="K602" i="3"/>
  <c r="M601" i="3"/>
  <c r="L601" i="3"/>
  <c r="K601" i="3"/>
  <c r="M600" i="3"/>
  <c r="L600" i="3"/>
  <c r="K600" i="3"/>
  <c r="M599" i="3"/>
  <c r="L599" i="3"/>
  <c r="K599" i="3"/>
  <c r="M598" i="3"/>
  <c r="L598" i="3"/>
  <c r="K598" i="3"/>
  <c r="M597" i="3"/>
  <c r="L597" i="3"/>
  <c r="K597" i="3"/>
  <c r="M596" i="3"/>
  <c r="L596" i="3"/>
  <c r="K596" i="3"/>
  <c r="M595" i="3"/>
  <c r="L595" i="3"/>
  <c r="K595" i="3"/>
  <c r="M594" i="3"/>
  <c r="L594" i="3"/>
  <c r="K594" i="3"/>
  <c r="M593" i="3"/>
  <c r="L593" i="3"/>
  <c r="K593" i="3"/>
  <c r="M592" i="3"/>
  <c r="L592" i="3"/>
  <c r="K592" i="3"/>
  <c r="M591" i="3"/>
  <c r="L591" i="3"/>
  <c r="K591" i="3"/>
  <c r="M590" i="3"/>
  <c r="L590" i="3"/>
  <c r="K590" i="3"/>
  <c r="M589" i="3"/>
  <c r="L589" i="3"/>
  <c r="K589" i="3"/>
  <c r="M588" i="3"/>
  <c r="L588" i="3"/>
  <c r="K588" i="3"/>
  <c r="M587" i="3"/>
  <c r="L587" i="3"/>
  <c r="K587" i="3"/>
  <c r="M586" i="3"/>
  <c r="L586" i="3"/>
  <c r="K586" i="3"/>
  <c r="M585" i="3"/>
  <c r="L585" i="3"/>
  <c r="K585" i="3"/>
  <c r="M584" i="3"/>
  <c r="L584" i="3"/>
  <c r="K584" i="3"/>
  <c r="M583" i="3"/>
  <c r="L583" i="3"/>
  <c r="K583" i="3"/>
  <c r="M582" i="3"/>
  <c r="L582" i="3"/>
  <c r="K582" i="3"/>
  <c r="M581" i="3"/>
  <c r="L581" i="3"/>
  <c r="K581" i="3"/>
  <c r="M580" i="3"/>
  <c r="L580" i="3"/>
  <c r="K580" i="3"/>
  <c r="M579" i="3"/>
  <c r="L579" i="3"/>
  <c r="K579" i="3"/>
  <c r="M578" i="3"/>
  <c r="L578" i="3"/>
  <c r="K578" i="3"/>
  <c r="M577" i="3"/>
  <c r="L577" i="3"/>
  <c r="K577" i="3"/>
  <c r="M576" i="3"/>
  <c r="L576" i="3"/>
  <c r="K576" i="3"/>
  <c r="M575" i="3"/>
  <c r="L575" i="3"/>
  <c r="K575" i="3"/>
  <c r="M574" i="3"/>
  <c r="L574" i="3"/>
  <c r="K574" i="3"/>
  <c r="M573" i="3"/>
  <c r="L573" i="3"/>
  <c r="K573" i="3"/>
  <c r="M572" i="3"/>
  <c r="L572" i="3"/>
  <c r="K572" i="3"/>
  <c r="M571" i="3"/>
  <c r="L571" i="3"/>
  <c r="K571" i="3"/>
  <c r="M570" i="3"/>
  <c r="L570" i="3"/>
  <c r="K570" i="3"/>
  <c r="M569" i="3"/>
  <c r="L569" i="3"/>
  <c r="K569" i="3"/>
  <c r="M568" i="3"/>
  <c r="L568" i="3"/>
  <c r="K568" i="3"/>
  <c r="M567" i="3"/>
  <c r="L567" i="3"/>
  <c r="K567" i="3"/>
  <c r="M566" i="3"/>
  <c r="L566" i="3"/>
  <c r="K566" i="3"/>
  <c r="M565" i="3"/>
  <c r="L565" i="3"/>
  <c r="K565" i="3"/>
  <c r="M564" i="3"/>
  <c r="L564" i="3"/>
  <c r="K564" i="3"/>
  <c r="M563" i="3"/>
  <c r="L563" i="3"/>
  <c r="K563" i="3"/>
  <c r="M562" i="3"/>
  <c r="L562" i="3"/>
  <c r="K562" i="3"/>
  <c r="M561" i="3"/>
  <c r="L561" i="3"/>
  <c r="K561" i="3"/>
  <c r="M560" i="3"/>
  <c r="L560" i="3"/>
  <c r="K560" i="3"/>
  <c r="M559" i="3"/>
  <c r="L559" i="3"/>
  <c r="K559" i="3"/>
  <c r="M558" i="3"/>
  <c r="L558" i="3"/>
  <c r="K558" i="3"/>
  <c r="M557" i="3"/>
  <c r="L557" i="3"/>
  <c r="K557" i="3"/>
  <c r="M556" i="3"/>
  <c r="L556" i="3"/>
  <c r="K556" i="3"/>
  <c r="M555" i="3"/>
  <c r="L555" i="3"/>
  <c r="K555" i="3"/>
  <c r="M554" i="3"/>
  <c r="L554" i="3"/>
  <c r="K554" i="3"/>
  <c r="M553" i="3"/>
  <c r="L553" i="3"/>
  <c r="K553" i="3"/>
  <c r="M552" i="3"/>
  <c r="L552" i="3"/>
  <c r="K552" i="3"/>
  <c r="M551" i="3"/>
  <c r="L551" i="3"/>
  <c r="K551" i="3"/>
  <c r="M550" i="3"/>
  <c r="L550" i="3"/>
  <c r="K550" i="3"/>
  <c r="M549" i="3"/>
  <c r="L549" i="3"/>
  <c r="K549" i="3"/>
  <c r="M548" i="3"/>
  <c r="L548" i="3"/>
  <c r="K548" i="3"/>
  <c r="M547" i="3"/>
  <c r="L547" i="3"/>
  <c r="K547" i="3"/>
  <c r="M546" i="3"/>
  <c r="L546" i="3"/>
  <c r="K546" i="3"/>
  <c r="M545" i="3"/>
  <c r="L545" i="3"/>
  <c r="K545" i="3"/>
  <c r="M544" i="3"/>
  <c r="L544" i="3"/>
  <c r="K544" i="3"/>
  <c r="M543" i="3"/>
  <c r="L543" i="3"/>
  <c r="K543" i="3"/>
  <c r="M542" i="3"/>
  <c r="L542" i="3"/>
  <c r="K542" i="3"/>
  <c r="M541" i="3"/>
  <c r="L541" i="3"/>
  <c r="K541" i="3"/>
  <c r="M540" i="3"/>
  <c r="L540" i="3"/>
  <c r="K540" i="3"/>
  <c r="M539" i="3"/>
  <c r="L539" i="3"/>
  <c r="K539" i="3"/>
  <c r="M538" i="3"/>
  <c r="L538" i="3"/>
  <c r="K538" i="3"/>
  <c r="M537" i="3"/>
  <c r="L537" i="3"/>
  <c r="K537" i="3"/>
  <c r="M536" i="3"/>
  <c r="L536" i="3"/>
  <c r="K536" i="3"/>
  <c r="M535" i="3"/>
  <c r="L535" i="3"/>
  <c r="K535" i="3"/>
  <c r="M534" i="3"/>
  <c r="L534" i="3"/>
  <c r="K534" i="3"/>
  <c r="M533" i="3"/>
  <c r="L533" i="3"/>
  <c r="K533" i="3"/>
  <c r="M532" i="3"/>
  <c r="L532" i="3"/>
  <c r="K532" i="3"/>
  <c r="M531" i="3"/>
  <c r="L531" i="3"/>
  <c r="K531" i="3"/>
  <c r="M530" i="3"/>
  <c r="L530" i="3"/>
  <c r="K530" i="3"/>
  <c r="M529" i="3"/>
  <c r="L529" i="3"/>
  <c r="K529" i="3"/>
  <c r="M528" i="3"/>
  <c r="L528" i="3"/>
  <c r="K528" i="3"/>
  <c r="M527" i="3"/>
  <c r="L527" i="3"/>
  <c r="K527" i="3"/>
  <c r="M526" i="3"/>
  <c r="L526" i="3"/>
  <c r="K526" i="3"/>
  <c r="M525" i="3"/>
  <c r="L525" i="3"/>
  <c r="K525" i="3"/>
  <c r="M524" i="3"/>
  <c r="L524" i="3"/>
  <c r="K524" i="3"/>
  <c r="M523" i="3"/>
  <c r="L523" i="3"/>
  <c r="K523" i="3"/>
  <c r="M522" i="3"/>
  <c r="L522" i="3"/>
  <c r="K522" i="3"/>
  <c r="M521" i="3"/>
  <c r="L521" i="3"/>
  <c r="K521" i="3"/>
  <c r="M520" i="3"/>
  <c r="L520" i="3"/>
  <c r="K520" i="3"/>
  <c r="M519" i="3"/>
  <c r="L519" i="3"/>
  <c r="K519" i="3"/>
  <c r="M518" i="3"/>
  <c r="L518" i="3"/>
  <c r="K518" i="3"/>
  <c r="M517" i="3"/>
  <c r="L517" i="3"/>
  <c r="K517" i="3"/>
  <c r="M516" i="3"/>
  <c r="L516" i="3"/>
  <c r="K516" i="3"/>
  <c r="M515" i="3"/>
  <c r="L515" i="3"/>
  <c r="K515" i="3"/>
  <c r="M514" i="3"/>
  <c r="L514" i="3"/>
  <c r="K514" i="3"/>
  <c r="M513" i="3"/>
  <c r="L513" i="3"/>
  <c r="K513" i="3"/>
  <c r="M512" i="3"/>
  <c r="L512" i="3"/>
  <c r="K512" i="3"/>
  <c r="M511" i="3"/>
  <c r="L511" i="3"/>
  <c r="K511" i="3"/>
  <c r="M510" i="3"/>
  <c r="L510" i="3"/>
  <c r="K510" i="3"/>
  <c r="M509" i="3"/>
  <c r="L509" i="3"/>
  <c r="K509" i="3"/>
  <c r="M508" i="3"/>
  <c r="L508" i="3"/>
  <c r="K508" i="3"/>
  <c r="M507" i="3"/>
  <c r="L507" i="3"/>
  <c r="K507" i="3"/>
  <c r="M506" i="3"/>
  <c r="L506" i="3"/>
  <c r="K506" i="3"/>
  <c r="M505" i="3"/>
  <c r="L505" i="3"/>
  <c r="K505" i="3"/>
  <c r="M504" i="3"/>
  <c r="L504" i="3"/>
  <c r="K504" i="3"/>
  <c r="M503" i="3"/>
  <c r="L503" i="3"/>
  <c r="K503" i="3"/>
  <c r="M502" i="3"/>
  <c r="L502" i="3"/>
  <c r="K502" i="3"/>
  <c r="M501" i="3"/>
  <c r="L501" i="3"/>
  <c r="K501" i="3"/>
  <c r="M500" i="3"/>
  <c r="L500" i="3"/>
  <c r="K500" i="3"/>
  <c r="M499" i="3"/>
  <c r="L499" i="3"/>
  <c r="K499" i="3"/>
  <c r="M498" i="3"/>
  <c r="L498" i="3"/>
  <c r="K498" i="3"/>
  <c r="M497" i="3"/>
  <c r="L497" i="3"/>
  <c r="K497" i="3"/>
  <c r="M496" i="3"/>
  <c r="L496" i="3"/>
  <c r="K496" i="3"/>
  <c r="M495" i="3"/>
  <c r="L495" i="3"/>
  <c r="K495" i="3"/>
  <c r="M494" i="3"/>
  <c r="L494" i="3"/>
  <c r="K494" i="3"/>
  <c r="M493" i="3"/>
  <c r="L493" i="3"/>
  <c r="K493" i="3"/>
  <c r="M492" i="3"/>
  <c r="L492" i="3"/>
  <c r="K492" i="3"/>
  <c r="M491" i="3"/>
  <c r="L491" i="3"/>
  <c r="K491" i="3"/>
  <c r="M490" i="3"/>
  <c r="L490" i="3"/>
  <c r="K490" i="3"/>
  <c r="M489" i="3"/>
  <c r="L489" i="3"/>
  <c r="K489" i="3"/>
  <c r="M488" i="3"/>
  <c r="L488" i="3"/>
  <c r="K488" i="3"/>
  <c r="M487" i="3"/>
  <c r="L487" i="3"/>
  <c r="K487" i="3"/>
  <c r="M486" i="3"/>
  <c r="L486" i="3"/>
  <c r="K486" i="3"/>
  <c r="M485" i="3"/>
  <c r="L485" i="3"/>
  <c r="K485" i="3"/>
  <c r="M484" i="3"/>
  <c r="L484" i="3"/>
  <c r="K484" i="3"/>
  <c r="M483" i="3"/>
  <c r="L483" i="3"/>
  <c r="K483" i="3"/>
  <c r="M482" i="3"/>
  <c r="L482" i="3"/>
  <c r="K482" i="3"/>
  <c r="M481" i="3"/>
  <c r="L481" i="3"/>
  <c r="K481" i="3"/>
  <c r="M480" i="3"/>
  <c r="L480" i="3"/>
  <c r="K480" i="3"/>
  <c r="M479" i="3"/>
  <c r="L479" i="3"/>
  <c r="K479" i="3"/>
  <c r="M478" i="3"/>
  <c r="L478" i="3"/>
  <c r="K478" i="3"/>
  <c r="M477" i="3"/>
  <c r="L477" i="3"/>
  <c r="K477" i="3"/>
  <c r="M476" i="3"/>
  <c r="L476" i="3"/>
  <c r="K476" i="3"/>
  <c r="M475" i="3"/>
  <c r="L475" i="3"/>
  <c r="K475" i="3"/>
  <c r="M474" i="3"/>
  <c r="L474" i="3"/>
  <c r="K474" i="3"/>
  <c r="M473" i="3"/>
  <c r="L473" i="3"/>
  <c r="K473" i="3"/>
  <c r="M472" i="3"/>
  <c r="L472" i="3"/>
  <c r="K472" i="3"/>
  <c r="M471" i="3"/>
  <c r="L471" i="3"/>
  <c r="K471" i="3"/>
  <c r="M470" i="3"/>
  <c r="L470" i="3"/>
  <c r="K470" i="3"/>
  <c r="M469" i="3"/>
  <c r="L469" i="3"/>
  <c r="K469" i="3"/>
  <c r="M468" i="3"/>
  <c r="L468" i="3"/>
  <c r="K468" i="3"/>
  <c r="M467" i="3"/>
  <c r="L467" i="3"/>
  <c r="K467" i="3"/>
  <c r="M466" i="3"/>
  <c r="L466" i="3"/>
  <c r="K466" i="3"/>
  <c r="M465" i="3"/>
  <c r="L465" i="3"/>
  <c r="K465" i="3"/>
  <c r="M464" i="3"/>
  <c r="L464" i="3"/>
  <c r="K464" i="3"/>
  <c r="M463" i="3"/>
  <c r="L463" i="3"/>
  <c r="K463" i="3"/>
  <c r="M462" i="3"/>
  <c r="L462" i="3"/>
  <c r="K462" i="3"/>
  <c r="M461" i="3"/>
  <c r="L461" i="3"/>
  <c r="K461" i="3"/>
  <c r="M460" i="3"/>
  <c r="L460" i="3"/>
  <c r="K460" i="3"/>
  <c r="M459" i="3"/>
  <c r="L459" i="3"/>
  <c r="K459" i="3"/>
  <c r="M458" i="3"/>
  <c r="L458" i="3"/>
  <c r="K458" i="3"/>
  <c r="M457" i="3"/>
  <c r="L457" i="3"/>
  <c r="K457" i="3"/>
  <c r="M456" i="3"/>
  <c r="L456" i="3"/>
  <c r="K456" i="3"/>
  <c r="M455" i="3"/>
  <c r="L455" i="3"/>
  <c r="K455" i="3"/>
  <c r="M454" i="3"/>
  <c r="L454" i="3"/>
  <c r="K454" i="3"/>
  <c r="M453" i="3"/>
  <c r="L453" i="3"/>
  <c r="K453" i="3"/>
  <c r="M452" i="3"/>
  <c r="L452" i="3"/>
  <c r="K452" i="3"/>
  <c r="M451" i="3"/>
  <c r="L451" i="3"/>
  <c r="K451" i="3"/>
  <c r="M450" i="3"/>
  <c r="L450" i="3"/>
  <c r="K450" i="3"/>
  <c r="M449" i="3"/>
  <c r="L449" i="3"/>
  <c r="K449" i="3"/>
  <c r="M448" i="3"/>
  <c r="L448" i="3"/>
  <c r="K448" i="3"/>
  <c r="M447" i="3"/>
  <c r="L447" i="3"/>
  <c r="K447" i="3"/>
  <c r="M446" i="3"/>
  <c r="L446" i="3"/>
  <c r="K446" i="3"/>
  <c r="M445" i="3"/>
  <c r="L445" i="3"/>
  <c r="K445" i="3"/>
  <c r="M444" i="3"/>
  <c r="L444" i="3"/>
  <c r="K444" i="3"/>
  <c r="M443" i="3"/>
  <c r="L443" i="3"/>
  <c r="K443" i="3"/>
  <c r="M442" i="3"/>
  <c r="L442" i="3"/>
  <c r="K442" i="3"/>
  <c r="M441" i="3"/>
  <c r="L441" i="3"/>
  <c r="K441" i="3"/>
  <c r="M440" i="3"/>
  <c r="L440" i="3"/>
  <c r="K440" i="3"/>
  <c r="M439" i="3"/>
  <c r="L439" i="3"/>
  <c r="K439" i="3"/>
  <c r="M438" i="3"/>
  <c r="L438" i="3"/>
  <c r="K438" i="3"/>
  <c r="M437" i="3"/>
  <c r="L437" i="3"/>
  <c r="K437" i="3"/>
  <c r="M436" i="3"/>
  <c r="L436" i="3"/>
  <c r="K436" i="3"/>
  <c r="M435" i="3"/>
  <c r="L435" i="3"/>
  <c r="K435" i="3"/>
  <c r="M434" i="3"/>
  <c r="L434" i="3"/>
  <c r="K434" i="3"/>
  <c r="M433" i="3"/>
  <c r="L433" i="3"/>
  <c r="K433" i="3"/>
  <c r="M432" i="3"/>
  <c r="L432" i="3"/>
  <c r="K432" i="3"/>
  <c r="M431" i="3"/>
  <c r="L431" i="3"/>
  <c r="K431" i="3"/>
  <c r="M430" i="3"/>
  <c r="L430" i="3"/>
  <c r="K430" i="3"/>
  <c r="M429" i="3"/>
  <c r="L429" i="3"/>
  <c r="K429" i="3"/>
  <c r="M428" i="3"/>
  <c r="L428" i="3"/>
  <c r="K428" i="3"/>
  <c r="M427" i="3"/>
  <c r="L427" i="3"/>
  <c r="K427" i="3"/>
  <c r="M426" i="3"/>
  <c r="L426" i="3"/>
  <c r="K426" i="3"/>
  <c r="M425" i="3"/>
  <c r="L425" i="3"/>
  <c r="K425" i="3"/>
  <c r="M424" i="3"/>
  <c r="L424" i="3"/>
  <c r="K424" i="3"/>
  <c r="M423" i="3"/>
  <c r="L423" i="3"/>
  <c r="K423" i="3"/>
  <c r="M422" i="3"/>
  <c r="L422" i="3"/>
  <c r="K422" i="3"/>
  <c r="M421" i="3"/>
  <c r="L421" i="3"/>
  <c r="K421" i="3"/>
  <c r="M420" i="3"/>
  <c r="L420" i="3"/>
  <c r="K420" i="3"/>
  <c r="M419" i="3"/>
  <c r="L419" i="3"/>
  <c r="K419" i="3"/>
  <c r="M418" i="3"/>
  <c r="L418" i="3"/>
  <c r="K418" i="3"/>
  <c r="M417" i="3"/>
  <c r="L417" i="3"/>
  <c r="K417" i="3"/>
  <c r="M416" i="3"/>
  <c r="L416" i="3"/>
  <c r="K416" i="3"/>
  <c r="M415" i="3"/>
  <c r="L415" i="3"/>
  <c r="K415" i="3"/>
  <c r="M414" i="3"/>
  <c r="L414" i="3"/>
  <c r="K414" i="3"/>
  <c r="M413" i="3"/>
  <c r="L413" i="3"/>
  <c r="K413" i="3"/>
  <c r="M412" i="3"/>
  <c r="L412" i="3"/>
  <c r="K412" i="3"/>
  <c r="M411" i="3"/>
  <c r="L411" i="3"/>
  <c r="K411" i="3"/>
  <c r="M410" i="3"/>
  <c r="L410" i="3"/>
  <c r="K410" i="3"/>
  <c r="M409" i="3"/>
  <c r="L409" i="3"/>
  <c r="K409" i="3"/>
  <c r="M408" i="3"/>
  <c r="L408" i="3"/>
  <c r="K408" i="3"/>
  <c r="M407" i="3"/>
  <c r="L407" i="3"/>
  <c r="K407" i="3"/>
  <c r="M406" i="3"/>
  <c r="L406" i="3"/>
  <c r="K406" i="3"/>
  <c r="M405" i="3"/>
  <c r="L405" i="3"/>
  <c r="K405" i="3"/>
  <c r="M404" i="3"/>
  <c r="L404" i="3"/>
  <c r="K404" i="3"/>
  <c r="M403" i="3"/>
  <c r="L403" i="3"/>
  <c r="K403" i="3"/>
  <c r="M402" i="3"/>
  <c r="L402" i="3"/>
  <c r="K402" i="3"/>
  <c r="M401" i="3"/>
  <c r="L401" i="3"/>
  <c r="K401" i="3"/>
  <c r="M400" i="3"/>
  <c r="L400" i="3"/>
  <c r="K400" i="3"/>
  <c r="M399" i="3"/>
  <c r="L399" i="3"/>
  <c r="K399" i="3"/>
  <c r="M398" i="3"/>
  <c r="L398" i="3"/>
  <c r="K398" i="3"/>
  <c r="M397" i="3"/>
  <c r="L397" i="3"/>
  <c r="K397" i="3"/>
  <c r="M396" i="3"/>
  <c r="L396" i="3"/>
  <c r="K396" i="3"/>
  <c r="M395" i="3"/>
  <c r="L395" i="3"/>
  <c r="K395" i="3"/>
  <c r="M394" i="3"/>
  <c r="L394" i="3"/>
  <c r="K394" i="3"/>
  <c r="M393" i="3"/>
  <c r="L393" i="3"/>
  <c r="K393" i="3"/>
  <c r="M392" i="3"/>
  <c r="L392" i="3"/>
  <c r="K392" i="3"/>
  <c r="M391" i="3"/>
  <c r="L391" i="3"/>
  <c r="K391" i="3"/>
  <c r="M390" i="3"/>
  <c r="L390" i="3"/>
  <c r="K390" i="3"/>
  <c r="M389" i="3"/>
  <c r="L389" i="3"/>
  <c r="K389" i="3"/>
  <c r="M388" i="3"/>
  <c r="L388" i="3"/>
  <c r="K388" i="3"/>
  <c r="M387" i="3"/>
  <c r="L387" i="3"/>
  <c r="K387" i="3"/>
  <c r="M386" i="3"/>
  <c r="L386" i="3"/>
  <c r="K386" i="3"/>
  <c r="M385" i="3"/>
  <c r="L385" i="3"/>
  <c r="K385" i="3"/>
  <c r="M384" i="3"/>
  <c r="L384" i="3"/>
  <c r="K384" i="3"/>
  <c r="M383" i="3"/>
  <c r="L383" i="3"/>
  <c r="K383" i="3"/>
  <c r="M382" i="3"/>
  <c r="L382" i="3"/>
  <c r="K382" i="3"/>
  <c r="M381" i="3"/>
  <c r="L381" i="3"/>
  <c r="K381" i="3"/>
  <c r="M380" i="3"/>
  <c r="L380" i="3"/>
  <c r="K380" i="3"/>
  <c r="M379" i="3"/>
  <c r="L379" i="3"/>
  <c r="K379" i="3"/>
  <c r="M378" i="3"/>
  <c r="L378" i="3"/>
  <c r="K378" i="3"/>
  <c r="M377" i="3"/>
  <c r="L377" i="3"/>
  <c r="K377" i="3"/>
  <c r="M376" i="3"/>
  <c r="L376" i="3"/>
  <c r="K376" i="3"/>
  <c r="M375" i="3"/>
  <c r="L375" i="3"/>
  <c r="K375" i="3"/>
  <c r="M374" i="3"/>
  <c r="L374" i="3"/>
  <c r="K374" i="3"/>
  <c r="M373" i="3"/>
  <c r="L373" i="3"/>
  <c r="K373" i="3"/>
  <c r="M372" i="3"/>
  <c r="L372" i="3"/>
  <c r="K372" i="3"/>
  <c r="M371" i="3"/>
  <c r="L371" i="3"/>
  <c r="K371" i="3"/>
  <c r="M370" i="3"/>
  <c r="L370" i="3"/>
  <c r="K370" i="3"/>
  <c r="M369" i="3"/>
  <c r="L369" i="3"/>
  <c r="K369" i="3"/>
  <c r="M368" i="3"/>
  <c r="L368" i="3"/>
  <c r="K368" i="3"/>
  <c r="M367" i="3"/>
  <c r="L367" i="3"/>
  <c r="K367" i="3"/>
  <c r="M366" i="3"/>
  <c r="L366" i="3"/>
  <c r="K366" i="3"/>
  <c r="M365" i="3"/>
  <c r="L365" i="3"/>
  <c r="K365" i="3"/>
  <c r="M364" i="3"/>
  <c r="L364" i="3"/>
  <c r="K364" i="3"/>
  <c r="M363" i="3"/>
  <c r="L363" i="3"/>
  <c r="K363" i="3"/>
  <c r="M362" i="3"/>
  <c r="L362" i="3"/>
  <c r="K362" i="3"/>
  <c r="M361" i="3"/>
  <c r="L361" i="3"/>
  <c r="K361" i="3"/>
  <c r="M360" i="3"/>
  <c r="L360" i="3"/>
  <c r="K360" i="3"/>
  <c r="M359" i="3"/>
  <c r="L359" i="3"/>
  <c r="K359" i="3"/>
  <c r="M358" i="3"/>
  <c r="L358" i="3"/>
  <c r="K358" i="3"/>
  <c r="M357" i="3"/>
  <c r="L357" i="3"/>
  <c r="K357" i="3"/>
  <c r="M356" i="3"/>
  <c r="L356" i="3"/>
  <c r="K356" i="3"/>
  <c r="M355" i="3"/>
  <c r="L355" i="3"/>
  <c r="K355" i="3"/>
  <c r="M354" i="3"/>
  <c r="L354" i="3"/>
  <c r="K354" i="3"/>
  <c r="M353" i="3"/>
  <c r="L353" i="3"/>
  <c r="K353" i="3"/>
  <c r="M352" i="3"/>
  <c r="L352" i="3"/>
  <c r="K352" i="3"/>
  <c r="M351" i="3"/>
  <c r="L351" i="3"/>
  <c r="K351" i="3"/>
  <c r="M350" i="3"/>
  <c r="L350" i="3"/>
  <c r="K350" i="3"/>
  <c r="M349" i="3"/>
  <c r="L349" i="3"/>
  <c r="K349" i="3"/>
  <c r="M348" i="3"/>
  <c r="L348" i="3"/>
  <c r="K348" i="3"/>
  <c r="M347" i="3"/>
  <c r="L347" i="3"/>
  <c r="K347" i="3"/>
  <c r="M346" i="3"/>
  <c r="L346" i="3"/>
  <c r="K346" i="3"/>
  <c r="M345" i="3"/>
  <c r="L345" i="3"/>
  <c r="K345" i="3"/>
  <c r="M344" i="3"/>
  <c r="L344" i="3"/>
  <c r="K344" i="3"/>
  <c r="M343" i="3"/>
  <c r="L343" i="3"/>
  <c r="K343" i="3"/>
  <c r="M342" i="3"/>
  <c r="L342" i="3"/>
  <c r="K342" i="3"/>
  <c r="M341" i="3"/>
  <c r="L341" i="3"/>
  <c r="K341" i="3"/>
  <c r="M340" i="3"/>
  <c r="L340" i="3"/>
  <c r="K340" i="3"/>
  <c r="M339" i="3"/>
  <c r="L339" i="3"/>
  <c r="K339" i="3"/>
  <c r="M338" i="3"/>
  <c r="L338" i="3"/>
  <c r="K338" i="3"/>
  <c r="M337" i="3"/>
  <c r="L337" i="3"/>
  <c r="K337" i="3"/>
  <c r="M336" i="3"/>
  <c r="L336" i="3"/>
  <c r="K336" i="3"/>
  <c r="M335" i="3"/>
  <c r="L335" i="3"/>
  <c r="K335" i="3"/>
  <c r="M334" i="3"/>
  <c r="L334" i="3"/>
  <c r="K334" i="3"/>
  <c r="M333" i="3"/>
  <c r="L333" i="3"/>
  <c r="K333" i="3"/>
  <c r="M332" i="3"/>
  <c r="L332" i="3"/>
  <c r="K332" i="3"/>
  <c r="M331" i="3"/>
  <c r="L331" i="3"/>
  <c r="K331" i="3"/>
  <c r="M330" i="3"/>
  <c r="L330" i="3"/>
  <c r="K330" i="3"/>
  <c r="M329" i="3"/>
  <c r="L329" i="3"/>
  <c r="K329" i="3"/>
  <c r="M328" i="3"/>
  <c r="L328" i="3"/>
  <c r="K328" i="3"/>
  <c r="M327" i="3"/>
  <c r="L327" i="3"/>
  <c r="K327" i="3"/>
  <c r="M326" i="3"/>
  <c r="L326" i="3"/>
  <c r="K326" i="3"/>
  <c r="M325" i="3"/>
  <c r="L325" i="3"/>
  <c r="K325" i="3"/>
  <c r="M324" i="3"/>
  <c r="L324" i="3"/>
  <c r="K324" i="3"/>
  <c r="M323" i="3"/>
  <c r="L323" i="3"/>
  <c r="K323" i="3"/>
  <c r="M322" i="3"/>
  <c r="L322" i="3"/>
  <c r="K322" i="3"/>
  <c r="M321" i="3"/>
  <c r="L321" i="3"/>
  <c r="K321" i="3"/>
  <c r="M320" i="3"/>
  <c r="L320" i="3"/>
  <c r="K320" i="3"/>
  <c r="M319" i="3"/>
  <c r="L319" i="3"/>
  <c r="K319" i="3"/>
  <c r="M318" i="3"/>
  <c r="L318" i="3"/>
  <c r="K318" i="3"/>
  <c r="M317" i="3"/>
  <c r="L317" i="3"/>
  <c r="K317" i="3"/>
  <c r="M316" i="3"/>
  <c r="L316" i="3"/>
  <c r="K316" i="3"/>
  <c r="M315" i="3"/>
  <c r="L315" i="3"/>
  <c r="K315" i="3"/>
  <c r="M314" i="3"/>
  <c r="L314" i="3"/>
  <c r="K314" i="3"/>
  <c r="M313" i="3"/>
  <c r="L313" i="3"/>
  <c r="K313" i="3"/>
  <c r="M312" i="3"/>
  <c r="L312" i="3"/>
  <c r="K312" i="3"/>
  <c r="M311" i="3"/>
  <c r="L311" i="3"/>
  <c r="K311" i="3"/>
  <c r="M310" i="3"/>
  <c r="L310" i="3"/>
  <c r="K310" i="3"/>
  <c r="M309" i="3"/>
  <c r="L309" i="3"/>
  <c r="K309" i="3"/>
  <c r="M308" i="3"/>
  <c r="L308" i="3"/>
  <c r="K308" i="3"/>
  <c r="M307" i="3"/>
  <c r="L307" i="3"/>
  <c r="K307" i="3"/>
  <c r="M306" i="3"/>
  <c r="L306" i="3"/>
  <c r="K306" i="3"/>
  <c r="M305" i="3"/>
  <c r="L305" i="3"/>
  <c r="K305" i="3"/>
  <c r="M304" i="3"/>
  <c r="L304" i="3"/>
  <c r="K304" i="3"/>
  <c r="M303" i="3"/>
  <c r="L303" i="3"/>
  <c r="K303" i="3"/>
  <c r="M302" i="3"/>
  <c r="L302" i="3"/>
  <c r="K302" i="3"/>
  <c r="M301" i="3"/>
  <c r="L301" i="3"/>
  <c r="K301" i="3"/>
  <c r="M300" i="3"/>
  <c r="L300" i="3"/>
  <c r="K300" i="3"/>
  <c r="M299" i="3"/>
  <c r="L299" i="3"/>
  <c r="K299" i="3"/>
  <c r="M298" i="3"/>
  <c r="L298" i="3"/>
  <c r="K298" i="3"/>
  <c r="M297" i="3"/>
  <c r="L297" i="3"/>
  <c r="K297" i="3"/>
  <c r="M296" i="3"/>
  <c r="L296" i="3"/>
  <c r="K296" i="3"/>
  <c r="M295" i="3"/>
  <c r="L295" i="3"/>
  <c r="K295" i="3"/>
  <c r="M294" i="3"/>
  <c r="L294" i="3"/>
  <c r="K294" i="3"/>
  <c r="M293" i="3"/>
  <c r="L293" i="3"/>
  <c r="K293" i="3"/>
  <c r="M292" i="3"/>
  <c r="L292" i="3"/>
  <c r="K292" i="3"/>
  <c r="M291" i="3"/>
  <c r="L291" i="3"/>
  <c r="K291" i="3"/>
  <c r="M290" i="3"/>
  <c r="L290" i="3"/>
  <c r="K290" i="3"/>
  <c r="M289" i="3"/>
  <c r="L289" i="3"/>
  <c r="K289" i="3"/>
  <c r="M288" i="3"/>
  <c r="L288" i="3"/>
  <c r="K288" i="3"/>
  <c r="M287" i="3"/>
  <c r="L287" i="3"/>
  <c r="K287" i="3"/>
  <c r="M286" i="3"/>
  <c r="L286" i="3"/>
  <c r="K286" i="3"/>
  <c r="M285" i="3"/>
  <c r="L285" i="3"/>
  <c r="K285" i="3"/>
  <c r="M284" i="3"/>
  <c r="L284" i="3"/>
  <c r="K284" i="3"/>
  <c r="M283" i="3"/>
  <c r="L283" i="3"/>
  <c r="K283" i="3"/>
  <c r="M282" i="3"/>
  <c r="L282" i="3"/>
  <c r="K282" i="3"/>
  <c r="M281" i="3"/>
  <c r="L281" i="3"/>
  <c r="K281" i="3"/>
  <c r="M280" i="3"/>
  <c r="L280" i="3"/>
  <c r="K280" i="3"/>
  <c r="M279" i="3"/>
  <c r="L279" i="3"/>
  <c r="K279" i="3"/>
  <c r="M278" i="3"/>
  <c r="L278" i="3"/>
  <c r="K278" i="3"/>
  <c r="M277" i="3"/>
  <c r="L277" i="3"/>
  <c r="K277" i="3"/>
  <c r="M276" i="3"/>
  <c r="L276" i="3"/>
  <c r="K276" i="3"/>
  <c r="M275" i="3"/>
  <c r="L275" i="3"/>
  <c r="K275" i="3"/>
  <c r="M274" i="3"/>
  <c r="L274" i="3"/>
  <c r="K274" i="3"/>
  <c r="M273" i="3"/>
  <c r="L273" i="3"/>
  <c r="K273" i="3"/>
  <c r="M272" i="3"/>
  <c r="L272" i="3"/>
  <c r="K272" i="3"/>
  <c r="M271" i="3"/>
  <c r="L271" i="3"/>
  <c r="K271" i="3"/>
  <c r="M270" i="3"/>
  <c r="L270" i="3"/>
  <c r="K270" i="3"/>
  <c r="M269" i="3"/>
  <c r="L269" i="3"/>
  <c r="K269" i="3"/>
  <c r="M268" i="3"/>
  <c r="L268" i="3"/>
  <c r="K268" i="3"/>
  <c r="M267" i="3"/>
  <c r="L267" i="3"/>
  <c r="K267" i="3"/>
  <c r="M266" i="3"/>
  <c r="L266" i="3"/>
  <c r="K266" i="3"/>
  <c r="M265" i="3"/>
  <c r="L265" i="3"/>
  <c r="K265" i="3"/>
  <c r="M264" i="3"/>
  <c r="L264" i="3"/>
  <c r="K264" i="3"/>
  <c r="M263" i="3"/>
  <c r="L263" i="3"/>
  <c r="K263" i="3"/>
  <c r="M262" i="3"/>
  <c r="L262" i="3"/>
  <c r="K262" i="3"/>
  <c r="M261" i="3"/>
  <c r="L261" i="3"/>
  <c r="K261" i="3"/>
  <c r="M260" i="3"/>
  <c r="L260" i="3"/>
  <c r="K260" i="3"/>
  <c r="M259" i="3"/>
  <c r="L259" i="3"/>
  <c r="K259" i="3"/>
  <c r="M258" i="3"/>
  <c r="L258" i="3"/>
  <c r="K258" i="3"/>
  <c r="M257" i="3"/>
  <c r="L257" i="3"/>
  <c r="K257" i="3"/>
  <c r="M256" i="3"/>
  <c r="L256" i="3"/>
  <c r="K256" i="3"/>
  <c r="M255" i="3"/>
  <c r="L255" i="3"/>
  <c r="K255" i="3"/>
  <c r="M254" i="3"/>
  <c r="L254" i="3"/>
  <c r="K254" i="3"/>
  <c r="M253" i="3"/>
  <c r="L253" i="3"/>
  <c r="K253" i="3"/>
  <c r="M252" i="3"/>
  <c r="L252" i="3"/>
  <c r="K252" i="3"/>
  <c r="M251" i="3"/>
  <c r="L251" i="3"/>
  <c r="K251" i="3"/>
  <c r="M250" i="3"/>
  <c r="L250" i="3"/>
  <c r="K250" i="3"/>
  <c r="M249" i="3"/>
  <c r="L249" i="3"/>
  <c r="K249" i="3"/>
  <c r="M248" i="3"/>
  <c r="L248" i="3"/>
  <c r="K248" i="3"/>
  <c r="M247" i="3"/>
  <c r="L247" i="3"/>
  <c r="K247" i="3"/>
  <c r="M246" i="3"/>
  <c r="L246" i="3"/>
  <c r="K246" i="3"/>
  <c r="M245" i="3"/>
  <c r="L245" i="3"/>
  <c r="K245" i="3"/>
  <c r="M244" i="3"/>
  <c r="L244" i="3"/>
  <c r="K244" i="3"/>
  <c r="M243" i="3"/>
  <c r="L243" i="3"/>
  <c r="K243" i="3"/>
  <c r="M242" i="3"/>
  <c r="L242" i="3"/>
  <c r="K242" i="3"/>
  <c r="M241" i="3"/>
  <c r="L241" i="3"/>
  <c r="K241" i="3"/>
  <c r="M240" i="3"/>
  <c r="L240" i="3"/>
  <c r="K240" i="3"/>
  <c r="M239" i="3"/>
  <c r="L239" i="3"/>
  <c r="K239" i="3"/>
  <c r="M238" i="3"/>
  <c r="L238" i="3"/>
  <c r="K238" i="3"/>
  <c r="M237" i="3"/>
  <c r="L237" i="3"/>
  <c r="K237" i="3"/>
  <c r="M236" i="3"/>
  <c r="L236" i="3"/>
  <c r="K236" i="3"/>
  <c r="M235" i="3"/>
  <c r="L235" i="3"/>
  <c r="K235" i="3"/>
  <c r="M234" i="3"/>
  <c r="L234" i="3"/>
  <c r="K234" i="3"/>
  <c r="M233" i="3"/>
  <c r="L233" i="3"/>
  <c r="K233" i="3"/>
  <c r="M232" i="3"/>
  <c r="L232" i="3"/>
  <c r="K232" i="3"/>
  <c r="M231" i="3"/>
  <c r="L231" i="3"/>
  <c r="K231" i="3"/>
  <c r="M230" i="3"/>
  <c r="L230" i="3"/>
  <c r="K230" i="3"/>
  <c r="M229" i="3"/>
  <c r="L229" i="3"/>
  <c r="K229" i="3"/>
  <c r="M228" i="3"/>
  <c r="L228" i="3"/>
  <c r="K228" i="3"/>
  <c r="M227" i="3"/>
  <c r="L227" i="3"/>
  <c r="K227" i="3"/>
  <c r="M226" i="3"/>
  <c r="L226" i="3"/>
  <c r="K226" i="3"/>
  <c r="M225" i="3"/>
  <c r="L225" i="3"/>
  <c r="K225" i="3"/>
  <c r="M224" i="3"/>
  <c r="L224" i="3"/>
  <c r="K224" i="3"/>
  <c r="M223" i="3"/>
  <c r="L223" i="3"/>
  <c r="K223" i="3"/>
  <c r="M222" i="3"/>
  <c r="L222" i="3"/>
  <c r="K222" i="3"/>
  <c r="M221" i="3"/>
  <c r="L221" i="3"/>
  <c r="K221" i="3"/>
  <c r="M220" i="3"/>
  <c r="L220" i="3"/>
  <c r="K220" i="3"/>
  <c r="M219" i="3"/>
  <c r="L219" i="3"/>
  <c r="K219" i="3"/>
  <c r="M218" i="3"/>
  <c r="L218" i="3"/>
  <c r="K218" i="3"/>
  <c r="M217" i="3"/>
  <c r="L217" i="3"/>
  <c r="K217" i="3"/>
  <c r="M216" i="3"/>
  <c r="L216" i="3"/>
  <c r="K216" i="3"/>
  <c r="M215" i="3"/>
  <c r="L215" i="3"/>
  <c r="K215" i="3"/>
  <c r="M214" i="3"/>
  <c r="L214" i="3"/>
  <c r="K214" i="3"/>
  <c r="M213" i="3"/>
  <c r="L213" i="3"/>
  <c r="K213" i="3"/>
  <c r="M212" i="3"/>
  <c r="L212" i="3"/>
  <c r="K212" i="3"/>
  <c r="M211" i="3"/>
  <c r="L211" i="3"/>
  <c r="K211" i="3"/>
  <c r="M210" i="3"/>
  <c r="L210" i="3"/>
  <c r="K210" i="3"/>
  <c r="M209" i="3"/>
  <c r="L209" i="3"/>
  <c r="K209" i="3"/>
  <c r="M208" i="3"/>
  <c r="L208" i="3"/>
  <c r="K208" i="3"/>
  <c r="M207" i="3"/>
  <c r="L207" i="3"/>
  <c r="K207" i="3"/>
  <c r="M206" i="3"/>
  <c r="L206" i="3"/>
  <c r="K206" i="3"/>
  <c r="M205" i="3"/>
  <c r="L205" i="3"/>
  <c r="K205" i="3"/>
  <c r="M204" i="3"/>
  <c r="L204" i="3"/>
  <c r="K204" i="3"/>
  <c r="M203" i="3"/>
  <c r="L203" i="3"/>
  <c r="K203" i="3"/>
  <c r="M202" i="3"/>
  <c r="L202" i="3"/>
  <c r="K202" i="3"/>
  <c r="M201" i="3"/>
  <c r="L201" i="3"/>
  <c r="K201" i="3"/>
  <c r="M200" i="3"/>
  <c r="L200" i="3"/>
  <c r="K200" i="3"/>
  <c r="M199" i="3"/>
  <c r="L199" i="3"/>
  <c r="K199" i="3"/>
  <c r="M198" i="3"/>
  <c r="L198" i="3"/>
  <c r="K198" i="3"/>
  <c r="M197" i="3"/>
  <c r="L197" i="3"/>
  <c r="K197" i="3"/>
  <c r="M196" i="3"/>
  <c r="L196" i="3"/>
  <c r="K196" i="3"/>
  <c r="M195" i="3"/>
  <c r="L195" i="3"/>
  <c r="K195" i="3"/>
  <c r="M194" i="3"/>
  <c r="L194" i="3"/>
  <c r="K194" i="3"/>
  <c r="M193" i="3"/>
  <c r="L193" i="3"/>
  <c r="K193" i="3"/>
  <c r="M192" i="3"/>
  <c r="L192" i="3"/>
  <c r="K192" i="3"/>
  <c r="M191" i="3"/>
  <c r="L191" i="3"/>
  <c r="K191" i="3"/>
  <c r="M190" i="3"/>
  <c r="L190" i="3"/>
  <c r="K190" i="3"/>
  <c r="M189" i="3"/>
  <c r="L189" i="3"/>
  <c r="K189" i="3"/>
  <c r="M188" i="3"/>
  <c r="L188" i="3"/>
  <c r="K188" i="3"/>
  <c r="M187" i="3"/>
  <c r="L187" i="3"/>
  <c r="K187" i="3"/>
  <c r="M186" i="3"/>
  <c r="L186" i="3"/>
  <c r="K186" i="3"/>
  <c r="M185" i="3"/>
  <c r="L185" i="3"/>
  <c r="K185" i="3"/>
  <c r="M184" i="3"/>
  <c r="L184" i="3"/>
  <c r="K184" i="3"/>
  <c r="M183" i="3"/>
  <c r="L183" i="3"/>
  <c r="K183" i="3"/>
  <c r="M182" i="3"/>
  <c r="L182" i="3"/>
  <c r="K182" i="3"/>
  <c r="M181" i="3"/>
  <c r="L181" i="3"/>
  <c r="K181" i="3"/>
  <c r="M180" i="3"/>
  <c r="L180" i="3"/>
  <c r="K180" i="3"/>
  <c r="M179" i="3"/>
  <c r="L179" i="3"/>
  <c r="K179" i="3"/>
  <c r="M178" i="3"/>
  <c r="L178" i="3"/>
  <c r="K178" i="3"/>
  <c r="M177" i="3"/>
  <c r="L177" i="3"/>
  <c r="K177" i="3"/>
  <c r="M176" i="3"/>
  <c r="L176" i="3"/>
  <c r="K176" i="3"/>
  <c r="M175" i="3"/>
  <c r="L175" i="3"/>
  <c r="K175" i="3"/>
  <c r="M174" i="3"/>
  <c r="L174" i="3"/>
  <c r="K174" i="3"/>
  <c r="M173" i="3"/>
  <c r="L173" i="3"/>
  <c r="K173" i="3"/>
  <c r="M172" i="3"/>
  <c r="L172" i="3"/>
  <c r="K172" i="3"/>
  <c r="M171" i="3"/>
  <c r="L171" i="3"/>
  <c r="K171" i="3"/>
  <c r="M170" i="3"/>
  <c r="L170" i="3"/>
  <c r="K170" i="3"/>
  <c r="M169" i="3"/>
  <c r="L169" i="3"/>
  <c r="K169" i="3"/>
  <c r="M168" i="3"/>
  <c r="L168" i="3"/>
  <c r="K168" i="3"/>
  <c r="M167" i="3"/>
  <c r="L167" i="3"/>
  <c r="K167" i="3"/>
  <c r="M166" i="3"/>
  <c r="L166" i="3"/>
  <c r="K166" i="3"/>
  <c r="M165" i="3"/>
  <c r="L165" i="3"/>
  <c r="K165" i="3"/>
  <c r="M164" i="3"/>
  <c r="L164" i="3"/>
  <c r="K164" i="3"/>
  <c r="M163" i="3"/>
  <c r="L163" i="3"/>
  <c r="K163" i="3"/>
  <c r="M162" i="3"/>
  <c r="L162" i="3"/>
  <c r="K162" i="3"/>
  <c r="M161" i="3"/>
  <c r="L161" i="3"/>
  <c r="K161" i="3"/>
  <c r="M160" i="3"/>
  <c r="L160" i="3"/>
  <c r="K160" i="3"/>
  <c r="M159" i="3"/>
  <c r="L159" i="3"/>
  <c r="K159" i="3"/>
  <c r="M158" i="3"/>
  <c r="L158" i="3"/>
  <c r="K158" i="3"/>
  <c r="M157" i="3"/>
  <c r="L157" i="3"/>
  <c r="K157" i="3"/>
  <c r="M156" i="3"/>
  <c r="L156" i="3"/>
  <c r="K156" i="3"/>
  <c r="M155" i="3"/>
  <c r="L155" i="3"/>
  <c r="K155" i="3"/>
  <c r="M154" i="3"/>
  <c r="L154" i="3"/>
  <c r="K154" i="3"/>
  <c r="M153" i="3"/>
  <c r="L153" i="3"/>
  <c r="K153" i="3"/>
  <c r="M152" i="3"/>
  <c r="L152" i="3"/>
  <c r="K152" i="3"/>
  <c r="M151" i="3"/>
  <c r="L151" i="3"/>
  <c r="K151" i="3"/>
  <c r="M150" i="3"/>
  <c r="L150" i="3"/>
  <c r="K150" i="3"/>
  <c r="M149" i="3"/>
  <c r="L149" i="3"/>
  <c r="K149" i="3"/>
  <c r="M148" i="3"/>
  <c r="L148" i="3"/>
  <c r="K148" i="3"/>
  <c r="M147" i="3"/>
  <c r="L147" i="3"/>
  <c r="K147" i="3"/>
  <c r="M146" i="3"/>
  <c r="L146" i="3"/>
  <c r="K146" i="3"/>
  <c r="M145" i="3"/>
  <c r="L145" i="3"/>
  <c r="K145" i="3"/>
  <c r="M144" i="3"/>
  <c r="L144" i="3"/>
  <c r="K144" i="3"/>
  <c r="M143" i="3"/>
  <c r="L143" i="3"/>
  <c r="K143" i="3"/>
  <c r="M142" i="3"/>
  <c r="L142" i="3"/>
  <c r="K142" i="3"/>
  <c r="M141" i="3"/>
  <c r="L141" i="3"/>
  <c r="K141" i="3"/>
  <c r="M140" i="3"/>
  <c r="L140" i="3"/>
  <c r="K140" i="3"/>
  <c r="M139" i="3"/>
  <c r="L139" i="3"/>
  <c r="K139" i="3"/>
  <c r="M138" i="3"/>
  <c r="L138" i="3"/>
  <c r="K138" i="3"/>
  <c r="M137" i="3"/>
  <c r="L137" i="3"/>
  <c r="K137" i="3"/>
  <c r="M136" i="3"/>
  <c r="L136" i="3"/>
  <c r="K136" i="3"/>
  <c r="M135" i="3"/>
  <c r="L135" i="3"/>
  <c r="K135" i="3"/>
  <c r="M134" i="3"/>
  <c r="L134" i="3"/>
  <c r="K134" i="3"/>
  <c r="M133" i="3"/>
  <c r="L133" i="3"/>
  <c r="K133" i="3"/>
  <c r="M132" i="3"/>
  <c r="L132" i="3"/>
  <c r="K132" i="3"/>
  <c r="M131" i="3"/>
  <c r="L131" i="3"/>
  <c r="K131" i="3"/>
  <c r="M130" i="3"/>
  <c r="L130" i="3"/>
  <c r="K130" i="3"/>
  <c r="M129" i="3"/>
  <c r="L129" i="3"/>
  <c r="K129" i="3"/>
  <c r="M128" i="3"/>
  <c r="L128" i="3"/>
  <c r="K128" i="3"/>
  <c r="M127" i="3"/>
  <c r="L127" i="3"/>
  <c r="K127" i="3"/>
  <c r="M126" i="3"/>
  <c r="L126" i="3"/>
  <c r="K126" i="3"/>
  <c r="M125" i="3"/>
  <c r="L125" i="3"/>
  <c r="K125" i="3"/>
  <c r="M124" i="3"/>
  <c r="L124" i="3"/>
  <c r="K124" i="3"/>
  <c r="M123" i="3"/>
  <c r="L123" i="3"/>
  <c r="K123" i="3"/>
  <c r="M122" i="3"/>
  <c r="L122" i="3"/>
  <c r="K122" i="3"/>
  <c r="M121" i="3"/>
  <c r="L121" i="3"/>
  <c r="K121" i="3"/>
  <c r="M120" i="3"/>
  <c r="L120" i="3"/>
  <c r="K120" i="3"/>
  <c r="M119" i="3"/>
  <c r="L119" i="3"/>
  <c r="K119" i="3"/>
  <c r="M118" i="3"/>
  <c r="L118" i="3"/>
  <c r="K118" i="3"/>
  <c r="M117" i="3"/>
  <c r="L117" i="3"/>
  <c r="K117" i="3"/>
  <c r="M116" i="3"/>
  <c r="L116" i="3"/>
  <c r="K116" i="3"/>
  <c r="M115" i="3"/>
  <c r="L115" i="3"/>
  <c r="K115" i="3"/>
  <c r="M114" i="3"/>
  <c r="L114" i="3"/>
  <c r="K114" i="3"/>
  <c r="M113" i="3"/>
  <c r="L113" i="3"/>
  <c r="K113" i="3"/>
  <c r="M112" i="3"/>
  <c r="L112" i="3"/>
  <c r="K112" i="3"/>
  <c r="M111" i="3"/>
  <c r="L111" i="3"/>
  <c r="K111" i="3"/>
  <c r="M110" i="3"/>
  <c r="L110" i="3"/>
  <c r="K110" i="3"/>
  <c r="M109" i="3"/>
  <c r="L109" i="3"/>
  <c r="K109" i="3"/>
  <c r="M108" i="3"/>
  <c r="L108" i="3"/>
  <c r="K108" i="3"/>
  <c r="M107" i="3"/>
  <c r="L107" i="3"/>
  <c r="K107" i="3"/>
  <c r="M106" i="3"/>
  <c r="L106" i="3"/>
  <c r="K106" i="3"/>
  <c r="M105" i="3"/>
  <c r="L105" i="3"/>
  <c r="K105" i="3"/>
  <c r="M104" i="3"/>
  <c r="L104" i="3"/>
  <c r="K104" i="3"/>
  <c r="M103" i="3"/>
  <c r="L103" i="3"/>
  <c r="K103" i="3"/>
  <c r="M102" i="3"/>
  <c r="L102" i="3"/>
  <c r="K102" i="3"/>
  <c r="M101" i="3"/>
  <c r="L101" i="3"/>
  <c r="K101" i="3"/>
  <c r="M100" i="3"/>
  <c r="L100" i="3"/>
  <c r="K100" i="3"/>
  <c r="M99" i="3"/>
  <c r="L99" i="3"/>
  <c r="K99" i="3"/>
  <c r="M98" i="3"/>
  <c r="L98" i="3"/>
  <c r="K98" i="3"/>
  <c r="M97" i="3"/>
  <c r="L97" i="3"/>
  <c r="K97" i="3"/>
  <c r="M96" i="3"/>
  <c r="L96" i="3"/>
  <c r="K96" i="3"/>
  <c r="M95" i="3"/>
  <c r="L95" i="3"/>
  <c r="K95" i="3"/>
  <c r="M94" i="3"/>
  <c r="L94" i="3"/>
  <c r="K94" i="3"/>
  <c r="M93" i="3"/>
  <c r="L93" i="3"/>
  <c r="K93" i="3"/>
  <c r="M92" i="3"/>
  <c r="L92" i="3"/>
  <c r="K92" i="3"/>
  <c r="M91" i="3"/>
  <c r="L91" i="3"/>
  <c r="K91" i="3"/>
  <c r="M90" i="3"/>
  <c r="L90" i="3"/>
  <c r="K90" i="3"/>
  <c r="M89" i="3"/>
  <c r="L89" i="3"/>
  <c r="K89" i="3"/>
  <c r="M88" i="3"/>
  <c r="L88" i="3"/>
  <c r="K88" i="3"/>
  <c r="M87" i="3"/>
  <c r="L87" i="3"/>
  <c r="K87" i="3"/>
  <c r="M86" i="3"/>
  <c r="L86" i="3"/>
  <c r="K86" i="3"/>
  <c r="M85" i="3"/>
  <c r="L85" i="3"/>
  <c r="K85" i="3"/>
  <c r="M84" i="3"/>
  <c r="L84" i="3"/>
  <c r="K84" i="3"/>
  <c r="M83" i="3"/>
  <c r="L83" i="3"/>
  <c r="K83" i="3"/>
  <c r="M82" i="3"/>
  <c r="L82" i="3"/>
  <c r="K82" i="3"/>
  <c r="M81" i="3"/>
  <c r="L81" i="3"/>
  <c r="K81" i="3"/>
  <c r="M80" i="3"/>
  <c r="L80" i="3"/>
  <c r="K80" i="3"/>
  <c r="M79" i="3"/>
  <c r="L79" i="3"/>
  <c r="K79" i="3"/>
  <c r="M78" i="3"/>
  <c r="L78" i="3"/>
  <c r="K78" i="3"/>
  <c r="M77" i="3"/>
  <c r="L77" i="3"/>
  <c r="K77" i="3"/>
  <c r="M76" i="3"/>
  <c r="L76" i="3"/>
  <c r="K76" i="3"/>
  <c r="M75" i="3"/>
  <c r="L75" i="3"/>
  <c r="K75" i="3"/>
  <c r="M74" i="3"/>
  <c r="L74" i="3"/>
  <c r="K74" i="3"/>
  <c r="M73" i="3"/>
  <c r="L73" i="3"/>
  <c r="K73" i="3"/>
  <c r="M72" i="3"/>
  <c r="L72" i="3"/>
  <c r="K72" i="3"/>
  <c r="M71" i="3"/>
  <c r="L71" i="3"/>
  <c r="K71" i="3"/>
  <c r="M70" i="3"/>
  <c r="L70" i="3"/>
  <c r="K70" i="3"/>
  <c r="M69" i="3"/>
  <c r="L69" i="3"/>
  <c r="K69" i="3"/>
  <c r="M68" i="3"/>
  <c r="L68" i="3"/>
  <c r="K68" i="3"/>
  <c r="M67" i="3"/>
  <c r="L67" i="3"/>
  <c r="K67" i="3"/>
  <c r="M66" i="3"/>
  <c r="L66" i="3"/>
  <c r="K66" i="3"/>
  <c r="M65" i="3"/>
  <c r="L65" i="3"/>
  <c r="K65" i="3"/>
  <c r="M64" i="3"/>
  <c r="L64" i="3"/>
  <c r="K64" i="3"/>
  <c r="M63" i="3"/>
  <c r="L63" i="3"/>
  <c r="K63" i="3"/>
  <c r="M62" i="3"/>
  <c r="L62" i="3"/>
  <c r="K62" i="3"/>
  <c r="M61" i="3"/>
  <c r="L61" i="3"/>
  <c r="K61" i="3"/>
  <c r="M60" i="3"/>
  <c r="L60" i="3"/>
  <c r="K60" i="3"/>
  <c r="M59" i="3"/>
  <c r="L59" i="3"/>
  <c r="K59" i="3"/>
  <c r="M58" i="3"/>
  <c r="L58" i="3"/>
  <c r="K58" i="3"/>
  <c r="M57" i="3"/>
  <c r="L57" i="3"/>
  <c r="K57" i="3"/>
  <c r="M56" i="3"/>
  <c r="L56" i="3"/>
  <c r="K56" i="3"/>
  <c r="M55" i="3"/>
  <c r="L55" i="3"/>
  <c r="K55" i="3"/>
  <c r="M54" i="3"/>
  <c r="L54" i="3"/>
  <c r="K54" i="3"/>
  <c r="M53" i="3"/>
  <c r="L53" i="3"/>
  <c r="K53" i="3"/>
  <c r="M52" i="3"/>
  <c r="L52" i="3"/>
  <c r="K52" i="3"/>
  <c r="M51" i="3"/>
  <c r="L51" i="3"/>
  <c r="K51" i="3"/>
  <c r="M50" i="3"/>
  <c r="L50" i="3"/>
  <c r="K50" i="3"/>
  <c r="M49" i="3"/>
  <c r="L49" i="3"/>
  <c r="K49" i="3"/>
  <c r="M48" i="3"/>
  <c r="L48" i="3"/>
  <c r="K48" i="3"/>
  <c r="M47" i="3"/>
  <c r="L47" i="3"/>
  <c r="K47" i="3"/>
  <c r="M46" i="3"/>
  <c r="L46" i="3"/>
  <c r="K46" i="3"/>
  <c r="M45" i="3"/>
  <c r="L45" i="3"/>
  <c r="K45" i="3"/>
  <c r="M44" i="3"/>
  <c r="L44" i="3"/>
  <c r="K44" i="3"/>
  <c r="M43" i="3"/>
  <c r="L43" i="3"/>
  <c r="K43" i="3"/>
  <c r="M42" i="3"/>
  <c r="L42" i="3"/>
  <c r="K42" i="3"/>
  <c r="M41" i="3"/>
  <c r="L41" i="3"/>
  <c r="K41" i="3"/>
  <c r="M40" i="3"/>
  <c r="L40" i="3"/>
  <c r="K40" i="3"/>
  <c r="M39" i="3"/>
  <c r="L39" i="3"/>
  <c r="K39" i="3"/>
  <c r="M38" i="3"/>
  <c r="L38" i="3"/>
  <c r="K38" i="3"/>
  <c r="M37" i="3"/>
  <c r="L37" i="3"/>
  <c r="K37" i="3"/>
  <c r="M36" i="3"/>
  <c r="L36" i="3"/>
  <c r="K36" i="3"/>
  <c r="M35" i="3"/>
  <c r="L35" i="3"/>
  <c r="K35" i="3"/>
  <c r="M34" i="3"/>
  <c r="L34" i="3"/>
  <c r="K34" i="3"/>
  <c r="M33" i="3"/>
  <c r="L33" i="3"/>
  <c r="K33" i="3"/>
  <c r="M32" i="3"/>
  <c r="L32" i="3"/>
  <c r="K32" i="3"/>
  <c r="M31" i="3"/>
  <c r="L31" i="3"/>
  <c r="K31" i="3"/>
  <c r="M30" i="3"/>
  <c r="L30" i="3"/>
  <c r="K30" i="3"/>
  <c r="M29" i="3"/>
  <c r="L29" i="3"/>
  <c r="K29" i="3"/>
  <c r="M28" i="3"/>
  <c r="L28" i="3"/>
  <c r="K28" i="3"/>
  <c r="M27" i="3"/>
  <c r="L27" i="3"/>
  <c r="K27" i="3"/>
  <c r="M26" i="3"/>
  <c r="L26" i="3"/>
  <c r="K26" i="3"/>
  <c r="M25" i="3"/>
  <c r="L25" i="3"/>
  <c r="K25" i="3"/>
  <c r="M24" i="3"/>
  <c r="L24" i="3"/>
  <c r="K24" i="3"/>
  <c r="M23" i="3"/>
  <c r="L23" i="3"/>
  <c r="K23" i="3"/>
  <c r="M22" i="3"/>
  <c r="L22" i="3"/>
  <c r="K22" i="3"/>
  <c r="M21" i="3"/>
  <c r="L21" i="3"/>
  <c r="K21" i="3"/>
  <c r="M20" i="3"/>
  <c r="L20" i="3"/>
  <c r="K20" i="3"/>
  <c r="M19" i="3"/>
  <c r="L19" i="3"/>
  <c r="K19" i="3"/>
  <c r="M18" i="3"/>
  <c r="L18" i="3"/>
  <c r="K18" i="3"/>
  <c r="M17" i="3"/>
  <c r="L17" i="3"/>
  <c r="K17" i="3"/>
  <c r="M16" i="3"/>
  <c r="L16" i="3"/>
  <c r="K16" i="3"/>
  <c r="M15" i="3"/>
  <c r="L15" i="3"/>
  <c r="K15" i="3"/>
  <c r="M14" i="3"/>
  <c r="L14" i="3"/>
  <c r="K14" i="3"/>
  <c r="M13" i="3"/>
  <c r="L13" i="3"/>
  <c r="K13" i="3"/>
  <c r="M12" i="3"/>
  <c r="L12" i="3"/>
  <c r="K12" i="3"/>
  <c r="M11" i="3"/>
  <c r="L11" i="3"/>
  <c r="K11" i="3"/>
  <c r="M10" i="3"/>
  <c r="L10" i="3"/>
  <c r="K10" i="3"/>
  <c r="M9" i="3"/>
  <c r="L9" i="3"/>
  <c r="K9" i="3"/>
  <c r="M8" i="3"/>
  <c r="L8" i="3"/>
  <c r="K8" i="3"/>
  <c r="M7" i="3"/>
  <c r="L7" i="3"/>
  <c r="K7" i="3"/>
  <c r="M6" i="3"/>
  <c r="L6" i="3"/>
  <c r="K6" i="3"/>
  <c r="M5" i="3"/>
  <c r="L5" i="3"/>
  <c r="K5" i="3"/>
  <c r="M4" i="3"/>
  <c r="L4" i="3"/>
  <c r="K4" i="3"/>
  <c r="M3" i="3"/>
  <c r="L3" i="3"/>
  <c r="K3" i="3"/>
  <c r="G17" i="3"/>
  <c r="H17" i="3"/>
  <c r="I17" i="3"/>
  <c r="G18" i="3"/>
  <c r="H18" i="3"/>
  <c r="I18" i="3"/>
  <c r="H11" i="3"/>
  <c r="H12" i="3" s="1"/>
  <c r="I12" i="3" s="1"/>
  <c r="T5" i="2"/>
  <c r="T928" i="9" l="1"/>
  <c r="U338" i="9"/>
  <c r="T234" i="9"/>
  <c r="U234" i="9"/>
  <c r="T248" i="9"/>
  <c r="T281" i="9"/>
  <c r="T339" i="9"/>
  <c r="U358" i="9"/>
  <c r="U483" i="9"/>
  <c r="T513" i="9"/>
  <c r="T51" i="9"/>
  <c r="U25" i="9"/>
  <c r="T47" i="9"/>
  <c r="T524" i="9"/>
  <c r="U51" i="9"/>
  <c r="T527" i="9"/>
  <c r="T94" i="9"/>
  <c r="U527" i="9"/>
  <c r="U101" i="9"/>
  <c r="T611" i="9"/>
  <c r="T97" i="9"/>
  <c r="T340" i="9"/>
  <c r="U130" i="9"/>
  <c r="U705" i="9"/>
  <c r="U137" i="9"/>
  <c r="T707" i="9"/>
  <c r="T22" i="9"/>
  <c r="T142" i="9"/>
  <c r="T729" i="9"/>
  <c r="T23" i="9"/>
  <c r="T229" i="9"/>
  <c r="T454" i="9"/>
  <c r="U735" i="9"/>
  <c r="T705" i="9"/>
  <c r="T394" i="9"/>
  <c r="T398" i="9"/>
  <c r="T403" i="9"/>
  <c r="T25" i="9"/>
  <c r="T230" i="9"/>
  <c r="T479" i="9"/>
  <c r="U737" i="9"/>
  <c r="T53" i="9"/>
  <c r="T186" i="9"/>
  <c r="T293" i="9"/>
  <c r="T408" i="9"/>
  <c r="T812" i="9"/>
  <c r="T827" i="9"/>
  <c r="U67" i="9"/>
  <c r="T195" i="9"/>
  <c r="T294" i="9"/>
  <c r="T449" i="9"/>
  <c r="T833" i="9"/>
  <c r="T15" i="9"/>
  <c r="T90" i="9"/>
  <c r="T196" i="9"/>
  <c r="U337" i="9"/>
  <c r="T450" i="9"/>
  <c r="T583" i="9"/>
  <c r="T840" i="9"/>
  <c r="T143" i="9"/>
  <c r="T282" i="9"/>
  <c r="T406" i="9"/>
  <c r="T529" i="9"/>
  <c r="T59" i="9"/>
  <c r="T191" i="9"/>
  <c r="U293" i="9"/>
  <c r="U410" i="9"/>
  <c r="T575" i="9"/>
  <c r="T580" i="9"/>
  <c r="U15" i="9"/>
  <c r="U90" i="9"/>
  <c r="T197" i="9"/>
  <c r="T452" i="9"/>
  <c r="T584" i="9"/>
  <c r="T879" i="9"/>
  <c r="S157" i="9"/>
  <c r="T102" i="9"/>
  <c r="T199" i="9"/>
  <c r="T295" i="9"/>
  <c r="T409" i="9"/>
  <c r="T534" i="9"/>
  <c r="T887" i="9"/>
  <c r="T27" i="9"/>
  <c r="T105" i="9"/>
  <c r="T162" i="9"/>
  <c r="T200" i="9"/>
  <c r="T250" i="9"/>
  <c r="T296" i="9"/>
  <c r="T363" i="9"/>
  <c r="T536" i="9"/>
  <c r="T624" i="9"/>
  <c r="T739" i="9"/>
  <c r="U971" i="9"/>
  <c r="U697" i="9"/>
  <c r="U36" i="9"/>
  <c r="U761" i="9"/>
  <c r="U607" i="9"/>
  <c r="U389" i="9"/>
  <c r="U112" i="9"/>
  <c r="U841" i="9"/>
  <c r="U686" i="9"/>
  <c r="U506" i="9"/>
  <c r="U425" i="9"/>
  <c r="U306" i="9"/>
  <c r="U932" i="9"/>
  <c r="U666" i="9"/>
  <c r="U454" i="9"/>
  <c r="U143" i="9"/>
  <c r="U78" i="9"/>
  <c r="T37" i="9"/>
  <c r="T69" i="9"/>
  <c r="T107" i="9"/>
  <c r="U162" i="9"/>
  <c r="T253" i="9"/>
  <c r="T301" i="9"/>
  <c r="T366" i="9"/>
  <c r="U411" i="9"/>
  <c r="S484" i="9"/>
  <c r="T540" i="9"/>
  <c r="T654" i="9"/>
  <c r="T745" i="9"/>
  <c r="T899" i="9"/>
  <c r="T6" i="9"/>
  <c r="T41" i="9"/>
  <c r="T71" i="9"/>
  <c r="T167" i="9"/>
  <c r="T218" i="9"/>
  <c r="T258" i="9"/>
  <c r="U321" i="9"/>
  <c r="S374" i="9"/>
  <c r="T436" i="9"/>
  <c r="T485" i="9"/>
  <c r="T557" i="9"/>
  <c r="T660" i="9"/>
  <c r="T787" i="9"/>
  <c r="T12" i="9"/>
  <c r="U41" i="9"/>
  <c r="U72" i="9"/>
  <c r="T129" i="9"/>
  <c r="T169" i="9"/>
  <c r="T221" i="9"/>
  <c r="U263" i="9"/>
  <c r="T322" i="9"/>
  <c r="T379" i="9"/>
  <c r="T437" i="9"/>
  <c r="T497" i="9"/>
  <c r="U557" i="9"/>
  <c r="T664" i="9"/>
  <c r="T791" i="9"/>
  <c r="T969" i="9"/>
  <c r="T877" i="9"/>
  <c r="T781" i="9"/>
  <c r="T608" i="9"/>
  <c r="T553" i="9"/>
  <c r="T510" i="9"/>
  <c r="T473" i="9"/>
  <c r="T427" i="9"/>
  <c r="T390" i="9"/>
  <c r="T354" i="9"/>
  <c r="T316" i="9"/>
  <c r="T279" i="9"/>
  <c r="T244" i="9"/>
  <c r="T214" i="9"/>
  <c r="T185" i="9"/>
  <c r="T150" i="9"/>
  <c r="T121" i="9"/>
  <c r="T87" i="9"/>
  <c r="T58" i="9"/>
  <c r="T10" i="9"/>
  <c r="T961" i="9"/>
  <c r="T868" i="9"/>
  <c r="T692" i="9"/>
  <c r="T552" i="9"/>
  <c r="T507" i="9"/>
  <c r="T426" i="9"/>
  <c r="T346" i="9"/>
  <c r="T310" i="9"/>
  <c r="T277" i="9"/>
  <c r="T239" i="9"/>
  <c r="T213" i="9"/>
  <c r="T183" i="9"/>
  <c r="T147" i="9"/>
  <c r="T86" i="9"/>
  <c r="T57" i="9"/>
  <c r="T34" i="9"/>
  <c r="T9" i="9"/>
  <c r="T951" i="9"/>
  <c r="T755" i="9"/>
  <c r="T598" i="9"/>
  <c r="T551" i="9"/>
  <c r="T461" i="9"/>
  <c r="T385" i="9"/>
  <c r="T345" i="9"/>
  <c r="T274" i="9"/>
  <c r="T236" i="9"/>
  <c r="T212" i="9"/>
  <c r="T182" i="9"/>
  <c r="T145" i="9"/>
  <c r="T111" i="9"/>
  <c r="T85" i="9"/>
  <c r="T56" i="9"/>
  <c r="T28" i="9"/>
  <c r="T8" i="9"/>
  <c r="T841" i="9"/>
  <c r="T753" i="9"/>
  <c r="T587" i="9"/>
  <c r="T547" i="9"/>
  <c r="T504" i="9"/>
  <c r="T425" i="9"/>
  <c r="T383" i="9"/>
  <c r="T341" i="9"/>
  <c r="T302" i="9"/>
  <c r="T271" i="9"/>
  <c r="T235" i="9"/>
  <c r="T209" i="9"/>
  <c r="T181" i="9"/>
  <c r="T109" i="9"/>
  <c r="T67" i="9"/>
  <c r="T159" i="9"/>
  <c r="T249" i="9"/>
  <c r="T361" i="9"/>
  <c r="T483" i="9"/>
  <c r="T614" i="9"/>
  <c r="T893" i="9"/>
  <c r="T204" i="9"/>
  <c r="U893" i="9"/>
  <c r="U350" i="9"/>
  <c r="T38" i="9"/>
  <c r="T70" i="9"/>
  <c r="T123" i="9"/>
  <c r="T166" i="9"/>
  <c r="T216" i="9"/>
  <c r="T257" i="9"/>
  <c r="T317" i="9"/>
  <c r="T367" i="9"/>
  <c r="T432" i="9"/>
  <c r="T484" i="9"/>
  <c r="T556" i="9"/>
  <c r="U654" i="9"/>
  <c r="T785" i="9"/>
  <c r="T126" i="9"/>
  <c r="T920" i="9"/>
  <c r="T13" i="9"/>
  <c r="T45" i="9"/>
  <c r="T73" i="9"/>
  <c r="T130" i="9"/>
  <c r="T179" i="9"/>
  <c r="U221" i="9"/>
  <c r="T268" i="9"/>
  <c r="T334" i="9"/>
  <c r="T380" i="9"/>
  <c r="T440" i="9"/>
  <c r="T498" i="9"/>
  <c r="T574" i="9"/>
  <c r="U664" i="9"/>
  <c r="T800" i="9"/>
  <c r="T929" i="9"/>
  <c r="S983" i="9"/>
  <c r="S580" i="9"/>
  <c r="S418" i="9"/>
  <c r="S229" i="9"/>
  <c r="S67" i="9"/>
  <c r="S270" i="9"/>
  <c r="S78" i="9"/>
  <c r="S616" i="9"/>
  <c r="S971" i="9"/>
  <c r="S906" i="9"/>
  <c r="S46" i="9"/>
  <c r="S169" i="9"/>
  <c r="S985" i="9"/>
  <c r="T997" i="9"/>
  <c r="T960" i="9"/>
  <c r="T891" i="9"/>
  <c r="T864" i="9"/>
  <c r="T832" i="9"/>
  <c r="T803" i="9"/>
  <c r="T772" i="9"/>
  <c r="T728" i="9"/>
  <c r="T701" i="9"/>
  <c r="T677" i="9"/>
  <c r="T653" i="9"/>
  <c r="T622" i="9"/>
  <c r="T602" i="9"/>
  <c r="T582" i="9"/>
  <c r="T567" i="9"/>
  <c r="T522" i="9"/>
  <c r="T492" i="9"/>
  <c r="T481" i="9"/>
  <c r="T465" i="9"/>
  <c r="T447" i="9"/>
  <c r="T435" i="9"/>
  <c r="T420" i="9"/>
  <c r="T407" i="9"/>
  <c r="T391" i="9"/>
  <c r="T375" i="9"/>
  <c r="T360" i="9"/>
  <c r="T348" i="9"/>
  <c r="T336" i="9"/>
  <c r="T320" i="9"/>
  <c r="T303" i="9"/>
  <c r="T291" i="9"/>
  <c r="T276" i="9"/>
  <c r="T259" i="9"/>
  <c r="T246" i="9"/>
  <c r="T231" i="9"/>
  <c r="T220" i="9"/>
  <c r="T207" i="9"/>
  <c r="T194" i="9"/>
  <c r="T154" i="9"/>
  <c r="T139" i="9"/>
  <c r="T125" i="9"/>
  <c r="T110" i="9"/>
  <c r="T82" i="9"/>
  <c r="T68" i="9"/>
  <c r="T46" i="9"/>
  <c r="T24" i="9"/>
  <c r="T14" i="9"/>
  <c r="T4" i="9"/>
  <c r="T953" i="9"/>
  <c r="T921" i="9"/>
  <c r="T888" i="9"/>
  <c r="T860" i="9"/>
  <c r="T801" i="9"/>
  <c r="T749" i="9"/>
  <c r="T721" i="9"/>
  <c r="T700" i="9"/>
  <c r="T649" i="9"/>
  <c r="T621" i="9"/>
  <c r="T599" i="9"/>
  <c r="T565" i="9"/>
  <c r="T550" i="9"/>
  <c r="T535" i="9"/>
  <c r="T505" i="9"/>
  <c r="T480" i="9"/>
  <c r="T464" i="9"/>
  <c r="T433" i="9"/>
  <c r="T979" i="9"/>
  <c r="T913" i="9"/>
  <c r="T853" i="9"/>
  <c r="T824" i="9"/>
  <c r="T796" i="9"/>
  <c r="T769" i="9"/>
  <c r="T744" i="9"/>
  <c r="T672" i="9"/>
  <c r="T645" i="9"/>
  <c r="T562" i="9"/>
  <c r="T546" i="9"/>
  <c r="T533" i="9"/>
  <c r="T518" i="9"/>
  <c r="T502" i="9"/>
  <c r="T489" i="9"/>
  <c r="T478" i="9"/>
  <c r="T460" i="9"/>
  <c r="T445" i="9"/>
  <c r="T431" i="9"/>
  <c r="T389" i="9"/>
  <c r="T358" i="9"/>
  <c r="T344" i="9"/>
  <c r="T332" i="9"/>
  <c r="T315" i="9"/>
  <c r="T300" i="9"/>
  <c r="T287" i="9"/>
  <c r="T270" i="9"/>
  <c r="T243" i="9"/>
  <c r="T203" i="9"/>
  <c r="T190" i="9"/>
  <c r="T178" i="9"/>
  <c r="T165" i="9"/>
  <c r="T135" i="9"/>
  <c r="T119" i="9"/>
  <c r="T93" i="9"/>
  <c r="T78" i="9"/>
  <c r="T55" i="9"/>
  <c r="T44" i="9"/>
  <c r="T33" i="9"/>
  <c r="T21" i="9"/>
  <c r="T11" i="9"/>
  <c r="T940" i="9"/>
  <c r="T848" i="9"/>
  <c r="T819" i="9"/>
  <c r="T795" i="9"/>
  <c r="T763" i="9"/>
  <c r="T740" i="9"/>
  <c r="T716" i="9"/>
  <c r="T693" i="9"/>
  <c r="T667" i="9"/>
  <c r="T638" i="9"/>
  <c r="T594" i="9"/>
  <c r="T576" i="9"/>
  <c r="T558" i="9"/>
  <c r="T516" i="9"/>
  <c r="T499" i="9"/>
  <c r="T475" i="9"/>
  <c r="T455" i="9"/>
  <c r="T428" i="9"/>
  <c r="T401" i="9"/>
  <c r="T372" i="9"/>
  <c r="T342" i="9"/>
  <c r="T311" i="9"/>
  <c r="T286" i="9"/>
  <c r="T254" i="9"/>
  <c r="T912" i="9"/>
  <c r="T881" i="9"/>
  <c r="T849" i="9"/>
  <c r="T764" i="9"/>
  <c r="T743" i="9"/>
  <c r="T695" i="9"/>
  <c r="T671" i="9"/>
  <c r="T640" i="9"/>
  <c r="T616" i="9"/>
  <c r="T596" i="9"/>
  <c r="T579" i="9"/>
  <c r="T559" i="9"/>
  <c r="T545" i="9"/>
  <c r="T532" i="9"/>
  <c r="T517" i="9"/>
  <c r="T500" i="9"/>
  <c r="T488" i="9"/>
  <c r="T476" i="9"/>
  <c r="T459" i="9"/>
  <c r="T444" i="9"/>
  <c r="T430" i="9"/>
  <c r="T415" i="9"/>
  <c r="T402" i="9"/>
  <c r="T388" i="9"/>
  <c r="T373" i="9"/>
  <c r="T356" i="9"/>
  <c r="T343" i="9"/>
  <c r="T331" i="9"/>
  <c r="T298" i="9"/>
  <c r="T188" i="9"/>
  <c r="T177" i="9"/>
  <c r="T163" i="9"/>
  <c r="T149" i="9"/>
  <c r="T134" i="9"/>
  <c r="T106" i="9"/>
  <c r="T91" i="9"/>
  <c r="T66" i="9"/>
  <c r="T54" i="9"/>
  <c r="T42" i="9"/>
  <c r="T32" i="9"/>
  <c r="T971" i="9"/>
  <c r="T531" i="9"/>
  <c r="T487" i="9"/>
  <c r="T442" i="9"/>
  <c r="T414" i="9"/>
  <c r="T387" i="9"/>
  <c r="T355" i="9"/>
  <c r="T329" i="9"/>
  <c r="T297" i="9"/>
  <c r="T269" i="9"/>
  <c r="T985" i="9"/>
  <c r="T927" i="9"/>
  <c r="T873" i="9"/>
  <c r="T777" i="9"/>
  <c r="T735" i="9"/>
  <c r="T688" i="9"/>
  <c r="T604" i="9"/>
  <c r="T572" i="9"/>
  <c r="T542" i="9"/>
  <c r="T523" i="9"/>
  <c r="T495" i="9"/>
  <c r="T471" i="9"/>
  <c r="T446" i="9"/>
  <c r="T423" i="9"/>
  <c r="T397" i="9"/>
  <c r="T378" i="9"/>
  <c r="T353" i="9"/>
  <c r="T337" i="9"/>
  <c r="T308" i="9"/>
  <c r="T292" i="9"/>
  <c r="T265" i="9"/>
  <c r="T247" i="9"/>
  <c r="T226" i="9"/>
  <c r="T211" i="9"/>
  <c r="T158" i="9"/>
  <c r="T141" i="9"/>
  <c r="T118" i="9"/>
  <c r="T101" i="9"/>
  <c r="T83" i="9"/>
  <c r="T64" i="9"/>
  <c r="T50" i="9"/>
  <c r="T36" i="9"/>
  <c r="T20" i="9"/>
  <c r="T7" i="9"/>
  <c r="T923" i="9"/>
  <c r="T872" i="9"/>
  <c r="T816" i="9"/>
  <c r="T771" i="9"/>
  <c r="T733" i="9"/>
  <c r="T687" i="9"/>
  <c r="T637" i="9"/>
  <c r="T603" i="9"/>
  <c r="T571" i="9"/>
  <c r="T541" i="9"/>
  <c r="T519" i="9"/>
  <c r="T494" i="9"/>
  <c r="T470" i="9"/>
  <c r="T441" i="9"/>
  <c r="T421" i="9"/>
  <c r="T396" i="9"/>
  <c r="T374" i="9"/>
  <c r="T351" i="9"/>
  <c r="T335" i="9"/>
  <c r="T289" i="9"/>
  <c r="T264" i="9"/>
  <c r="T245" i="9"/>
  <c r="T225" i="9"/>
  <c r="T210" i="9"/>
  <c r="T192" i="9"/>
  <c r="T157" i="9"/>
  <c r="T138" i="9"/>
  <c r="T117" i="9"/>
  <c r="T99" i="9"/>
  <c r="T81" i="9"/>
  <c r="T63" i="9"/>
  <c r="T49" i="9"/>
  <c r="T35" i="9"/>
  <c r="T19" i="9"/>
  <c r="T964" i="9"/>
  <c r="T865" i="9"/>
  <c r="T808" i="9"/>
  <c r="T761" i="9"/>
  <c r="T720" i="9"/>
  <c r="T681" i="9"/>
  <c r="T633" i="9"/>
  <c r="T590" i="9"/>
  <c r="T569" i="9"/>
  <c r="T538" i="9"/>
  <c r="T512" i="9"/>
  <c r="T490" i="9"/>
  <c r="T439" i="9"/>
  <c r="T413" i="9"/>
  <c r="T393" i="9"/>
  <c r="T369" i="9"/>
  <c r="T350" i="9"/>
  <c r="T327" i="9"/>
  <c r="T306" i="9"/>
  <c r="T284" i="9"/>
  <c r="T263" i="9"/>
  <c r="T241" i="9"/>
  <c r="T223" i="9"/>
  <c r="T208" i="9"/>
  <c r="T173" i="9"/>
  <c r="T155" i="9"/>
  <c r="T133" i="9"/>
  <c r="T114" i="9"/>
  <c r="T77" i="9"/>
  <c r="T62" i="9"/>
  <c r="T31" i="9"/>
  <c r="T17" i="9"/>
  <c r="T5" i="9"/>
  <c r="T963" i="9"/>
  <c r="T905" i="9"/>
  <c r="T759" i="9"/>
  <c r="T712" i="9"/>
  <c r="T680" i="9"/>
  <c r="T629" i="9"/>
  <c r="T564" i="9"/>
  <c r="T537" i="9"/>
  <c r="T511" i="9"/>
  <c r="T486" i="9"/>
  <c r="T466" i="9"/>
  <c r="T438" i="9"/>
  <c r="T412" i="9"/>
  <c r="T392" i="9"/>
  <c r="T368" i="9"/>
  <c r="T349" i="9"/>
  <c r="T326" i="9"/>
  <c r="T305" i="9"/>
  <c r="T283" i="9"/>
  <c r="T262" i="9"/>
  <c r="T240" i="9"/>
  <c r="T205" i="9"/>
  <c r="T187" i="9"/>
  <c r="T171" i="9"/>
  <c r="T153" i="9"/>
  <c r="T131" i="9"/>
  <c r="T95" i="9"/>
  <c r="T75" i="9"/>
  <c r="T60" i="9"/>
  <c r="T29" i="9"/>
  <c r="T16" i="9"/>
  <c r="T3" i="9"/>
  <c r="T901" i="9"/>
  <c r="T845" i="9"/>
  <c r="T807" i="9"/>
  <c r="T756" i="9"/>
  <c r="T709" i="9"/>
  <c r="T588" i="9"/>
  <c r="T18" i="9"/>
  <c r="T40" i="9"/>
  <c r="U62" i="9"/>
  <c r="S90" i="9"/>
  <c r="T115" i="9"/>
  <c r="U144" i="9"/>
  <c r="T174" i="9"/>
  <c r="T198" i="9"/>
  <c r="T224" i="9"/>
  <c r="T252" i="9"/>
  <c r="T288" i="9"/>
  <c r="T321" i="9"/>
  <c r="T384" i="9"/>
  <c r="T418" i="9"/>
  <c r="S454" i="9"/>
  <c r="T493" i="9"/>
  <c r="T528" i="9"/>
  <c r="T570" i="9"/>
  <c r="T618" i="9"/>
  <c r="T703" i="9"/>
  <c r="T779" i="9"/>
  <c r="T844" i="9"/>
  <c r="T935" i="9"/>
  <c r="S322" i="9"/>
  <c r="S636" i="9"/>
  <c r="U985" i="9"/>
  <c r="U831" i="9"/>
  <c r="U771" i="9"/>
  <c r="U675" i="9"/>
  <c r="U580" i="9"/>
  <c r="U521" i="9"/>
  <c r="U490" i="9"/>
  <c r="U446" i="9"/>
  <c r="U418" i="9"/>
  <c r="U907" i="9"/>
  <c r="U879" i="9"/>
  <c r="U542" i="9"/>
  <c r="U817" i="9"/>
  <c r="U645" i="9"/>
  <c r="U194" i="9"/>
  <c r="U175" i="9"/>
  <c r="U307" i="9"/>
  <c r="U174" i="9"/>
  <c r="U6" i="9"/>
  <c r="U469" i="9"/>
  <c r="U187" i="9"/>
  <c r="U96" i="9"/>
  <c r="U46" i="9"/>
  <c r="U853" i="9"/>
  <c r="U807" i="9"/>
  <c r="U588" i="9"/>
  <c r="U222" i="9"/>
  <c r="U113" i="9"/>
  <c r="U961" i="9"/>
  <c r="U674" i="9"/>
  <c r="U626" i="9"/>
  <c r="S25" i="9"/>
  <c r="U125" i="9"/>
  <c r="S182" i="9"/>
  <c r="U359" i="9"/>
  <c r="U498" i="9"/>
  <c r="T161" i="9"/>
  <c r="U10" i="9"/>
  <c r="U20" i="9"/>
  <c r="U118" i="9"/>
  <c r="U202" i="9"/>
  <c r="U214" i="9"/>
  <c r="U227" i="9"/>
  <c r="U241" i="9"/>
  <c r="U254" i="9"/>
  <c r="U286" i="9"/>
  <c r="U314" i="9"/>
  <c r="U716" i="9"/>
  <c r="U795" i="9"/>
  <c r="U821" i="9"/>
  <c r="U947" i="9"/>
  <c r="U979" i="9"/>
  <c r="U106" i="9"/>
  <c r="U149" i="9"/>
  <c r="U215" i="9"/>
  <c r="U255" i="9"/>
  <c r="U373" i="9"/>
  <c r="U402" i="9"/>
  <c r="U597" i="9"/>
  <c r="U616" i="9"/>
  <c r="U695" i="9"/>
  <c r="U718" i="9"/>
  <c r="U881" i="9"/>
  <c r="U948" i="9"/>
  <c r="U35" i="9"/>
  <c r="U57" i="9"/>
  <c r="U95" i="9"/>
  <c r="U168" i="9"/>
  <c r="U181" i="9"/>
  <c r="U505" i="9"/>
  <c r="U535" i="9"/>
  <c r="U550" i="9"/>
  <c r="U749" i="9"/>
  <c r="U921" i="9"/>
  <c r="S351" i="9"/>
  <c r="S366" i="9"/>
  <c r="S432" i="9"/>
  <c r="S476" i="9"/>
  <c r="S499" i="9"/>
  <c r="S528" i="9"/>
  <c r="S107" i="9"/>
  <c r="S119" i="9"/>
  <c r="S248" i="9"/>
  <c r="S300" i="9"/>
  <c r="S380" i="9"/>
  <c r="S624" i="9"/>
  <c r="S20" i="9"/>
  <c r="S263" i="9"/>
  <c r="S315" i="9"/>
  <c r="S330" i="9"/>
  <c r="S542" i="9"/>
  <c r="S574" i="9"/>
  <c r="S588" i="9"/>
  <c r="S11" i="9"/>
  <c r="S30" i="9"/>
  <c r="S278" i="9"/>
  <c r="S395" i="9"/>
  <c r="S447" i="9"/>
  <c r="S608" i="9"/>
  <c r="S727" i="9"/>
  <c r="S976" i="9"/>
  <c r="S471" i="9"/>
  <c r="S404" i="9"/>
  <c r="S368" i="9"/>
  <c r="S204" i="9"/>
  <c r="S86" i="9"/>
  <c r="S949" i="9"/>
  <c r="S700" i="9"/>
  <c r="S435" i="9"/>
  <c r="S383" i="9"/>
  <c r="S339" i="9"/>
  <c r="S294" i="9"/>
  <c r="S197" i="9"/>
  <c r="S145" i="9"/>
  <c r="S47" i="9"/>
  <c r="S772" i="9"/>
  <c r="S382" i="9"/>
  <c r="S995" i="9"/>
  <c r="S981" i="9"/>
  <c r="S956" i="9"/>
  <c r="S942" i="9"/>
  <c r="S916" i="9"/>
  <c r="S902" i="9"/>
  <c r="S889" i="9"/>
  <c r="S864" i="9"/>
  <c r="S827" i="9"/>
  <c r="S816" i="9"/>
  <c r="S758" i="9"/>
  <c r="S693" i="9"/>
  <c r="S642" i="9"/>
  <c r="S614" i="9"/>
  <c r="S587" i="9"/>
  <c r="S547" i="9"/>
  <c r="S526" i="9"/>
  <c r="S475" i="9"/>
  <c r="S431" i="9"/>
  <c r="S379" i="9"/>
  <c r="S372" i="9"/>
  <c r="S356" i="9"/>
  <c r="S327" i="9"/>
  <c r="S320" i="9"/>
  <c r="S298" i="9"/>
  <c r="S276" i="9"/>
  <c r="S260" i="9"/>
  <c r="S226" i="9"/>
  <c r="S220" i="9"/>
  <c r="S193" i="9"/>
  <c r="S167" i="9"/>
  <c r="S154" i="9"/>
  <c r="S135" i="9"/>
  <c r="S117" i="9"/>
  <c r="S111" i="9"/>
  <c r="S77" i="9"/>
  <c r="S71" i="9"/>
  <c r="S66" i="9"/>
  <c r="S55" i="9"/>
  <c r="S50" i="9"/>
  <c r="S45" i="9"/>
  <c r="S34" i="9"/>
  <c r="S29" i="9"/>
  <c r="S19" i="9"/>
  <c r="S9" i="9"/>
  <c r="S788" i="9"/>
  <c r="S991" i="9"/>
  <c r="S940" i="9"/>
  <c r="S860" i="9"/>
  <c r="S741" i="9"/>
  <c r="S721" i="9"/>
  <c r="S710" i="9"/>
  <c r="S678" i="9"/>
  <c r="S610" i="9"/>
  <c r="S583" i="9"/>
  <c r="S560" i="9"/>
  <c r="S552" i="9"/>
  <c r="S508" i="9"/>
  <c r="S456" i="9"/>
  <c r="S332" i="9"/>
  <c r="S288" i="9"/>
  <c r="S274" i="9"/>
  <c r="S251" i="9"/>
  <c r="S218" i="9"/>
  <c r="S146" i="9"/>
  <c r="S121" i="9"/>
  <c r="S115" i="9"/>
  <c r="S81" i="9"/>
  <c r="S75" i="9"/>
  <c r="S17" i="9"/>
  <c r="S989" i="9"/>
  <c r="S937" i="9"/>
  <c r="S923" i="9"/>
  <c r="S912" i="9"/>
  <c r="S899" i="9"/>
  <c r="S883" i="9"/>
  <c r="S872" i="9"/>
  <c r="S859" i="9"/>
  <c r="S845" i="9"/>
  <c r="S823" i="9"/>
  <c r="S810" i="9"/>
  <c r="S800" i="9"/>
  <c r="S764" i="9"/>
  <c r="S618" i="9"/>
  <c r="S600" i="9"/>
  <c r="S575" i="9"/>
  <c r="S523" i="9"/>
  <c r="S516" i="9"/>
  <c r="S500" i="9"/>
  <c r="S464" i="9"/>
  <c r="S442" i="9"/>
  <c r="S420" i="9"/>
  <c r="S324" i="9"/>
  <c r="S316" i="9"/>
  <c r="S210" i="9"/>
  <c r="S171" i="9"/>
  <c r="S158" i="9"/>
  <c r="S139" i="9"/>
  <c r="S27" i="9"/>
  <c r="S12" i="9"/>
  <c r="S936" i="9"/>
  <c r="S922" i="9"/>
  <c r="S911" i="9"/>
  <c r="S896" i="9"/>
  <c r="S882" i="9"/>
  <c r="S871" i="9"/>
  <c r="S856" i="9"/>
  <c r="S833" i="9"/>
  <c r="S822" i="9"/>
  <c r="S787" i="9"/>
  <c r="S751" i="9"/>
  <c r="S729" i="9"/>
  <c r="S667" i="9"/>
  <c r="S658" i="9"/>
  <c r="S647" i="9"/>
  <c r="S617" i="9"/>
  <c r="S567" i="9"/>
  <c r="S507" i="9"/>
  <c r="S419" i="9"/>
  <c r="S412" i="9"/>
  <c r="S360" i="9"/>
  <c r="S308" i="9"/>
  <c r="S272" i="9"/>
  <c r="S223" i="9"/>
  <c r="S170" i="9"/>
  <c r="S126" i="9"/>
  <c r="S109" i="9"/>
  <c r="S97" i="9"/>
  <c r="S53" i="9"/>
  <c r="S42" i="9"/>
  <c r="S37" i="9"/>
  <c r="S7" i="9"/>
  <c r="S910" i="9"/>
  <c r="S894" i="9"/>
  <c r="S870" i="9"/>
  <c r="S808" i="9"/>
  <c r="S709" i="9"/>
  <c r="S687" i="9"/>
  <c r="S676" i="9"/>
  <c r="S655" i="9"/>
  <c r="S637" i="9"/>
  <c r="S566" i="9"/>
  <c r="S558" i="9"/>
  <c r="S536" i="9"/>
  <c r="S514" i="9"/>
  <c r="S478" i="9"/>
  <c r="S462" i="9"/>
  <c r="S403" i="9"/>
  <c r="S331" i="9"/>
  <c r="S114" i="9"/>
  <c r="S102" i="9"/>
  <c r="S933" i="9"/>
  <c r="S832" i="9"/>
  <c r="S796" i="9"/>
  <c r="S784" i="9"/>
  <c r="S728" i="9"/>
  <c r="S4" i="9"/>
  <c r="S847" i="9"/>
  <c r="S692" i="9"/>
  <c r="S660" i="9"/>
  <c r="S640" i="9"/>
  <c r="S546" i="9"/>
  <c r="S502" i="9"/>
  <c r="S430" i="9"/>
  <c r="S378" i="9"/>
  <c r="S355" i="9"/>
  <c r="S340" i="9"/>
  <c r="S326" i="9"/>
  <c r="S252" i="9"/>
  <c r="S205" i="9"/>
  <c r="S147" i="9"/>
  <c r="S134" i="9"/>
  <c r="S110" i="9"/>
  <c r="S98" i="9"/>
  <c r="S54" i="9"/>
  <c r="S43" i="9"/>
  <c r="S33" i="9"/>
  <c r="S8" i="9"/>
  <c r="S964" i="9"/>
  <c r="S629" i="9"/>
  <c r="S398" i="9"/>
  <c r="S310" i="9"/>
  <c r="S69" i="9"/>
  <c r="S3" i="9"/>
  <c r="S230" i="9"/>
  <c r="S183" i="9"/>
  <c r="S515" i="9"/>
  <c r="S133" i="9"/>
  <c r="S91" i="9"/>
  <c r="S58" i="9"/>
  <c r="S750" i="9"/>
  <c r="S551" i="9"/>
  <c r="S163" i="9"/>
  <c r="S16" i="9"/>
  <c r="S837" i="9"/>
  <c r="S814" i="9"/>
  <c r="S789" i="9"/>
  <c r="S766" i="9"/>
  <c r="S712" i="9"/>
  <c r="S671" i="9"/>
  <c r="S651" i="9"/>
  <c r="S603" i="9"/>
  <c r="S594" i="9"/>
  <c r="S576" i="9"/>
  <c r="S562" i="9"/>
  <c r="S539" i="9"/>
  <c r="S524" i="9"/>
  <c r="S510" i="9"/>
  <c r="S488" i="9"/>
  <c r="S443" i="9"/>
  <c r="S422" i="9"/>
  <c r="S414" i="9"/>
  <c r="S407" i="9"/>
  <c r="S392" i="9"/>
  <c r="S370" i="9"/>
  <c r="S334" i="9"/>
  <c r="S318" i="9"/>
  <c r="S259" i="9"/>
  <c r="S238" i="9"/>
  <c r="S231" i="9"/>
  <c r="S199" i="9"/>
  <c r="S192" i="9"/>
  <c r="S178" i="9"/>
  <c r="S159" i="9"/>
  <c r="S122" i="9"/>
  <c r="S105" i="9"/>
  <c r="S99" i="9"/>
  <c r="S93" i="9"/>
  <c r="S87" i="9"/>
  <c r="S23" i="9"/>
  <c r="S13" i="9"/>
  <c r="S834" i="9"/>
  <c r="S777" i="9"/>
  <c r="S701" i="9"/>
  <c r="S669" i="9"/>
  <c r="S611" i="9"/>
  <c r="S450" i="9"/>
  <c r="S436" i="9"/>
  <c r="S384" i="9"/>
  <c r="S303" i="9"/>
  <c r="S282" i="9"/>
  <c r="S225" i="9"/>
  <c r="S153" i="9"/>
  <c r="S59" i="9"/>
  <c r="S49" i="9"/>
  <c r="S38" i="9"/>
  <c r="S494" i="9"/>
  <c r="S236" i="9"/>
  <c r="S774" i="9"/>
  <c r="S659" i="9"/>
  <c r="S346" i="9"/>
  <c r="S258" i="9"/>
  <c r="S177" i="9"/>
  <c r="S74" i="9"/>
  <c r="S974" i="9"/>
  <c r="S455" i="9"/>
  <c r="S390" i="9"/>
  <c r="S264" i="9"/>
  <c r="S63" i="9"/>
  <c r="S21" i="9"/>
  <c r="S854" i="9"/>
  <c r="S719" i="9"/>
  <c r="S646" i="9"/>
  <c r="S287" i="9"/>
  <c r="S235" i="9"/>
  <c r="S209" i="9"/>
  <c r="S299" i="9"/>
  <c r="S946" i="9"/>
  <c r="S31" i="9"/>
  <c r="S41" i="9"/>
  <c r="S51" i="9"/>
  <c r="S62" i="9"/>
  <c r="S85" i="9"/>
  <c r="S188" i="9"/>
  <c r="S279" i="9"/>
  <c r="S344" i="9"/>
  <c r="S396" i="9"/>
  <c r="S125" i="9"/>
  <c r="S138" i="9"/>
  <c r="S150" i="9"/>
  <c r="S686" i="9"/>
  <c r="S73" i="9"/>
  <c r="S203" i="9"/>
  <c r="S426" i="9"/>
  <c r="S522" i="9"/>
  <c r="S634" i="9"/>
  <c r="U157" i="9"/>
  <c r="U543" i="9"/>
  <c r="U217" i="9"/>
  <c r="U963" i="9"/>
  <c r="U58" i="9"/>
  <c r="U91" i="9"/>
  <c r="U133" i="9"/>
  <c r="U354" i="9"/>
  <c r="U638" i="9"/>
  <c r="U951" i="9"/>
  <c r="U27" i="9"/>
  <c r="U92" i="9"/>
  <c r="U104" i="9"/>
  <c r="U127" i="9"/>
  <c r="U139" i="9"/>
  <c r="U158" i="9"/>
  <c r="U171" i="9"/>
  <c r="U183" i="9"/>
  <c r="U198" i="9"/>
  <c r="U258" i="9"/>
  <c r="U266" i="9"/>
  <c r="U346" i="9"/>
  <c r="U471" i="9"/>
  <c r="U509" i="9"/>
  <c r="U593" i="9"/>
  <c r="U619" i="9"/>
  <c r="U753" i="9"/>
  <c r="U813" i="9"/>
  <c r="U872" i="9"/>
  <c r="U899" i="9"/>
  <c r="U3" i="9"/>
  <c r="U64" i="9"/>
  <c r="U75" i="9"/>
  <c r="U81" i="9"/>
  <c r="U115" i="9"/>
  <c r="U128" i="9"/>
  <c r="U140" i="9"/>
  <c r="U172" i="9"/>
  <c r="U218" i="9"/>
  <c r="U245" i="9"/>
  <c r="U267" i="9"/>
  <c r="U274" i="9"/>
  <c r="U310" i="9"/>
  <c r="U362" i="9"/>
  <c r="U398" i="9"/>
  <c r="U458" i="9"/>
  <c r="U465" i="9"/>
  <c r="U494" i="9"/>
  <c r="U517" i="9"/>
  <c r="U569" i="9"/>
  <c r="U629" i="9"/>
  <c r="U721" i="9"/>
  <c r="U733" i="9"/>
  <c r="U743" i="9"/>
  <c r="U825" i="9"/>
  <c r="U860" i="9"/>
  <c r="S873" i="9"/>
  <c r="S913" i="9"/>
  <c r="U940" i="9"/>
  <c r="U953" i="9"/>
  <c r="U964" i="9"/>
  <c r="S993" i="9"/>
  <c r="U1002" i="9"/>
  <c r="U998" i="9"/>
  <c r="U994" i="9"/>
  <c r="U990" i="9"/>
  <c r="U986" i="9"/>
  <c r="U982" i="9"/>
  <c r="U978" i="9"/>
  <c r="U974" i="9"/>
  <c r="U970" i="9"/>
  <c r="U966" i="9"/>
  <c r="U962" i="9"/>
  <c r="U958" i="9"/>
  <c r="U954" i="9"/>
  <c r="U950" i="9"/>
  <c r="U946" i="9"/>
  <c r="U942" i="9"/>
  <c r="U938" i="9"/>
  <c r="U934" i="9"/>
  <c r="U930" i="9"/>
  <c r="U926" i="9"/>
  <c r="U922" i="9"/>
  <c r="U918" i="9"/>
  <c r="U914" i="9"/>
  <c r="U910" i="9"/>
  <c r="U906" i="9"/>
  <c r="U902" i="9"/>
  <c r="U898" i="9"/>
  <c r="U894" i="9"/>
  <c r="U890" i="9"/>
  <c r="U886" i="9"/>
  <c r="U882" i="9"/>
  <c r="U878" i="9"/>
  <c r="U874" i="9"/>
  <c r="U870" i="9"/>
  <c r="U866" i="9"/>
  <c r="U862" i="9"/>
  <c r="U858" i="9"/>
  <c r="U854" i="9"/>
  <c r="U850" i="9"/>
  <c r="U846" i="9"/>
  <c r="U842" i="9"/>
  <c r="U838" i="9"/>
  <c r="U834" i="9"/>
  <c r="U830" i="9"/>
  <c r="U826" i="9"/>
  <c r="U822" i="9"/>
  <c r="U818" i="9"/>
  <c r="U814" i="9"/>
  <c r="U810" i="9"/>
  <c r="U806" i="9"/>
  <c r="U802" i="9"/>
  <c r="U798" i="9"/>
  <c r="U794" i="9"/>
  <c r="U790" i="9"/>
  <c r="U786" i="9"/>
  <c r="U782" i="9"/>
  <c r="U778" i="9"/>
  <c r="U774" i="9"/>
  <c r="U770" i="9"/>
  <c r="U766" i="9"/>
  <c r="U762" i="9"/>
  <c r="U758" i="9"/>
  <c r="U754" i="9"/>
  <c r="U750" i="9"/>
  <c r="U746" i="9"/>
  <c r="U1001" i="9"/>
  <c r="U991" i="9"/>
  <c r="U981" i="9"/>
  <c r="U967" i="9"/>
  <c r="U957" i="9"/>
  <c r="U943" i="9"/>
  <c r="U933" i="9"/>
  <c r="U919" i="9"/>
  <c r="U909" i="9"/>
  <c r="U895" i="9"/>
  <c r="U885" i="9"/>
  <c r="U871" i="9"/>
  <c r="U861" i="9"/>
  <c r="U1000" i="9"/>
  <c r="U976" i="9"/>
  <c r="U952" i="9"/>
  <c r="U928" i="9"/>
  <c r="U904" i="9"/>
  <c r="U880" i="9"/>
  <c r="U856" i="9"/>
  <c r="U832" i="9"/>
  <c r="U808" i="9"/>
  <c r="U784" i="9"/>
  <c r="U760" i="9"/>
  <c r="U741" i="9"/>
  <c r="U728" i="9"/>
  <c r="U715" i="9"/>
  <c r="U702" i="9"/>
  <c r="U693" i="9"/>
  <c r="U680" i="9"/>
  <c r="U667" i="9"/>
  <c r="U995" i="9"/>
  <c r="U989" i="9"/>
  <c r="U955" i="9"/>
  <c r="U949" i="9"/>
  <c r="U937" i="9"/>
  <c r="U915" i="9"/>
  <c r="U903" i="9"/>
  <c r="U897" i="9"/>
  <c r="U863" i="9"/>
  <c r="U857" i="9"/>
  <c r="U851" i="9"/>
  <c r="U809" i="9"/>
  <c r="U804" i="9"/>
  <c r="U799" i="9"/>
  <c r="U793" i="9"/>
  <c r="U788" i="9"/>
  <c r="U783" i="9"/>
  <c r="U727" i="9"/>
  <c r="U708" i="9"/>
  <c r="U694" i="9"/>
  <c r="U689" i="9"/>
  <c r="U684" i="9"/>
  <c r="U670" i="9"/>
  <c r="U665" i="9"/>
  <c r="U652" i="9"/>
  <c r="U639" i="9"/>
  <c r="U630" i="9"/>
  <c r="U617" i="9"/>
  <c r="U972" i="9"/>
  <c r="U960" i="9"/>
  <c r="U920" i="9"/>
  <c r="U908" i="9"/>
  <c r="U868" i="9"/>
  <c r="U845" i="9"/>
  <c r="U840" i="9"/>
  <c r="U835" i="9"/>
  <c r="U777" i="9"/>
  <c r="U772" i="9"/>
  <c r="U767" i="9"/>
  <c r="U736" i="9"/>
  <c r="U722" i="9"/>
  <c r="U717" i="9"/>
  <c r="U703" i="9"/>
  <c r="U679" i="9"/>
  <c r="U656" i="9"/>
  <c r="U643" i="9"/>
  <c r="U634" i="9"/>
  <c r="U621" i="9"/>
  <c r="U993" i="9"/>
  <c r="U987" i="9"/>
  <c r="U973" i="9"/>
  <c r="U965" i="9"/>
  <c r="U959" i="9"/>
  <c r="U945" i="9"/>
  <c r="U939" i="9"/>
  <c r="U931" i="9"/>
  <c r="U917" i="9"/>
  <c r="U911" i="9"/>
  <c r="U889" i="9"/>
  <c r="U883" i="9"/>
  <c r="U869" i="9"/>
  <c r="U855" i="9"/>
  <c r="U836" i="9"/>
  <c r="U829" i="9"/>
  <c r="U811" i="9"/>
  <c r="U773" i="9"/>
  <c r="U748" i="9"/>
  <c r="U719" i="9"/>
  <c r="U696" i="9"/>
  <c r="U685" i="9"/>
  <c r="U673" i="9"/>
  <c r="U662" i="9"/>
  <c r="U657" i="9"/>
  <c r="U646" i="9"/>
  <c r="U641" i="9"/>
  <c r="U636" i="9"/>
  <c r="U631" i="9"/>
  <c r="U625" i="9"/>
  <c r="U620" i="9"/>
  <c r="U615" i="9"/>
  <c r="U610" i="9"/>
  <c r="U600" i="9"/>
  <c r="U586" i="9"/>
  <c r="U924" i="9"/>
  <c r="U896" i="9"/>
  <c r="U876" i="9"/>
  <c r="U848" i="9"/>
  <c r="U823" i="9"/>
  <c r="U797" i="9"/>
  <c r="U785" i="9"/>
  <c r="U779" i="9"/>
  <c r="U742" i="9"/>
  <c r="U730" i="9"/>
  <c r="U713" i="9"/>
  <c r="U707" i="9"/>
  <c r="U701" i="9"/>
  <c r="U651" i="9"/>
  <c r="U605" i="9"/>
  <c r="U595" i="9"/>
  <c r="U581" i="9"/>
  <c r="U576" i="9"/>
  <c r="U572" i="9"/>
  <c r="U568" i="9"/>
  <c r="U564" i="9"/>
  <c r="U560" i="9"/>
  <c r="U556" i="9"/>
  <c r="U552" i="9"/>
  <c r="U548" i="9"/>
  <c r="U544" i="9"/>
  <c r="U540" i="9"/>
  <c r="U536" i="9"/>
  <c r="U532" i="9"/>
  <c r="U528" i="9"/>
  <c r="U524" i="9"/>
  <c r="U520" i="9"/>
  <c r="U516" i="9"/>
  <c r="U512" i="9"/>
  <c r="U508" i="9"/>
  <c r="U504" i="9"/>
  <c r="U500" i="9"/>
  <c r="U496" i="9"/>
  <c r="U492" i="9"/>
  <c r="U488" i="9"/>
  <c r="U484" i="9"/>
  <c r="U480" i="9"/>
  <c r="U476" i="9"/>
  <c r="U472" i="9"/>
  <c r="U468" i="9"/>
  <c r="U464" i="9"/>
  <c r="U460" i="9"/>
  <c r="U456" i="9"/>
  <c r="U452" i="9"/>
  <c r="U448" i="9"/>
  <c r="U444" i="9"/>
  <c r="U440" i="9"/>
  <c r="U436" i="9"/>
  <c r="U432" i="9"/>
  <c r="U428" i="9"/>
  <c r="U424" i="9"/>
  <c r="U420" i="9"/>
  <c r="U416" i="9"/>
  <c r="U412" i="9"/>
  <c r="U408" i="9"/>
  <c r="U404" i="9"/>
  <c r="U400" i="9"/>
  <c r="U396" i="9"/>
  <c r="U392" i="9"/>
  <c r="U388" i="9"/>
  <c r="U384" i="9"/>
  <c r="U380" i="9"/>
  <c r="U376" i="9"/>
  <c r="U372" i="9"/>
  <c r="U368" i="9"/>
  <c r="U364" i="9"/>
  <c r="U360" i="9"/>
  <c r="U356" i="9"/>
  <c r="U352" i="9"/>
  <c r="U348" i="9"/>
  <c r="U344" i="9"/>
  <c r="U340" i="9"/>
  <c r="U336" i="9"/>
  <c r="U332" i="9"/>
  <c r="U328" i="9"/>
  <c r="U324" i="9"/>
  <c r="U320" i="9"/>
  <c r="U316" i="9"/>
  <c r="U312" i="9"/>
  <c r="U308" i="9"/>
  <c r="U304" i="9"/>
  <c r="U300" i="9"/>
  <c r="U296" i="9"/>
  <c r="U292" i="9"/>
  <c r="U288" i="9"/>
  <c r="U284" i="9"/>
  <c r="U280" i="9"/>
  <c r="U276" i="9"/>
  <c r="U272" i="9"/>
  <c r="U268" i="9"/>
  <c r="U264" i="9"/>
  <c r="U260" i="9"/>
  <c r="U256" i="9"/>
  <c r="U252" i="9"/>
  <c r="U248" i="9"/>
  <c r="U244" i="9"/>
  <c r="U240" i="9"/>
  <c r="U236" i="9"/>
  <c r="U232" i="9"/>
  <c r="U228" i="9"/>
  <c r="U224" i="9"/>
  <c r="U220" i="9"/>
  <c r="U216" i="9"/>
  <c r="U212" i="9"/>
  <c r="U208" i="9"/>
  <c r="U204" i="9"/>
  <c r="U200" i="9"/>
  <c r="U196" i="9"/>
  <c r="U192" i="9"/>
  <c r="U188" i="9"/>
  <c r="U184" i="9"/>
  <c r="U180" i="9"/>
  <c r="U999" i="9"/>
  <c r="U983" i="9"/>
  <c r="U975" i="9"/>
  <c r="U941" i="9"/>
  <c r="U925" i="9"/>
  <c r="U875" i="9"/>
  <c r="U867" i="9"/>
  <c r="U859" i="9"/>
  <c r="U768" i="9"/>
  <c r="U731" i="9"/>
  <c r="U724" i="9"/>
  <c r="U704" i="9"/>
  <c r="U690" i="9"/>
  <c r="U669" i="9"/>
  <c r="U663" i="9"/>
  <c r="U644" i="9"/>
  <c r="U612" i="9"/>
  <c r="U578" i="9"/>
  <c r="U573" i="9"/>
  <c r="U563" i="9"/>
  <c r="U549" i="9"/>
  <c r="U539" i="9"/>
  <c r="U525" i="9"/>
  <c r="U515" i="9"/>
  <c r="U501" i="9"/>
  <c r="U491" i="9"/>
  <c r="U477" i="9"/>
  <c r="U467" i="9"/>
  <c r="U453" i="9"/>
  <c r="U443" i="9"/>
  <c r="U429" i="9"/>
  <c r="U419" i="9"/>
  <c r="U405" i="9"/>
  <c r="U395" i="9"/>
  <c r="U381" i="9"/>
  <c r="U371" i="9"/>
  <c r="U357" i="9"/>
  <c r="U347" i="9"/>
  <c r="U333" i="9"/>
  <c r="U323" i="9"/>
  <c r="U309" i="9"/>
  <c r="U299" i="9"/>
  <c r="U285" i="9"/>
  <c r="U275" i="9"/>
  <c r="U261" i="9"/>
  <c r="U251" i="9"/>
  <c r="U237" i="9"/>
  <c r="U219" i="9"/>
  <c r="U206" i="9"/>
  <c r="U193" i="9"/>
  <c r="U916" i="9"/>
  <c r="U900" i="9"/>
  <c r="U892" i="9"/>
  <c r="U843" i="9"/>
  <c r="U827" i="9"/>
  <c r="U820" i="9"/>
  <c r="U812" i="9"/>
  <c r="U805" i="9"/>
  <c r="U775" i="9"/>
  <c r="U759" i="9"/>
  <c r="U752" i="9"/>
  <c r="U744" i="9"/>
  <c r="U738" i="9"/>
  <c r="U710" i="9"/>
  <c r="U676" i="9"/>
  <c r="U637" i="9"/>
  <c r="U624" i="9"/>
  <c r="U618" i="9"/>
  <c r="U601" i="9"/>
  <c r="U589" i="9"/>
  <c r="U583" i="9"/>
  <c r="U558" i="9"/>
  <c r="U534" i="9"/>
  <c r="U510" i="9"/>
  <c r="U486" i="9"/>
  <c r="U462" i="9"/>
  <c r="U438" i="9"/>
  <c r="U414" i="9"/>
  <c r="U390" i="9"/>
  <c r="U366" i="9"/>
  <c r="U342" i="9"/>
  <c r="U318" i="9"/>
  <c r="U294" i="9"/>
  <c r="U270" i="9"/>
  <c r="U246" i="9"/>
  <c r="U223" i="9"/>
  <c r="U210" i="9"/>
  <c r="U197" i="9"/>
  <c r="U968" i="9"/>
  <c r="U956" i="9"/>
  <c r="U936" i="9"/>
  <c r="U765" i="9"/>
  <c r="U757" i="9"/>
  <c r="U732" i="9"/>
  <c r="U706" i="9"/>
  <c r="U699" i="9"/>
  <c r="U691" i="9"/>
  <c r="U658" i="9"/>
  <c r="U650" i="9"/>
  <c r="U642" i="9"/>
  <c r="U635" i="9"/>
  <c r="U613" i="9"/>
  <c r="U585" i="9"/>
  <c r="U566" i="9"/>
  <c r="U526" i="9"/>
  <c r="U514" i="9"/>
  <c r="U474" i="9"/>
  <c r="U434" i="9"/>
  <c r="U422" i="9"/>
  <c r="U382" i="9"/>
  <c r="U370" i="9"/>
  <c r="U330" i="9"/>
  <c r="U290" i="9"/>
  <c r="U278" i="9"/>
  <c r="U238" i="9"/>
  <c r="U170" i="9"/>
  <c r="U156" i="9"/>
  <c r="U146" i="9"/>
  <c r="U132" i="9"/>
  <c r="U122" i="9"/>
  <c r="U108" i="9"/>
  <c r="U98" i="9"/>
  <c r="U84" i="9"/>
  <c r="U74" i="9"/>
  <c r="U65" i="9"/>
  <c r="U52" i="9"/>
  <c r="U43" i="9"/>
  <c r="U30" i="9"/>
  <c r="U997" i="9"/>
  <c r="U927" i="9"/>
  <c r="U887" i="9"/>
  <c r="U877" i="9"/>
  <c r="U865" i="9"/>
  <c r="U847" i="9"/>
  <c r="U819" i="9"/>
  <c r="U801" i="9"/>
  <c r="U756" i="9"/>
  <c r="U739" i="9"/>
  <c r="U698" i="9"/>
  <c r="U688" i="9"/>
  <c r="U681" i="9"/>
  <c r="U649" i="9"/>
  <c r="U604" i="9"/>
  <c r="U598" i="9"/>
  <c r="U584" i="9"/>
  <c r="U571" i="9"/>
  <c r="U537" i="9"/>
  <c r="U531" i="9"/>
  <c r="U519" i="9"/>
  <c r="U497" i="9"/>
  <c r="U485" i="9"/>
  <c r="U479" i="9"/>
  <c r="U445" i="9"/>
  <c r="U439" i="9"/>
  <c r="U433" i="9"/>
  <c r="U427" i="9"/>
  <c r="U393" i="9"/>
  <c r="U387" i="9"/>
  <c r="U375" i="9"/>
  <c r="U353" i="9"/>
  <c r="U341" i="9"/>
  <c r="U335" i="9"/>
  <c r="U301" i="9"/>
  <c r="U295" i="9"/>
  <c r="U289" i="9"/>
  <c r="U283" i="9"/>
  <c r="U249" i="9"/>
  <c r="U243" i="9"/>
  <c r="U211" i="9"/>
  <c r="U195" i="9"/>
  <c r="U190" i="9"/>
  <c r="U185" i="9"/>
  <c r="U179" i="9"/>
  <c r="U165" i="9"/>
  <c r="U155" i="9"/>
  <c r="U141" i="9"/>
  <c r="U131" i="9"/>
  <c r="U117" i="9"/>
  <c r="U107" i="9"/>
  <c r="U93" i="9"/>
  <c r="U83" i="9"/>
  <c r="U69" i="9"/>
  <c r="U56" i="9"/>
  <c r="U47" i="9"/>
  <c r="U34" i="9"/>
  <c r="U21" i="9"/>
  <c r="U17" i="9"/>
  <c r="U13" i="9"/>
  <c r="U9" i="9"/>
  <c r="U5" i="9"/>
  <c r="U935" i="9"/>
  <c r="U923" i="9"/>
  <c r="U913" i="9"/>
  <c r="U905" i="9"/>
  <c r="U873" i="9"/>
  <c r="U837" i="9"/>
  <c r="U791" i="9"/>
  <c r="U781" i="9"/>
  <c r="U755" i="9"/>
  <c r="U745" i="9"/>
  <c r="U712" i="9"/>
  <c r="U655" i="9"/>
  <c r="U633" i="9"/>
  <c r="U590" i="9"/>
  <c r="U565" i="9"/>
  <c r="U559" i="9"/>
  <c r="U553" i="9"/>
  <c r="U547" i="9"/>
  <c r="U513" i="9"/>
  <c r="U507" i="9"/>
  <c r="U495" i="9"/>
  <c r="U473" i="9"/>
  <c r="U461" i="9"/>
  <c r="U455" i="9"/>
  <c r="U421" i="9"/>
  <c r="U415" i="9"/>
  <c r="U409" i="9"/>
  <c r="U403" i="9"/>
  <c r="U369" i="9"/>
  <c r="U363" i="9"/>
  <c r="U351" i="9"/>
  <c r="U329" i="9"/>
  <c r="U317" i="9"/>
  <c r="U311" i="9"/>
  <c r="U277" i="9"/>
  <c r="U271" i="9"/>
  <c r="U265" i="9"/>
  <c r="U259" i="9"/>
  <c r="U169" i="9"/>
  <c r="U159" i="9"/>
  <c r="U145" i="9"/>
  <c r="U135" i="9"/>
  <c r="U121" i="9"/>
  <c r="U31" i="9"/>
  <c r="U176" i="9"/>
  <c r="U279" i="9"/>
  <c r="U315" i="9"/>
  <c r="U374" i="9"/>
  <c r="U441" i="9"/>
  <c r="U582" i="9"/>
  <c r="U32" i="9"/>
  <c r="U109" i="9"/>
  <c r="U152" i="9"/>
  <c r="U12" i="9"/>
  <c r="U22" i="9"/>
  <c r="U86" i="9"/>
  <c r="U177" i="9"/>
  <c r="U191" i="9"/>
  <c r="U230" i="9"/>
  <c r="U361" i="9"/>
  <c r="U391" i="9"/>
  <c r="U406" i="9"/>
  <c r="U413" i="9"/>
  <c r="U442" i="9"/>
  <c r="U457" i="9"/>
  <c r="U487" i="9"/>
  <c r="U523" i="9"/>
  <c r="U538" i="9"/>
  <c r="U561" i="9"/>
  <c r="U575" i="9"/>
  <c r="U602" i="9"/>
  <c r="U711" i="9"/>
  <c r="U764" i="9"/>
  <c r="U800" i="9"/>
  <c r="U824" i="9"/>
  <c r="U912" i="9"/>
  <c r="U992" i="9"/>
  <c r="U8" i="9"/>
  <c r="U18" i="9"/>
  <c r="U28" i="9"/>
  <c r="U33" i="9"/>
  <c r="U38" i="9"/>
  <c r="U44" i="9"/>
  <c r="U49" i="9"/>
  <c r="U54" i="9"/>
  <c r="U59" i="9"/>
  <c r="S65" i="9"/>
  <c r="U70" i="9"/>
  <c r="U76" i="9"/>
  <c r="S82" i="9"/>
  <c r="U110" i="9"/>
  <c r="U116" i="9"/>
  <c r="S123" i="9"/>
  <c r="S129" i="9"/>
  <c r="U134" i="9"/>
  <c r="U147" i="9"/>
  <c r="U153" i="9"/>
  <c r="U166" i="9"/>
  <c r="S173" i="9"/>
  <c r="U205" i="9"/>
  <c r="S213" i="9"/>
  <c r="S219" i="9"/>
  <c r="U225" i="9"/>
  <c r="S239" i="9"/>
  <c r="S246" i="9"/>
  <c r="S268" i="9"/>
  <c r="S275" i="9"/>
  <c r="U282" i="9"/>
  <c r="S291" i="9"/>
  <c r="U297" i="9"/>
  <c r="U303" i="9"/>
  <c r="S311" i="9"/>
  <c r="U319" i="9"/>
  <c r="U326" i="9"/>
  <c r="U355" i="9"/>
  <c r="S363" i="9"/>
  <c r="S371" i="9"/>
  <c r="U378" i="9"/>
  <c r="U399" i="9"/>
  <c r="S423" i="9"/>
  <c r="U430" i="9"/>
  <c r="S444" i="9"/>
  <c r="U450" i="9"/>
  <c r="S459" i="9"/>
  <c r="S466" i="9"/>
  <c r="S474" i="9"/>
  <c r="U481" i="9"/>
  <c r="S495" i="9"/>
  <c r="U502" i="9"/>
  <c r="S518" i="9"/>
  <c r="S540" i="9"/>
  <c r="U546" i="9"/>
  <c r="U554" i="9"/>
  <c r="S570" i="9"/>
  <c r="S586" i="9"/>
  <c r="U611" i="9"/>
  <c r="S630" i="9"/>
  <c r="U640" i="9"/>
  <c r="S653" i="9"/>
  <c r="U660" i="9"/>
  <c r="U692" i="9"/>
  <c r="S703" i="9"/>
  <c r="U723" i="9"/>
  <c r="S734" i="9"/>
  <c r="S744" i="9"/>
  <c r="S769" i="9"/>
  <c r="S779" i="9"/>
  <c r="U789" i="9"/>
  <c r="S803" i="9"/>
  <c r="U815" i="9"/>
  <c r="S826" i="9"/>
  <c r="S838" i="9"/>
  <c r="S861" i="9"/>
  <c r="U888" i="9"/>
  <c r="U901" i="9"/>
  <c r="S941" i="9"/>
  <c r="S954" i="9"/>
  <c r="S969" i="9"/>
  <c r="U980" i="9"/>
  <c r="S994" i="9"/>
  <c r="U26" i="9"/>
  <c r="U73" i="9"/>
  <c r="U79" i="9"/>
  <c r="U85" i="9"/>
  <c r="U119" i="9"/>
  <c r="U138" i="9"/>
  <c r="U150" i="9"/>
  <c r="U182" i="9"/>
  <c r="U189" i="9"/>
  <c r="U203" i="9"/>
  <c r="U209" i="9"/>
  <c r="U229" i="9"/>
  <c r="U242" i="9"/>
  <c r="U257" i="9"/>
  <c r="U322" i="9"/>
  <c r="U345" i="9"/>
  <c r="U367" i="9"/>
  <c r="U426" i="9"/>
  <c r="U447" i="9"/>
  <c r="U463" i="9"/>
  <c r="U470" i="9"/>
  <c r="U522" i="9"/>
  <c r="U574" i="9"/>
  <c r="U599" i="9"/>
  <c r="U608" i="9"/>
  <c r="U627" i="9"/>
  <c r="U763" i="9"/>
  <c r="U796" i="9"/>
  <c r="U844" i="9"/>
  <c r="U988" i="9"/>
  <c r="U16" i="9"/>
  <c r="U68" i="9"/>
  <c r="U80" i="9"/>
  <c r="U102" i="9"/>
  <c r="U114" i="9"/>
  <c r="U151" i="9"/>
  <c r="U235" i="9"/>
  <c r="U273" i="9"/>
  <c r="U287" i="9"/>
  <c r="U397" i="9"/>
  <c r="U478" i="9"/>
  <c r="U493" i="9"/>
  <c r="U529" i="9"/>
  <c r="U591" i="9"/>
  <c r="U609" i="9"/>
  <c r="U628" i="9"/>
  <c r="U677" i="9"/>
  <c r="U687" i="9"/>
  <c r="U709" i="9"/>
  <c r="U720" i="9"/>
  <c r="U740" i="9"/>
  <c r="U751" i="9"/>
  <c r="U37" i="9"/>
  <c r="U48" i="9"/>
  <c r="U53" i="9"/>
  <c r="U63" i="9"/>
  <c r="U97" i="9"/>
  <c r="U103" i="9"/>
  <c r="U126" i="9"/>
  <c r="U164" i="9"/>
  <c r="U302" i="9"/>
  <c r="U325" i="9"/>
  <c r="U377" i="9"/>
  <c r="U383" i="9"/>
  <c r="U435" i="9"/>
  <c r="U449" i="9"/>
  <c r="U530" i="9"/>
  <c r="U545" i="9"/>
  <c r="U592" i="9"/>
  <c r="U648" i="9"/>
  <c r="U659" i="9"/>
  <c r="U668" i="9"/>
  <c r="U729" i="9"/>
  <c r="U776" i="9"/>
  <c r="U787" i="9"/>
  <c r="U833" i="9"/>
  <c r="U884" i="9"/>
  <c r="U23" i="9"/>
  <c r="U39" i="9"/>
  <c r="U87" i="9"/>
  <c r="U99" i="9"/>
  <c r="U105" i="9"/>
  <c r="U148" i="9"/>
  <c r="U160" i="9"/>
  <c r="U178" i="9"/>
  <c r="U186" i="9"/>
  <c r="U199" i="9"/>
  <c r="U231" i="9"/>
  <c r="U253" i="9"/>
  <c r="U334" i="9"/>
  <c r="U349" i="9"/>
  <c r="U385" i="9"/>
  <c r="U407" i="9"/>
  <c r="U437" i="9"/>
  <c r="U451" i="9"/>
  <c r="U482" i="9"/>
  <c r="U503" i="9"/>
  <c r="U533" i="9"/>
  <c r="U555" i="9"/>
  <c r="U562" i="9"/>
  <c r="U577" i="9"/>
  <c r="U594" i="9"/>
  <c r="U603" i="9"/>
  <c r="U622" i="9"/>
  <c r="U632" i="9"/>
  <c r="U661" i="9"/>
  <c r="U671" i="9"/>
  <c r="U682" i="9"/>
  <c r="U714" i="9"/>
  <c r="U725" i="9"/>
  <c r="U734" i="9"/>
  <c r="U839" i="9"/>
  <c r="U849" i="9"/>
  <c r="U929" i="9"/>
  <c r="U4" i="9"/>
  <c r="U14" i="9"/>
  <c r="U60" i="9"/>
  <c r="U82" i="9"/>
  <c r="U88" i="9"/>
  <c r="U94" i="9"/>
  <c r="U100" i="9"/>
  <c r="S106" i="9"/>
  <c r="U123" i="9"/>
  <c r="U129" i="9"/>
  <c r="U142" i="9"/>
  <c r="S149" i="9"/>
  <c r="U161" i="9"/>
  <c r="U173" i="9"/>
  <c r="S187" i="9"/>
  <c r="S194" i="9"/>
  <c r="U207" i="9"/>
  <c r="U213" i="9"/>
  <c r="U233" i="9"/>
  <c r="U239" i="9"/>
  <c r="S254" i="9"/>
  <c r="U291" i="9"/>
  <c r="U305" i="9"/>
  <c r="S312" i="9"/>
  <c r="S350" i="9"/>
  <c r="S364" i="9"/>
  <c r="U386" i="9"/>
  <c r="U401" i="9"/>
  <c r="S408" i="9"/>
  <c r="S416" i="9"/>
  <c r="U423" i="9"/>
  <c r="S438" i="9"/>
  <c r="S452" i="9"/>
  <c r="U459" i="9"/>
  <c r="U466" i="9"/>
  <c r="S483" i="9"/>
  <c r="U489" i="9"/>
  <c r="S504" i="9"/>
  <c r="U511" i="9"/>
  <c r="U518" i="9"/>
  <c r="S527" i="9"/>
  <c r="S534" i="9"/>
  <c r="S556" i="9"/>
  <c r="S563" i="9"/>
  <c r="U570" i="9"/>
  <c r="S623" i="9"/>
  <c r="S633" i="9"/>
  <c r="S643" i="9"/>
  <c r="U653" i="9"/>
  <c r="S662" i="9"/>
  <c r="U683" i="9"/>
  <c r="S705" i="9"/>
  <c r="S716" i="9"/>
  <c r="S726" i="9"/>
  <c r="S735" i="9"/>
  <c r="S759" i="9"/>
  <c r="U769" i="9"/>
  <c r="U780" i="9"/>
  <c r="U792" i="9"/>
  <c r="U803" i="9"/>
  <c r="S840" i="9"/>
  <c r="U852" i="9"/>
  <c r="S879" i="9"/>
  <c r="S903" i="9"/>
  <c r="S919" i="9"/>
  <c r="S930" i="9"/>
  <c r="S943" i="9"/>
  <c r="S957" i="9"/>
  <c r="U969" i="9"/>
  <c r="U996" i="9"/>
  <c r="U11" i="9"/>
  <c r="U499" i="9"/>
  <c r="U120" i="9"/>
  <c r="U163" i="9"/>
  <c r="U250" i="9"/>
  <c r="U331" i="9"/>
  <c r="U551" i="9"/>
  <c r="U647" i="9"/>
  <c r="U7" i="9"/>
  <c r="U42" i="9"/>
  <c r="U281" i="9"/>
  <c r="U339" i="9"/>
  <c r="U567" i="9"/>
  <c r="U700" i="9"/>
  <c r="U977" i="9"/>
  <c r="U678" i="9"/>
  <c r="S1001" i="9"/>
  <c r="S987" i="9"/>
  <c r="S977" i="9"/>
  <c r="S963" i="9"/>
  <c r="S953" i="9"/>
  <c r="S939" i="9"/>
  <c r="S929" i="9"/>
  <c r="S915" i="9"/>
  <c r="S905" i="9"/>
  <c r="S891" i="9"/>
  <c r="S881" i="9"/>
  <c r="S867" i="9"/>
  <c r="S857" i="9"/>
  <c r="S996" i="9"/>
  <c r="S986" i="9"/>
  <c r="S972" i="9"/>
  <c r="S962" i="9"/>
  <c r="S948" i="9"/>
  <c r="S938" i="9"/>
  <c r="S924" i="9"/>
  <c r="S914" i="9"/>
  <c r="S900" i="9"/>
  <c r="S890" i="9"/>
  <c r="S876" i="9"/>
  <c r="S866" i="9"/>
  <c r="S852" i="9"/>
  <c r="S842" i="9"/>
  <c r="S828" i="9"/>
  <c r="S818" i="9"/>
  <c r="S804" i="9"/>
  <c r="S794" i="9"/>
  <c r="S780" i="9"/>
  <c r="S770" i="9"/>
  <c r="S756" i="9"/>
  <c r="S746" i="9"/>
  <c r="S733" i="9"/>
  <c r="S720" i="9"/>
  <c r="S707" i="9"/>
  <c r="S698" i="9"/>
  <c r="S685" i="9"/>
  <c r="S672" i="9"/>
  <c r="S1002" i="9"/>
  <c r="S979" i="9"/>
  <c r="S973" i="9"/>
  <c r="S967" i="9"/>
  <c r="S961" i="9"/>
  <c r="S927" i="9"/>
  <c r="S921" i="9"/>
  <c r="S909" i="9"/>
  <c r="S887" i="9"/>
  <c r="S875" i="9"/>
  <c r="S869" i="9"/>
  <c r="S846" i="9"/>
  <c r="S841" i="9"/>
  <c r="S836" i="9"/>
  <c r="S831" i="9"/>
  <c r="S778" i="9"/>
  <c r="S773" i="9"/>
  <c r="S768" i="9"/>
  <c r="S763" i="9"/>
  <c r="S742" i="9"/>
  <c r="S737" i="9"/>
  <c r="S723" i="9"/>
  <c r="S718" i="9"/>
  <c r="S704" i="9"/>
  <c r="S680" i="9"/>
  <c r="S657" i="9"/>
  <c r="S644" i="9"/>
  <c r="S635" i="9"/>
  <c r="S622" i="9"/>
  <c r="S984" i="9"/>
  <c r="S978" i="9"/>
  <c r="S966" i="9"/>
  <c r="S944" i="9"/>
  <c r="S932" i="9"/>
  <c r="S926" i="9"/>
  <c r="S892" i="9"/>
  <c r="S886" i="9"/>
  <c r="S880" i="9"/>
  <c r="S874" i="9"/>
  <c r="S830" i="9"/>
  <c r="S825" i="9"/>
  <c r="S820" i="9"/>
  <c r="S815" i="9"/>
  <c r="S799" i="9"/>
  <c r="S762" i="9"/>
  <c r="S757" i="9"/>
  <c r="S752" i="9"/>
  <c r="S747" i="9"/>
  <c r="S732" i="9"/>
  <c r="S713" i="9"/>
  <c r="S699" i="9"/>
  <c r="S694" i="9"/>
  <c r="S689" i="9"/>
  <c r="S675" i="9"/>
  <c r="S670" i="9"/>
  <c r="S661" i="9"/>
  <c r="S648" i="9"/>
  <c r="S639" i="9"/>
  <c r="S626" i="9"/>
  <c r="S613" i="9"/>
  <c r="S609" i="9"/>
  <c r="S605" i="9"/>
  <c r="S601" i="9"/>
  <c r="S597" i="9"/>
  <c r="S593" i="9"/>
  <c r="S589" i="9"/>
  <c r="S585" i="9"/>
  <c r="S581" i="9"/>
  <c r="S925" i="9"/>
  <c r="S897" i="9"/>
  <c r="S877" i="9"/>
  <c r="S863" i="9"/>
  <c r="S849" i="9"/>
  <c r="S824" i="9"/>
  <c r="S798" i="9"/>
  <c r="S786" i="9"/>
  <c r="S761" i="9"/>
  <c r="S755" i="9"/>
  <c r="S743" i="9"/>
  <c r="S731" i="9"/>
  <c r="S714" i="9"/>
  <c r="S708" i="9"/>
  <c r="S702" i="9"/>
  <c r="S652" i="9"/>
  <c r="S606" i="9"/>
  <c r="S596" i="9"/>
  <c r="S582" i="9"/>
  <c r="S577" i="9"/>
  <c r="S573" i="9"/>
  <c r="S569" i="9"/>
  <c r="S565" i="9"/>
  <c r="S561" i="9"/>
  <c r="S557" i="9"/>
  <c r="S553" i="9"/>
  <c r="S549" i="9"/>
  <c r="S545" i="9"/>
  <c r="S541" i="9"/>
  <c r="S537" i="9"/>
  <c r="S533" i="9"/>
  <c r="S529" i="9"/>
  <c r="S525" i="9"/>
  <c r="S521" i="9"/>
  <c r="S517" i="9"/>
  <c r="S513" i="9"/>
  <c r="S509" i="9"/>
  <c r="S505" i="9"/>
  <c r="S501" i="9"/>
  <c r="S497" i="9"/>
  <c r="S493" i="9"/>
  <c r="S489" i="9"/>
  <c r="S485" i="9"/>
  <c r="S481" i="9"/>
  <c r="S477" i="9"/>
  <c r="S473" i="9"/>
  <c r="S469" i="9"/>
  <c r="S465" i="9"/>
  <c r="S461" i="9"/>
  <c r="S457" i="9"/>
  <c r="S453" i="9"/>
  <c r="S449" i="9"/>
  <c r="S445" i="9"/>
  <c r="S441" i="9"/>
  <c r="S437" i="9"/>
  <c r="S433" i="9"/>
  <c r="S429" i="9"/>
  <c r="S425" i="9"/>
  <c r="S421" i="9"/>
  <c r="S417" i="9"/>
  <c r="S413" i="9"/>
  <c r="S409" i="9"/>
  <c r="S405" i="9"/>
  <c r="S401" i="9"/>
  <c r="S397" i="9"/>
  <c r="S393" i="9"/>
  <c r="S389" i="9"/>
  <c r="S385" i="9"/>
  <c r="S381" i="9"/>
  <c r="S377" i="9"/>
  <c r="S373" i="9"/>
  <c r="S369" i="9"/>
  <c r="S365" i="9"/>
  <c r="S361" i="9"/>
  <c r="S357" i="9"/>
  <c r="S353" i="9"/>
  <c r="S349" i="9"/>
  <c r="S345" i="9"/>
  <c r="S341" i="9"/>
  <c r="S337" i="9"/>
  <c r="S333" i="9"/>
  <c r="S329" i="9"/>
  <c r="S325" i="9"/>
  <c r="S321" i="9"/>
  <c r="S317" i="9"/>
  <c r="S313" i="9"/>
  <c r="S309" i="9"/>
  <c r="S305" i="9"/>
  <c r="S301" i="9"/>
  <c r="S297" i="9"/>
  <c r="S293" i="9"/>
  <c r="S289" i="9"/>
  <c r="S285" i="9"/>
  <c r="S281" i="9"/>
  <c r="S277" i="9"/>
  <c r="S273" i="9"/>
  <c r="S269" i="9"/>
  <c r="S265" i="9"/>
  <c r="S261" i="9"/>
  <c r="S257" i="9"/>
  <c r="S253" i="9"/>
  <c r="S249" i="9"/>
  <c r="S245" i="9"/>
  <c r="S241" i="9"/>
  <c r="S237" i="9"/>
  <c r="S1000" i="9"/>
  <c r="S980" i="9"/>
  <c r="S952" i="9"/>
  <c r="S904" i="9"/>
  <c r="S862" i="9"/>
  <c r="S843" i="9"/>
  <c r="S817" i="9"/>
  <c r="S805" i="9"/>
  <c r="S792" i="9"/>
  <c r="S767" i="9"/>
  <c r="S754" i="9"/>
  <c r="S736" i="9"/>
  <c r="S725" i="9"/>
  <c r="S691" i="9"/>
  <c r="S679" i="9"/>
  <c r="S668" i="9"/>
  <c r="S631" i="9"/>
  <c r="S615" i="9"/>
  <c r="S591" i="9"/>
  <c r="S959" i="9"/>
  <c r="S951" i="9"/>
  <c r="S935" i="9"/>
  <c r="S917" i="9"/>
  <c r="S901" i="9"/>
  <c r="S893" i="9"/>
  <c r="S851" i="9"/>
  <c r="S844" i="9"/>
  <c r="S821" i="9"/>
  <c r="S813" i="9"/>
  <c r="S806" i="9"/>
  <c r="S791" i="9"/>
  <c r="S783" i="9"/>
  <c r="S776" i="9"/>
  <c r="S760" i="9"/>
  <c r="S753" i="9"/>
  <c r="S745" i="9"/>
  <c r="S739" i="9"/>
  <c r="S711" i="9"/>
  <c r="S677" i="9"/>
  <c r="S638" i="9"/>
  <c r="S625" i="9"/>
  <c r="S619" i="9"/>
  <c r="S602" i="9"/>
  <c r="S590" i="9"/>
  <c r="S584" i="9"/>
  <c r="S559" i="9"/>
  <c r="S535" i="9"/>
  <c r="S511" i="9"/>
  <c r="S487" i="9"/>
  <c r="S463" i="9"/>
  <c r="S439" i="9"/>
  <c r="S415" i="9"/>
  <c r="S391" i="9"/>
  <c r="S367" i="9"/>
  <c r="S343" i="9"/>
  <c r="S319" i="9"/>
  <c r="S295" i="9"/>
  <c r="S271" i="9"/>
  <c r="S247" i="9"/>
  <c r="S233" i="9"/>
  <c r="S224" i="9"/>
  <c r="S211" i="9"/>
  <c r="S198" i="9"/>
  <c r="S185" i="9"/>
  <c r="S992" i="9"/>
  <c r="S968" i="9"/>
  <c r="S958" i="9"/>
  <c r="S950" i="9"/>
  <c r="S934" i="9"/>
  <c r="S908" i="9"/>
  <c r="S884" i="9"/>
  <c r="S850" i="9"/>
  <c r="S835" i="9"/>
  <c r="S797" i="9"/>
  <c r="S790" i="9"/>
  <c r="S782" i="9"/>
  <c r="S724" i="9"/>
  <c r="S717" i="9"/>
  <c r="S697" i="9"/>
  <c r="S690" i="9"/>
  <c r="S683" i="9"/>
  <c r="S663" i="9"/>
  <c r="S656" i="9"/>
  <c r="S650" i="9"/>
  <c r="S632" i="9"/>
  <c r="S607" i="9"/>
  <c r="S595" i="9"/>
  <c r="S568" i="9"/>
  <c r="S554" i="9"/>
  <c r="S544" i="9"/>
  <c r="S530" i="9"/>
  <c r="S520" i="9"/>
  <c r="S506" i="9"/>
  <c r="S496" i="9"/>
  <c r="S482" i="9"/>
  <c r="S472" i="9"/>
  <c r="S458" i="9"/>
  <c r="S448" i="9"/>
  <c r="S434" i="9"/>
  <c r="S424" i="9"/>
  <c r="S410" i="9"/>
  <c r="S400" i="9"/>
  <c r="S386" i="9"/>
  <c r="S376" i="9"/>
  <c r="S362" i="9"/>
  <c r="S352" i="9"/>
  <c r="S338" i="9"/>
  <c r="S328" i="9"/>
  <c r="S314" i="9"/>
  <c r="S304" i="9"/>
  <c r="S290" i="9"/>
  <c r="S280" i="9"/>
  <c r="S266" i="9"/>
  <c r="S256" i="9"/>
  <c r="S242" i="9"/>
  <c r="S228" i="9"/>
  <c r="S215" i="9"/>
  <c r="S202" i="9"/>
  <c r="S189" i="9"/>
  <c r="S180" i="9"/>
  <c r="S176" i="9"/>
  <c r="S172" i="9"/>
  <c r="S168" i="9"/>
  <c r="S164" i="9"/>
  <c r="S160" i="9"/>
  <c r="S156" i="9"/>
  <c r="S152" i="9"/>
  <c r="S148" i="9"/>
  <c r="S144" i="9"/>
  <c r="S140" i="9"/>
  <c r="S136" i="9"/>
  <c r="S132" i="9"/>
  <c r="S128" i="9"/>
  <c r="S124" i="9"/>
  <c r="S120" i="9"/>
  <c r="S116" i="9"/>
  <c r="S112" i="9"/>
  <c r="S108" i="9"/>
  <c r="S104" i="9"/>
  <c r="S100" i="9"/>
  <c r="S96" i="9"/>
  <c r="S92" i="9"/>
  <c r="S88" i="9"/>
  <c r="S84" i="9"/>
  <c r="S80" i="9"/>
  <c r="S76" i="9"/>
  <c r="S72" i="9"/>
  <c r="S68" i="9"/>
  <c r="S64" i="9"/>
  <c r="S60" i="9"/>
  <c r="S56" i="9"/>
  <c r="S52" i="9"/>
  <c r="S48" i="9"/>
  <c r="S44" i="9"/>
  <c r="S40" i="9"/>
  <c r="S36" i="9"/>
  <c r="S32" i="9"/>
  <c r="S28" i="9"/>
  <c r="S24" i="9"/>
  <c r="S998" i="9"/>
  <c r="S990" i="9"/>
  <c r="S982" i="9"/>
  <c r="S999" i="9"/>
  <c r="S928" i="9"/>
  <c r="S918" i="9"/>
  <c r="S898" i="9"/>
  <c r="S888" i="9"/>
  <c r="S878" i="9"/>
  <c r="S868" i="9"/>
  <c r="S858" i="9"/>
  <c r="S848" i="9"/>
  <c r="S812" i="9"/>
  <c r="S802" i="9"/>
  <c r="S795" i="9"/>
  <c r="S785" i="9"/>
  <c r="S749" i="9"/>
  <c r="S740" i="9"/>
  <c r="S682" i="9"/>
  <c r="S674" i="9"/>
  <c r="S666" i="9"/>
  <c r="S621" i="9"/>
  <c r="S599" i="9"/>
  <c r="S579" i="9"/>
  <c r="S572" i="9"/>
  <c r="S550" i="9"/>
  <c r="S538" i="9"/>
  <c r="S532" i="9"/>
  <c r="S498" i="9"/>
  <c r="S492" i="9"/>
  <c r="S486" i="9"/>
  <c r="S480" i="9"/>
  <c r="S446" i="9"/>
  <c r="S440" i="9"/>
  <c r="S428" i="9"/>
  <c r="S406" i="9"/>
  <c r="S394" i="9"/>
  <c r="S388" i="9"/>
  <c r="S354" i="9"/>
  <c r="S348" i="9"/>
  <c r="S342" i="9"/>
  <c r="S336" i="9"/>
  <c r="S302" i="9"/>
  <c r="S296" i="9"/>
  <c r="S284" i="9"/>
  <c r="S262" i="9"/>
  <c r="S250" i="9"/>
  <c r="S244" i="9"/>
  <c r="S212" i="9"/>
  <c r="S207" i="9"/>
  <c r="S196" i="9"/>
  <c r="S191" i="9"/>
  <c r="S186" i="9"/>
  <c r="S181" i="9"/>
  <c r="S166" i="9"/>
  <c r="S142" i="9"/>
  <c r="S118" i="9"/>
  <c r="S94" i="9"/>
  <c r="S70" i="9"/>
  <c r="S57" i="9"/>
  <c r="S35" i="9"/>
  <c r="S22" i="9"/>
  <c r="S18" i="9"/>
  <c r="S14" i="9"/>
  <c r="S10" i="9"/>
  <c r="S6" i="9"/>
  <c r="S988" i="9"/>
  <c r="S965" i="9"/>
  <c r="S947" i="9"/>
  <c r="S907" i="9"/>
  <c r="S839" i="9"/>
  <c r="S829" i="9"/>
  <c r="S811" i="9"/>
  <c r="S793" i="9"/>
  <c r="S775" i="9"/>
  <c r="S765" i="9"/>
  <c r="S748" i="9"/>
  <c r="S730" i="9"/>
  <c r="S722" i="9"/>
  <c r="S715" i="9"/>
  <c r="S706" i="9"/>
  <c r="S673" i="9"/>
  <c r="S665" i="9"/>
  <c r="S628" i="9"/>
  <c r="S620" i="9"/>
  <c r="S612" i="9"/>
  <c r="S592" i="9"/>
  <c r="S578" i="9"/>
  <c r="S555" i="9"/>
  <c r="S543" i="9"/>
  <c r="S503" i="9"/>
  <c r="S491" i="9"/>
  <c r="S451" i="9"/>
  <c r="S411" i="9"/>
  <c r="S399" i="9"/>
  <c r="S359" i="9"/>
  <c r="S347" i="9"/>
  <c r="S307" i="9"/>
  <c r="S267" i="9"/>
  <c r="S255" i="9"/>
  <c r="S232" i="9"/>
  <c r="S227" i="9"/>
  <c r="S222" i="9"/>
  <c r="S217" i="9"/>
  <c r="S206" i="9"/>
  <c r="S201" i="9"/>
  <c r="S175" i="9"/>
  <c r="S161" i="9"/>
  <c r="S151" i="9"/>
  <c r="S137" i="9"/>
  <c r="S127" i="9"/>
  <c r="S113" i="9"/>
  <c r="S103" i="9"/>
  <c r="S89" i="9"/>
  <c r="S79" i="9"/>
  <c r="S61" i="9"/>
  <c r="S39" i="9"/>
  <c r="S26" i="9"/>
  <c r="S997" i="9"/>
  <c r="S975" i="9"/>
  <c r="S955" i="9"/>
  <c r="S945" i="9"/>
  <c r="S895" i="9"/>
  <c r="S885" i="9"/>
  <c r="S865" i="9"/>
  <c r="S855" i="9"/>
  <c r="S819" i="9"/>
  <c r="S809" i="9"/>
  <c r="S801" i="9"/>
  <c r="S738" i="9"/>
  <c r="S696" i="9"/>
  <c r="S688" i="9"/>
  <c r="S681" i="9"/>
  <c r="S649" i="9"/>
  <c r="S641" i="9"/>
  <c r="S627" i="9"/>
  <c r="S604" i="9"/>
  <c r="S598" i="9"/>
  <c r="S571" i="9"/>
  <c r="S531" i="9"/>
  <c r="S519" i="9"/>
  <c r="S479" i="9"/>
  <c r="S467" i="9"/>
  <c r="S427" i="9"/>
  <c r="S387" i="9"/>
  <c r="S375" i="9"/>
  <c r="S335" i="9"/>
  <c r="S323" i="9"/>
  <c r="S283" i="9"/>
  <c r="S243" i="9"/>
  <c r="S216" i="9"/>
  <c r="S200" i="9"/>
  <c r="S195" i="9"/>
  <c r="S190" i="9"/>
  <c r="S184" i="9"/>
  <c r="S179" i="9"/>
  <c r="S165" i="9"/>
  <c r="S155" i="9"/>
  <c r="S141" i="9"/>
  <c r="S131" i="9"/>
  <c r="S5" i="9"/>
  <c r="S15" i="9"/>
  <c r="U19" i="9"/>
  <c r="U24" i="9"/>
  <c r="U29" i="9"/>
  <c r="U40" i="9"/>
  <c r="U45" i="9"/>
  <c r="U50" i="9"/>
  <c r="U55" i="9"/>
  <c r="U61" i="9"/>
  <c r="U66" i="9"/>
  <c r="U71" i="9"/>
  <c r="U77" i="9"/>
  <c r="S83" i="9"/>
  <c r="U89" i="9"/>
  <c r="S95" i="9"/>
  <c r="S101" i="9"/>
  <c r="U111" i="9"/>
  <c r="U124" i="9"/>
  <c r="S130" i="9"/>
  <c r="U136" i="9"/>
  <c r="S143" i="9"/>
  <c r="U154" i="9"/>
  <c r="S162" i="9"/>
  <c r="U167" i="9"/>
  <c r="S174" i="9"/>
  <c r="U201" i="9"/>
  <c r="S208" i="9"/>
  <c r="S214" i="9"/>
  <c r="S221" i="9"/>
  <c r="U226" i="9"/>
  <c r="S234" i="9"/>
  <c r="S240" i="9"/>
  <c r="U247" i="9"/>
  <c r="U262" i="9"/>
  <c r="U269" i="9"/>
  <c r="S286" i="9"/>
  <c r="S292" i="9"/>
  <c r="U298" i="9"/>
  <c r="S306" i="9"/>
  <c r="U313" i="9"/>
  <c r="U327" i="9"/>
  <c r="U343" i="9"/>
  <c r="S358" i="9"/>
  <c r="U365" i="9"/>
  <c r="U379" i="9"/>
  <c r="U394" i="9"/>
  <c r="S402" i="9"/>
  <c r="U417" i="9"/>
  <c r="U431" i="9"/>
  <c r="S460" i="9"/>
  <c r="S468" i="9"/>
  <c r="U475" i="9"/>
  <c r="S490" i="9"/>
  <c r="S512" i="9"/>
  <c r="U541" i="9"/>
  <c r="S548" i="9"/>
  <c r="S564" i="9"/>
  <c r="U579" i="9"/>
  <c r="U587" i="9"/>
  <c r="U596" i="9"/>
  <c r="U606" i="9"/>
  <c r="U614" i="9"/>
  <c r="U623" i="9"/>
  <c r="S645" i="9"/>
  <c r="S654" i="9"/>
  <c r="S664" i="9"/>
  <c r="U672" i="9"/>
  <c r="S684" i="9"/>
  <c r="S695" i="9"/>
  <c r="U726" i="9"/>
  <c r="U747" i="9"/>
  <c r="S771" i="9"/>
  <c r="S781" i="9"/>
  <c r="S807" i="9"/>
  <c r="U816" i="9"/>
  <c r="U828" i="9"/>
  <c r="S853" i="9"/>
  <c r="U864" i="9"/>
  <c r="U891" i="9"/>
  <c r="S920" i="9"/>
  <c r="S931" i="9"/>
  <c r="U944" i="9"/>
  <c r="S960" i="9"/>
  <c r="S970" i="9"/>
  <c r="U984" i="9"/>
  <c r="T1002" i="9"/>
  <c r="T998" i="9"/>
  <c r="T994" i="9"/>
  <c r="T990" i="9"/>
  <c r="T986" i="9"/>
  <c r="T982" i="9"/>
  <c r="T978" i="9"/>
  <c r="T974" i="9"/>
  <c r="T970" i="9"/>
  <c r="T966" i="9"/>
  <c r="T962" i="9"/>
  <c r="T958" i="9"/>
  <c r="T954" i="9"/>
  <c r="T950" i="9"/>
  <c r="T946" i="9"/>
  <c r="T942" i="9"/>
  <c r="T938" i="9"/>
  <c r="T934" i="9"/>
  <c r="T930" i="9"/>
  <c r="T926" i="9"/>
  <c r="T922" i="9"/>
  <c r="T918" i="9"/>
  <c r="T914" i="9"/>
  <c r="T910" i="9"/>
  <c r="T906" i="9"/>
  <c r="T902" i="9"/>
  <c r="T898" i="9"/>
  <c r="T894" i="9"/>
  <c r="T890" i="9"/>
  <c r="T886" i="9"/>
  <c r="T882" i="9"/>
  <c r="T878" i="9"/>
  <c r="T874" i="9"/>
  <c r="T870" i="9"/>
  <c r="T866" i="9"/>
  <c r="T862" i="9"/>
  <c r="T858" i="9"/>
  <c r="T854" i="9"/>
  <c r="T850" i="9"/>
  <c r="T846" i="9"/>
  <c r="T842" i="9"/>
  <c r="T838" i="9"/>
  <c r="T834" i="9"/>
  <c r="T830" i="9"/>
  <c r="T826" i="9"/>
  <c r="T822" i="9"/>
  <c r="T818" i="9"/>
  <c r="T814" i="9"/>
  <c r="T810" i="9"/>
  <c r="T806" i="9"/>
  <c r="T802" i="9"/>
  <c r="T798" i="9"/>
  <c r="T794" i="9"/>
  <c r="T790" i="9"/>
  <c r="T786" i="9"/>
  <c r="T782" i="9"/>
  <c r="T778" i="9"/>
  <c r="T774" i="9"/>
  <c r="T770" i="9"/>
  <c r="T766" i="9"/>
  <c r="T762" i="9"/>
  <c r="T758" i="9"/>
  <c r="T754" i="9"/>
  <c r="T750" i="9"/>
  <c r="T746" i="9"/>
  <c r="T742" i="9"/>
  <c r="T738" i="9"/>
  <c r="T734" i="9"/>
  <c r="T730" i="9"/>
  <c r="T726" i="9"/>
  <c r="T722" i="9"/>
  <c r="T718" i="9"/>
  <c r="T714" i="9"/>
  <c r="T710" i="9"/>
  <c r="T706" i="9"/>
  <c r="T702" i="9"/>
  <c r="T698" i="9"/>
  <c r="T694" i="9"/>
  <c r="T690" i="9"/>
  <c r="T686" i="9"/>
  <c r="T682" i="9"/>
  <c r="T678" i="9"/>
  <c r="T674" i="9"/>
  <c r="T670" i="9"/>
  <c r="T666" i="9"/>
  <c r="T996" i="9"/>
  <c r="T972" i="9"/>
  <c r="T948" i="9"/>
  <c r="T924" i="9"/>
  <c r="T900" i="9"/>
  <c r="T876" i="9"/>
  <c r="T852" i="9"/>
  <c r="T991" i="9"/>
  <c r="T981" i="9"/>
  <c r="T967" i="9"/>
  <c r="T957" i="9"/>
  <c r="T943" i="9"/>
  <c r="T933" i="9"/>
  <c r="T919" i="9"/>
  <c r="T909" i="9"/>
  <c r="T895" i="9"/>
  <c r="T885" i="9"/>
  <c r="T871" i="9"/>
  <c r="T861" i="9"/>
  <c r="T847" i="9"/>
  <c r="T837" i="9"/>
  <c r="T823" i="9"/>
  <c r="T813" i="9"/>
  <c r="T799" i="9"/>
  <c r="T789" i="9"/>
  <c r="T775" i="9"/>
  <c r="T765" i="9"/>
  <c r="T751" i="9"/>
  <c r="T737" i="9"/>
  <c r="T724" i="9"/>
  <c r="T711" i="9"/>
  <c r="T689" i="9"/>
  <c r="T676" i="9"/>
  <c r="T663" i="9"/>
  <c r="T659" i="9"/>
  <c r="T655" i="9"/>
  <c r="T651" i="9"/>
  <c r="T647" i="9"/>
  <c r="T643" i="9"/>
  <c r="T639" i="9"/>
  <c r="T635" i="9"/>
  <c r="T631" i="9"/>
  <c r="T627" i="9"/>
  <c r="T623" i="9"/>
  <c r="T619" i="9"/>
  <c r="T615" i="9"/>
  <c r="T984" i="9"/>
  <c r="T944" i="9"/>
  <c r="T932" i="9"/>
  <c r="T892" i="9"/>
  <c r="T880" i="9"/>
  <c r="T825" i="9"/>
  <c r="T820" i="9"/>
  <c r="T815" i="9"/>
  <c r="T757" i="9"/>
  <c r="T752" i="9"/>
  <c r="T747" i="9"/>
  <c r="T732" i="9"/>
  <c r="T713" i="9"/>
  <c r="T699" i="9"/>
  <c r="T675" i="9"/>
  <c r="T661" i="9"/>
  <c r="T648" i="9"/>
  <c r="T626" i="9"/>
  <c r="T613" i="9"/>
  <c r="T609" i="9"/>
  <c r="T605" i="9"/>
  <c r="T601" i="9"/>
  <c r="T597" i="9"/>
  <c r="T593" i="9"/>
  <c r="T589" i="9"/>
  <c r="T585" i="9"/>
  <c r="T581" i="9"/>
  <c r="T577" i="9"/>
  <c r="T1001" i="9"/>
  <c r="T995" i="9"/>
  <c r="T989" i="9"/>
  <c r="T955" i="9"/>
  <c r="T949" i="9"/>
  <c r="T937" i="9"/>
  <c r="T915" i="9"/>
  <c r="T903" i="9"/>
  <c r="T897" i="9"/>
  <c r="T863" i="9"/>
  <c r="T857" i="9"/>
  <c r="T851" i="9"/>
  <c r="T809" i="9"/>
  <c r="T804" i="9"/>
  <c r="T793" i="9"/>
  <c r="T788" i="9"/>
  <c r="T783" i="9"/>
  <c r="T741" i="9"/>
  <c r="T727" i="9"/>
  <c r="T708" i="9"/>
  <c r="T684" i="9"/>
  <c r="T665" i="9"/>
  <c r="T652" i="9"/>
  <c r="T630" i="9"/>
  <c r="T617" i="9"/>
  <c r="T1000" i="9"/>
  <c r="T980" i="9"/>
  <c r="T952" i="9"/>
  <c r="T904" i="9"/>
  <c r="T843" i="9"/>
  <c r="T817" i="9"/>
  <c r="T805" i="9"/>
  <c r="T792" i="9"/>
  <c r="T780" i="9"/>
  <c r="T767" i="9"/>
  <c r="T736" i="9"/>
  <c r="T725" i="9"/>
  <c r="T691" i="9"/>
  <c r="T679" i="9"/>
  <c r="T668" i="9"/>
  <c r="T591" i="9"/>
  <c r="T993" i="9"/>
  <c r="T987" i="9"/>
  <c r="T973" i="9"/>
  <c r="T965" i="9"/>
  <c r="T959" i="9"/>
  <c r="T945" i="9"/>
  <c r="T939" i="9"/>
  <c r="T931" i="9"/>
  <c r="T917" i="9"/>
  <c r="T911" i="9"/>
  <c r="T889" i="9"/>
  <c r="T883" i="9"/>
  <c r="T869" i="9"/>
  <c r="T855" i="9"/>
  <c r="T836" i="9"/>
  <c r="T829" i="9"/>
  <c r="T811" i="9"/>
  <c r="T773" i="9"/>
  <c r="T760" i="9"/>
  <c r="T748" i="9"/>
  <c r="T719" i="9"/>
  <c r="T696" i="9"/>
  <c r="T685" i="9"/>
  <c r="T673" i="9"/>
  <c r="T662" i="9"/>
  <c r="T657" i="9"/>
  <c r="T646" i="9"/>
  <c r="T641" i="9"/>
  <c r="T636" i="9"/>
  <c r="T625" i="9"/>
  <c r="T620" i="9"/>
  <c r="T610" i="9"/>
  <c r="T600" i="9"/>
  <c r="T586" i="9"/>
  <c r="T992" i="9"/>
  <c r="T968" i="9"/>
  <c r="T908" i="9"/>
  <c r="T884" i="9"/>
  <c r="T835" i="9"/>
  <c r="T828" i="9"/>
  <c r="T797" i="9"/>
  <c r="T717" i="9"/>
  <c r="T697" i="9"/>
  <c r="T683" i="9"/>
  <c r="T656" i="9"/>
  <c r="T650" i="9"/>
  <c r="T632" i="9"/>
  <c r="T607" i="9"/>
  <c r="T595" i="9"/>
  <c r="T568" i="9"/>
  <c r="T554" i="9"/>
  <c r="T544" i="9"/>
  <c r="T530" i="9"/>
  <c r="T520" i="9"/>
  <c r="T506" i="9"/>
  <c r="T496" i="9"/>
  <c r="T482" i="9"/>
  <c r="T472" i="9"/>
  <c r="T458" i="9"/>
  <c r="T448" i="9"/>
  <c r="T434" i="9"/>
  <c r="T424" i="9"/>
  <c r="T410" i="9"/>
  <c r="T400" i="9"/>
  <c r="T386" i="9"/>
  <c r="T376" i="9"/>
  <c r="T362" i="9"/>
  <c r="T352" i="9"/>
  <c r="T338" i="9"/>
  <c r="T328" i="9"/>
  <c r="T314" i="9"/>
  <c r="T304" i="9"/>
  <c r="T290" i="9"/>
  <c r="T280" i="9"/>
  <c r="T266" i="9"/>
  <c r="T256" i="9"/>
  <c r="T242" i="9"/>
  <c r="T228" i="9"/>
  <c r="T215" i="9"/>
  <c r="T202" i="9"/>
  <c r="T189" i="9"/>
  <c r="T180" i="9"/>
  <c r="T176" i="9"/>
  <c r="T172" i="9"/>
  <c r="T168" i="9"/>
  <c r="T164" i="9"/>
  <c r="T160" i="9"/>
  <c r="T156" i="9"/>
  <c r="T152" i="9"/>
  <c r="T148" i="9"/>
  <c r="T144" i="9"/>
  <c r="T140" i="9"/>
  <c r="T136" i="9"/>
  <c r="T132" i="9"/>
  <c r="T128" i="9"/>
  <c r="T124" i="9"/>
  <c r="T120" i="9"/>
  <c r="T116" i="9"/>
  <c r="T112" i="9"/>
  <c r="T108" i="9"/>
  <c r="T104" i="9"/>
  <c r="T100" i="9"/>
  <c r="T96" i="9"/>
  <c r="T92" i="9"/>
  <c r="T88" i="9"/>
  <c r="T84" i="9"/>
  <c r="T80" i="9"/>
  <c r="T76" i="9"/>
  <c r="T72" i="9"/>
  <c r="T999" i="9"/>
  <c r="T983" i="9"/>
  <c r="T975" i="9"/>
  <c r="T941" i="9"/>
  <c r="T925" i="9"/>
  <c r="T875" i="9"/>
  <c r="T867" i="9"/>
  <c r="T859" i="9"/>
  <c r="T768" i="9"/>
  <c r="T731" i="9"/>
  <c r="T704" i="9"/>
  <c r="T669" i="9"/>
  <c r="T644" i="9"/>
  <c r="T612" i="9"/>
  <c r="T578" i="9"/>
  <c r="T573" i="9"/>
  <c r="T563" i="9"/>
  <c r="T549" i="9"/>
  <c r="T539" i="9"/>
  <c r="T525" i="9"/>
  <c r="T515" i="9"/>
  <c r="T501" i="9"/>
  <c r="T491" i="9"/>
  <c r="T477" i="9"/>
  <c r="T467" i="9"/>
  <c r="T453" i="9"/>
  <c r="T443" i="9"/>
  <c r="T429" i="9"/>
  <c r="T419" i="9"/>
  <c r="T405" i="9"/>
  <c r="T395" i="9"/>
  <c r="T381" i="9"/>
  <c r="T371" i="9"/>
  <c r="T357" i="9"/>
  <c r="T347" i="9"/>
  <c r="T333" i="9"/>
  <c r="T323" i="9"/>
  <c r="T309" i="9"/>
  <c r="T299" i="9"/>
  <c r="T285" i="9"/>
  <c r="T275" i="9"/>
  <c r="T261" i="9"/>
  <c r="T251" i="9"/>
  <c r="T237" i="9"/>
  <c r="T232" i="9"/>
  <c r="T219" i="9"/>
  <c r="T206" i="9"/>
  <c r="T193" i="9"/>
  <c r="T184" i="9"/>
  <c r="T30" i="9"/>
  <c r="T43" i="9"/>
  <c r="T52" i="9"/>
  <c r="T65" i="9"/>
  <c r="T74" i="9"/>
  <c r="T98" i="9"/>
  <c r="T122" i="9"/>
  <c r="T146" i="9"/>
  <c r="T170" i="9"/>
  <c r="T238" i="9"/>
  <c r="T260" i="9"/>
  <c r="T272" i="9"/>
  <c r="T278" i="9"/>
  <c r="T312" i="9"/>
  <c r="T318" i="9"/>
  <c r="T324" i="9"/>
  <c r="T330" i="9"/>
  <c r="T364" i="9"/>
  <c r="T370" i="9"/>
  <c r="T382" i="9"/>
  <c r="T404" i="9"/>
  <c r="T416" i="9"/>
  <c r="T422" i="9"/>
  <c r="T456" i="9"/>
  <c r="T462" i="9"/>
  <c r="T468" i="9"/>
  <c r="T474" i="9"/>
  <c r="T508" i="9"/>
  <c r="T514" i="9"/>
  <c r="T526" i="9"/>
  <c r="T548" i="9"/>
  <c r="T560" i="9"/>
  <c r="T566" i="9"/>
  <c r="T634" i="9"/>
  <c r="T642" i="9"/>
  <c r="T658" i="9"/>
  <c r="T784" i="9"/>
  <c r="T856" i="9"/>
  <c r="T896" i="9"/>
  <c r="T916" i="9"/>
  <c r="T936" i="9"/>
  <c r="T956" i="9"/>
  <c r="T976" i="9"/>
  <c r="T26" i="9"/>
  <c r="T39" i="9"/>
  <c r="T48" i="9"/>
  <c r="T61" i="9"/>
  <c r="T79" i="9"/>
  <c r="T89" i="9"/>
  <c r="T103" i="9"/>
  <c r="T113" i="9"/>
  <c r="T127" i="9"/>
  <c r="T137" i="9"/>
  <c r="T151" i="9"/>
  <c r="T175" i="9"/>
  <c r="T201" i="9"/>
  <c r="T217" i="9"/>
  <c r="T222" i="9"/>
  <c r="T227" i="9"/>
  <c r="T233" i="9"/>
  <c r="T255" i="9"/>
  <c r="T267" i="9"/>
  <c r="T273" i="9"/>
  <c r="T307" i="9"/>
  <c r="T313" i="9"/>
  <c r="T319" i="9"/>
  <c r="T325" i="9"/>
  <c r="T359" i="9"/>
  <c r="T365" i="9"/>
  <c r="T377" i="9"/>
  <c r="T399" i="9"/>
  <c r="T411" i="9"/>
  <c r="T417" i="9"/>
  <c r="T451" i="9"/>
  <c r="T457" i="9"/>
  <c r="T463" i="9"/>
  <c r="T469" i="9"/>
  <c r="T503" i="9"/>
  <c r="T509" i="9"/>
  <c r="T521" i="9"/>
  <c r="T543" i="9"/>
  <c r="T555" i="9"/>
  <c r="T561" i="9"/>
  <c r="T592" i="9"/>
  <c r="T606" i="9"/>
  <c r="T628" i="9"/>
  <c r="T715" i="9"/>
  <c r="T723" i="9"/>
  <c r="T776" i="9"/>
  <c r="T821" i="9"/>
  <c r="T831" i="9"/>
  <c r="T839" i="9"/>
  <c r="T907" i="9"/>
  <c r="T947" i="9"/>
  <c r="T977" i="9"/>
  <c r="T988" i="9"/>
  <c r="K4" i="5"/>
  <c r="D1487" i="2"/>
  <c r="C1487" i="2"/>
  <c r="B1487" i="2"/>
  <c r="D1486" i="2"/>
  <c r="C1486" i="2"/>
  <c r="B1486" i="2"/>
  <c r="Y1486" i="2" s="1" a="1"/>
  <c r="Y1486" i="2" s="1"/>
  <c r="D1485" i="2"/>
  <c r="C1485" i="2"/>
  <c r="B1485" i="2"/>
  <c r="Y1485" i="2" s="1" a="1"/>
  <c r="Y1485" i="2" s="1"/>
  <c r="D1484" i="2"/>
  <c r="C1484" i="2"/>
  <c r="B1484" i="2"/>
  <c r="Y1484" i="2" s="1" a="1"/>
  <c r="Y1484" i="2" s="1"/>
  <c r="D1483" i="2"/>
  <c r="C1483" i="2"/>
  <c r="B1483" i="2"/>
  <c r="D1482" i="2"/>
  <c r="C1482" i="2"/>
  <c r="B1482" i="2"/>
  <c r="Y1482" i="2" s="1" a="1"/>
  <c r="Y1482" i="2" s="1"/>
  <c r="D1481" i="2"/>
  <c r="C1481" i="2"/>
  <c r="B1481" i="2"/>
  <c r="Y1481" i="2" s="1" a="1"/>
  <c r="Y1481" i="2" s="1"/>
  <c r="D1480" i="2"/>
  <c r="C1480" i="2"/>
  <c r="B1480" i="2"/>
  <c r="Y1480" i="2" s="1" a="1"/>
  <c r="Y1480" i="2" s="1"/>
  <c r="D1479" i="2"/>
  <c r="C1479" i="2"/>
  <c r="B1479" i="2"/>
  <c r="D1478" i="2"/>
  <c r="C1478" i="2"/>
  <c r="B1478" i="2"/>
  <c r="Y1478" i="2" s="1" a="1"/>
  <c r="Y1478" i="2" s="1"/>
  <c r="D1477" i="2"/>
  <c r="C1477" i="2"/>
  <c r="B1477" i="2"/>
  <c r="Y1477" i="2" s="1" a="1"/>
  <c r="Y1477" i="2" s="1"/>
  <c r="D1476" i="2"/>
  <c r="C1476" i="2"/>
  <c r="B1476" i="2"/>
  <c r="Y1476" i="2" s="1" a="1"/>
  <c r="Y1476" i="2" s="1"/>
  <c r="D1475" i="2"/>
  <c r="C1475" i="2"/>
  <c r="B1475" i="2"/>
  <c r="D1474" i="2"/>
  <c r="C1474" i="2"/>
  <c r="B1474" i="2"/>
  <c r="Y1474" i="2" s="1" a="1"/>
  <c r="Y1474" i="2" s="1"/>
  <c r="D1473" i="2"/>
  <c r="C1473" i="2"/>
  <c r="B1473" i="2"/>
  <c r="Y1473" i="2" s="1" a="1"/>
  <c r="Y1473" i="2" s="1"/>
  <c r="D1472" i="2"/>
  <c r="C1472" i="2"/>
  <c r="B1472" i="2"/>
  <c r="Y1472" i="2" s="1" a="1"/>
  <c r="Y1472" i="2" s="1"/>
  <c r="D1471" i="2"/>
  <c r="C1471" i="2"/>
  <c r="B1471" i="2"/>
  <c r="D1470" i="2"/>
  <c r="C1470" i="2"/>
  <c r="B1470" i="2"/>
  <c r="Y1470" i="2" s="1" a="1"/>
  <c r="Y1470" i="2" s="1"/>
  <c r="D1469" i="2"/>
  <c r="C1469" i="2"/>
  <c r="B1469" i="2"/>
  <c r="Y1469" i="2" s="1" a="1"/>
  <c r="Y1469" i="2" s="1"/>
  <c r="D1468" i="2"/>
  <c r="C1468" i="2"/>
  <c r="B1468" i="2"/>
  <c r="Y1468" i="2" s="1" a="1"/>
  <c r="Y1468" i="2" s="1"/>
  <c r="D1467" i="2"/>
  <c r="C1467" i="2"/>
  <c r="B1467" i="2"/>
  <c r="D1466" i="2"/>
  <c r="C1466" i="2"/>
  <c r="B1466" i="2"/>
  <c r="Y1466" i="2" s="1" a="1"/>
  <c r="Y1466" i="2" s="1"/>
  <c r="D1465" i="2"/>
  <c r="C1465" i="2"/>
  <c r="B1465" i="2"/>
  <c r="Y1465" i="2" s="1" a="1"/>
  <c r="Y1465" i="2" s="1"/>
  <c r="D1464" i="2"/>
  <c r="C1464" i="2"/>
  <c r="B1464" i="2"/>
  <c r="Y1464" i="2" s="1" a="1"/>
  <c r="Y1464" i="2" s="1"/>
  <c r="D1463" i="2"/>
  <c r="C1463" i="2"/>
  <c r="B1463" i="2"/>
  <c r="D1462" i="2"/>
  <c r="C1462" i="2"/>
  <c r="B1462" i="2"/>
  <c r="Y1462" i="2" s="1" a="1"/>
  <c r="Y1462" i="2" s="1"/>
  <c r="D1461" i="2"/>
  <c r="C1461" i="2"/>
  <c r="B1461" i="2"/>
  <c r="Y1461" i="2" s="1" a="1"/>
  <c r="Y1461" i="2" s="1"/>
  <c r="D1460" i="2"/>
  <c r="C1460" i="2"/>
  <c r="B1460" i="2"/>
  <c r="Y1460" i="2" s="1" a="1"/>
  <c r="Y1460" i="2" s="1"/>
  <c r="D1459" i="2"/>
  <c r="C1459" i="2"/>
  <c r="B1459" i="2"/>
  <c r="D1458" i="2"/>
  <c r="C1458" i="2"/>
  <c r="B1458" i="2"/>
  <c r="Y1458" i="2" s="1" a="1"/>
  <c r="Y1458" i="2" s="1"/>
  <c r="D1457" i="2"/>
  <c r="C1457" i="2"/>
  <c r="B1457" i="2"/>
  <c r="Y1457" i="2" s="1" a="1"/>
  <c r="Y1457" i="2" s="1"/>
  <c r="D1456" i="2"/>
  <c r="C1456" i="2"/>
  <c r="B1456" i="2"/>
  <c r="Y1456" i="2" s="1" a="1"/>
  <c r="Y1456" i="2" s="1"/>
  <c r="D1455" i="2"/>
  <c r="C1455" i="2"/>
  <c r="B1455" i="2"/>
  <c r="D1454" i="2"/>
  <c r="C1454" i="2"/>
  <c r="B1454" i="2"/>
  <c r="Y1454" i="2" s="1" a="1"/>
  <c r="Y1454" i="2" s="1"/>
  <c r="D1453" i="2"/>
  <c r="C1453" i="2"/>
  <c r="B1453" i="2"/>
  <c r="Y1453" i="2" s="1" a="1"/>
  <c r="Y1453" i="2" s="1"/>
  <c r="D1452" i="2"/>
  <c r="C1452" i="2"/>
  <c r="B1452" i="2"/>
  <c r="Y1452" i="2" s="1" a="1"/>
  <c r="Y1452" i="2" s="1"/>
  <c r="D1451" i="2"/>
  <c r="C1451" i="2"/>
  <c r="B1451" i="2"/>
  <c r="D1450" i="2"/>
  <c r="C1450" i="2"/>
  <c r="B1450" i="2"/>
  <c r="Y1450" i="2" s="1" a="1"/>
  <c r="Y1450" i="2" s="1"/>
  <c r="D1449" i="2"/>
  <c r="C1449" i="2"/>
  <c r="B1449" i="2"/>
  <c r="Y1449" i="2" s="1" a="1"/>
  <c r="Y1449" i="2" s="1"/>
  <c r="D1448" i="2"/>
  <c r="C1448" i="2"/>
  <c r="B1448" i="2"/>
  <c r="Y1448" i="2" s="1" a="1"/>
  <c r="Y1448" i="2" s="1"/>
  <c r="D1447" i="2"/>
  <c r="C1447" i="2"/>
  <c r="B1447" i="2"/>
  <c r="D1446" i="2"/>
  <c r="C1446" i="2"/>
  <c r="B1446" i="2"/>
  <c r="Y1446" i="2" s="1" a="1"/>
  <c r="Y1446" i="2" s="1"/>
  <c r="D1445" i="2"/>
  <c r="C1445" i="2"/>
  <c r="B1445" i="2"/>
  <c r="Y1445" i="2" s="1" a="1"/>
  <c r="Y1445" i="2" s="1"/>
  <c r="D1444" i="2"/>
  <c r="C1444" i="2"/>
  <c r="B1444" i="2"/>
  <c r="Y1444" i="2" s="1" a="1"/>
  <c r="Y1444" i="2" s="1"/>
  <c r="D1443" i="2"/>
  <c r="C1443" i="2"/>
  <c r="B1443" i="2"/>
  <c r="D1442" i="2"/>
  <c r="C1442" i="2"/>
  <c r="B1442" i="2"/>
  <c r="Y1442" i="2" s="1" a="1"/>
  <c r="Y1442" i="2" s="1"/>
  <c r="D1441" i="2"/>
  <c r="C1441" i="2"/>
  <c r="B1441" i="2"/>
  <c r="Y1441" i="2" s="1" a="1"/>
  <c r="Y1441" i="2" s="1"/>
  <c r="D1440" i="2"/>
  <c r="C1440" i="2"/>
  <c r="B1440" i="2"/>
  <c r="Y1440" i="2" s="1" a="1"/>
  <c r="Y1440" i="2" s="1"/>
  <c r="D1439" i="2"/>
  <c r="C1439" i="2"/>
  <c r="B1439" i="2"/>
  <c r="D1438" i="2"/>
  <c r="C1438" i="2"/>
  <c r="B1438" i="2"/>
  <c r="Y1438" i="2" s="1" a="1"/>
  <c r="Y1438" i="2" s="1"/>
  <c r="D1437" i="2"/>
  <c r="C1437" i="2"/>
  <c r="B1437" i="2"/>
  <c r="Y1437" i="2" s="1" a="1"/>
  <c r="Y1437" i="2" s="1"/>
  <c r="D1436" i="2"/>
  <c r="C1436" i="2"/>
  <c r="B1436" i="2"/>
  <c r="Y1436" i="2" s="1" a="1"/>
  <c r="Y1436" i="2" s="1"/>
  <c r="D1435" i="2"/>
  <c r="C1435" i="2"/>
  <c r="B1435" i="2"/>
  <c r="D1434" i="2"/>
  <c r="C1434" i="2"/>
  <c r="B1434" i="2"/>
  <c r="Y1434" i="2" s="1" a="1"/>
  <c r="Y1434" i="2" s="1"/>
  <c r="D1433" i="2"/>
  <c r="C1433" i="2"/>
  <c r="B1433" i="2"/>
  <c r="Y1433" i="2" s="1" a="1"/>
  <c r="Y1433" i="2" s="1"/>
  <c r="D1432" i="2"/>
  <c r="C1432" i="2"/>
  <c r="B1432" i="2"/>
  <c r="Y1432" i="2" s="1" a="1"/>
  <c r="Y1432" i="2" s="1"/>
  <c r="D1431" i="2"/>
  <c r="C1431" i="2"/>
  <c r="B1431" i="2"/>
  <c r="D1430" i="2"/>
  <c r="C1430" i="2"/>
  <c r="B1430" i="2"/>
  <c r="Y1430" i="2" s="1" a="1"/>
  <c r="Y1430" i="2" s="1"/>
  <c r="D1429" i="2"/>
  <c r="C1429" i="2"/>
  <c r="B1429" i="2"/>
  <c r="Y1429" i="2" s="1" a="1"/>
  <c r="Y1429" i="2" s="1"/>
  <c r="D1428" i="2"/>
  <c r="C1428" i="2"/>
  <c r="B1428" i="2"/>
  <c r="Y1428" i="2" s="1" a="1"/>
  <c r="Y1428" i="2" s="1"/>
  <c r="D1427" i="2"/>
  <c r="C1427" i="2"/>
  <c r="B1427" i="2"/>
  <c r="D1426" i="2"/>
  <c r="C1426" i="2"/>
  <c r="B1426" i="2"/>
  <c r="Y1426" i="2" s="1" a="1"/>
  <c r="Y1426" i="2" s="1"/>
  <c r="D1425" i="2"/>
  <c r="C1425" i="2"/>
  <c r="B1425" i="2"/>
  <c r="Y1425" i="2" s="1" a="1"/>
  <c r="Y1425" i="2" s="1"/>
  <c r="D1424" i="2"/>
  <c r="C1424" i="2"/>
  <c r="B1424" i="2"/>
  <c r="Y1424" i="2" s="1" a="1"/>
  <c r="Y1424" i="2" s="1"/>
  <c r="D1423" i="2"/>
  <c r="C1423" i="2"/>
  <c r="B1423" i="2"/>
  <c r="D1422" i="2"/>
  <c r="C1422" i="2"/>
  <c r="B1422" i="2"/>
  <c r="Y1422" i="2" s="1" a="1"/>
  <c r="Y1422" i="2" s="1"/>
  <c r="D1421" i="2"/>
  <c r="C1421" i="2"/>
  <c r="B1421" i="2"/>
  <c r="Y1421" i="2" s="1" a="1"/>
  <c r="Y1421" i="2" s="1"/>
  <c r="D1420" i="2"/>
  <c r="C1420" i="2"/>
  <c r="B1420" i="2"/>
  <c r="Y1420" i="2" s="1" a="1"/>
  <c r="Y1420" i="2" s="1"/>
  <c r="D1419" i="2"/>
  <c r="C1419" i="2"/>
  <c r="B1419" i="2"/>
  <c r="D1418" i="2"/>
  <c r="C1418" i="2"/>
  <c r="B1418" i="2"/>
  <c r="Y1418" i="2" s="1" a="1"/>
  <c r="Y1418" i="2" s="1"/>
  <c r="D1417" i="2"/>
  <c r="C1417" i="2"/>
  <c r="B1417" i="2"/>
  <c r="Y1417" i="2" s="1" a="1"/>
  <c r="Y1417" i="2" s="1"/>
  <c r="D1416" i="2"/>
  <c r="C1416" i="2"/>
  <c r="B1416" i="2"/>
  <c r="Y1416" i="2" s="1" a="1"/>
  <c r="Y1416" i="2" s="1"/>
  <c r="D1415" i="2"/>
  <c r="C1415" i="2"/>
  <c r="B1415" i="2"/>
  <c r="D1414" i="2"/>
  <c r="C1414" i="2"/>
  <c r="B1414" i="2"/>
  <c r="Y1414" i="2" s="1" a="1"/>
  <c r="Y1414" i="2" s="1"/>
  <c r="D1413" i="2"/>
  <c r="C1413" i="2"/>
  <c r="B1413" i="2"/>
  <c r="Y1413" i="2" s="1" a="1"/>
  <c r="Y1413" i="2" s="1"/>
  <c r="D1412" i="2"/>
  <c r="C1412" i="2"/>
  <c r="B1412" i="2"/>
  <c r="Y1412" i="2" s="1" a="1"/>
  <c r="Y1412" i="2" s="1"/>
  <c r="D1411" i="2"/>
  <c r="C1411" i="2"/>
  <c r="B1411" i="2"/>
  <c r="D1410" i="2"/>
  <c r="C1410" i="2"/>
  <c r="B1410" i="2"/>
  <c r="Y1410" i="2" s="1" a="1"/>
  <c r="Y1410" i="2" s="1"/>
  <c r="D1409" i="2"/>
  <c r="C1409" i="2"/>
  <c r="B1409" i="2"/>
  <c r="Y1409" i="2" s="1" a="1"/>
  <c r="Y1409" i="2" s="1"/>
  <c r="D1408" i="2"/>
  <c r="C1408" i="2"/>
  <c r="B1408" i="2"/>
  <c r="Y1408" i="2" s="1" a="1"/>
  <c r="Y1408" i="2" s="1"/>
  <c r="D1407" i="2"/>
  <c r="C1407" i="2"/>
  <c r="B1407" i="2"/>
  <c r="D1406" i="2"/>
  <c r="C1406" i="2"/>
  <c r="B1406" i="2"/>
  <c r="Y1406" i="2" s="1" a="1"/>
  <c r="Y1406" i="2" s="1"/>
  <c r="D1405" i="2"/>
  <c r="C1405" i="2"/>
  <c r="B1405" i="2"/>
  <c r="Y1405" i="2" s="1" a="1"/>
  <c r="Y1405" i="2" s="1"/>
  <c r="D1404" i="2"/>
  <c r="C1404" i="2"/>
  <c r="B1404" i="2"/>
  <c r="Y1404" i="2" s="1" a="1"/>
  <c r="Y1404" i="2" s="1"/>
  <c r="D1403" i="2"/>
  <c r="C1403" i="2"/>
  <c r="B1403" i="2"/>
  <c r="D1402" i="2"/>
  <c r="C1402" i="2"/>
  <c r="B1402" i="2"/>
  <c r="Y1402" i="2" s="1" a="1"/>
  <c r="Y1402" i="2" s="1"/>
  <c r="D1401" i="2"/>
  <c r="C1401" i="2"/>
  <c r="B1401" i="2"/>
  <c r="Y1401" i="2" s="1" a="1"/>
  <c r="Y1401" i="2" s="1"/>
  <c r="D1400" i="2"/>
  <c r="C1400" i="2"/>
  <c r="B1400" i="2"/>
  <c r="Y1400" i="2" s="1" a="1"/>
  <c r="Y1400" i="2" s="1"/>
  <c r="D1399" i="2"/>
  <c r="C1399" i="2"/>
  <c r="B1399" i="2"/>
  <c r="D1398" i="2"/>
  <c r="C1398" i="2"/>
  <c r="B1398" i="2"/>
  <c r="Y1398" i="2" s="1" a="1"/>
  <c r="Y1398" i="2" s="1"/>
  <c r="D1397" i="2"/>
  <c r="C1397" i="2"/>
  <c r="B1397" i="2"/>
  <c r="Y1397" i="2" s="1" a="1"/>
  <c r="Y1397" i="2" s="1"/>
  <c r="D1396" i="2"/>
  <c r="C1396" i="2"/>
  <c r="B1396" i="2"/>
  <c r="Y1396" i="2" s="1" a="1"/>
  <c r="Y1396" i="2" s="1"/>
  <c r="D1395" i="2"/>
  <c r="C1395" i="2"/>
  <c r="B1395" i="2"/>
  <c r="D1394" i="2"/>
  <c r="C1394" i="2"/>
  <c r="B1394" i="2"/>
  <c r="Y1394" i="2" s="1" a="1"/>
  <c r="Y1394" i="2" s="1"/>
  <c r="D1393" i="2"/>
  <c r="C1393" i="2"/>
  <c r="B1393" i="2"/>
  <c r="Y1393" i="2" s="1" a="1"/>
  <c r="Y1393" i="2" s="1"/>
  <c r="D1392" i="2"/>
  <c r="C1392" i="2"/>
  <c r="B1392" i="2"/>
  <c r="Y1392" i="2" s="1" a="1"/>
  <c r="Y1392" i="2" s="1"/>
  <c r="D1391" i="2"/>
  <c r="C1391" i="2"/>
  <c r="B1391" i="2"/>
  <c r="D1390" i="2"/>
  <c r="C1390" i="2"/>
  <c r="B1390" i="2"/>
  <c r="Y1390" i="2" s="1" a="1"/>
  <c r="Y1390" i="2" s="1"/>
  <c r="D1389" i="2"/>
  <c r="C1389" i="2"/>
  <c r="B1389" i="2"/>
  <c r="Y1389" i="2" s="1" a="1"/>
  <c r="Y1389" i="2" s="1"/>
  <c r="D1388" i="2"/>
  <c r="C1388" i="2"/>
  <c r="B1388" i="2"/>
  <c r="Y1388" i="2" s="1" a="1"/>
  <c r="Y1388" i="2" s="1"/>
  <c r="D1387" i="2"/>
  <c r="C1387" i="2"/>
  <c r="B1387" i="2"/>
  <c r="D1386" i="2"/>
  <c r="C1386" i="2"/>
  <c r="B1386" i="2"/>
  <c r="Y1386" i="2" s="1" a="1"/>
  <c r="Y1386" i="2" s="1"/>
  <c r="D1385" i="2"/>
  <c r="C1385" i="2"/>
  <c r="B1385" i="2"/>
  <c r="Y1385" i="2" s="1" a="1"/>
  <c r="Y1385" i="2" s="1"/>
  <c r="D1384" i="2"/>
  <c r="C1384" i="2"/>
  <c r="B1384" i="2"/>
  <c r="Y1384" i="2" s="1" a="1"/>
  <c r="Y1384" i="2" s="1"/>
  <c r="D1383" i="2"/>
  <c r="C1383" i="2"/>
  <c r="B1383" i="2"/>
  <c r="D1382" i="2"/>
  <c r="C1382" i="2"/>
  <c r="B1382" i="2"/>
  <c r="Y1382" i="2" s="1" a="1"/>
  <c r="Y1382" i="2" s="1"/>
  <c r="D1381" i="2"/>
  <c r="C1381" i="2"/>
  <c r="B1381" i="2"/>
  <c r="Y1381" i="2" s="1" a="1"/>
  <c r="Y1381" i="2" s="1"/>
  <c r="D1380" i="2"/>
  <c r="C1380" i="2"/>
  <c r="B1380" i="2"/>
  <c r="Y1380" i="2" s="1" a="1"/>
  <c r="Y1380" i="2" s="1"/>
  <c r="D1379" i="2"/>
  <c r="C1379" i="2"/>
  <c r="B1379" i="2"/>
  <c r="D1378" i="2"/>
  <c r="C1378" i="2"/>
  <c r="B1378" i="2"/>
  <c r="Y1378" i="2" s="1" a="1"/>
  <c r="Y1378" i="2" s="1"/>
  <c r="D1377" i="2"/>
  <c r="C1377" i="2"/>
  <c r="B1377" i="2"/>
  <c r="Y1377" i="2" s="1" a="1"/>
  <c r="Y1377" i="2" s="1"/>
  <c r="D1376" i="2"/>
  <c r="C1376" i="2"/>
  <c r="B1376" i="2"/>
  <c r="Y1376" i="2" s="1" a="1"/>
  <c r="Y1376" i="2" s="1"/>
  <c r="D1375" i="2"/>
  <c r="C1375" i="2"/>
  <c r="B1375" i="2"/>
  <c r="D1374" i="2"/>
  <c r="C1374" i="2"/>
  <c r="B1374" i="2"/>
  <c r="Y1374" i="2" s="1" a="1"/>
  <c r="Y1374" i="2" s="1"/>
  <c r="D1373" i="2"/>
  <c r="C1373" i="2"/>
  <c r="B1373" i="2"/>
  <c r="Y1373" i="2" s="1" a="1"/>
  <c r="Y1373" i="2" s="1"/>
  <c r="D1372" i="2"/>
  <c r="C1372" i="2"/>
  <c r="B1372" i="2"/>
  <c r="Y1372" i="2" s="1" a="1"/>
  <c r="Y1372" i="2" s="1"/>
  <c r="D1371" i="2"/>
  <c r="C1371" i="2"/>
  <c r="B1371" i="2"/>
  <c r="D1370" i="2"/>
  <c r="C1370" i="2"/>
  <c r="B1370" i="2"/>
  <c r="Y1370" i="2" s="1" a="1"/>
  <c r="Y1370" i="2" s="1"/>
  <c r="D1369" i="2"/>
  <c r="C1369" i="2"/>
  <c r="B1369" i="2"/>
  <c r="Y1369" i="2" s="1" a="1"/>
  <c r="Y1369" i="2" s="1"/>
  <c r="D1368" i="2"/>
  <c r="C1368" i="2"/>
  <c r="B1368" i="2"/>
  <c r="Y1368" i="2" s="1" a="1"/>
  <c r="Y1368" i="2" s="1"/>
  <c r="D1367" i="2"/>
  <c r="C1367" i="2"/>
  <c r="B1367" i="2"/>
  <c r="D1366" i="2"/>
  <c r="C1366" i="2"/>
  <c r="B1366" i="2"/>
  <c r="Y1366" i="2" s="1" a="1"/>
  <c r="Y1366" i="2" s="1"/>
  <c r="D1365" i="2"/>
  <c r="C1365" i="2"/>
  <c r="B1365" i="2"/>
  <c r="Y1365" i="2" s="1" a="1"/>
  <c r="Y1365" i="2" s="1"/>
  <c r="D1364" i="2"/>
  <c r="C1364" i="2"/>
  <c r="B1364" i="2"/>
  <c r="Y1364" i="2" s="1" a="1"/>
  <c r="Y1364" i="2" s="1"/>
  <c r="D1363" i="2"/>
  <c r="C1363" i="2"/>
  <c r="B1363" i="2"/>
  <c r="D1362" i="2"/>
  <c r="C1362" i="2"/>
  <c r="B1362" i="2"/>
  <c r="Y1362" i="2" s="1" a="1"/>
  <c r="Y1362" i="2" s="1"/>
  <c r="D1361" i="2"/>
  <c r="C1361" i="2"/>
  <c r="B1361" i="2"/>
  <c r="Y1361" i="2" s="1" a="1"/>
  <c r="Y1361" i="2" s="1"/>
  <c r="D1360" i="2"/>
  <c r="C1360" i="2"/>
  <c r="B1360" i="2"/>
  <c r="Y1360" i="2" s="1" a="1"/>
  <c r="Y1360" i="2" s="1"/>
  <c r="D1359" i="2"/>
  <c r="C1359" i="2"/>
  <c r="B1359" i="2"/>
  <c r="D1358" i="2"/>
  <c r="C1358" i="2"/>
  <c r="B1358" i="2"/>
  <c r="Y1358" i="2" s="1" a="1"/>
  <c r="Y1358" i="2" s="1"/>
  <c r="D1357" i="2"/>
  <c r="C1357" i="2"/>
  <c r="B1357" i="2"/>
  <c r="Y1357" i="2" s="1" a="1"/>
  <c r="Y1357" i="2" s="1"/>
  <c r="D1356" i="2"/>
  <c r="C1356" i="2"/>
  <c r="B1356" i="2"/>
  <c r="Y1356" i="2" s="1" a="1"/>
  <c r="Y1356" i="2" s="1"/>
  <c r="D1355" i="2"/>
  <c r="C1355" i="2"/>
  <c r="B1355" i="2"/>
  <c r="D1354" i="2"/>
  <c r="C1354" i="2"/>
  <c r="B1354" i="2"/>
  <c r="Y1354" i="2" s="1" a="1"/>
  <c r="Y1354" i="2" s="1"/>
  <c r="D1353" i="2"/>
  <c r="C1353" i="2"/>
  <c r="B1353" i="2"/>
  <c r="Y1353" i="2" s="1" a="1"/>
  <c r="Y1353" i="2" s="1"/>
  <c r="D1352" i="2"/>
  <c r="C1352" i="2"/>
  <c r="B1352" i="2"/>
  <c r="Y1352" i="2" s="1" a="1"/>
  <c r="Y1352" i="2" s="1"/>
  <c r="D1351" i="2"/>
  <c r="C1351" i="2"/>
  <c r="B1351" i="2"/>
  <c r="D1350" i="2"/>
  <c r="C1350" i="2"/>
  <c r="B1350" i="2"/>
  <c r="Y1350" i="2" s="1" a="1"/>
  <c r="Y1350" i="2" s="1"/>
  <c r="D1349" i="2"/>
  <c r="C1349" i="2"/>
  <c r="B1349" i="2"/>
  <c r="Y1349" i="2" s="1" a="1"/>
  <c r="Y1349" i="2" s="1"/>
  <c r="D1348" i="2"/>
  <c r="C1348" i="2"/>
  <c r="B1348" i="2"/>
  <c r="Y1348" i="2" s="1" a="1"/>
  <c r="Y1348" i="2" s="1"/>
  <c r="D1347" i="2"/>
  <c r="C1347" i="2"/>
  <c r="B1347" i="2"/>
  <c r="D1346" i="2"/>
  <c r="C1346" i="2"/>
  <c r="B1346" i="2"/>
  <c r="Y1346" i="2" s="1" a="1"/>
  <c r="Y1346" i="2" s="1"/>
  <c r="D1345" i="2"/>
  <c r="C1345" i="2"/>
  <c r="B1345" i="2"/>
  <c r="Y1345" i="2" s="1" a="1"/>
  <c r="Y1345" i="2" s="1"/>
  <c r="D1344" i="2"/>
  <c r="C1344" i="2"/>
  <c r="B1344" i="2"/>
  <c r="Y1344" i="2" s="1" a="1"/>
  <c r="Y1344" i="2" s="1"/>
  <c r="D1343" i="2"/>
  <c r="C1343" i="2"/>
  <c r="B1343" i="2"/>
  <c r="D1342" i="2"/>
  <c r="C1342" i="2"/>
  <c r="B1342" i="2"/>
  <c r="Y1342" i="2" s="1" a="1"/>
  <c r="Y1342" i="2" s="1"/>
  <c r="D1341" i="2"/>
  <c r="C1341" i="2"/>
  <c r="B1341" i="2"/>
  <c r="Y1341" i="2" s="1" a="1"/>
  <c r="Y1341" i="2" s="1"/>
  <c r="D1340" i="2"/>
  <c r="C1340" i="2"/>
  <c r="B1340" i="2"/>
  <c r="Y1340" i="2" s="1" a="1"/>
  <c r="Y1340" i="2" s="1"/>
  <c r="D1339" i="2"/>
  <c r="C1339" i="2"/>
  <c r="B1339" i="2"/>
  <c r="D1338" i="2"/>
  <c r="C1338" i="2"/>
  <c r="B1338" i="2"/>
  <c r="Y1338" i="2" s="1" a="1"/>
  <c r="Y1338" i="2" s="1"/>
  <c r="D1337" i="2"/>
  <c r="C1337" i="2"/>
  <c r="B1337" i="2"/>
  <c r="Y1337" i="2" s="1" a="1"/>
  <c r="Y1337" i="2" s="1"/>
  <c r="D1336" i="2"/>
  <c r="C1336" i="2"/>
  <c r="B1336" i="2"/>
  <c r="Y1336" i="2" s="1" a="1"/>
  <c r="Y1336" i="2" s="1"/>
  <c r="D1335" i="2"/>
  <c r="C1335" i="2"/>
  <c r="B1335" i="2"/>
  <c r="D1334" i="2"/>
  <c r="C1334" i="2"/>
  <c r="B1334" i="2"/>
  <c r="Y1334" i="2" s="1" a="1"/>
  <c r="Y1334" i="2" s="1"/>
  <c r="D1333" i="2"/>
  <c r="C1333" i="2"/>
  <c r="B1333" i="2"/>
  <c r="Y1333" i="2" s="1" a="1"/>
  <c r="Y1333" i="2" s="1"/>
  <c r="D1332" i="2"/>
  <c r="C1332" i="2"/>
  <c r="B1332" i="2"/>
  <c r="Y1332" i="2" s="1" a="1"/>
  <c r="Y1332" i="2" s="1"/>
  <c r="D1331" i="2"/>
  <c r="C1331" i="2"/>
  <c r="B1331" i="2"/>
  <c r="D1330" i="2"/>
  <c r="C1330" i="2"/>
  <c r="B1330" i="2"/>
  <c r="Y1330" i="2" s="1" a="1"/>
  <c r="Y1330" i="2" s="1"/>
  <c r="D1329" i="2"/>
  <c r="C1329" i="2"/>
  <c r="B1329" i="2"/>
  <c r="Y1329" i="2" s="1" a="1"/>
  <c r="Y1329" i="2" s="1"/>
  <c r="D1328" i="2"/>
  <c r="C1328" i="2"/>
  <c r="B1328" i="2"/>
  <c r="Y1328" i="2" s="1" a="1"/>
  <c r="Y1328" i="2" s="1"/>
  <c r="D1327" i="2"/>
  <c r="C1327" i="2"/>
  <c r="B1327" i="2"/>
  <c r="D1326" i="2"/>
  <c r="C1326" i="2"/>
  <c r="B1326" i="2"/>
  <c r="Y1326" i="2" s="1" a="1"/>
  <c r="Y1326" i="2" s="1"/>
  <c r="D1325" i="2"/>
  <c r="C1325" i="2"/>
  <c r="B1325" i="2"/>
  <c r="Y1325" i="2" s="1" a="1"/>
  <c r="Y1325" i="2" s="1"/>
  <c r="D1324" i="2"/>
  <c r="C1324" i="2"/>
  <c r="B1324" i="2"/>
  <c r="Y1324" i="2" s="1" a="1"/>
  <c r="Y1324" i="2" s="1"/>
  <c r="D1323" i="2"/>
  <c r="C1323" i="2"/>
  <c r="B1323" i="2"/>
  <c r="D1322" i="2"/>
  <c r="C1322" i="2"/>
  <c r="B1322" i="2"/>
  <c r="Y1322" i="2" s="1" a="1"/>
  <c r="Y1322" i="2" s="1"/>
  <c r="D1321" i="2"/>
  <c r="C1321" i="2"/>
  <c r="B1321" i="2"/>
  <c r="Y1321" i="2" s="1" a="1"/>
  <c r="Y1321" i="2" s="1"/>
  <c r="D1320" i="2"/>
  <c r="C1320" i="2"/>
  <c r="B1320" i="2"/>
  <c r="Y1320" i="2" s="1" a="1"/>
  <c r="Y1320" i="2" s="1"/>
  <c r="D1319" i="2"/>
  <c r="C1319" i="2"/>
  <c r="B1319" i="2"/>
  <c r="D1318" i="2"/>
  <c r="C1318" i="2"/>
  <c r="B1318" i="2"/>
  <c r="Y1318" i="2" s="1" a="1"/>
  <c r="Y1318" i="2" s="1"/>
  <c r="D1317" i="2"/>
  <c r="C1317" i="2"/>
  <c r="B1317" i="2"/>
  <c r="Y1317" i="2" s="1" a="1"/>
  <c r="Y1317" i="2" s="1"/>
  <c r="D1316" i="2"/>
  <c r="C1316" i="2"/>
  <c r="B1316" i="2"/>
  <c r="Y1316" i="2" s="1" a="1"/>
  <c r="Y1316" i="2" s="1"/>
  <c r="D1315" i="2"/>
  <c r="C1315" i="2"/>
  <c r="B1315" i="2"/>
  <c r="D1314" i="2"/>
  <c r="C1314" i="2"/>
  <c r="B1314" i="2"/>
  <c r="Y1314" i="2" s="1" a="1"/>
  <c r="Y1314" i="2" s="1"/>
  <c r="D1313" i="2"/>
  <c r="C1313" i="2"/>
  <c r="B1313" i="2"/>
  <c r="Y1313" i="2" s="1" a="1"/>
  <c r="Y1313" i="2" s="1"/>
  <c r="D1312" i="2"/>
  <c r="C1312" i="2"/>
  <c r="B1312" i="2"/>
  <c r="Y1312" i="2" s="1" a="1"/>
  <c r="Y1312" i="2" s="1"/>
  <c r="D1311" i="2"/>
  <c r="C1311" i="2"/>
  <c r="B1311" i="2"/>
  <c r="D1310" i="2"/>
  <c r="C1310" i="2"/>
  <c r="B1310" i="2"/>
  <c r="Y1310" i="2" s="1" a="1"/>
  <c r="Y1310" i="2" s="1"/>
  <c r="D1309" i="2"/>
  <c r="C1309" i="2"/>
  <c r="B1309" i="2"/>
  <c r="Y1309" i="2" s="1" a="1"/>
  <c r="Y1309" i="2" s="1"/>
  <c r="D1308" i="2"/>
  <c r="C1308" i="2"/>
  <c r="B1308" i="2"/>
  <c r="Y1308" i="2" s="1" a="1"/>
  <c r="Y1308" i="2" s="1"/>
  <c r="D1307" i="2"/>
  <c r="C1307" i="2"/>
  <c r="B1307" i="2"/>
  <c r="D1306" i="2"/>
  <c r="C1306" i="2"/>
  <c r="B1306" i="2"/>
  <c r="Y1306" i="2" s="1" a="1"/>
  <c r="Y1306" i="2" s="1"/>
  <c r="D1305" i="2"/>
  <c r="C1305" i="2"/>
  <c r="B1305" i="2"/>
  <c r="Y1305" i="2" s="1" a="1"/>
  <c r="Y1305" i="2" s="1"/>
  <c r="D1304" i="2"/>
  <c r="C1304" i="2"/>
  <c r="B1304" i="2"/>
  <c r="Y1304" i="2" s="1" a="1"/>
  <c r="Y1304" i="2" s="1"/>
  <c r="D1303" i="2"/>
  <c r="C1303" i="2"/>
  <c r="B1303" i="2"/>
  <c r="D1302" i="2"/>
  <c r="C1302" i="2"/>
  <c r="B1302" i="2"/>
  <c r="Y1302" i="2" s="1" a="1"/>
  <c r="Y1302" i="2" s="1"/>
  <c r="D1301" i="2"/>
  <c r="C1301" i="2"/>
  <c r="B1301" i="2"/>
  <c r="Y1301" i="2" s="1" a="1"/>
  <c r="Y1301" i="2" s="1"/>
  <c r="D1300" i="2"/>
  <c r="C1300" i="2"/>
  <c r="B1300" i="2"/>
  <c r="Y1300" i="2" s="1" a="1"/>
  <c r="Y1300" i="2" s="1"/>
  <c r="D1299" i="2"/>
  <c r="C1299" i="2"/>
  <c r="B1299" i="2"/>
  <c r="D1298" i="2"/>
  <c r="C1298" i="2"/>
  <c r="B1298" i="2"/>
  <c r="Y1298" i="2" s="1" a="1"/>
  <c r="Y1298" i="2" s="1"/>
  <c r="D1297" i="2"/>
  <c r="C1297" i="2"/>
  <c r="B1297" i="2"/>
  <c r="Y1297" i="2" s="1" a="1"/>
  <c r="Y1297" i="2" s="1"/>
  <c r="D1296" i="2"/>
  <c r="C1296" i="2"/>
  <c r="B1296" i="2"/>
  <c r="Y1296" i="2" s="1" a="1"/>
  <c r="Y1296" i="2" s="1"/>
  <c r="D1295" i="2"/>
  <c r="C1295" i="2"/>
  <c r="B1295" i="2"/>
  <c r="D1294" i="2"/>
  <c r="C1294" i="2"/>
  <c r="B1294" i="2"/>
  <c r="Y1294" i="2" s="1" a="1"/>
  <c r="Y1294" i="2" s="1"/>
  <c r="D1293" i="2"/>
  <c r="C1293" i="2"/>
  <c r="B1293" i="2"/>
  <c r="Y1293" i="2" s="1" a="1"/>
  <c r="Y1293" i="2" s="1"/>
  <c r="D1292" i="2"/>
  <c r="C1292" i="2"/>
  <c r="B1292" i="2"/>
  <c r="Y1292" i="2" s="1" a="1"/>
  <c r="Y1292" i="2" s="1"/>
  <c r="D1291" i="2"/>
  <c r="C1291" i="2"/>
  <c r="B1291" i="2"/>
  <c r="D1290" i="2"/>
  <c r="C1290" i="2"/>
  <c r="B1290" i="2"/>
  <c r="Y1290" i="2" s="1" a="1"/>
  <c r="Y1290" i="2" s="1"/>
  <c r="D1289" i="2"/>
  <c r="C1289" i="2"/>
  <c r="B1289" i="2"/>
  <c r="Y1289" i="2" s="1" a="1"/>
  <c r="Y1289" i="2" s="1"/>
  <c r="D1288" i="2"/>
  <c r="C1288" i="2"/>
  <c r="B1288" i="2"/>
  <c r="Y1288" i="2" s="1" a="1"/>
  <c r="Y1288" i="2" s="1"/>
  <c r="D1287" i="2"/>
  <c r="C1287" i="2"/>
  <c r="B1287" i="2"/>
  <c r="D1286" i="2"/>
  <c r="C1286" i="2"/>
  <c r="B1286" i="2"/>
  <c r="Y1286" i="2" s="1" a="1"/>
  <c r="Y1286" i="2" s="1"/>
  <c r="D1285" i="2"/>
  <c r="C1285" i="2"/>
  <c r="B1285" i="2"/>
  <c r="Y1285" i="2" s="1" a="1"/>
  <c r="Y1285" i="2" s="1"/>
  <c r="D1284" i="2"/>
  <c r="C1284" i="2"/>
  <c r="B1284" i="2"/>
  <c r="Y1284" i="2" s="1" a="1"/>
  <c r="Y1284" i="2" s="1"/>
  <c r="D1283" i="2"/>
  <c r="C1283" i="2"/>
  <c r="B1283" i="2"/>
  <c r="D1282" i="2"/>
  <c r="C1282" i="2"/>
  <c r="B1282" i="2"/>
  <c r="Y1282" i="2" s="1" a="1"/>
  <c r="Y1282" i="2" s="1"/>
  <c r="D1281" i="2"/>
  <c r="C1281" i="2"/>
  <c r="B1281" i="2"/>
  <c r="Y1281" i="2" s="1" a="1"/>
  <c r="Y1281" i="2" s="1"/>
  <c r="D1280" i="2"/>
  <c r="C1280" i="2"/>
  <c r="B1280" i="2"/>
  <c r="Y1280" i="2" s="1" a="1"/>
  <c r="Y1280" i="2" s="1"/>
  <c r="D1279" i="2"/>
  <c r="C1279" i="2"/>
  <c r="B1279" i="2"/>
  <c r="D1278" i="2"/>
  <c r="C1278" i="2"/>
  <c r="B1278" i="2"/>
  <c r="Y1278" i="2" s="1" a="1"/>
  <c r="Y1278" i="2" s="1"/>
  <c r="D1277" i="2"/>
  <c r="C1277" i="2"/>
  <c r="B1277" i="2"/>
  <c r="Y1277" i="2" s="1" a="1"/>
  <c r="Y1277" i="2" s="1"/>
  <c r="D1276" i="2"/>
  <c r="C1276" i="2"/>
  <c r="B1276" i="2"/>
  <c r="Y1276" i="2" s="1" a="1"/>
  <c r="Y1276" i="2" s="1"/>
  <c r="D1275" i="2"/>
  <c r="C1275" i="2"/>
  <c r="B1275" i="2"/>
  <c r="D1274" i="2"/>
  <c r="C1274" i="2"/>
  <c r="B1274" i="2"/>
  <c r="Y1274" i="2" s="1" a="1"/>
  <c r="Y1274" i="2" s="1"/>
  <c r="D1273" i="2"/>
  <c r="C1273" i="2"/>
  <c r="B1273" i="2"/>
  <c r="Y1273" i="2" s="1" a="1"/>
  <c r="Y1273" i="2" s="1"/>
  <c r="D1272" i="2"/>
  <c r="C1272" i="2"/>
  <c r="B1272" i="2"/>
  <c r="Y1272" i="2" s="1" a="1"/>
  <c r="Y1272" i="2" s="1"/>
  <c r="D1271" i="2"/>
  <c r="C1271" i="2"/>
  <c r="B1271" i="2"/>
  <c r="D1270" i="2"/>
  <c r="C1270" i="2"/>
  <c r="B1270" i="2"/>
  <c r="Y1270" i="2" s="1" a="1"/>
  <c r="Y1270" i="2" s="1"/>
  <c r="D1269" i="2"/>
  <c r="C1269" i="2"/>
  <c r="B1269" i="2"/>
  <c r="Y1269" i="2" s="1" a="1"/>
  <c r="Y1269" i="2" s="1"/>
  <c r="D1268" i="2"/>
  <c r="C1268" i="2"/>
  <c r="B1268" i="2"/>
  <c r="Y1268" i="2" s="1" a="1"/>
  <c r="Y1268" i="2" s="1"/>
  <c r="D1267" i="2"/>
  <c r="C1267" i="2"/>
  <c r="B1267" i="2"/>
  <c r="D1266" i="2"/>
  <c r="C1266" i="2"/>
  <c r="B1266" i="2"/>
  <c r="Y1266" i="2" s="1" a="1"/>
  <c r="Y1266" i="2" s="1"/>
  <c r="D1265" i="2"/>
  <c r="C1265" i="2"/>
  <c r="B1265" i="2"/>
  <c r="Y1265" i="2" s="1" a="1"/>
  <c r="Y1265" i="2" s="1"/>
  <c r="D1264" i="2"/>
  <c r="C1264" i="2"/>
  <c r="B1264" i="2"/>
  <c r="Y1264" i="2" s="1" a="1"/>
  <c r="Y1264" i="2" s="1"/>
  <c r="D1263" i="2"/>
  <c r="C1263" i="2"/>
  <c r="B1263" i="2"/>
  <c r="D1262" i="2"/>
  <c r="C1262" i="2"/>
  <c r="B1262" i="2"/>
  <c r="Y1262" i="2" s="1" a="1"/>
  <c r="Y1262" i="2" s="1"/>
  <c r="D1261" i="2"/>
  <c r="C1261" i="2"/>
  <c r="B1261" i="2"/>
  <c r="Y1261" i="2" s="1" a="1"/>
  <c r="Y1261" i="2" s="1"/>
  <c r="D1260" i="2"/>
  <c r="C1260" i="2"/>
  <c r="B1260" i="2"/>
  <c r="Y1260" i="2" s="1" a="1"/>
  <c r="Y1260" i="2" s="1"/>
  <c r="D1259" i="2"/>
  <c r="C1259" i="2"/>
  <c r="B1259" i="2"/>
  <c r="D1258" i="2"/>
  <c r="C1258" i="2"/>
  <c r="B1258" i="2"/>
  <c r="Y1258" i="2" s="1" a="1"/>
  <c r="Y1258" i="2" s="1"/>
  <c r="D1257" i="2"/>
  <c r="C1257" i="2"/>
  <c r="B1257" i="2"/>
  <c r="Y1257" i="2" s="1" a="1"/>
  <c r="Y1257" i="2" s="1"/>
  <c r="D1256" i="2"/>
  <c r="C1256" i="2"/>
  <c r="B1256" i="2"/>
  <c r="Y1256" i="2" s="1" a="1"/>
  <c r="Y1256" i="2" s="1"/>
  <c r="D1255" i="2"/>
  <c r="C1255" i="2"/>
  <c r="B1255" i="2"/>
  <c r="D1254" i="2"/>
  <c r="C1254" i="2"/>
  <c r="B1254" i="2"/>
  <c r="Y1254" i="2" s="1" a="1"/>
  <c r="Y1254" i="2" s="1"/>
  <c r="D1253" i="2"/>
  <c r="C1253" i="2"/>
  <c r="B1253" i="2"/>
  <c r="Y1253" i="2" s="1" a="1"/>
  <c r="Y1253" i="2" s="1"/>
  <c r="D1252" i="2"/>
  <c r="C1252" i="2"/>
  <c r="B1252" i="2"/>
  <c r="Y1252" i="2" s="1" a="1"/>
  <c r="Y1252" i="2" s="1"/>
  <c r="D1251" i="2"/>
  <c r="C1251" i="2"/>
  <c r="B1251" i="2"/>
  <c r="D1250" i="2"/>
  <c r="C1250" i="2"/>
  <c r="B1250" i="2"/>
  <c r="Y1250" i="2" s="1" a="1"/>
  <c r="Y1250" i="2" s="1"/>
  <c r="D1249" i="2"/>
  <c r="C1249" i="2"/>
  <c r="B1249" i="2"/>
  <c r="Y1249" i="2" s="1" a="1"/>
  <c r="Y1249" i="2" s="1"/>
  <c r="D1248" i="2"/>
  <c r="C1248" i="2"/>
  <c r="B1248" i="2"/>
  <c r="Y1248" i="2" s="1" a="1"/>
  <c r="Y1248" i="2" s="1"/>
  <c r="D1247" i="2"/>
  <c r="C1247" i="2"/>
  <c r="B1247" i="2"/>
  <c r="D1246" i="2"/>
  <c r="C1246" i="2"/>
  <c r="B1246" i="2"/>
  <c r="Y1246" i="2" s="1" a="1"/>
  <c r="Y1246" i="2" s="1"/>
  <c r="D1245" i="2"/>
  <c r="C1245" i="2"/>
  <c r="B1245" i="2"/>
  <c r="Y1245" i="2" s="1" a="1"/>
  <c r="Y1245" i="2" s="1"/>
  <c r="D1244" i="2"/>
  <c r="C1244" i="2"/>
  <c r="B1244" i="2"/>
  <c r="Y1244" i="2" s="1" a="1"/>
  <c r="Y1244" i="2" s="1"/>
  <c r="D1243" i="2"/>
  <c r="C1243" i="2"/>
  <c r="B1243" i="2"/>
  <c r="D1242" i="2"/>
  <c r="C1242" i="2"/>
  <c r="B1242" i="2"/>
  <c r="Y1242" i="2" s="1" a="1"/>
  <c r="Y1242" i="2" s="1"/>
  <c r="D1241" i="2"/>
  <c r="C1241" i="2"/>
  <c r="B1241" i="2"/>
  <c r="Y1241" i="2" s="1" a="1"/>
  <c r="Y1241" i="2" s="1"/>
  <c r="D1240" i="2"/>
  <c r="C1240" i="2"/>
  <c r="B1240" i="2"/>
  <c r="Y1240" i="2" s="1" a="1"/>
  <c r="Y1240" i="2" s="1"/>
  <c r="D1239" i="2"/>
  <c r="C1239" i="2"/>
  <c r="B1239" i="2"/>
  <c r="D1238" i="2"/>
  <c r="C1238" i="2"/>
  <c r="B1238" i="2"/>
  <c r="Y1238" i="2" s="1" a="1"/>
  <c r="Y1238" i="2" s="1"/>
  <c r="D1237" i="2"/>
  <c r="C1237" i="2"/>
  <c r="B1237" i="2"/>
  <c r="Y1237" i="2" s="1" a="1"/>
  <c r="Y1237" i="2" s="1"/>
  <c r="D1236" i="2"/>
  <c r="C1236" i="2"/>
  <c r="B1236" i="2"/>
  <c r="Y1236" i="2" s="1" a="1"/>
  <c r="Y1236" i="2" s="1"/>
  <c r="D1235" i="2"/>
  <c r="C1235" i="2"/>
  <c r="B1235" i="2"/>
  <c r="D1234" i="2"/>
  <c r="C1234" i="2"/>
  <c r="B1234" i="2"/>
  <c r="Y1234" i="2" s="1" a="1"/>
  <c r="Y1234" i="2" s="1"/>
  <c r="D1233" i="2"/>
  <c r="C1233" i="2"/>
  <c r="B1233" i="2"/>
  <c r="Y1233" i="2" s="1" a="1"/>
  <c r="Y1233" i="2" s="1"/>
  <c r="D1232" i="2"/>
  <c r="C1232" i="2"/>
  <c r="B1232" i="2"/>
  <c r="Y1232" i="2" s="1" a="1"/>
  <c r="Y1232" i="2" s="1"/>
  <c r="D1231" i="2"/>
  <c r="C1231" i="2"/>
  <c r="B1231" i="2"/>
  <c r="D1230" i="2"/>
  <c r="C1230" i="2"/>
  <c r="B1230" i="2"/>
  <c r="Y1230" i="2" s="1" a="1"/>
  <c r="Y1230" i="2" s="1"/>
  <c r="D1229" i="2"/>
  <c r="C1229" i="2"/>
  <c r="B1229" i="2"/>
  <c r="Y1229" i="2" s="1" a="1"/>
  <c r="Y1229" i="2" s="1"/>
  <c r="D1228" i="2"/>
  <c r="C1228" i="2"/>
  <c r="B1228" i="2"/>
  <c r="Y1228" i="2" s="1" a="1"/>
  <c r="Y1228" i="2" s="1"/>
  <c r="D1227" i="2"/>
  <c r="C1227" i="2"/>
  <c r="B1227" i="2"/>
  <c r="D1226" i="2"/>
  <c r="C1226" i="2"/>
  <c r="B1226" i="2"/>
  <c r="Y1226" i="2" s="1" a="1"/>
  <c r="Y1226" i="2" s="1"/>
  <c r="D1225" i="2"/>
  <c r="C1225" i="2"/>
  <c r="B1225" i="2"/>
  <c r="Y1225" i="2" s="1" a="1"/>
  <c r="Y1225" i="2" s="1"/>
  <c r="D1224" i="2"/>
  <c r="C1224" i="2"/>
  <c r="B1224" i="2"/>
  <c r="Y1224" i="2" s="1" a="1"/>
  <c r="Y1224" i="2" s="1"/>
  <c r="D1223" i="2"/>
  <c r="C1223" i="2"/>
  <c r="B1223" i="2"/>
  <c r="D1222" i="2"/>
  <c r="C1222" i="2"/>
  <c r="B1222" i="2"/>
  <c r="Y1222" i="2" s="1" a="1"/>
  <c r="Y1222" i="2" s="1"/>
  <c r="D1221" i="2"/>
  <c r="C1221" i="2"/>
  <c r="B1221" i="2"/>
  <c r="Y1221" i="2" s="1" a="1"/>
  <c r="Y1221" i="2" s="1"/>
  <c r="D1220" i="2"/>
  <c r="C1220" i="2"/>
  <c r="B1220" i="2"/>
  <c r="Y1220" i="2" s="1" a="1"/>
  <c r="Y1220" i="2" s="1"/>
  <c r="D1219" i="2"/>
  <c r="C1219" i="2"/>
  <c r="B1219" i="2"/>
  <c r="D1218" i="2"/>
  <c r="C1218" i="2"/>
  <c r="B1218" i="2"/>
  <c r="Y1218" i="2" s="1" a="1"/>
  <c r="Y1218" i="2" s="1"/>
  <c r="D1217" i="2"/>
  <c r="C1217" i="2"/>
  <c r="B1217" i="2"/>
  <c r="Y1217" i="2" s="1" a="1"/>
  <c r="Y1217" i="2" s="1"/>
  <c r="D1216" i="2"/>
  <c r="C1216" i="2"/>
  <c r="B1216" i="2"/>
  <c r="Y1216" i="2" s="1" a="1"/>
  <c r="Y1216" i="2" s="1"/>
  <c r="D1215" i="2"/>
  <c r="C1215" i="2"/>
  <c r="B1215" i="2"/>
  <c r="D1214" i="2"/>
  <c r="C1214" i="2"/>
  <c r="B1214" i="2"/>
  <c r="Y1214" i="2" s="1" a="1"/>
  <c r="Y1214" i="2" s="1"/>
  <c r="D1213" i="2"/>
  <c r="C1213" i="2"/>
  <c r="B1213" i="2"/>
  <c r="Y1213" i="2" s="1" a="1"/>
  <c r="Y1213" i="2" s="1"/>
  <c r="D1212" i="2"/>
  <c r="C1212" i="2"/>
  <c r="B1212" i="2"/>
  <c r="Y1212" i="2" s="1" a="1"/>
  <c r="Y1212" i="2" s="1"/>
  <c r="D1211" i="2"/>
  <c r="C1211" i="2"/>
  <c r="B1211" i="2"/>
  <c r="D1210" i="2"/>
  <c r="C1210" i="2"/>
  <c r="B1210" i="2"/>
  <c r="Y1210" i="2" s="1" a="1"/>
  <c r="Y1210" i="2" s="1"/>
  <c r="D1209" i="2"/>
  <c r="C1209" i="2"/>
  <c r="B1209" i="2"/>
  <c r="Y1209" i="2" s="1" a="1"/>
  <c r="Y1209" i="2" s="1"/>
  <c r="D1208" i="2"/>
  <c r="C1208" i="2"/>
  <c r="B1208" i="2"/>
  <c r="Y1208" i="2" s="1" a="1"/>
  <c r="Y1208" i="2" s="1"/>
  <c r="D1207" i="2"/>
  <c r="C1207" i="2"/>
  <c r="B1207" i="2"/>
  <c r="D1206" i="2"/>
  <c r="C1206" i="2"/>
  <c r="B1206" i="2"/>
  <c r="Y1206" i="2" s="1" a="1"/>
  <c r="Y1206" i="2" s="1"/>
  <c r="D1205" i="2"/>
  <c r="C1205" i="2"/>
  <c r="B1205" i="2"/>
  <c r="Y1205" i="2" s="1" a="1"/>
  <c r="Y1205" i="2" s="1"/>
  <c r="D1204" i="2"/>
  <c r="C1204" i="2"/>
  <c r="B1204" i="2"/>
  <c r="Y1204" i="2" s="1" a="1"/>
  <c r="Y1204" i="2" s="1"/>
  <c r="D1203" i="2"/>
  <c r="C1203" i="2"/>
  <c r="B1203" i="2"/>
  <c r="D1202" i="2"/>
  <c r="C1202" i="2"/>
  <c r="B1202" i="2"/>
  <c r="Y1202" i="2" s="1" a="1"/>
  <c r="Y1202" i="2" s="1"/>
  <c r="D1201" i="2"/>
  <c r="C1201" i="2"/>
  <c r="B1201" i="2"/>
  <c r="Y1201" i="2" s="1" a="1"/>
  <c r="Y1201" i="2" s="1"/>
  <c r="D1200" i="2"/>
  <c r="C1200" i="2"/>
  <c r="B1200" i="2"/>
  <c r="Y1200" i="2" s="1" a="1"/>
  <c r="Y1200" i="2" s="1"/>
  <c r="D1199" i="2"/>
  <c r="C1199" i="2"/>
  <c r="B1199" i="2"/>
  <c r="D1198" i="2"/>
  <c r="C1198" i="2"/>
  <c r="B1198" i="2"/>
  <c r="Y1198" i="2" s="1" a="1"/>
  <c r="Y1198" i="2" s="1"/>
  <c r="D1197" i="2"/>
  <c r="C1197" i="2"/>
  <c r="B1197" i="2"/>
  <c r="Y1197" i="2" s="1" a="1"/>
  <c r="Y1197" i="2" s="1"/>
  <c r="D1196" i="2"/>
  <c r="C1196" i="2"/>
  <c r="B1196" i="2"/>
  <c r="Y1196" i="2" s="1" a="1"/>
  <c r="Y1196" i="2" s="1"/>
  <c r="D1195" i="2"/>
  <c r="C1195" i="2"/>
  <c r="B1195" i="2"/>
  <c r="D1194" i="2"/>
  <c r="C1194" i="2"/>
  <c r="B1194" i="2"/>
  <c r="Y1194" i="2" s="1" a="1"/>
  <c r="Y1194" i="2" s="1"/>
  <c r="D1193" i="2"/>
  <c r="C1193" i="2"/>
  <c r="B1193" i="2"/>
  <c r="Y1193" i="2" s="1" a="1"/>
  <c r="Y1193" i="2" s="1"/>
  <c r="D1192" i="2"/>
  <c r="C1192" i="2"/>
  <c r="B1192" i="2"/>
  <c r="Y1192" i="2" s="1" a="1"/>
  <c r="Y1192" i="2" s="1"/>
  <c r="D1191" i="2"/>
  <c r="C1191" i="2"/>
  <c r="B1191" i="2"/>
  <c r="D1190" i="2"/>
  <c r="C1190" i="2"/>
  <c r="B1190" i="2"/>
  <c r="Y1190" i="2" s="1" a="1"/>
  <c r="Y1190" i="2" s="1"/>
  <c r="D1189" i="2"/>
  <c r="C1189" i="2"/>
  <c r="B1189" i="2"/>
  <c r="Y1189" i="2" s="1" a="1"/>
  <c r="Y1189" i="2" s="1"/>
  <c r="D1188" i="2"/>
  <c r="C1188" i="2"/>
  <c r="B1188" i="2"/>
  <c r="Y1188" i="2" s="1" a="1"/>
  <c r="Y1188" i="2" s="1"/>
  <c r="D1187" i="2"/>
  <c r="C1187" i="2"/>
  <c r="B1187" i="2"/>
  <c r="D1186" i="2"/>
  <c r="C1186" i="2"/>
  <c r="B1186" i="2"/>
  <c r="Y1186" i="2" s="1" a="1"/>
  <c r="Y1186" i="2" s="1"/>
  <c r="D1185" i="2"/>
  <c r="C1185" i="2"/>
  <c r="B1185" i="2"/>
  <c r="Y1185" i="2" s="1" a="1"/>
  <c r="Y1185" i="2" s="1"/>
  <c r="D1184" i="2"/>
  <c r="C1184" i="2"/>
  <c r="B1184" i="2"/>
  <c r="Y1184" i="2" s="1" a="1"/>
  <c r="Y1184" i="2" s="1"/>
  <c r="D1183" i="2"/>
  <c r="C1183" i="2"/>
  <c r="B1183" i="2"/>
  <c r="D1182" i="2"/>
  <c r="C1182" i="2"/>
  <c r="B1182" i="2"/>
  <c r="Y1182" i="2" s="1" a="1"/>
  <c r="Y1182" i="2" s="1"/>
  <c r="D1181" i="2"/>
  <c r="C1181" i="2"/>
  <c r="B1181" i="2"/>
  <c r="Y1181" i="2" s="1" a="1"/>
  <c r="Y1181" i="2" s="1"/>
  <c r="D1180" i="2"/>
  <c r="C1180" i="2"/>
  <c r="B1180" i="2"/>
  <c r="Y1180" i="2" s="1" a="1"/>
  <c r="Y1180" i="2" s="1"/>
  <c r="D1179" i="2"/>
  <c r="C1179" i="2"/>
  <c r="B1179" i="2"/>
  <c r="D1178" i="2"/>
  <c r="C1178" i="2"/>
  <c r="B1178" i="2"/>
  <c r="Y1178" i="2" s="1" a="1"/>
  <c r="Y1178" i="2" s="1"/>
  <c r="D1177" i="2"/>
  <c r="C1177" i="2"/>
  <c r="B1177" i="2"/>
  <c r="Y1177" i="2" s="1" a="1"/>
  <c r="Y1177" i="2" s="1"/>
  <c r="D1176" i="2"/>
  <c r="C1176" i="2"/>
  <c r="B1176" i="2"/>
  <c r="Y1176" i="2" s="1" a="1"/>
  <c r="Y1176" i="2" s="1"/>
  <c r="D1175" i="2"/>
  <c r="C1175" i="2"/>
  <c r="B1175" i="2"/>
  <c r="D1174" i="2"/>
  <c r="C1174" i="2"/>
  <c r="B1174" i="2"/>
  <c r="Y1174" i="2" s="1" a="1"/>
  <c r="Y1174" i="2" s="1"/>
  <c r="D1173" i="2"/>
  <c r="C1173" i="2"/>
  <c r="B1173" i="2"/>
  <c r="Y1173" i="2" s="1" a="1"/>
  <c r="Y1173" i="2" s="1"/>
  <c r="D1172" i="2"/>
  <c r="C1172" i="2"/>
  <c r="B1172" i="2"/>
  <c r="Y1172" i="2" s="1" a="1"/>
  <c r="Y1172" i="2" s="1"/>
  <c r="D1171" i="2"/>
  <c r="C1171" i="2"/>
  <c r="B1171" i="2"/>
  <c r="D1170" i="2"/>
  <c r="C1170" i="2"/>
  <c r="B1170" i="2"/>
  <c r="Y1170" i="2" s="1" a="1"/>
  <c r="Y1170" i="2" s="1"/>
  <c r="D1169" i="2"/>
  <c r="C1169" i="2"/>
  <c r="B1169" i="2"/>
  <c r="Y1169" i="2" s="1" a="1"/>
  <c r="Y1169" i="2" s="1"/>
  <c r="D1168" i="2"/>
  <c r="C1168" i="2"/>
  <c r="B1168" i="2"/>
  <c r="Y1168" i="2" s="1" a="1"/>
  <c r="Y1168" i="2" s="1"/>
  <c r="D1167" i="2"/>
  <c r="C1167" i="2"/>
  <c r="B1167" i="2"/>
  <c r="D1166" i="2"/>
  <c r="C1166" i="2"/>
  <c r="B1166" i="2"/>
  <c r="Y1166" i="2" s="1" a="1"/>
  <c r="Y1166" i="2" s="1"/>
  <c r="D1165" i="2"/>
  <c r="C1165" i="2"/>
  <c r="B1165" i="2"/>
  <c r="Y1165" i="2" s="1" a="1"/>
  <c r="Y1165" i="2" s="1"/>
  <c r="D1164" i="2"/>
  <c r="C1164" i="2"/>
  <c r="B1164" i="2"/>
  <c r="Y1164" i="2" s="1" a="1"/>
  <c r="Y1164" i="2" s="1"/>
  <c r="D1163" i="2"/>
  <c r="C1163" i="2"/>
  <c r="B1163" i="2"/>
  <c r="D1162" i="2"/>
  <c r="C1162" i="2"/>
  <c r="B1162" i="2"/>
  <c r="Y1162" i="2" s="1" a="1"/>
  <c r="Y1162" i="2" s="1"/>
  <c r="D1161" i="2"/>
  <c r="C1161" i="2"/>
  <c r="B1161" i="2"/>
  <c r="Y1161" i="2" s="1" a="1"/>
  <c r="Y1161" i="2" s="1"/>
  <c r="D1160" i="2"/>
  <c r="C1160" i="2"/>
  <c r="B1160" i="2"/>
  <c r="Y1160" i="2" s="1" a="1"/>
  <c r="Y1160" i="2" s="1"/>
  <c r="D1159" i="2"/>
  <c r="C1159" i="2"/>
  <c r="B1159" i="2"/>
  <c r="D1158" i="2"/>
  <c r="C1158" i="2"/>
  <c r="B1158" i="2"/>
  <c r="Y1158" i="2" s="1" a="1"/>
  <c r="Y1158" i="2" s="1"/>
  <c r="D1157" i="2"/>
  <c r="C1157" i="2"/>
  <c r="B1157" i="2"/>
  <c r="Y1157" i="2" s="1" a="1"/>
  <c r="Y1157" i="2" s="1"/>
  <c r="D1156" i="2"/>
  <c r="C1156" i="2"/>
  <c r="B1156" i="2"/>
  <c r="Y1156" i="2" s="1" a="1"/>
  <c r="Y1156" i="2" s="1"/>
  <c r="D1155" i="2"/>
  <c r="C1155" i="2"/>
  <c r="B1155" i="2"/>
  <c r="D1154" i="2"/>
  <c r="C1154" i="2"/>
  <c r="B1154" i="2"/>
  <c r="Y1154" i="2" s="1" a="1"/>
  <c r="Y1154" i="2" s="1"/>
  <c r="D1153" i="2"/>
  <c r="C1153" i="2"/>
  <c r="B1153" i="2"/>
  <c r="Y1153" i="2" s="1" a="1"/>
  <c r="Y1153" i="2" s="1"/>
  <c r="D1152" i="2"/>
  <c r="C1152" i="2"/>
  <c r="B1152" i="2"/>
  <c r="Y1152" i="2" s="1" a="1"/>
  <c r="Y1152" i="2" s="1"/>
  <c r="D1151" i="2"/>
  <c r="C1151" i="2"/>
  <c r="B1151" i="2"/>
  <c r="D1150" i="2"/>
  <c r="C1150" i="2"/>
  <c r="B1150" i="2"/>
  <c r="Y1150" i="2" s="1" a="1"/>
  <c r="Y1150" i="2" s="1"/>
  <c r="D1149" i="2"/>
  <c r="C1149" i="2"/>
  <c r="B1149" i="2"/>
  <c r="Y1149" i="2" s="1" a="1"/>
  <c r="Y1149" i="2" s="1"/>
  <c r="D1148" i="2"/>
  <c r="C1148" i="2"/>
  <c r="B1148" i="2"/>
  <c r="Y1148" i="2" s="1" a="1"/>
  <c r="Y1148" i="2" s="1"/>
  <c r="D1147" i="2"/>
  <c r="C1147" i="2"/>
  <c r="B1147" i="2"/>
  <c r="D1146" i="2"/>
  <c r="C1146" i="2"/>
  <c r="B1146" i="2"/>
  <c r="Y1146" i="2" s="1" a="1"/>
  <c r="Y1146" i="2" s="1"/>
  <c r="D1145" i="2"/>
  <c r="C1145" i="2"/>
  <c r="B1145" i="2"/>
  <c r="Y1145" i="2" s="1" a="1"/>
  <c r="Y1145" i="2" s="1"/>
  <c r="D1144" i="2"/>
  <c r="C1144" i="2"/>
  <c r="B1144" i="2"/>
  <c r="Y1144" i="2" s="1" a="1"/>
  <c r="Y1144" i="2" s="1"/>
  <c r="D1143" i="2"/>
  <c r="C1143" i="2"/>
  <c r="B1143" i="2"/>
  <c r="D1142" i="2"/>
  <c r="C1142" i="2"/>
  <c r="B1142" i="2"/>
  <c r="Y1142" i="2" s="1" a="1"/>
  <c r="Y1142" i="2" s="1"/>
  <c r="D1141" i="2"/>
  <c r="C1141" i="2"/>
  <c r="B1141" i="2"/>
  <c r="Y1141" i="2" s="1" a="1"/>
  <c r="Y1141" i="2" s="1"/>
  <c r="D1140" i="2"/>
  <c r="C1140" i="2"/>
  <c r="B1140" i="2"/>
  <c r="Y1140" i="2" s="1" a="1"/>
  <c r="Y1140" i="2" s="1"/>
  <c r="D1139" i="2"/>
  <c r="C1139" i="2"/>
  <c r="B1139" i="2"/>
  <c r="D1138" i="2"/>
  <c r="C1138" i="2"/>
  <c r="B1138" i="2"/>
  <c r="Y1138" i="2" s="1" a="1"/>
  <c r="Y1138" i="2" s="1"/>
  <c r="D1137" i="2"/>
  <c r="C1137" i="2"/>
  <c r="B1137" i="2"/>
  <c r="Y1137" i="2" s="1" a="1"/>
  <c r="Y1137" i="2" s="1"/>
  <c r="D1136" i="2"/>
  <c r="C1136" i="2"/>
  <c r="B1136" i="2"/>
  <c r="Y1136" i="2" s="1" a="1"/>
  <c r="Y1136" i="2" s="1"/>
  <c r="D1135" i="2"/>
  <c r="C1135" i="2"/>
  <c r="B1135" i="2"/>
  <c r="D1134" i="2"/>
  <c r="C1134" i="2"/>
  <c r="B1134" i="2"/>
  <c r="Y1134" i="2" s="1" a="1"/>
  <c r="Y1134" i="2" s="1"/>
  <c r="D1133" i="2"/>
  <c r="C1133" i="2"/>
  <c r="B1133" i="2"/>
  <c r="Y1133" i="2" s="1" a="1"/>
  <c r="Y1133" i="2" s="1"/>
  <c r="D1132" i="2"/>
  <c r="C1132" i="2"/>
  <c r="B1132" i="2"/>
  <c r="Y1132" i="2" s="1" a="1"/>
  <c r="Y1132" i="2" s="1"/>
  <c r="D1131" i="2"/>
  <c r="C1131" i="2"/>
  <c r="B1131" i="2"/>
  <c r="D1130" i="2"/>
  <c r="C1130" i="2"/>
  <c r="B1130" i="2"/>
  <c r="Y1130" i="2" s="1" a="1"/>
  <c r="Y1130" i="2" s="1"/>
  <c r="D1129" i="2"/>
  <c r="C1129" i="2"/>
  <c r="B1129" i="2"/>
  <c r="Y1129" i="2" s="1" a="1"/>
  <c r="Y1129" i="2" s="1"/>
  <c r="D1128" i="2"/>
  <c r="C1128" i="2"/>
  <c r="B1128" i="2"/>
  <c r="Y1128" i="2" s="1" a="1"/>
  <c r="Y1128" i="2" s="1"/>
  <c r="D1127" i="2"/>
  <c r="C1127" i="2"/>
  <c r="B1127" i="2"/>
  <c r="D1126" i="2"/>
  <c r="C1126" i="2"/>
  <c r="B1126" i="2"/>
  <c r="Y1126" i="2" s="1" a="1"/>
  <c r="Y1126" i="2" s="1"/>
  <c r="D1125" i="2"/>
  <c r="C1125" i="2"/>
  <c r="B1125" i="2"/>
  <c r="Y1125" i="2" s="1" a="1"/>
  <c r="Y1125" i="2" s="1"/>
  <c r="D1124" i="2"/>
  <c r="C1124" i="2"/>
  <c r="B1124" i="2"/>
  <c r="Y1124" i="2" s="1" a="1"/>
  <c r="Y1124" i="2" s="1"/>
  <c r="D1123" i="2"/>
  <c r="C1123" i="2"/>
  <c r="B1123" i="2"/>
  <c r="D1122" i="2"/>
  <c r="C1122" i="2"/>
  <c r="B1122" i="2"/>
  <c r="Y1122" i="2" s="1" a="1"/>
  <c r="Y1122" i="2" s="1"/>
  <c r="D1121" i="2"/>
  <c r="C1121" i="2"/>
  <c r="B1121" i="2"/>
  <c r="Y1121" i="2" s="1" a="1"/>
  <c r="Y1121" i="2" s="1"/>
  <c r="D1120" i="2"/>
  <c r="C1120" i="2"/>
  <c r="B1120" i="2"/>
  <c r="Y1120" i="2" s="1" a="1"/>
  <c r="Y1120" i="2" s="1"/>
  <c r="D1119" i="2"/>
  <c r="C1119" i="2"/>
  <c r="B1119" i="2"/>
  <c r="D1118" i="2"/>
  <c r="C1118" i="2"/>
  <c r="B1118" i="2"/>
  <c r="Y1118" i="2" s="1" a="1"/>
  <c r="Y1118" i="2" s="1"/>
  <c r="D1117" i="2"/>
  <c r="C1117" i="2"/>
  <c r="B1117" i="2"/>
  <c r="Y1117" i="2" s="1" a="1"/>
  <c r="Y1117" i="2" s="1"/>
  <c r="D1116" i="2"/>
  <c r="C1116" i="2"/>
  <c r="B1116" i="2"/>
  <c r="Y1116" i="2" s="1" a="1"/>
  <c r="Y1116" i="2" s="1"/>
  <c r="D1115" i="2"/>
  <c r="C1115" i="2"/>
  <c r="B1115" i="2"/>
  <c r="D1114" i="2"/>
  <c r="C1114" i="2"/>
  <c r="B1114" i="2"/>
  <c r="Y1114" i="2" s="1" a="1"/>
  <c r="Y1114" i="2" s="1"/>
  <c r="D1113" i="2"/>
  <c r="C1113" i="2"/>
  <c r="B1113" i="2"/>
  <c r="Y1113" i="2" s="1" a="1"/>
  <c r="Y1113" i="2" s="1"/>
  <c r="D1112" i="2"/>
  <c r="C1112" i="2"/>
  <c r="B1112" i="2"/>
  <c r="Y1112" i="2" s="1" a="1"/>
  <c r="Y1112" i="2" s="1"/>
  <c r="D1111" i="2"/>
  <c r="C1111" i="2"/>
  <c r="B1111" i="2"/>
  <c r="D1110" i="2"/>
  <c r="C1110" i="2"/>
  <c r="B1110" i="2"/>
  <c r="Y1110" i="2" s="1" a="1"/>
  <c r="Y1110" i="2" s="1"/>
  <c r="D1109" i="2"/>
  <c r="C1109" i="2"/>
  <c r="B1109" i="2"/>
  <c r="Y1109" i="2" s="1" a="1"/>
  <c r="Y1109" i="2" s="1"/>
  <c r="D1108" i="2"/>
  <c r="C1108" i="2"/>
  <c r="B1108" i="2"/>
  <c r="Y1108" i="2" s="1" a="1"/>
  <c r="Y1108" i="2" s="1"/>
  <c r="D1107" i="2"/>
  <c r="C1107" i="2"/>
  <c r="B1107" i="2"/>
  <c r="D1106" i="2"/>
  <c r="C1106" i="2"/>
  <c r="B1106" i="2"/>
  <c r="Y1106" i="2" s="1" a="1"/>
  <c r="Y1106" i="2" s="1"/>
  <c r="D1105" i="2"/>
  <c r="C1105" i="2"/>
  <c r="B1105" i="2"/>
  <c r="Y1105" i="2" s="1" a="1"/>
  <c r="Y1105" i="2" s="1"/>
  <c r="D1104" i="2"/>
  <c r="C1104" i="2"/>
  <c r="B1104" i="2"/>
  <c r="Y1104" i="2" s="1" a="1"/>
  <c r="Y1104" i="2" s="1"/>
  <c r="D1103" i="2"/>
  <c r="C1103" i="2"/>
  <c r="B1103" i="2"/>
  <c r="D1102" i="2"/>
  <c r="C1102" i="2"/>
  <c r="B1102" i="2"/>
  <c r="Y1102" i="2" s="1" a="1"/>
  <c r="Y1102" i="2" s="1"/>
  <c r="D1101" i="2"/>
  <c r="C1101" i="2"/>
  <c r="B1101" i="2"/>
  <c r="Y1101" i="2" s="1" a="1"/>
  <c r="Y1101" i="2" s="1"/>
  <c r="D1100" i="2"/>
  <c r="C1100" i="2"/>
  <c r="B1100" i="2"/>
  <c r="Y1100" i="2" s="1" a="1"/>
  <c r="Y1100" i="2" s="1"/>
  <c r="D1099" i="2"/>
  <c r="C1099" i="2"/>
  <c r="B1099" i="2"/>
  <c r="D1098" i="2"/>
  <c r="C1098" i="2"/>
  <c r="B1098" i="2"/>
  <c r="Y1098" i="2" s="1" a="1"/>
  <c r="Y1098" i="2" s="1"/>
  <c r="D1097" i="2"/>
  <c r="C1097" i="2"/>
  <c r="B1097" i="2"/>
  <c r="Y1097" i="2" s="1" a="1"/>
  <c r="Y1097" i="2" s="1"/>
  <c r="D1096" i="2"/>
  <c r="C1096" i="2"/>
  <c r="B1096" i="2"/>
  <c r="Y1096" i="2" s="1" a="1"/>
  <c r="Y1096" i="2" s="1"/>
  <c r="D1095" i="2"/>
  <c r="C1095" i="2"/>
  <c r="B1095" i="2"/>
  <c r="D1094" i="2"/>
  <c r="C1094" i="2"/>
  <c r="B1094" i="2"/>
  <c r="Y1094" i="2" s="1" a="1"/>
  <c r="Y1094" i="2" s="1"/>
  <c r="D1093" i="2"/>
  <c r="C1093" i="2"/>
  <c r="B1093" i="2"/>
  <c r="Y1093" i="2" s="1" a="1"/>
  <c r="Y1093" i="2" s="1"/>
  <c r="D1092" i="2"/>
  <c r="C1092" i="2"/>
  <c r="B1092" i="2"/>
  <c r="Y1092" i="2" s="1" a="1"/>
  <c r="Y1092" i="2" s="1"/>
  <c r="D1091" i="2"/>
  <c r="C1091" i="2"/>
  <c r="B1091" i="2"/>
  <c r="D1090" i="2"/>
  <c r="C1090" i="2"/>
  <c r="B1090" i="2"/>
  <c r="Y1090" i="2" s="1" a="1"/>
  <c r="Y1090" i="2" s="1"/>
  <c r="D1089" i="2"/>
  <c r="C1089" i="2"/>
  <c r="B1089" i="2"/>
  <c r="Y1089" i="2" s="1" a="1"/>
  <c r="Y1089" i="2" s="1"/>
  <c r="D1088" i="2"/>
  <c r="C1088" i="2"/>
  <c r="B1088" i="2"/>
  <c r="Y1088" i="2" s="1" a="1"/>
  <c r="Y1088" i="2" s="1"/>
  <c r="D1087" i="2"/>
  <c r="C1087" i="2"/>
  <c r="B1087" i="2"/>
  <c r="D1086" i="2"/>
  <c r="C1086" i="2"/>
  <c r="B1086" i="2"/>
  <c r="Y1086" i="2" s="1" a="1"/>
  <c r="Y1086" i="2" s="1"/>
  <c r="D1085" i="2"/>
  <c r="C1085" i="2"/>
  <c r="B1085" i="2"/>
  <c r="Y1085" i="2" s="1" a="1"/>
  <c r="Y1085" i="2" s="1"/>
  <c r="D1084" i="2"/>
  <c r="C1084" i="2"/>
  <c r="B1084" i="2"/>
  <c r="Y1084" i="2" s="1" a="1"/>
  <c r="Y1084" i="2" s="1"/>
  <c r="D1083" i="2"/>
  <c r="C1083" i="2"/>
  <c r="B1083" i="2"/>
  <c r="D1082" i="2"/>
  <c r="C1082" i="2"/>
  <c r="B1082" i="2"/>
  <c r="Y1082" i="2" s="1" a="1"/>
  <c r="Y1082" i="2" s="1"/>
  <c r="D1081" i="2"/>
  <c r="C1081" i="2"/>
  <c r="B1081" i="2"/>
  <c r="Y1081" i="2" s="1" a="1"/>
  <c r="Y1081" i="2" s="1"/>
  <c r="D1080" i="2"/>
  <c r="C1080" i="2"/>
  <c r="B1080" i="2"/>
  <c r="Y1080" i="2" s="1" a="1"/>
  <c r="Y1080" i="2" s="1"/>
  <c r="D1079" i="2"/>
  <c r="C1079" i="2"/>
  <c r="B1079" i="2"/>
  <c r="D1078" i="2"/>
  <c r="C1078" i="2"/>
  <c r="B1078" i="2"/>
  <c r="Y1078" i="2" s="1" a="1"/>
  <c r="Y1078" i="2" s="1"/>
  <c r="D1077" i="2"/>
  <c r="C1077" i="2"/>
  <c r="B1077" i="2"/>
  <c r="Y1077" i="2" s="1" a="1"/>
  <c r="Y1077" i="2" s="1"/>
  <c r="D1076" i="2"/>
  <c r="C1076" i="2"/>
  <c r="B1076" i="2"/>
  <c r="Y1076" i="2" s="1" a="1"/>
  <c r="Y1076" i="2" s="1"/>
  <c r="D1075" i="2"/>
  <c r="C1075" i="2"/>
  <c r="B1075" i="2"/>
  <c r="D1074" i="2"/>
  <c r="C1074" i="2"/>
  <c r="B1074" i="2"/>
  <c r="Y1074" i="2" s="1" a="1"/>
  <c r="Y1074" i="2" s="1"/>
  <c r="D1073" i="2"/>
  <c r="C1073" i="2"/>
  <c r="B1073" i="2"/>
  <c r="Y1073" i="2" s="1" a="1"/>
  <c r="Y1073" i="2" s="1"/>
  <c r="D1072" i="2"/>
  <c r="C1072" i="2"/>
  <c r="B1072" i="2"/>
  <c r="Y1072" i="2" s="1" a="1"/>
  <c r="Y1072" i="2" s="1"/>
  <c r="D1071" i="2"/>
  <c r="C1071" i="2"/>
  <c r="B1071" i="2"/>
  <c r="D1070" i="2"/>
  <c r="C1070" i="2"/>
  <c r="B1070" i="2"/>
  <c r="Y1070" i="2" s="1" a="1"/>
  <c r="Y1070" i="2" s="1"/>
  <c r="D1069" i="2"/>
  <c r="C1069" i="2"/>
  <c r="B1069" i="2"/>
  <c r="Y1069" i="2" s="1" a="1"/>
  <c r="Y1069" i="2" s="1"/>
  <c r="D1068" i="2"/>
  <c r="C1068" i="2"/>
  <c r="B1068" i="2"/>
  <c r="Y1068" i="2" s="1" a="1"/>
  <c r="Y1068" i="2" s="1"/>
  <c r="D1067" i="2"/>
  <c r="C1067" i="2"/>
  <c r="B1067" i="2"/>
  <c r="D1066" i="2"/>
  <c r="C1066" i="2"/>
  <c r="B1066" i="2"/>
  <c r="Y1066" i="2" s="1" a="1"/>
  <c r="Y1066" i="2" s="1"/>
  <c r="D1065" i="2"/>
  <c r="C1065" i="2"/>
  <c r="B1065" i="2"/>
  <c r="Y1065" i="2" s="1" a="1"/>
  <c r="Y1065" i="2" s="1"/>
  <c r="D1064" i="2"/>
  <c r="C1064" i="2"/>
  <c r="B1064" i="2"/>
  <c r="Y1064" i="2" s="1" a="1"/>
  <c r="Y1064" i="2" s="1"/>
  <c r="D1063" i="2"/>
  <c r="C1063" i="2"/>
  <c r="B1063" i="2"/>
  <c r="D1062" i="2"/>
  <c r="C1062" i="2"/>
  <c r="B1062" i="2"/>
  <c r="Y1062" i="2" s="1" a="1"/>
  <c r="Y1062" i="2" s="1"/>
  <c r="D1061" i="2"/>
  <c r="C1061" i="2"/>
  <c r="B1061" i="2"/>
  <c r="Y1061" i="2" s="1" a="1"/>
  <c r="Y1061" i="2" s="1"/>
  <c r="D1060" i="2"/>
  <c r="C1060" i="2"/>
  <c r="B1060" i="2"/>
  <c r="Y1060" i="2" s="1" a="1"/>
  <c r="Y1060" i="2" s="1"/>
  <c r="D1059" i="2"/>
  <c r="C1059" i="2"/>
  <c r="B1059" i="2"/>
  <c r="D1058" i="2"/>
  <c r="C1058" i="2"/>
  <c r="B1058" i="2"/>
  <c r="Y1058" i="2" s="1" a="1"/>
  <c r="Y1058" i="2" s="1"/>
  <c r="D1057" i="2"/>
  <c r="C1057" i="2"/>
  <c r="B1057" i="2"/>
  <c r="Y1057" i="2" s="1" a="1"/>
  <c r="Y1057" i="2" s="1"/>
  <c r="D1056" i="2"/>
  <c r="C1056" i="2"/>
  <c r="B1056" i="2"/>
  <c r="Y1056" i="2" s="1" a="1"/>
  <c r="Y1056" i="2" s="1"/>
  <c r="D1055" i="2"/>
  <c r="C1055" i="2"/>
  <c r="B1055" i="2"/>
  <c r="D1054" i="2"/>
  <c r="C1054" i="2"/>
  <c r="B1054" i="2"/>
  <c r="Y1054" i="2" s="1" a="1"/>
  <c r="Y1054" i="2" s="1"/>
  <c r="D1053" i="2"/>
  <c r="C1053" i="2"/>
  <c r="B1053" i="2"/>
  <c r="Y1053" i="2" s="1" a="1"/>
  <c r="Y1053" i="2" s="1"/>
  <c r="D1052" i="2"/>
  <c r="C1052" i="2"/>
  <c r="B1052" i="2"/>
  <c r="Y1052" i="2" s="1" a="1"/>
  <c r="Y1052" i="2" s="1"/>
  <c r="D1051" i="2"/>
  <c r="C1051" i="2"/>
  <c r="B1051" i="2"/>
  <c r="D1050" i="2"/>
  <c r="C1050" i="2"/>
  <c r="B1050" i="2"/>
  <c r="Y1050" i="2" s="1" a="1"/>
  <c r="Y1050" i="2" s="1"/>
  <c r="D1049" i="2"/>
  <c r="C1049" i="2"/>
  <c r="B1049" i="2"/>
  <c r="Y1049" i="2" s="1" a="1"/>
  <c r="Y1049" i="2" s="1"/>
  <c r="D1048" i="2"/>
  <c r="C1048" i="2"/>
  <c r="B1048" i="2"/>
  <c r="Y1048" i="2" s="1" a="1"/>
  <c r="Y1048" i="2" s="1"/>
  <c r="D1047" i="2"/>
  <c r="C1047" i="2"/>
  <c r="B1047" i="2"/>
  <c r="D1046" i="2"/>
  <c r="C1046" i="2"/>
  <c r="B1046" i="2"/>
  <c r="Y1046" i="2" s="1" a="1"/>
  <c r="Y1046" i="2" s="1"/>
  <c r="D1045" i="2"/>
  <c r="C1045" i="2"/>
  <c r="B1045" i="2"/>
  <c r="Y1045" i="2" s="1" a="1"/>
  <c r="Y1045" i="2" s="1"/>
  <c r="D1044" i="2"/>
  <c r="C1044" i="2"/>
  <c r="B1044" i="2"/>
  <c r="Y1044" i="2" s="1" a="1"/>
  <c r="Y1044" i="2" s="1"/>
  <c r="D1043" i="2"/>
  <c r="C1043" i="2"/>
  <c r="B1043" i="2"/>
  <c r="D1042" i="2"/>
  <c r="C1042" i="2"/>
  <c r="B1042" i="2"/>
  <c r="Y1042" i="2" s="1" a="1"/>
  <c r="Y1042" i="2" s="1"/>
  <c r="D1041" i="2"/>
  <c r="C1041" i="2"/>
  <c r="B1041" i="2"/>
  <c r="Y1041" i="2" s="1" a="1"/>
  <c r="Y1041" i="2" s="1"/>
  <c r="D1040" i="2"/>
  <c r="C1040" i="2"/>
  <c r="B1040" i="2"/>
  <c r="Y1040" i="2" s="1" a="1"/>
  <c r="Y1040" i="2" s="1"/>
  <c r="D1039" i="2"/>
  <c r="C1039" i="2"/>
  <c r="B1039" i="2"/>
  <c r="D1038" i="2"/>
  <c r="C1038" i="2"/>
  <c r="B1038" i="2"/>
  <c r="Y1038" i="2" s="1" a="1"/>
  <c r="Y1038" i="2" s="1"/>
  <c r="D1037" i="2"/>
  <c r="C1037" i="2"/>
  <c r="B1037" i="2"/>
  <c r="Y1037" i="2" s="1" a="1"/>
  <c r="Y1037" i="2" s="1"/>
  <c r="D1036" i="2"/>
  <c r="C1036" i="2"/>
  <c r="B1036" i="2"/>
  <c r="Y1036" i="2" s="1" a="1"/>
  <c r="Y1036" i="2" s="1"/>
  <c r="D1035" i="2"/>
  <c r="C1035" i="2"/>
  <c r="B1035" i="2"/>
  <c r="D1034" i="2"/>
  <c r="C1034" i="2"/>
  <c r="B1034" i="2"/>
  <c r="Y1034" i="2" s="1" a="1"/>
  <c r="Y1034" i="2" s="1"/>
  <c r="D1033" i="2"/>
  <c r="C1033" i="2"/>
  <c r="B1033" i="2"/>
  <c r="Y1033" i="2" s="1" a="1"/>
  <c r="Y1033" i="2" s="1"/>
  <c r="D1032" i="2"/>
  <c r="C1032" i="2"/>
  <c r="B1032" i="2"/>
  <c r="Y1032" i="2" s="1" a="1"/>
  <c r="Y1032" i="2" s="1"/>
  <c r="D1031" i="2"/>
  <c r="C1031" i="2"/>
  <c r="B1031" i="2"/>
  <c r="D1030" i="2"/>
  <c r="C1030" i="2"/>
  <c r="B1030" i="2"/>
  <c r="Y1030" i="2" s="1" a="1"/>
  <c r="Y1030" i="2" s="1"/>
  <c r="D1029" i="2"/>
  <c r="C1029" i="2"/>
  <c r="B1029" i="2"/>
  <c r="Y1029" i="2" s="1" a="1"/>
  <c r="Y1029" i="2" s="1"/>
  <c r="D1028" i="2"/>
  <c r="C1028" i="2"/>
  <c r="B1028" i="2"/>
  <c r="Y1028" i="2" s="1" a="1"/>
  <c r="Y1028" i="2" s="1"/>
  <c r="D1027" i="2"/>
  <c r="C1027" i="2"/>
  <c r="B1027" i="2"/>
  <c r="D1026" i="2"/>
  <c r="C1026" i="2"/>
  <c r="B1026" i="2"/>
  <c r="Y1026" i="2" s="1" a="1"/>
  <c r="Y1026" i="2" s="1"/>
  <c r="D1025" i="2"/>
  <c r="C1025" i="2"/>
  <c r="B1025" i="2"/>
  <c r="Y1025" i="2" s="1" a="1"/>
  <c r="Y1025" i="2" s="1"/>
  <c r="D1024" i="2"/>
  <c r="C1024" i="2"/>
  <c r="B1024" i="2"/>
  <c r="Y1024" i="2" s="1" a="1"/>
  <c r="Y1024" i="2" s="1"/>
  <c r="D1023" i="2"/>
  <c r="C1023" i="2"/>
  <c r="B1023" i="2"/>
  <c r="D1022" i="2"/>
  <c r="C1022" i="2"/>
  <c r="B1022" i="2"/>
  <c r="Y1022" i="2" s="1" a="1"/>
  <c r="Y1022" i="2" s="1"/>
  <c r="D1021" i="2"/>
  <c r="C1021" i="2"/>
  <c r="B1021" i="2"/>
  <c r="Y1021" i="2" s="1" a="1"/>
  <c r="Y1021" i="2" s="1"/>
  <c r="D1020" i="2"/>
  <c r="C1020" i="2"/>
  <c r="B1020" i="2"/>
  <c r="Y1020" i="2" s="1" a="1"/>
  <c r="Y1020" i="2" s="1"/>
  <c r="D1019" i="2"/>
  <c r="C1019" i="2"/>
  <c r="B1019" i="2"/>
  <c r="D1018" i="2"/>
  <c r="C1018" i="2"/>
  <c r="B1018" i="2"/>
  <c r="Y1018" i="2" s="1" a="1"/>
  <c r="Y1018" i="2" s="1"/>
  <c r="D1017" i="2"/>
  <c r="C1017" i="2"/>
  <c r="B1017" i="2"/>
  <c r="Y1017" i="2" s="1" a="1"/>
  <c r="Y1017" i="2" s="1"/>
  <c r="D1016" i="2"/>
  <c r="C1016" i="2"/>
  <c r="B1016" i="2"/>
  <c r="Y1016" i="2" s="1" a="1"/>
  <c r="Y1016" i="2" s="1"/>
  <c r="D1015" i="2"/>
  <c r="C1015" i="2"/>
  <c r="B1015" i="2"/>
  <c r="D1014" i="2"/>
  <c r="C1014" i="2"/>
  <c r="B1014" i="2"/>
  <c r="Y1014" i="2" s="1" a="1"/>
  <c r="Y1014" i="2" s="1"/>
  <c r="D1013" i="2"/>
  <c r="C1013" i="2"/>
  <c r="B1013" i="2"/>
  <c r="Y1013" i="2" s="1" a="1"/>
  <c r="Y1013" i="2" s="1"/>
  <c r="D1012" i="2"/>
  <c r="C1012" i="2"/>
  <c r="B1012" i="2"/>
  <c r="Y1012" i="2" s="1" a="1"/>
  <c r="Y1012" i="2" s="1"/>
  <c r="D1011" i="2"/>
  <c r="C1011" i="2"/>
  <c r="B1011" i="2"/>
  <c r="D1010" i="2"/>
  <c r="C1010" i="2"/>
  <c r="B1010" i="2"/>
  <c r="Y1010" i="2" s="1" a="1"/>
  <c r="Y1010" i="2" s="1"/>
  <c r="D1009" i="2"/>
  <c r="C1009" i="2"/>
  <c r="B1009" i="2"/>
  <c r="Y1009" i="2" s="1" a="1"/>
  <c r="Y1009" i="2" s="1"/>
  <c r="D1008" i="2"/>
  <c r="C1008" i="2"/>
  <c r="B1008" i="2"/>
  <c r="Y1008" i="2" s="1" a="1"/>
  <c r="Y1008" i="2" s="1"/>
  <c r="D1007" i="2"/>
  <c r="C1007" i="2"/>
  <c r="B1007" i="2"/>
  <c r="D1006" i="2"/>
  <c r="C1006" i="2"/>
  <c r="B1006" i="2"/>
  <c r="Y1006" i="2" s="1" a="1"/>
  <c r="Y1006" i="2" s="1"/>
  <c r="D1005" i="2"/>
  <c r="C1005" i="2"/>
  <c r="B1005" i="2"/>
  <c r="Y1005" i="2" s="1" a="1"/>
  <c r="Y1005" i="2" s="1"/>
  <c r="D1004" i="2"/>
  <c r="C1004" i="2"/>
  <c r="B1004" i="2"/>
  <c r="Y1004" i="2" s="1" a="1"/>
  <c r="Y1004" i="2" s="1"/>
  <c r="D1003" i="2"/>
  <c r="C1003" i="2"/>
  <c r="B1003" i="2"/>
  <c r="D1002" i="2"/>
  <c r="C1002" i="2"/>
  <c r="B1002" i="2"/>
  <c r="Y1002" i="2" s="1" a="1"/>
  <c r="Y1002" i="2" s="1"/>
  <c r="D1001" i="2"/>
  <c r="C1001" i="2"/>
  <c r="B1001" i="2"/>
  <c r="Y1001" i="2" s="1" a="1"/>
  <c r="Y1001" i="2" s="1"/>
  <c r="D1000" i="2"/>
  <c r="C1000" i="2"/>
  <c r="B1000" i="2"/>
  <c r="Y1000" i="2" s="1" a="1"/>
  <c r="Y1000" i="2" s="1"/>
  <c r="D999" i="2"/>
  <c r="C999" i="2"/>
  <c r="B999" i="2"/>
  <c r="D998" i="2"/>
  <c r="C998" i="2"/>
  <c r="B998" i="2"/>
  <c r="Y998" i="2" s="1" a="1"/>
  <c r="Y998" i="2" s="1"/>
  <c r="D997" i="2"/>
  <c r="C997" i="2"/>
  <c r="B997" i="2"/>
  <c r="Y997" i="2" s="1" a="1"/>
  <c r="Y997" i="2" s="1"/>
  <c r="D996" i="2"/>
  <c r="C996" i="2"/>
  <c r="B996" i="2"/>
  <c r="Y996" i="2" s="1" a="1"/>
  <c r="Y996" i="2" s="1"/>
  <c r="D995" i="2"/>
  <c r="C995" i="2"/>
  <c r="B995" i="2"/>
  <c r="D994" i="2"/>
  <c r="C994" i="2"/>
  <c r="B994" i="2"/>
  <c r="Y994" i="2" s="1" a="1"/>
  <c r="Y994" i="2" s="1"/>
  <c r="D993" i="2"/>
  <c r="C993" i="2"/>
  <c r="B993" i="2"/>
  <c r="Y993" i="2" s="1" a="1"/>
  <c r="Y993" i="2" s="1"/>
  <c r="D992" i="2"/>
  <c r="C992" i="2"/>
  <c r="B992" i="2"/>
  <c r="Y992" i="2" s="1" a="1"/>
  <c r="Y992" i="2" s="1"/>
  <c r="D991" i="2"/>
  <c r="C991" i="2"/>
  <c r="B991" i="2"/>
  <c r="D990" i="2"/>
  <c r="C990" i="2"/>
  <c r="B990" i="2"/>
  <c r="Y990" i="2" s="1" a="1"/>
  <c r="Y990" i="2" s="1"/>
  <c r="D989" i="2"/>
  <c r="C989" i="2"/>
  <c r="B989" i="2"/>
  <c r="Y989" i="2" s="1" a="1"/>
  <c r="Y989" i="2" s="1"/>
  <c r="D988" i="2"/>
  <c r="C988" i="2"/>
  <c r="B988" i="2"/>
  <c r="Y988" i="2" s="1" a="1"/>
  <c r="Y988" i="2" s="1"/>
  <c r="D987" i="2"/>
  <c r="C987" i="2"/>
  <c r="B987" i="2"/>
  <c r="D986" i="2"/>
  <c r="C986" i="2"/>
  <c r="B986" i="2"/>
  <c r="Y986" i="2" s="1" a="1"/>
  <c r="Y986" i="2" s="1"/>
  <c r="D985" i="2"/>
  <c r="C985" i="2"/>
  <c r="B985" i="2"/>
  <c r="Y985" i="2" s="1" a="1"/>
  <c r="Y985" i="2" s="1"/>
  <c r="D984" i="2"/>
  <c r="C984" i="2"/>
  <c r="B984" i="2"/>
  <c r="Y984" i="2" s="1" a="1"/>
  <c r="Y984" i="2" s="1"/>
  <c r="D983" i="2"/>
  <c r="C983" i="2"/>
  <c r="B983" i="2"/>
  <c r="D982" i="2"/>
  <c r="C982" i="2"/>
  <c r="B982" i="2"/>
  <c r="Y982" i="2" s="1" a="1"/>
  <c r="Y982" i="2" s="1"/>
  <c r="D981" i="2"/>
  <c r="C981" i="2"/>
  <c r="B981" i="2"/>
  <c r="Y981" i="2" s="1" a="1"/>
  <c r="Y981" i="2" s="1"/>
  <c r="D980" i="2"/>
  <c r="C980" i="2"/>
  <c r="B980" i="2"/>
  <c r="Y980" i="2" s="1" a="1"/>
  <c r="Y980" i="2" s="1"/>
  <c r="D979" i="2"/>
  <c r="C979" i="2"/>
  <c r="B979" i="2"/>
  <c r="D978" i="2"/>
  <c r="C978" i="2"/>
  <c r="B978" i="2"/>
  <c r="Y978" i="2" s="1" a="1"/>
  <c r="Y978" i="2" s="1"/>
  <c r="D977" i="2"/>
  <c r="C977" i="2"/>
  <c r="B977" i="2"/>
  <c r="Y977" i="2" s="1" a="1"/>
  <c r="Y977" i="2" s="1"/>
  <c r="D976" i="2"/>
  <c r="C976" i="2"/>
  <c r="B976" i="2"/>
  <c r="Y976" i="2" s="1" a="1"/>
  <c r="Y976" i="2" s="1"/>
  <c r="D975" i="2"/>
  <c r="C975" i="2"/>
  <c r="B975" i="2"/>
  <c r="D974" i="2"/>
  <c r="C974" i="2"/>
  <c r="B974" i="2"/>
  <c r="Y974" i="2" s="1" a="1"/>
  <c r="Y974" i="2" s="1"/>
  <c r="D973" i="2"/>
  <c r="C973" i="2"/>
  <c r="B973" i="2"/>
  <c r="Y973" i="2" s="1" a="1"/>
  <c r="Y973" i="2" s="1"/>
  <c r="D972" i="2"/>
  <c r="C972" i="2"/>
  <c r="B972" i="2"/>
  <c r="Y972" i="2" s="1" a="1"/>
  <c r="Y972" i="2" s="1"/>
  <c r="D971" i="2"/>
  <c r="C971" i="2"/>
  <c r="B971" i="2"/>
  <c r="D970" i="2"/>
  <c r="C970" i="2"/>
  <c r="B970" i="2"/>
  <c r="Y970" i="2" s="1" a="1"/>
  <c r="Y970" i="2" s="1"/>
  <c r="D969" i="2"/>
  <c r="C969" i="2"/>
  <c r="B969" i="2"/>
  <c r="Y969" i="2" s="1" a="1"/>
  <c r="Y969" i="2" s="1"/>
  <c r="D968" i="2"/>
  <c r="C968" i="2"/>
  <c r="B968" i="2"/>
  <c r="Y968" i="2" s="1" a="1"/>
  <c r="Y968" i="2" s="1"/>
  <c r="D967" i="2"/>
  <c r="C967" i="2"/>
  <c r="B967" i="2"/>
  <c r="D966" i="2"/>
  <c r="C966" i="2"/>
  <c r="B966" i="2"/>
  <c r="Y966" i="2" s="1" a="1"/>
  <c r="Y966" i="2" s="1"/>
  <c r="D965" i="2"/>
  <c r="C965" i="2"/>
  <c r="B965" i="2"/>
  <c r="Y965" i="2" s="1" a="1"/>
  <c r="Y965" i="2" s="1"/>
  <c r="D964" i="2"/>
  <c r="C964" i="2"/>
  <c r="B964" i="2"/>
  <c r="Y964" i="2" s="1" a="1"/>
  <c r="Y964" i="2" s="1"/>
  <c r="D963" i="2"/>
  <c r="C963" i="2"/>
  <c r="B963" i="2"/>
  <c r="D962" i="2"/>
  <c r="C962" i="2"/>
  <c r="B962" i="2"/>
  <c r="Y962" i="2" s="1" a="1"/>
  <c r="Y962" i="2" s="1"/>
  <c r="D961" i="2"/>
  <c r="C961" i="2"/>
  <c r="B961" i="2"/>
  <c r="Y961" i="2" s="1" a="1"/>
  <c r="Y961" i="2" s="1"/>
  <c r="D960" i="2"/>
  <c r="C960" i="2"/>
  <c r="B960" i="2"/>
  <c r="Y960" i="2" s="1" a="1"/>
  <c r="Y960" i="2" s="1"/>
  <c r="D959" i="2"/>
  <c r="C959" i="2"/>
  <c r="B959" i="2"/>
  <c r="D958" i="2"/>
  <c r="C958" i="2"/>
  <c r="B958" i="2"/>
  <c r="Y958" i="2" s="1" a="1"/>
  <c r="Y958" i="2" s="1"/>
  <c r="D957" i="2"/>
  <c r="C957" i="2"/>
  <c r="B957" i="2"/>
  <c r="Y957" i="2" s="1" a="1"/>
  <c r="Y957" i="2" s="1"/>
  <c r="D956" i="2"/>
  <c r="C956" i="2"/>
  <c r="B956" i="2"/>
  <c r="Y956" i="2" s="1" a="1"/>
  <c r="Y956" i="2" s="1"/>
  <c r="D955" i="2"/>
  <c r="C955" i="2"/>
  <c r="B955" i="2"/>
  <c r="D954" i="2"/>
  <c r="C954" i="2"/>
  <c r="B954" i="2"/>
  <c r="Y954" i="2" s="1" a="1"/>
  <c r="Y954" i="2" s="1"/>
  <c r="D953" i="2"/>
  <c r="C953" i="2"/>
  <c r="B953" i="2"/>
  <c r="Y953" i="2" s="1" a="1"/>
  <c r="Y953" i="2" s="1"/>
  <c r="D952" i="2"/>
  <c r="C952" i="2"/>
  <c r="B952" i="2"/>
  <c r="Y952" i="2" s="1" a="1"/>
  <c r="Y952" i="2" s="1"/>
  <c r="D951" i="2"/>
  <c r="C951" i="2"/>
  <c r="B951" i="2"/>
  <c r="D950" i="2"/>
  <c r="C950" i="2"/>
  <c r="B950" i="2"/>
  <c r="Y950" i="2" s="1" a="1"/>
  <c r="Y950" i="2" s="1"/>
  <c r="D949" i="2"/>
  <c r="C949" i="2"/>
  <c r="B949" i="2"/>
  <c r="Y949" i="2" s="1" a="1"/>
  <c r="Y949" i="2" s="1"/>
  <c r="D948" i="2"/>
  <c r="C948" i="2"/>
  <c r="B948" i="2"/>
  <c r="Y948" i="2" s="1" a="1"/>
  <c r="Y948" i="2" s="1"/>
  <c r="D947" i="2"/>
  <c r="C947" i="2"/>
  <c r="B947" i="2"/>
  <c r="D946" i="2"/>
  <c r="C946" i="2"/>
  <c r="B946" i="2"/>
  <c r="Y946" i="2" s="1" a="1"/>
  <c r="Y946" i="2" s="1"/>
  <c r="D945" i="2"/>
  <c r="C945" i="2"/>
  <c r="B945" i="2"/>
  <c r="Y945" i="2" s="1" a="1"/>
  <c r="Y945" i="2" s="1"/>
  <c r="D944" i="2"/>
  <c r="C944" i="2"/>
  <c r="B944" i="2"/>
  <c r="Y944" i="2" s="1" a="1"/>
  <c r="Y944" i="2" s="1"/>
  <c r="D943" i="2"/>
  <c r="C943" i="2"/>
  <c r="B943" i="2"/>
  <c r="D942" i="2"/>
  <c r="C942" i="2"/>
  <c r="B942" i="2"/>
  <c r="Y942" i="2" s="1" a="1"/>
  <c r="Y942" i="2" s="1"/>
  <c r="D941" i="2"/>
  <c r="C941" i="2"/>
  <c r="B941" i="2"/>
  <c r="Y941" i="2" s="1" a="1"/>
  <c r="Y941" i="2" s="1"/>
  <c r="D940" i="2"/>
  <c r="C940" i="2"/>
  <c r="B940" i="2"/>
  <c r="Y940" i="2" s="1" a="1"/>
  <c r="Y940" i="2" s="1"/>
  <c r="D939" i="2"/>
  <c r="C939" i="2"/>
  <c r="B939" i="2"/>
  <c r="D938" i="2"/>
  <c r="C938" i="2"/>
  <c r="B938" i="2"/>
  <c r="Y938" i="2" s="1" a="1"/>
  <c r="Y938" i="2" s="1"/>
  <c r="D937" i="2"/>
  <c r="C937" i="2"/>
  <c r="B937" i="2"/>
  <c r="Y937" i="2" s="1" a="1"/>
  <c r="Y937" i="2" s="1"/>
  <c r="D936" i="2"/>
  <c r="C936" i="2"/>
  <c r="B936" i="2"/>
  <c r="Y936" i="2" s="1" a="1"/>
  <c r="Y936" i="2" s="1"/>
  <c r="D935" i="2"/>
  <c r="C935" i="2"/>
  <c r="B935" i="2"/>
  <c r="D934" i="2"/>
  <c r="C934" i="2"/>
  <c r="B934" i="2"/>
  <c r="Y934" i="2" s="1" a="1"/>
  <c r="Y934" i="2" s="1"/>
  <c r="D933" i="2"/>
  <c r="C933" i="2"/>
  <c r="B933" i="2"/>
  <c r="Y933" i="2" s="1" a="1"/>
  <c r="Y933" i="2" s="1"/>
  <c r="D932" i="2"/>
  <c r="C932" i="2"/>
  <c r="B932" i="2"/>
  <c r="Y932" i="2" s="1" a="1"/>
  <c r="Y932" i="2" s="1"/>
  <c r="D931" i="2"/>
  <c r="C931" i="2"/>
  <c r="B931" i="2"/>
  <c r="D930" i="2"/>
  <c r="C930" i="2"/>
  <c r="B930" i="2"/>
  <c r="Y930" i="2" s="1" a="1"/>
  <c r="Y930" i="2" s="1"/>
  <c r="D929" i="2"/>
  <c r="C929" i="2"/>
  <c r="B929" i="2"/>
  <c r="Y929" i="2" s="1" a="1"/>
  <c r="Y929" i="2" s="1"/>
  <c r="D928" i="2"/>
  <c r="C928" i="2"/>
  <c r="B928" i="2"/>
  <c r="Y928" i="2" s="1" a="1"/>
  <c r="Y928" i="2" s="1"/>
  <c r="D927" i="2"/>
  <c r="C927" i="2"/>
  <c r="B927" i="2"/>
  <c r="D926" i="2"/>
  <c r="C926" i="2"/>
  <c r="B926" i="2"/>
  <c r="Y926" i="2" s="1" a="1"/>
  <c r="Y926" i="2" s="1"/>
  <c r="D925" i="2"/>
  <c r="C925" i="2"/>
  <c r="B925" i="2"/>
  <c r="Y925" i="2" s="1" a="1"/>
  <c r="Y925" i="2" s="1"/>
  <c r="D924" i="2"/>
  <c r="C924" i="2"/>
  <c r="B924" i="2"/>
  <c r="Y924" i="2" s="1" a="1"/>
  <c r="Y924" i="2" s="1"/>
  <c r="D923" i="2"/>
  <c r="C923" i="2"/>
  <c r="B923" i="2"/>
  <c r="D922" i="2"/>
  <c r="C922" i="2"/>
  <c r="B922" i="2"/>
  <c r="Y922" i="2" s="1" a="1"/>
  <c r="Y922" i="2" s="1"/>
  <c r="D921" i="2"/>
  <c r="C921" i="2"/>
  <c r="B921" i="2"/>
  <c r="Y921" i="2" s="1" a="1"/>
  <c r="Y921" i="2" s="1"/>
  <c r="D920" i="2"/>
  <c r="C920" i="2"/>
  <c r="B920" i="2"/>
  <c r="Y920" i="2" s="1" a="1"/>
  <c r="Y920" i="2" s="1"/>
  <c r="D919" i="2"/>
  <c r="C919" i="2"/>
  <c r="B919" i="2"/>
  <c r="D918" i="2"/>
  <c r="C918" i="2"/>
  <c r="B918" i="2"/>
  <c r="Y918" i="2" s="1" a="1"/>
  <c r="Y918" i="2" s="1"/>
  <c r="D917" i="2"/>
  <c r="C917" i="2"/>
  <c r="B917" i="2"/>
  <c r="Y917" i="2" s="1" a="1"/>
  <c r="Y917" i="2" s="1"/>
  <c r="D916" i="2"/>
  <c r="C916" i="2"/>
  <c r="B916" i="2"/>
  <c r="Y916" i="2" s="1" a="1"/>
  <c r="Y916" i="2" s="1"/>
  <c r="D915" i="2"/>
  <c r="C915" i="2"/>
  <c r="B915" i="2"/>
  <c r="D914" i="2"/>
  <c r="C914" i="2"/>
  <c r="B914" i="2"/>
  <c r="Y914" i="2" s="1" a="1"/>
  <c r="Y914" i="2" s="1"/>
  <c r="D913" i="2"/>
  <c r="C913" i="2"/>
  <c r="B913" i="2"/>
  <c r="Y913" i="2" s="1" a="1"/>
  <c r="Y913" i="2" s="1"/>
  <c r="D912" i="2"/>
  <c r="C912" i="2"/>
  <c r="B912" i="2"/>
  <c r="Y912" i="2" s="1" a="1"/>
  <c r="Y912" i="2" s="1"/>
  <c r="D911" i="2"/>
  <c r="C911" i="2"/>
  <c r="B911" i="2"/>
  <c r="D910" i="2"/>
  <c r="C910" i="2"/>
  <c r="B910" i="2"/>
  <c r="Y910" i="2" s="1" a="1"/>
  <c r="Y910" i="2" s="1"/>
  <c r="D909" i="2"/>
  <c r="C909" i="2"/>
  <c r="B909" i="2"/>
  <c r="Y909" i="2" s="1" a="1"/>
  <c r="Y909" i="2" s="1"/>
  <c r="D908" i="2"/>
  <c r="C908" i="2"/>
  <c r="B908" i="2"/>
  <c r="Y908" i="2" s="1" a="1"/>
  <c r="Y908" i="2" s="1"/>
  <c r="D907" i="2"/>
  <c r="C907" i="2"/>
  <c r="B907" i="2"/>
  <c r="D906" i="2"/>
  <c r="C906" i="2"/>
  <c r="B906" i="2"/>
  <c r="Y906" i="2" s="1" a="1"/>
  <c r="Y906" i="2" s="1"/>
  <c r="D905" i="2"/>
  <c r="C905" i="2"/>
  <c r="B905" i="2"/>
  <c r="Y905" i="2" s="1" a="1"/>
  <c r="Y905" i="2" s="1"/>
  <c r="D904" i="2"/>
  <c r="C904" i="2"/>
  <c r="B904" i="2"/>
  <c r="Y904" i="2" s="1" a="1"/>
  <c r="Y904" i="2" s="1"/>
  <c r="D903" i="2"/>
  <c r="C903" i="2"/>
  <c r="B903" i="2"/>
  <c r="D902" i="2"/>
  <c r="C902" i="2"/>
  <c r="B902" i="2"/>
  <c r="Y902" i="2" s="1" a="1"/>
  <c r="Y902" i="2" s="1"/>
  <c r="D901" i="2"/>
  <c r="C901" i="2"/>
  <c r="B901" i="2"/>
  <c r="Y901" i="2" s="1" a="1"/>
  <c r="Y901" i="2" s="1"/>
  <c r="D900" i="2"/>
  <c r="C900" i="2"/>
  <c r="B900" i="2"/>
  <c r="Y900" i="2" s="1" a="1"/>
  <c r="Y900" i="2" s="1"/>
  <c r="D899" i="2"/>
  <c r="C899" i="2"/>
  <c r="B899" i="2"/>
  <c r="D898" i="2"/>
  <c r="C898" i="2"/>
  <c r="B898" i="2"/>
  <c r="Y898" i="2" s="1" a="1"/>
  <c r="Y898" i="2" s="1"/>
  <c r="D897" i="2"/>
  <c r="C897" i="2"/>
  <c r="B897" i="2"/>
  <c r="Y897" i="2" s="1" a="1"/>
  <c r="Y897" i="2" s="1"/>
  <c r="D896" i="2"/>
  <c r="C896" i="2"/>
  <c r="B896" i="2"/>
  <c r="Y896" i="2" s="1" a="1"/>
  <c r="Y896" i="2" s="1"/>
  <c r="D895" i="2"/>
  <c r="C895" i="2"/>
  <c r="B895" i="2"/>
  <c r="D894" i="2"/>
  <c r="C894" i="2"/>
  <c r="B894" i="2"/>
  <c r="Y894" i="2" s="1" a="1"/>
  <c r="Y894" i="2" s="1"/>
  <c r="D893" i="2"/>
  <c r="C893" i="2"/>
  <c r="B893" i="2"/>
  <c r="Y893" i="2" s="1" a="1"/>
  <c r="Y893" i="2" s="1"/>
  <c r="D892" i="2"/>
  <c r="C892" i="2"/>
  <c r="B892" i="2"/>
  <c r="Y892" i="2" s="1" a="1"/>
  <c r="Y892" i="2" s="1"/>
  <c r="D891" i="2"/>
  <c r="C891" i="2"/>
  <c r="B891" i="2"/>
  <c r="D890" i="2"/>
  <c r="C890" i="2"/>
  <c r="B890" i="2"/>
  <c r="Y890" i="2" s="1" a="1"/>
  <c r="Y890" i="2" s="1"/>
  <c r="D889" i="2"/>
  <c r="C889" i="2"/>
  <c r="B889" i="2"/>
  <c r="Y889" i="2" s="1" a="1"/>
  <c r="Y889" i="2" s="1"/>
  <c r="D888" i="2"/>
  <c r="C888" i="2"/>
  <c r="B888" i="2"/>
  <c r="Y888" i="2" s="1" a="1"/>
  <c r="Y888" i="2" s="1"/>
  <c r="D887" i="2"/>
  <c r="C887" i="2"/>
  <c r="B887" i="2"/>
  <c r="D886" i="2"/>
  <c r="C886" i="2"/>
  <c r="B886" i="2"/>
  <c r="Y886" i="2" s="1" a="1"/>
  <c r="Y886" i="2" s="1"/>
  <c r="D885" i="2"/>
  <c r="C885" i="2"/>
  <c r="B885" i="2"/>
  <c r="Y885" i="2" s="1" a="1"/>
  <c r="Y885" i="2" s="1"/>
  <c r="D884" i="2"/>
  <c r="C884" i="2"/>
  <c r="B884" i="2"/>
  <c r="Y884" i="2" s="1" a="1"/>
  <c r="Y884" i="2" s="1"/>
  <c r="D883" i="2"/>
  <c r="C883" i="2"/>
  <c r="B883" i="2"/>
  <c r="D882" i="2"/>
  <c r="C882" i="2"/>
  <c r="B882" i="2"/>
  <c r="Y882" i="2" s="1" a="1"/>
  <c r="Y882" i="2" s="1"/>
  <c r="D881" i="2"/>
  <c r="C881" i="2"/>
  <c r="B881" i="2"/>
  <c r="Y881" i="2" s="1" a="1"/>
  <c r="Y881" i="2" s="1"/>
  <c r="D880" i="2"/>
  <c r="C880" i="2"/>
  <c r="B880" i="2"/>
  <c r="Y880" i="2" s="1" a="1"/>
  <c r="Y880" i="2" s="1"/>
  <c r="D879" i="2"/>
  <c r="C879" i="2"/>
  <c r="B879" i="2"/>
  <c r="D878" i="2"/>
  <c r="C878" i="2"/>
  <c r="B878" i="2"/>
  <c r="Y878" i="2" s="1" a="1"/>
  <c r="Y878" i="2" s="1"/>
  <c r="D877" i="2"/>
  <c r="C877" i="2"/>
  <c r="B877" i="2"/>
  <c r="Y877" i="2" s="1" a="1"/>
  <c r="Y877" i="2" s="1"/>
  <c r="D876" i="2"/>
  <c r="C876" i="2"/>
  <c r="B876" i="2"/>
  <c r="Y876" i="2" s="1" a="1"/>
  <c r="Y876" i="2" s="1"/>
  <c r="D875" i="2"/>
  <c r="C875" i="2"/>
  <c r="B875" i="2"/>
  <c r="D874" i="2"/>
  <c r="C874" i="2"/>
  <c r="B874" i="2"/>
  <c r="Y874" i="2" s="1" a="1"/>
  <c r="Y874" i="2" s="1"/>
  <c r="D873" i="2"/>
  <c r="C873" i="2"/>
  <c r="B873" i="2"/>
  <c r="Y873" i="2" s="1" a="1"/>
  <c r="Y873" i="2" s="1"/>
  <c r="D872" i="2"/>
  <c r="C872" i="2"/>
  <c r="B872" i="2"/>
  <c r="Y872" i="2" s="1" a="1"/>
  <c r="Y872" i="2" s="1"/>
  <c r="D871" i="2"/>
  <c r="C871" i="2"/>
  <c r="B871" i="2"/>
  <c r="D870" i="2"/>
  <c r="C870" i="2"/>
  <c r="B870" i="2"/>
  <c r="Y870" i="2" s="1" a="1"/>
  <c r="Y870" i="2" s="1"/>
  <c r="D869" i="2"/>
  <c r="C869" i="2"/>
  <c r="B869" i="2"/>
  <c r="Y869" i="2" s="1" a="1"/>
  <c r="Y869" i="2" s="1"/>
  <c r="D868" i="2"/>
  <c r="C868" i="2"/>
  <c r="B868" i="2"/>
  <c r="Y868" i="2" s="1" a="1"/>
  <c r="Y868" i="2" s="1"/>
  <c r="D867" i="2"/>
  <c r="C867" i="2"/>
  <c r="B867" i="2"/>
  <c r="D866" i="2"/>
  <c r="C866" i="2"/>
  <c r="B866" i="2"/>
  <c r="Y866" i="2" s="1" a="1"/>
  <c r="Y866" i="2" s="1"/>
  <c r="D865" i="2"/>
  <c r="C865" i="2"/>
  <c r="B865" i="2"/>
  <c r="Y865" i="2" s="1" a="1"/>
  <c r="Y865" i="2" s="1"/>
  <c r="D864" i="2"/>
  <c r="C864" i="2"/>
  <c r="B864" i="2"/>
  <c r="Y864" i="2" s="1" a="1"/>
  <c r="Y864" i="2" s="1"/>
  <c r="D863" i="2"/>
  <c r="C863" i="2"/>
  <c r="B863" i="2"/>
  <c r="D862" i="2"/>
  <c r="C862" i="2"/>
  <c r="B862" i="2"/>
  <c r="Y862" i="2" s="1" a="1"/>
  <c r="Y862" i="2" s="1"/>
  <c r="D861" i="2"/>
  <c r="C861" i="2"/>
  <c r="B861" i="2"/>
  <c r="Y861" i="2" s="1" a="1"/>
  <c r="Y861" i="2" s="1"/>
  <c r="D860" i="2"/>
  <c r="C860" i="2"/>
  <c r="B860" i="2"/>
  <c r="Y860" i="2" s="1" a="1"/>
  <c r="Y860" i="2" s="1"/>
  <c r="D859" i="2"/>
  <c r="C859" i="2"/>
  <c r="B859" i="2"/>
  <c r="D858" i="2"/>
  <c r="C858" i="2"/>
  <c r="B858" i="2"/>
  <c r="Y858" i="2" s="1" a="1"/>
  <c r="Y858" i="2" s="1"/>
  <c r="D857" i="2"/>
  <c r="C857" i="2"/>
  <c r="B857" i="2"/>
  <c r="Y857" i="2" s="1" a="1"/>
  <c r="Y857" i="2" s="1"/>
  <c r="D856" i="2"/>
  <c r="C856" i="2"/>
  <c r="B856" i="2"/>
  <c r="Y856" i="2" s="1" a="1"/>
  <c r="Y856" i="2" s="1"/>
  <c r="D855" i="2"/>
  <c r="C855" i="2"/>
  <c r="B855" i="2"/>
  <c r="D854" i="2"/>
  <c r="C854" i="2"/>
  <c r="B854" i="2"/>
  <c r="Y854" i="2" s="1" a="1"/>
  <c r="Y854" i="2" s="1"/>
  <c r="D853" i="2"/>
  <c r="C853" i="2"/>
  <c r="B853" i="2"/>
  <c r="Y853" i="2" s="1" a="1"/>
  <c r="Y853" i="2" s="1"/>
  <c r="D852" i="2"/>
  <c r="C852" i="2"/>
  <c r="B852" i="2"/>
  <c r="Y852" i="2" s="1" a="1"/>
  <c r="Y852" i="2" s="1"/>
  <c r="D851" i="2"/>
  <c r="C851" i="2"/>
  <c r="B851" i="2"/>
  <c r="D850" i="2"/>
  <c r="C850" i="2"/>
  <c r="B850" i="2"/>
  <c r="Y850" i="2" s="1" a="1"/>
  <c r="Y850" i="2" s="1"/>
  <c r="D849" i="2"/>
  <c r="C849" i="2"/>
  <c r="B849" i="2"/>
  <c r="Y849" i="2" s="1" a="1"/>
  <c r="Y849" i="2" s="1"/>
  <c r="D848" i="2"/>
  <c r="C848" i="2"/>
  <c r="B848" i="2"/>
  <c r="Y848" i="2" s="1" a="1"/>
  <c r="Y848" i="2" s="1"/>
  <c r="D847" i="2"/>
  <c r="C847" i="2"/>
  <c r="B847" i="2"/>
  <c r="D846" i="2"/>
  <c r="C846" i="2"/>
  <c r="B846" i="2"/>
  <c r="Y846" i="2" s="1" a="1"/>
  <c r="Y846" i="2" s="1"/>
  <c r="D845" i="2"/>
  <c r="C845" i="2"/>
  <c r="B845" i="2"/>
  <c r="Y845" i="2" s="1" a="1"/>
  <c r="Y845" i="2" s="1"/>
  <c r="D844" i="2"/>
  <c r="C844" i="2"/>
  <c r="B844" i="2"/>
  <c r="Y844" i="2" s="1" a="1"/>
  <c r="Y844" i="2" s="1"/>
  <c r="D843" i="2"/>
  <c r="C843" i="2"/>
  <c r="B843" i="2"/>
  <c r="D842" i="2"/>
  <c r="C842" i="2"/>
  <c r="B842" i="2"/>
  <c r="Y842" i="2" s="1" a="1"/>
  <c r="Y842" i="2" s="1"/>
  <c r="D841" i="2"/>
  <c r="C841" i="2"/>
  <c r="B841" i="2"/>
  <c r="Y841" i="2" s="1" a="1"/>
  <c r="Y841" i="2" s="1"/>
  <c r="D840" i="2"/>
  <c r="C840" i="2"/>
  <c r="B840" i="2"/>
  <c r="Y840" i="2" s="1" a="1"/>
  <c r="Y840" i="2" s="1"/>
  <c r="D839" i="2"/>
  <c r="C839" i="2"/>
  <c r="B839" i="2"/>
  <c r="D838" i="2"/>
  <c r="C838" i="2"/>
  <c r="B838" i="2"/>
  <c r="Y838" i="2" s="1" a="1"/>
  <c r="Y838" i="2" s="1"/>
  <c r="D837" i="2"/>
  <c r="C837" i="2"/>
  <c r="B837" i="2"/>
  <c r="Y837" i="2" s="1" a="1"/>
  <c r="Y837" i="2" s="1"/>
  <c r="D836" i="2"/>
  <c r="C836" i="2"/>
  <c r="B836" i="2"/>
  <c r="Y836" i="2" s="1" a="1"/>
  <c r="Y836" i="2" s="1"/>
  <c r="D835" i="2"/>
  <c r="C835" i="2"/>
  <c r="B835" i="2"/>
  <c r="D834" i="2"/>
  <c r="C834" i="2"/>
  <c r="B834" i="2"/>
  <c r="Y834" i="2" s="1" a="1"/>
  <c r="Y834" i="2" s="1"/>
  <c r="D833" i="2"/>
  <c r="C833" i="2"/>
  <c r="B833" i="2"/>
  <c r="Y833" i="2" s="1" a="1"/>
  <c r="Y833" i="2" s="1"/>
  <c r="D832" i="2"/>
  <c r="C832" i="2"/>
  <c r="B832" i="2"/>
  <c r="Y832" i="2" s="1" a="1"/>
  <c r="Y832" i="2" s="1"/>
  <c r="D831" i="2"/>
  <c r="C831" i="2"/>
  <c r="B831" i="2"/>
  <c r="D830" i="2"/>
  <c r="C830" i="2"/>
  <c r="B830" i="2"/>
  <c r="Y830" i="2" s="1" a="1"/>
  <c r="Y830" i="2" s="1"/>
  <c r="D829" i="2"/>
  <c r="C829" i="2"/>
  <c r="B829" i="2"/>
  <c r="Y829" i="2" s="1" a="1"/>
  <c r="Y829" i="2" s="1"/>
  <c r="D828" i="2"/>
  <c r="C828" i="2"/>
  <c r="B828" i="2"/>
  <c r="Y828" i="2" s="1" a="1"/>
  <c r="Y828" i="2" s="1"/>
  <c r="D827" i="2"/>
  <c r="C827" i="2"/>
  <c r="B827" i="2"/>
  <c r="D826" i="2"/>
  <c r="C826" i="2"/>
  <c r="B826" i="2"/>
  <c r="Y826" i="2" s="1" a="1"/>
  <c r="Y826" i="2" s="1"/>
  <c r="D825" i="2"/>
  <c r="C825" i="2"/>
  <c r="B825" i="2"/>
  <c r="Y825" i="2" s="1" a="1"/>
  <c r="Y825" i="2" s="1"/>
  <c r="D824" i="2"/>
  <c r="C824" i="2"/>
  <c r="B824" i="2"/>
  <c r="Y824" i="2" s="1" a="1"/>
  <c r="Y824" i="2" s="1"/>
  <c r="D823" i="2"/>
  <c r="C823" i="2"/>
  <c r="B823" i="2"/>
  <c r="D822" i="2"/>
  <c r="C822" i="2"/>
  <c r="B822" i="2"/>
  <c r="Y822" i="2" s="1" a="1"/>
  <c r="Y822" i="2" s="1"/>
  <c r="D821" i="2"/>
  <c r="C821" i="2"/>
  <c r="B821" i="2"/>
  <c r="Y821" i="2" s="1" a="1"/>
  <c r="Y821" i="2" s="1"/>
  <c r="D820" i="2"/>
  <c r="C820" i="2"/>
  <c r="B820" i="2"/>
  <c r="Y820" i="2" s="1" a="1"/>
  <c r="Y820" i="2" s="1"/>
  <c r="D819" i="2"/>
  <c r="C819" i="2"/>
  <c r="B819" i="2"/>
  <c r="D818" i="2"/>
  <c r="C818" i="2"/>
  <c r="B818" i="2"/>
  <c r="Y818" i="2" s="1" a="1"/>
  <c r="Y818" i="2" s="1"/>
  <c r="D817" i="2"/>
  <c r="C817" i="2"/>
  <c r="B817" i="2"/>
  <c r="Y817" i="2" s="1" a="1"/>
  <c r="Y817" i="2" s="1"/>
  <c r="D816" i="2"/>
  <c r="C816" i="2"/>
  <c r="B816" i="2"/>
  <c r="Y816" i="2" s="1" a="1"/>
  <c r="Y816" i="2" s="1"/>
  <c r="D815" i="2"/>
  <c r="C815" i="2"/>
  <c r="B815" i="2"/>
  <c r="D814" i="2"/>
  <c r="C814" i="2"/>
  <c r="B814" i="2"/>
  <c r="Y814" i="2" s="1" a="1"/>
  <c r="Y814" i="2" s="1"/>
  <c r="D813" i="2"/>
  <c r="C813" i="2"/>
  <c r="B813" i="2"/>
  <c r="Y813" i="2" s="1" a="1"/>
  <c r="Y813" i="2" s="1"/>
  <c r="D812" i="2"/>
  <c r="C812" i="2"/>
  <c r="B812" i="2"/>
  <c r="Y812" i="2" s="1" a="1"/>
  <c r="Y812" i="2" s="1"/>
  <c r="D811" i="2"/>
  <c r="C811" i="2"/>
  <c r="B811" i="2"/>
  <c r="D810" i="2"/>
  <c r="C810" i="2"/>
  <c r="B810" i="2"/>
  <c r="Y810" i="2" s="1" a="1"/>
  <c r="Y810" i="2" s="1"/>
  <c r="D809" i="2"/>
  <c r="C809" i="2"/>
  <c r="B809" i="2"/>
  <c r="Y809" i="2" s="1" a="1"/>
  <c r="Y809" i="2" s="1"/>
  <c r="D808" i="2"/>
  <c r="C808" i="2"/>
  <c r="B808" i="2"/>
  <c r="Y808" i="2" s="1" a="1"/>
  <c r="Y808" i="2" s="1"/>
  <c r="D807" i="2"/>
  <c r="C807" i="2"/>
  <c r="B807" i="2"/>
  <c r="D806" i="2"/>
  <c r="C806" i="2"/>
  <c r="B806" i="2"/>
  <c r="Y806" i="2" s="1" a="1"/>
  <c r="Y806" i="2" s="1"/>
  <c r="D805" i="2"/>
  <c r="C805" i="2"/>
  <c r="B805" i="2"/>
  <c r="Y805" i="2" s="1" a="1"/>
  <c r="Y805" i="2" s="1"/>
  <c r="D804" i="2"/>
  <c r="C804" i="2"/>
  <c r="B804" i="2"/>
  <c r="Y804" i="2" s="1" a="1"/>
  <c r="Y804" i="2" s="1"/>
  <c r="D803" i="2"/>
  <c r="C803" i="2"/>
  <c r="B803" i="2"/>
  <c r="D802" i="2"/>
  <c r="C802" i="2"/>
  <c r="B802" i="2"/>
  <c r="Y802" i="2" s="1" a="1"/>
  <c r="Y802" i="2" s="1"/>
  <c r="D801" i="2"/>
  <c r="C801" i="2"/>
  <c r="B801" i="2"/>
  <c r="Y801" i="2" s="1" a="1"/>
  <c r="Y801" i="2" s="1"/>
  <c r="D800" i="2"/>
  <c r="C800" i="2"/>
  <c r="B800" i="2"/>
  <c r="Y800" i="2" s="1" a="1"/>
  <c r="Y800" i="2" s="1"/>
  <c r="D799" i="2"/>
  <c r="C799" i="2"/>
  <c r="B799" i="2"/>
  <c r="D798" i="2"/>
  <c r="C798" i="2"/>
  <c r="B798" i="2"/>
  <c r="Y798" i="2" s="1" a="1"/>
  <c r="Y798" i="2" s="1"/>
  <c r="D797" i="2"/>
  <c r="C797" i="2"/>
  <c r="B797" i="2"/>
  <c r="Y797" i="2" s="1" a="1"/>
  <c r="Y797" i="2" s="1"/>
  <c r="D796" i="2"/>
  <c r="C796" i="2"/>
  <c r="B796" i="2"/>
  <c r="Y796" i="2" s="1" a="1"/>
  <c r="Y796" i="2" s="1"/>
  <c r="D795" i="2"/>
  <c r="C795" i="2"/>
  <c r="B795" i="2"/>
  <c r="D794" i="2"/>
  <c r="C794" i="2"/>
  <c r="B794" i="2"/>
  <c r="Y794" i="2" s="1" a="1"/>
  <c r="Y794" i="2" s="1"/>
  <c r="D793" i="2"/>
  <c r="C793" i="2"/>
  <c r="B793" i="2"/>
  <c r="Y793" i="2" s="1" a="1"/>
  <c r="Y793" i="2" s="1"/>
  <c r="D792" i="2"/>
  <c r="C792" i="2"/>
  <c r="B792" i="2"/>
  <c r="Y792" i="2" s="1" a="1"/>
  <c r="Y792" i="2" s="1"/>
  <c r="D791" i="2"/>
  <c r="C791" i="2"/>
  <c r="B791" i="2"/>
  <c r="D790" i="2"/>
  <c r="C790" i="2"/>
  <c r="B790" i="2"/>
  <c r="Y790" i="2" s="1" a="1"/>
  <c r="Y790" i="2" s="1"/>
  <c r="D789" i="2"/>
  <c r="C789" i="2"/>
  <c r="B789" i="2"/>
  <c r="Y789" i="2" s="1" a="1"/>
  <c r="Y789" i="2" s="1"/>
  <c r="D788" i="2"/>
  <c r="C788" i="2"/>
  <c r="B788" i="2"/>
  <c r="Y788" i="2" s="1" a="1"/>
  <c r="Y788" i="2" s="1"/>
  <c r="D787" i="2"/>
  <c r="C787" i="2"/>
  <c r="B787" i="2"/>
  <c r="D786" i="2"/>
  <c r="C786" i="2"/>
  <c r="B786" i="2"/>
  <c r="Y786" i="2" s="1" a="1"/>
  <c r="Y786" i="2" s="1"/>
  <c r="D785" i="2"/>
  <c r="C785" i="2"/>
  <c r="B785" i="2"/>
  <c r="Y785" i="2" s="1" a="1"/>
  <c r="Y785" i="2" s="1"/>
  <c r="D784" i="2"/>
  <c r="C784" i="2"/>
  <c r="B784" i="2"/>
  <c r="Y784" i="2" s="1" a="1"/>
  <c r="Y784" i="2" s="1"/>
  <c r="D783" i="2"/>
  <c r="C783" i="2"/>
  <c r="B783" i="2"/>
  <c r="D782" i="2"/>
  <c r="C782" i="2"/>
  <c r="B782" i="2"/>
  <c r="Y782" i="2" s="1" a="1"/>
  <c r="Y782" i="2" s="1"/>
  <c r="D781" i="2"/>
  <c r="C781" i="2"/>
  <c r="B781" i="2"/>
  <c r="Y781" i="2" s="1" a="1"/>
  <c r="Y781" i="2" s="1"/>
  <c r="D780" i="2"/>
  <c r="C780" i="2"/>
  <c r="B780" i="2"/>
  <c r="Y780" i="2" s="1" a="1"/>
  <c r="Y780" i="2" s="1"/>
  <c r="D779" i="2"/>
  <c r="C779" i="2"/>
  <c r="B779" i="2"/>
  <c r="D778" i="2"/>
  <c r="C778" i="2"/>
  <c r="B778" i="2"/>
  <c r="Y778" i="2" s="1" a="1"/>
  <c r="Y778" i="2" s="1"/>
  <c r="D777" i="2"/>
  <c r="C777" i="2"/>
  <c r="B777" i="2"/>
  <c r="Y777" i="2" s="1" a="1"/>
  <c r="Y777" i="2" s="1"/>
  <c r="D776" i="2"/>
  <c r="C776" i="2"/>
  <c r="B776" i="2"/>
  <c r="Y776" i="2" s="1" a="1"/>
  <c r="Y776" i="2" s="1"/>
  <c r="D775" i="2"/>
  <c r="C775" i="2"/>
  <c r="B775" i="2"/>
  <c r="D774" i="2"/>
  <c r="C774" i="2"/>
  <c r="B774" i="2"/>
  <c r="Y774" i="2" s="1" a="1"/>
  <c r="Y774" i="2" s="1"/>
  <c r="D773" i="2"/>
  <c r="C773" i="2"/>
  <c r="B773" i="2"/>
  <c r="Y773" i="2" s="1" a="1"/>
  <c r="Y773" i="2" s="1"/>
  <c r="D772" i="2"/>
  <c r="C772" i="2"/>
  <c r="B772" i="2"/>
  <c r="Y772" i="2" s="1" a="1"/>
  <c r="Y772" i="2" s="1"/>
  <c r="D771" i="2"/>
  <c r="C771" i="2"/>
  <c r="B771" i="2"/>
  <c r="D770" i="2"/>
  <c r="C770" i="2"/>
  <c r="B770" i="2"/>
  <c r="Y770" i="2" s="1" a="1"/>
  <c r="Y770" i="2" s="1"/>
  <c r="D769" i="2"/>
  <c r="C769" i="2"/>
  <c r="B769" i="2"/>
  <c r="Y769" i="2" s="1" a="1"/>
  <c r="Y769" i="2" s="1"/>
  <c r="D768" i="2"/>
  <c r="C768" i="2"/>
  <c r="B768" i="2"/>
  <c r="Y768" i="2" s="1" a="1"/>
  <c r="Y768" i="2" s="1"/>
  <c r="D767" i="2"/>
  <c r="C767" i="2"/>
  <c r="B767" i="2"/>
  <c r="D766" i="2"/>
  <c r="C766" i="2"/>
  <c r="B766" i="2"/>
  <c r="Y766" i="2" s="1" a="1"/>
  <c r="Y766" i="2" s="1"/>
  <c r="D765" i="2"/>
  <c r="C765" i="2"/>
  <c r="B765" i="2"/>
  <c r="Y765" i="2" s="1" a="1"/>
  <c r="Y765" i="2" s="1"/>
  <c r="D764" i="2"/>
  <c r="C764" i="2"/>
  <c r="B764" i="2"/>
  <c r="Y764" i="2" s="1" a="1"/>
  <c r="Y764" i="2" s="1"/>
  <c r="D763" i="2"/>
  <c r="C763" i="2"/>
  <c r="B763" i="2"/>
  <c r="D762" i="2"/>
  <c r="C762" i="2"/>
  <c r="B762" i="2"/>
  <c r="Y762" i="2" s="1" a="1"/>
  <c r="Y762" i="2" s="1"/>
  <c r="D761" i="2"/>
  <c r="C761" i="2"/>
  <c r="B761" i="2"/>
  <c r="Y761" i="2" s="1" a="1"/>
  <c r="Y761" i="2" s="1"/>
  <c r="D760" i="2"/>
  <c r="C760" i="2"/>
  <c r="B760" i="2"/>
  <c r="Y760" i="2" s="1" a="1"/>
  <c r="Y760" i="2" s="1"/>
  <c r="D759" i="2"/>
  <c r="C759" i="2"/>
  <c r="B759" i="2"/>
  <c r="D758" i="2"/>
  <c r="C758" i="2"/>
  <c r="B758" i="2"/>
  <c r="Y758" i="2" s="1" a="1"/>
  <c r="Y758" i="2" s="1"/>
  <c r="D757" i="2"/>
  <c r="C757" i="2"/>
  <c r="B757" i="2"/>
  <c r="Y757" i="2" s="1" a="1"/>
  <c r="Y757" i="2" s="1"/>
  <c r="D756" i="2"/>
  <c r="C756" i="2"/>
  <c r="B756" i="2"/>
  <c r="Y756" i="2" s="1" a="1"/>
  <c r="Y756" i="2" s="1"/>
  <c r="D755" i="2"/>
  <c r="C755" i="2"/>
  <c r="B755" i="2"/>
  <c r="D754" i="2"/>
  <c r="C754" i="2"/>
  <c r="B754" i="2"/>
  <c r="Y754" i="2" s="1" a="1"/>
  <c r="Y754" i="2" s="1"/>
  <c r="D753" i="2"/>
  <c r="C753" i="2"/>
  <c r="B753" i="2"/>
  <c r="Y753" i="2" s="1" a="1"/>
  <c r="Y753" i="2" s="1"/>
  <c r="D752" i="2"/>
  <c r="C752" i="2"/>
  <c r="B752" i="2"/>
  <c r="Y752" i="2" s="1" a="1"/>
  <c r="Y752" i="2" s="1"/>
  <c r="D751" i="2"/>
  <c r="C751" i="2"/>
  <c r="B751" i="2"/>
  <c r="D750" i="2"/>
  <c r="C750" i="2"/>
  <c r="B750" i="2"/>
  <c r="Y750" i="2" s="1" a="1"/>
  <c r="Y750" i="2" s="1"/>
  <c r="D749" i="2"/>
  <c r="C749" i="2"/>
  <c r="B749" i="2"/>
  <c r="Y749" i="2" s="1" a="1"/>
  <c r="Y749" i="2" s="1"/>
  <c r="D748" i="2"/>
  <c r="C748" i="2"/>
  <c r="B748" i="2"/>
  <c r="Y748" i="2" s="1" a="1"/>
  <c r="Y748" i="2" s="1"/>
  <c r="D747" i="2"/>
  <c r="C747" i="2"/>
  <c r="B747" i="2"/>
  <c r="D746" i="2"/>
  <c r="C746" i="2"/>
  <c r="B746" i="2"/>
  <c r="Y746" i="2" s="1" a="1"/>
  <c r="Y746" i="2" s="1"/>
  <c r="D745" i="2"/>
  <c r="C745" i="2"/>
  <c r="B745" i="2"/>
  <c r="Y745" i="2" s="1" a="1"/>
  <c r="Y745" i="2" s="1"/>
  <c r="D744" i="2"/>
  <c r="C744" i="2"/>
  <c r="B744" i="2"/>
  <c r="Y744" i="2" s="1" a="1"/>
  <c r="Y744" i="2" s="1"/>
  <c r="D743" i="2"/>
  <c r="C743" i="2"/>
  <c r="B743" i="2"/>
  <c r="D742" i="2"/>
  <c r="C742" i="2"/>
  <c r="B742" i="2"/>
  <c r="Y742" i="2" s="1" a="1"/>
  <c r="Y742" i="2" s="1"/>
  <c r="D741" i="2"/>
  <c r="C741" i="2"/>
  <c r="B741" i="2"/>
  <c r="Y741" i="2" s="1" a="1"/>
  <c r="Y741" i="2" s="1"/>
  <c r="D740" i="2"/>
  <c r="C740" i="2"/>
  <c r="B740" i="2"/>
  <c r="Y740" i="2" s="1" a="1"/>
  <c r="Y740" i="2" s="1"/>
  <c r="D739" i="2"/>
  <c r="C739" i="2"/>
  <c r="B739" i="2"/>
  <c r="D738" i="2"/>
  <c r="C738" i="2"/>
  <c r="B738" i="2"/>
  <c r="Y738" i="2" s="1" a="1"/>
  <c r="Y738" i="2" s="1"/>
  <c r="D737" i="2"/>
  <c r="C737" i="2"/>
  <c r="B737" i="2"/>
  <c r="Y737" i="2" s="1" a="1"/>
  <c r="Y737" i="2" s="1"/>
  <c r="D736" i="2"/>
  <c r="C736" i="2"/>
  <c r="B736" i="2"/>
  <c r="Y736" i="2" s="1" a="1"/>
  <c r="Y736" i="2" s="1"/>
  <c r="D735" i="2"/>
  <c r="C735" i="2"/>
  <c r="B735" i="2"/>
  <c r="D734" i="2"/>
  <c r="C734" i="2"/>
  <c r="B734" i="2"/>
  <c r="Y734" i="2" s="1" a="1"/>
  <c r="Y734" i="2" s="1"/>
  <c r="D733" i="2"/>
  <c r="C733" i="2"/>
  <c r="B733" i="2"/>
  <c r="Y733" i="2" s="1" a="1"/>
  <c r="Y733" i="2" s="1"/>
  <c r="D732" i="2"/>
  <c r="C732" i="2"/>
  <c r="B732" i="2"/>
  <c r="Y732" i="2" s="1" a="1"/>
  <c r="Y732" i="2" s="1"/>
  <c r="D731" i="2"/>
  <c r="C731" i="2"/>
  <c r="B731" i="2"/>
  <c r="D730" i="2"/>
  <c r="C730" i="2"/>
  <c r="B730" i="2"/>
  <c r="Y730" i="2" s="1" a="1"/>
  <c r="Y730" i="2" s="1"/>
  <c r="D729" i="2"/>
  <c r="C729" i="2"/>
  <c r="B729" i="2"/>
  <c r="Y729" i="2" s="1" a="1"/>
  <c r="Y729" i="2" s="1"/>
  <c r="D728" i="2"/>
  <c r="C728" i="2"/>
  <c r="B728" i="2"/>
  <c r="Y728" i="2" s="1" a="1"/>
  <c r="Y728" i="2" s="1"/>
  <c r="D727" i="2"/>
  <c r="C727" i="2"/>
  <c r="B727" i="2"/>
  <c r="D726" i="2"/>
  <c r="C726" i="2"/>
  <c r="B726" i="2"/>
  <c r="Y726" i="2" s="1" a="1"/>
  <c r="Y726" i="2" s="1"/>
  <c r="D725" i="2"/>
  <c r="C725" i="2"/>
  <c r="B725" i="2"/>
  <c r="Y725" i="2" s="1" a="1"/>
  <c r="Y725" i="2" s="1"/>
  <c r="D724" i="2"/>
  <c r="C724" i="2"/>
  <c r="B724" i="2"/>
  <c r="Y724" i="2" s="1" a="1"/>
  <c r="Y724" i="2" s="1"/>
  <c r="D723" i="2"/>
  <c r="C723" i="2"/>
  <c r="B723" i="2"/>
  <c r="D722" i="2"/>
  <c r="C722" i="2"/>
  <c r="B722" i="2"/>
  <c r="Y722" i="2" s="1" a="1"/>
  <c r="Y722" i="2" s="1"/>
  <c r="D721" i="2"/>
  <c r="C721" i="2"/>
  <c r="B721" i="2"/>
  <c r="Y721" i="2" s="1" a="1"/>
  <c r="Y721" i="2" s="1"/>
  <c r="D720" i="2"/>
  <c r="C720" i="2"/>
  <c r="B720" i="2"/>
  <c r="Y720" i="2" s="1" a="1"/>
  <c r="Y720" i="2" s="1"/>
  <c r="D719" i="2"/>
  <c r="C719" i="2"/>
  <c r="B719" i="2"/>
  <c r="D718" i="2"/>
  <c r="C718" i="2"/>
  <c r="B718" i="2"/>
  <c r="Y718" i="2" s="1" a="1"/>
  <c r="Y718" i="2" s="1"/>
  <c r="D717" i="2"/>
  <c r="C717" i="2"/>
  <c r="B717" i="2"/>
  <c r="Y717" i="2" s="1" a="1"/>
  <c r="Y717" i="2" s="1"/>
  <c r="D716" i="2"/>
  <c r="C716" i="2"/>
  <c r="B716" i="2"/>
  <c r="Y716" i="2" s="1" a="1"/>
  <c r="Y716" i="2" s="1"/>
  <c r="D715" i="2"/>
  <c r="C715" i="2"/>
  <c r="B715" i="2"/>
  <c r="D714" i="2"/>
  <c r="C714" i="2"/>
  <c r="B714" i="2"/>
  <c r="Y714" i="2" s="1" a="1"/>
  <c r="Y714" i="2" s="1"/>
  <c r="D713" i="2"/>
  <c r="C713" i="2"/>
  <c r="B713" i="2"/>
  <c r="Y713" i="2" s="1" a="1"/>
  <c r="Y713" i="2" s="1"/>
  <c r="D712" i="2"/>
  <c r="C712" i="2"/>
  <c r="B712" i="2"/>
  <c r="Y712" i="2" s="1" a="1"/>
  <c r="Y712" i="2" s="1"/>
  <c r="D711" i="2"/>
  <c r="C711" i="2"/>
  <c r="B711" i="2"/>
  <c r="D710" i="2"/>
  <c r="C710" i="2"/>
  <c r="B710" i="2"/>
  <c r="Y710" i="2" s="1" a="1"/>
  <c r="Y710" i="2" s="1"/>
  <c r="D709" i="2"/>
  <c r="C709" i="2"/>
  <c r="B709" i="2"/>
  <c r="Y709" i="2" s="1" a="1"/>
  <c r="Y709" i="2" s="1"/>
  <c r="D708" i="2"/>
  <c r="C708" i="2"/>
  <c r="B708" i="2"/>
  <c r="Y708" i="2" s="1" a="1"/>
  <c r="Y708" i="2" s="1"/>
  <c r="D707" i="2"/>
  <c r="C707" i="2"/>
  <c r="B707" i="2"/>
  <c r="D706" i="2"/>
  <c r="C706" i="2"/>
  <c r="B706" i="2"/>
  <c r="Y706" i="2" s="1" a="1"/>
  <c r="Y706" i="2" s="1"/>
  <c r="D705" i="2"/>
  <c r="C705" i="2"/>
  <c r="B705" i="2"/>
  <c r="Y705" i="2" s="1" a="1"/>
  <c r="Y705" i="2" s="1"/>
  <c r="D704" i="2"/>
  <c r="C704" i="2"/>
  <c r="B704" i="2"/>
  <c r="Y704" i="2" s="1" a="1"/>
  <c r="Y704" i="2" s="1"/>
  <c r="D703" i="2"/>
  <c r="C703" i="2"/>
  <c r="B703" i="2"/>
  <c r="D702" i="2"/>
  <c r="C702" i="2"/>
  <c r="B702" i="2"/>
  <c r="Y702" i="2" s="1" a="1"/>
  <c r="Y702" i="2" s="1"/>
  <c r="D701" i="2"/>
  <c r="C701" i="2"/>
  <c r="B701" i="2"/>
  <c r="Y701" i="2" s="1" a="1"/>
  <c r="Y701" i="2" s="1"/>
  <c r="D700" i="2"/>
  <c r="C700" i="2"/>
  <c r="B700" i="2"/>
  <c r="Y700" i="2" s="1" a="1"/>
  <c r="Y700" i="2" s="1"/>
  <c r="D699" i="2"/>
  <c r="C699" i="2"/>
  <c r="B699" i="2"/>
  <c r="D698" i="2"/>
  <c r="C698" i="2"/>
  <c r="B698" i="2"/>
  <c r="Y698" i="2" s="1" a="1"/>
  <c r="Y698" i="2" s="1"/>
  <c r="D697" i="2"/>
  <c r="C697" i="2"/>
  <c r="B697" i="2"/>
  <c r="Y697" i="2" s="1" a="1"/>
  <c r="Y697" i="2" s="1"/>
  <c r="D696" i="2"/>
  <c r="C696" i="2"/>
  <c r="B696" i="2"/>
  <c r="Y696" i="2" s="1" a="1"/>
  <c r="Y696" i="2" s="1"/>
  <c r="D695" i="2"/>
  <c r="C695" i="2"/>
  <c r="B695" i="2"/>
  <c r="D694" i="2"/>
  <c r="C694" i="2"/>
  <c r="B694" i="2"/>
  <c r="Y694" i="2" s="1" a="1"/>
  <c r="Y694" i="2" s="1"/>
  <c r="D693" i="2"/>
  <c r="C693" i="2"/>
  <c r="B693" i="2"/>
  <c r="Y693" i="2" s="1" a="1"/>
  <c r="Y693" i="2" s="1"/>
  <c r="D692" i="2"/>
  <c r="C692" i="2"/>
  <c r="B692" i="2"/>
  <c r="Y692" i="2" s="1" a="1"/>
  <c r="Y692" i="2" s="1"/>
  <c r="D691" i="2"/>
  <c r="C691" i="2"/>
  <c r="B691" i="2"/>
  <c r="D690" i="2"/>
  <c r="C690" i="2"/>
  <c r="B690" i="2"/>
  <c r="Y690" i="2" s="1" a="1"/>
  <c r="Y690" i="2" s="1"/>
  <c r="D689" i="2"/>
  <c r="C689" i="2"/>
  <c r="B689" i="2"/>
  <c r="Y689" i="2" s="1" a="1"/>
  <c r="Y689" i="2" s="1"/>
  <c r="D688" i="2"/>
  <c r="C688" i="2"/>
  <c r="B688" i="2"/>
  <c r="Y688" i="2" s="1" a="1"/>
  <c r="Y688" i="2" s="1"/>
  <c r="D687" i="2"/>
  <c r="C687" i="2"/>
  <c r="B687" i="2"/>
  <c r="D686" i="2"/>
  <c r="C686" i="2"/>
  <c r="B686" i="2"/>
  <c r="Y686" i="2" s="1" a="1"/>
  <c r="Y686" i="2" s="1"/>
  <c r="D685" i="2"/>
  <c r="C685" i="2"/>
  <c r="B685" i="2"/>
  <c r="Y685" i="2" s="1" a="1"/>
  <c r="Y685" i="2" s="1"/>
  <c r="D684" i="2"/>
  <c r="C684" i="2"/>
  <c r="B684" i="2"/>
  <c r="Y684" i="2" s="1" a="1"/>
  <c r="Y684" i="2" s="1"/>
  <c r="D683" i="2"/>
  <c r="C683" i="2"/>
  <c r="B683" i="2"/>
  <c r="D682" i="2"/>
  <c r="C682" i="2"/>
  <c r="B682" i="2"/>
  <c r="Y682" i="2" s="1" a="1"/>
  <c r="Y682" i="2" s="1"/>
  <c r="D681" i="2"/>
  <c r="C681" i="2"/>
  <c r="B681" i="2"/>
  <c r="Y681" i="2" s="1" a="1"/>
  <c r="Y681" i="2" s="1"/>
  <c r="D680" i="2"/>
  <c r="C680" i="2"/>
  <c r="B680" i="2"/>
  <c r="Y680" i="2" s="1" a="1"/>
  <c r="Y680" i="2" s="1"/>
  <c r="D679" i="2"/>
  <c r="C679" i="2"/>
  <c r="B679" i="2"/>
  <c r="D678" i="2"/>
  <c r="C678" i="2"/>
  <c r="B678" i="2"/>
  <c r="Y678" i="2" s="1" a="1"/>
  <c r="Y678" i="2" s="1"/>
  <c r="D677" i="2"/>
  <c r="C677" i="2"/>
  <c r="B677" i="2"/>
  <c r="Y677" i="2" s="1" a="1"/>
  <c r="Y677" i="2" s="1"/>
  <c r="D676" i="2"/>
  <c r="C676" i="2"/>
  <c r="B676" i="2"/>
  <c r="Y676" i="2" s="1" a="1"/>
  <c r="Y676" i="2" s="1"/>
  <c r="D675" i="2"/>
  <c r="C675" i="2"/>
  <c r="B675" i="2"/>
  <c r="D674" i="2"/>
  <c r="C674" i="2"/>
  <c r="B674" i="2"/>
  <c r="Y674" i="2" s="1" a="1"/>
  <c r="Y674" i="2" s="1"/>
  <c r="D673" i="2"/>
  <c r="C673" i="2"/>
  <c r="B673" i="2"/>
  <c r="Y673" i="2" s="1" a="1"/>
  <c r="Y673" i="2" s="1"/>
  <c r="D672" i="2"/>
  <c r="C672" i="2"/>
  <c r="B672" i="2"/>
  <c r="Y672" i="2" s="1" a="1"/>
  <c r="Y672" i="2" s="1"/>
  <c r="D671" i="2"/>
  <c r="C671" i="2"/>
  <c r="B671" i="2"/>
  <c r="D670" i="2"/>
  <c r="C670" i="2"/>
  <c r="B670" i="2"/>
  <c r="Y670" i="2" s="1" a="1"/>
  <c r="Y670" i="2" s="1"/>
  <c r="D669" i="2"/>
  <c r="C669" i="2"/>
  <c r="B669" i="2"/>
  <c r="Y669" i="2" s="1" a="1"/>
  <c r="Y669" i="2" s="1"/>
  <c r="D668" i="2"/>
  <c r="C668" i="2"/>
  <c r="B668" i="2"/>
  <c r="Y668" i="2" s="1" a="1"/>
  <c r="Y668" i="2" s="1"/>
  <c r="D667" i="2"/>
  <c r="C667" i="2"/>
  <c r="B667" i="2"/>
  <c r="D666" i="2"/>
  <c r="C666" i="2"/>
  <c r="B666" i="2"/>
  <c r="Y666" i="2" s="1" a="1"/>
  <c r="Y666" i="2" s="1"/>
  <c r="D665" i="2"/>
  <c r="C665" i="2"/>
  <c r="B665" i="2"/>
  <c r="Y665" i="2" s="1" a="1"/>
  <c r="Y665" i="2" s="1"/>
  <c r="D664" i="2"/>
  <c r="C664" i="2"/>
  <c r="B664" i="2"/>
  <c r="Y664" i="2" s="1" a="1"/>
  <c r="Y664" i="2" s="1"/>
  <c r="D663" i="2"/>
  <c r="C663" i="2"/>
  <c r="B663" i="2"/>
  <c r="D662" i="2"/>
  <c r="C662" i="2"/>
  <c r="B662" i="2"/>
  <c r="Y662" i="2" s="1" a="1"/>
  <c r="Y662" i="2" s="1"/>
  <c r="D661" i="2"/>
  <c r="C661" i="2"/>
  <c r="B661" i="2"/>
  <c r="Y661" i="2" s="1" a="1"/>
  <c r="Y661" i="2" s="1"/>
  <c r="D660" i="2"/>
  <c r="C660" i="2"/>
  <c r="B660" i="2"/>
  <c r="Y660" i="2" s="1" a="1"/>
  <c r="Y660" i="2" s="1"/>
  <c r="D659" i="2"/>
  <c r="C659" i="2"/>
  <c r="B659" i="2"/>
  <c r="D658" i="2"/>
  <c r="C658" i="2"/>
  <c r="B658" i="2"/>
  <c r="Y658" i="2" s="1" a="1"/>
  <c r="Y658" i="2" s="1"/>
  <c r="D657" i="2"/>
  <c r="C657" i="2"/>
  <c r="B657" i="2"/>
  <c r="Y657" i="2" s="1" a="1"/>
  <c r="Y657" i="2" s="1"/>
  <c r="D656" i="2"/>
  <c r="C656" i="2"/>
  <c r="B656" i="2"/>
  <c r="Y656" i="2" s="1" a="1"/>
  <c r="Y656" i="2" s="1"/>
  <c r="D655" i="2"/>
  <c r="C655" i="2"/>
  <c r="B655" i="2"/>
  <c r="D654" i="2"/>
  <c r="C654" i="2"/>
  <c r="B654" i="2"/>
  <c r="Y654" i="2" s="1" a="1"/>
  <c r="Y654" i="2" s="1"/>
  <c r="D653" i="2"/>
  <c r="C653" i="2"/>
  <c r="B653" i="2"/>
  <c r="Y653" i="2" s="1" a="1"/>
  <c r="Y653" i="2" s="1"/>
  <c r="D652" i="2"/>
  <c r="C652" i="2"/>
  <c r="B652" i="2"/>
  <c r="Y652" i="2" s="1" a="1"/>
  <c r="Y652" i="2" s="1"/>
  <c r="D651" i="2"/>
  <c r="C651" i="2"/>
  <c r="B651" i="2"/>
  <c r="D650" i="2"/>
  <c r="C650" i="2"/>
  <c r="B650" i="2"/>
  <c r="Y650" i="2" s="1" a="1"/>
  <c r="Y650" i="2" s="1"/>
  <c r="D649" i="2"/>
  <c r="C649" i="2"/>
  <c r="B649" i="2"/>
  <c r="Y649" i="2" s="1" a="1"/>
  <c r="Y649" i="2" s="1"/>
  <c r="D648" i="2"/>
  <c r="C648" i="2"/>
  <c r="B648" i="2"/>
  <c r="Y648" i="2" s="1" a="1"/>
  <c r="Y648" i="2" s="1"/>
  <c r="D647" i="2"/>
  <c r="C647" i="2"/>
  <c r="B647" i="2"/>
  <c r="D646" i="2"/>
  <c r="C646" i="2"/>
  <c r="B646" i="2"/>
  <c r="Y646" i="2" s="1" a="1"/>
  <c r="Y646" i="2" s="1"/>
  <c r="D645" i="2"/>
  <c r="C645" i="2"/>
  <c r="B645" i="2"/>
  <c r="Y645" i="2" s="1" a="1"/>
  <c r="Y645" i="2" s="1"/>
  <c r="D644" i="2"/>
  <c r="C644" i="2"/>
  <c r="B644" i="2"/>
  <c r="Y644" i="2" s="1" a="1"/>
  <c r="Y644" i="2" s="1"/>
  <c r="D643" i="2"/>
  <c r="C643" i="2"/>
  <c r="B643" i="2"/>
  <c r="D642" i="2"/>
  <c r="C642" i="2"/>
  <c r="B642" i="2"/>
  <c r="Y642" i="2" s="1" a="1"/>
  <c r="Y642" i="2" s="1"/>
  <c r="D641" i="2"/>
  <c r="C641" i="2"/>
  <c r="B641" i="2"/>
  <c r="Y641" i="2" s="1" a="1"/>
  <c r="Y641" i="2" s="1"/>
  <c r="D640" i="2"/>
  <c r="C640" i="2"/>
  <c r="B640" i="2"/>
  <c r="Y640" i="2" s="1" a="1"/>
  <c r="Y640" i="2" s="1"/>
  <c r="D639" i="2"/>
  <c r="C639" i="2"/>
  <c r="B639" i="2"/>
  <c r="D638" i="2"/>
  <c r="C638" i="2"/>
  <c r="B638" i="2"/>
  <c r="Y638" i="2" s="1" a="1"/>
  <c r="Y638" i="2" s="1"/>
  <c r="D637" i="2"/>
  <c r="C637" i="2"/>
  <c r="B637" i="2"/>
  <c r="Y637" i="2" s="1" a="1"/>
  <c r="Y637" i="2" s="1"/>
  <c r="D636" i="2"/>
  <c r="C636" i="2"/>
  <c r="B636" i="2"/>
  <c r="Y636" i="2" s="1" a="1"/>
  <c r="Y636" i="2" s="1"/>
  <c r="D635" i="2"/>
  <c r="C635" i="2"/>
  <c r="B635" i="2"/>
  <c r="D634" i="2"/>
  <c r="C634" i="2"/>
  <c r="B634" i="2"/>
  <c r="Y634" i="2" s="1" a="1"/>
  <c r="Y634" i="2" s="1"/>
  <c r="D633" i="2"/>
  <c r="C633" i="2"/>
  <c r="B633" i="2"/>
  <c r="Y633" i="2" s="1" a="1"/>
  <c r="Y633" i="2" s="1"/>
  <c r="D632" i="2"/>
  <c r="C632" i="2"/>
  <c r="B632" i="2"/>
  <c r="Y632" i="2" s="1" a="1"/>
  <c r="Y632" i="2" s="1"/>
  <c r="D631" i="2"/>
  <c r="C631" i="2"/>
  <c r="B631" i="2"/>
  <c r="D630" i="2"/>
  <c r="C630" i="2"/>
  <c r="B630" i="2"/>
  <c r="Y630" i="2" s="1" a="1"/>
  <c r="Y630" i="2" s="1"/>
  <c r="D629" i="2"/>
  <c r="C629" i="2"/>
  <c r="B629" i="2"/>
  <c r="Y629" i="2" s="1" a="1"/>
  <c r="Y629" i="2" s="1"/>
  <c r="D628" i="2"/>
  <c r="C628" i="2"/>
  <c r="B628" i="2"/>
  <c r="Y628" i="2" s="1" a="1"/>
  <c r="Y628" i="2" s="1"/>
  <c r="D627" i="2"/>
  <c r="C627" i="2"/>
  <c r="B627" i="2"/>
  <c r="D626" i="2"/>
  <c r="C626" i="2"/>
  <c r="B626" i="2"/>
  <c r="Y626" i="2" s="1" a="1"/>
  <c r="Y626" i="2" s="1"/>
  <c r="D625" i="2"/>
  <c r="C625" i="2"/>
  <c r="B625" i="2"/>
  <c r="Y625" i="2" s="1" a="1"/>
  <c r="Y625" i="2" s="1"/>
  <c r="D624" i="2"/>
  <c r="C624" i="2"/>
  <c r="B624" i="2"/>
  <c r="Y624" i="2" s="1" a="1"/>
  <c r="Y624" i="2" s="1"/>
  <c r="D623" i="2"/>
  <c r="C623" i="2"/>
  <c r="B623" i="2"/>
  <c r="D622" i="2"/>
  <c r="C622" i="2"/>
  <c r="B622" i="2"/>
  <c r="Y622" i="2" s="1" a="1"/>
  <c r="Y622" i="2" s="1"/>
  <c r="D621" i="2"/>
  <c r="C621" i="2"/>
  <c r="B621" i="2"/>
  <c r="Y621" i="2" s="1" a="1"/>
  <c r="Y621" i="2" s="1"/>
  <c r="D620" i="2"/>
  <c r="C620" i="2"/>
  <c r="B620" i="2"/>
  <c r="Y620" i="2" s="1" a="1"/>
  <c r="Y620" i="2" s="1"/>
  <c r="D619" i="2"/>
  <c r="C619" i="2"/>
  <c r="B619" i="2"/>
  <c r="D618" i="2"/>
  <c r="C618" i="2"/>
  <c r="B618" i="2"/>
  <c r="Y618" i="2" s="1" a="1"/>
  <c r="Y618" i="2" s="1"/>
  <c r="D617" i="2"/>
  <c r="C617" i="2"/>
  <c r="B617" i="2"/>
  <c r="Y617" i="2" s="1" a="1"/>
  <c r="Y617" i="2" s="1"/>
  <c r="D616" i="2"/>
  <c r="C616" i="2"/>
  <c r="B616" i="2"/>
  <c r="Y616" i="2" s="1" a="1"/>
  <c r="Y616" i="2" s="1"/>
  <c r="D615" i="2"/>
  <c r="C615" i="2"/>
  <c r="B615" i="2"/>
  <c r="D614" i="2"/>
  <c r="C614" i="2"/>
  <c r="B614" i="2"/>
  <c r="Y614" i="2" s="1" a="1"/>
  <c r="Y614" i="2" s="1"/>
  <c r="D613" i="2"/>
  <c r="C613" i="2"/>
  <c r="B613" i="2"/>
  <c r="Y613" i="2" s="1" a="1"/>
  <c r="Y613" i="2" s="1"/>
  <c r="D612" i="2"/>
  <c r="C612" i="2"/>
  <c r="B612" i="2"/>
  <c r="Y612" i="2" s="1" a="1"/>
  <c r="Y612" i="2" s="1"/>
  <c r="D611" i="2"/>
  <c r="C611" i="2"/>
  <c r="B611" i="2"/>
  <c r="D610" i="2"/>
  <c r="C610" i="2"/>
  <c r="B610" i="2"/>
  <c r="Y610" i="2" s="1" a="1"/>
  <c r="Y610" i="2" s="1"/>
  <c r="D609" i="2"/>
  <c r="C609" i="2"/>
  <c r="B609" i="2"/>
  <c r="Y609" i="2" s="1" a="1"/>
  <c r="Y609" i="2" s="1"/>
  <c r="D608" i="2"/>
  <c r="C608" i="2"/>
  <c r="B608" i="2"/>
  <c r="Y608" i="2" s="1" a="1"/>
  <c r="Y608" i="2" s="1"/>
  <c r="D607" i="2"/>
  <c r="C607" i="2"/>
  <c r="B607" i="2"/>
  <c r="D606" i="2"/>
  <c r="C606" i="2"/>
  <c r="B606" i="2"/>
  <c r="Y606" i="2" s="1" a="1"/>
  <c r="Y606" i="2" s="1"/>
  <c r="D605" i="2"/>
  <c r="C605" i="2"/>
  <c r="B605" i="2"/>
  <c r="Y605" i="2" s="1" a="1"/>
  <c r="Y605" i="2" s="1"/>
  <c r="D604" i="2"/>
  <c r="C604" i="2"/>
  <c r="B604" i="2"/>
  <c r="Y604" i="2" s="1" a="1"/>
  <c r="Y604" i="2" s="1"/>
  <c r="D603" i="2"/>
  <c r="C603" i="2"/>
  <c r="B603" i="2"/>
  <c r="D602" i="2"/>
  <c r="C602" i="2"/>
  <c r="B602" i="2"/>
  <c r="Y602" i="2" s="1" a="1"/>
  <c r="Y602" i="2" s="1"/>
  <c r="D601" i="2"/>
  <c r="C601" i="2"/>
  <c r="B601" i="2"/>
  <c r="Y601" i="2" s="1" a="1"/>
  <c r="Y601" i="2" s="1"/>
  <c r="D600" i="2"/>
  <c r="C600" i="2"/>
  <c r="B600" i="2"/>
  <c r="Y600" i="2" s="1" a="1"/>
  <c r="Y600" i="2" s="1"/>
  <c r="D599" i="2"/>
  <c r="C599" i="2"/>
  <c r="B599" i="2"/>
  <c r="D598" i="2"/>
  <c r="C598" i="2"/>
  <c r="B598" i="2"/>
  <c r="Y598" i="2" s="1" a="1"/>
  <c r="Y598" i="2" s="1"/>
  <c r="D597" i="2"/>
  <c r="C597" i="2"/>
  <c r="B597" i="2"/>
  <c r="Y597" i="2" s="1" a="1"/>
  <c r="Y597" i="2" s="1"/>
  <c r="D596" i="2"/>
  <c r="C596" i="2"/>
  <c r="B596" i="2"/>
  <c r="Y596" i="2" s="1" a="1"/>
  <c r="Y596" i="2" s="1"/>
  <c r="D595" i="2"/>
  <c r="C595" i="2"/>
  <c r="B595" i="2"/>
  <c r="D594" i="2"/>
  <c r="C594" i="2"/>
  <c r="B594" i="2"/>
  <c r="Y594" i="2" s="1" a="1"/>
  <c r="Y594" i="2" s="1"/>
  <c r="D593" i="2"/>
  <c r="C593" i="2"/>
  <c r="B593" i="2"/>
  <c r="Y593" i="2" s="1" a="1"/>
  <c r="Y593" i="2" s="1"/>
  <c r="D592" i="2"/>
  <c r="C592" i="2"/>
  <c r="B592" i="2"/>
  <c r="Y592" i="2" s="1" a="1"/>
  <c r="Y592" i="2" s="1"/>
  <c r="D591" i="2"/>
  <c r="C591" i="2"/>
  <c r="B591" i="2"/>
  <c r="D590" i="2"/>
  <c r="C590" i="2"/>
  <c r="B590" i="2"/>
  <c r="Y590" i="2" s="1" a="1"/>
  <c r="Y590" i="2" s="1"/>
  <c r="D589" i="2"/>
  <c r="C589" i="2"/>
  <c r="B589" i="2"/>
  <c r="Y589" i="2" s="1" a="1"/>
  <c r="Y589" i="2" s="1"/>
  <c r="D588" i="2"/>
  <c r="C588" i="2"/>
  <c r="B588" i="2"/>
  <c r="Y588" i="2" s="1" a="1"/>
  <c r="Y588" i="2" s="1"/>
  <c r="D587" i="2"/>
  <c r="C587" i="2"/>
  <c r="B587" i="2"/>
  <c r="D586" i="2"/>
  <c r="C586" i="2"/>
  <c r="B586" i="2"/>
  <c r="Y586" i="2" s="1" a="1"/>
  <c r="Y586" i="2" s="1"/>
  <c r="D585" i="2"/>
  <c r="C585" i="2"/>
  <c r="B585" i="2"/>
  <c r="Y585" i="2" s="1" a="1"/>
  <c r="Y585" i="2" s="1"/>
  <c r="D584" i="2"/>
  <c r="C584" i="2"/>
  <c r="B584" i="2"/>
  <c r="Y584" i="2" s="1" a="1"/>
  <c r="Y584" i="2" s="1"/>
  <c r="D583" i="2"/>
  <c r="C583" i="2"/>
  <c r="B583" i="2"/>
  <c r="D582" i="2"/>
  <c r="C582" i="2"/>
  <c r="B582" i="2"/>
  <c r="Y582" i="2" s="1" a="1"/>
  <c r="Y582" i="2" s="1"/>
  <c r="D581" i="2"/>
  <c r="C581" i="2"/>
  <c r="B581" i="2"/>
  <c r="Y581" i="2" s="1" a="1"/>
  <c r="Y581" i="2" s="1"/>
  <c r="D580" i="2"/>
  <c r="C580" i="2"/>
  <c r="B580" i="2"/>
  <c r="Y580" i="2" s="1" a="1"/>
  <c r="Y580" i="2" s="1"/>
  <c r="D579" i="2"/>
  <c r="C579" i="2"/>
  <c r="B579" i="2"/>
  <c r="D578" i="2"/>
  <c r="C578" i="2"/>
  <c r="B578" i="2"/>
  <c r="Y578" i="2" s="1" a="1"/>
  <c r="Y578" i="2" s="1"/>
  <c r="D577" i="2"/>
  <c r="C577" i="2"/>
  <c r="B577" i="2"/>
  <c r="Y577" i="2" s="1" a="1"/>
  <c r="Y577" i="2" s="1"/>
  <c r="D576" i="2"/>
  <c r="C576" i="2"/>
  <c r="B576" i="2"/>
  <c r="Y576" i="2" s="1" a="1"/>
  <c r="Y576" i="2" s="1"/>
  <c r="D575" i="2"/>
  <c r="C575" i="2"/>
  <c r="B575" i="2"/>
  <c r="D574" i="2"/>
  <c r="C574" i="2"/>
  <c r="B574" i="2"/>
  <c r="Y574" i="2" s="1" a="1"/>
  <c r="Y574" i="2" s="1"/>
  <c r="D573" i="2"/>
  <c r="C573" i="2"/>
  <c r="B573" i="2"/>
  <c r="Y573" i="2" s="1" a="1"/>
  <c r="Y573" i="2" s="1"/>
  <c r="D572" i="2"/>
  <c r="C572" i="2"/>
  <c r="B572" i="2"/>
  <c r="Y572" i="2" s="1" a="1"/>
  <c r="Y572" i="2" s="1"/>
  <c r="D571" i="2"/>
  <c r="C571" i="2"/>
  <c r="B571" i="2"/>
  <c r="D570" i="2"/>
  <c r="C570" i="2"/>
  <c r="B570" i="2"/>
  <c r="Y570" i="2" s="1" a="1"/>
  <c r="Y570" i="2" s="1"/>
  <c r="D569" i="2"/>
  <c r="C569" i="2"/>
  <c r="B569" i="2"/>
  <c r="Y569" i="2" s="1" a="1"/>
  <c r="Y569" i="2" s="1"/>
  <c r="D568" i="2"/>
  <c r="C568" i="2"/>
  <c r="B568" i="2"/>
  <c r="Y568" i="2" s="1" a="1"/>
  <c r="Y568" i="2" s="1"/>
  <c r="D567" i="2"/>
  <c r="C567" i="2"/>
  <c r="B567" i="2"/>
  <c r="D566" i="2"/>
  <c r="C566" i="2"/>
  <c r="B566" i="2"/>
  <c r="Y566" i="2" s="1" a="1"/>
  <c r="Y566" i="2" s="1"/>
  <c r="D565" i="2"/>
  <c r="C565" i="2"/>
  <c r="B565" i="2"/>
  <c r="Y565" i="2" s="1" a="1"/>
  <c r="Y565" i="2" s="1"/>
  <c r="D564" i="2"/>
  <c r="C564" i="2"/>
  <c r="B564" i="2"/>
  <c r="Y564" i="2" s="1" a="1"/>
  <c r="Y564" i="2" s="1"/>
  <c r="D563" i="2"/>
  <c r="C563" i="2"/>
  <c r="B563" i="2"/>
  <c r="D562" i="2"/>
  <c r="C562" i="2"/>
  <c r="B562" i="2"/>
  <c r="Y562" i="2" s="1" a="1"/>
  <c r="Y562" i="2" s="1"/>
  <c r="D561" i="2"/>
  <c r="C561" i="2"/>
  <c r="B561" i="2"/>
  <c r="Y561" i="2" s="1" a="1"/>
  <c r="Y561" i="2" s="1"/>
  <c r="D560" i="2"/>
  <c r="C560" i="2"/>
  <c r="B560" i="2"/>
  <c r="Y560" i="2" s="1" a="1"/>
  <c r="Y560" i="2" s="1"/>
  <c r="D559" i="2"/>
  <c r="C559" i="2"/>
  <c r="B559" i="2"/>
  <c r="D558" i="2"/>
  <c r="C558" i="2"/>
  <c r="B558" i="2"/>
  <c r="Y558" i="2" s="1" a="1"/>
  <c r="Y558" i="2" s="1"/>
  <c r="D557" i="2"/>
  <c r="C557" i="2"/>
  <c r="B557" i="2"/>
  <c r="Y557" i="2" s="1" a="1"/>
  <c r="Y557" i="2" s="1"/>
  <c r="D556" i="2"/>
  <c r="C556" i="2"/>
  <c r="B556" i="2"/>
  <c r="Y556" i="2" s="1" a="1"/>
  <c r="Y556" i="2" s="1"/>
  <c r="D555" i="2"/>
  <c r="C555" i="2"/>
  <c r="B555" i="2"/>
  <c r="D554" i="2"/>
  <c r="C554" i="2"/>
  <c r="B554" i="2"/>
  <c r="Y554" i="2" s="1" a="1"/>
  <c r="Y554" i="2" s="1"/>
  <c r="D553" i="2"/>
  <c r="C553" i="2"/>
  <c r="B553" i="2"/>
  <c r="Y553" i="2" s="1" a="1"/>
  <c r="Y553" i="2" s="1"/>
  <c r="D552" i="2"/>
  <c r="C552" i="2"/>
  <c r="B552" i="2"/>
  <c r="Y552" i="2" s="1" a="1"/>
  <c r="Y552" i="2" s="1"/>
  <c r="D551" i="2"/>
  <c r="C551" i="2"/>
  <c r="B551" i="2"/>
  <c r="D550" i="2"/>
  <c r="C550" i="2"/>
  <c r="B550" i="2"/>
  <c r="Y550" i="2" s="1" a="1"/>
  <c r="Y550" i="2" s="1"/>
  <c r="D549" i="2"/>
  <c r="C549" i="2"/>
  <c r="B549" i="2"/>
  <c r="Y549" i="2" s="1" a="1"/>
  <c r="Y549" i="2" s="1"/>
  <c r="D548" i="2"/>
  <c r="C548" i="2"/>
  <c r="B548" i="2"/>
  <c r="Y548" i="2" s="1" a="1"/>
  <c r="Y548" i="2" s="1"/>
  <c r="D547" i="2"/>
  <c r="C547" i="2"/>
  <c r="B547" i="2"/>
  <c r="D546" i="2"/>
  <c r="C546" i="2"/>
  <c r="B546" i="2"/>
  <c r="Y546" i="2" s="1" a="1"/>
  <c r="Y546" i="2" s="1"/>
  <c r="D545" i="2"/>
  <c r="C545" i="2"/>
  <c r="B545" i="2"/>
  <c r="Y545" i="2" s="1" a="1"/>
  <c r="Y545" i="2" s="1"/>
  <c r="D544" i="2"/>
  <c r="C544" i="2"/>
  <c r="B544" i="2"/>
  <c r="Y544" i="2" s="1" a="1"/>
  <c r="Y544" i="2" s="1"/>
  <c r="D543" i="2"/>
  <c r="C543" i="2"/>
  <c r="B543" i="2"/>
  <c r="D542" i="2"/>
  <c r="C542" i="2"/>
  <c r="B542" i="2"/>
  <c r="Y542" i="2" s="1" a="1"/>
  <c r="Y542" i="2" s="1"/>
  <c r="D541" i="2"/>
  <c r="C541" i="2"/>
  <c r="B541" i="2"/>
  <c r="Y541" i="2" s="1" a="1"/>
  <c r="Y541" i="2" s="1"/>
  <c r="D540" i="2"/>
  <c r="C540" i="2"/>
  <c r="B540" i="2"/>
  <c r="Y540" i="2" s="1" a="1"/>
  <c r="Y540" i="2" s="1"/>
  <c r="D539" i="2"/>
  <c r="C539" i="2"/>
  <c r="B539" i="2"/>
  <c r="D538" i="2"/>
  <c r="C538" i="2"/>
  <c r="B538" i="2"/>
  <c r="Y538" i="2" s="1" a="1"/>
  <c r="Y538" i="2" s="1"/>
  <c r="D537" i="2"/>
  <c r="C537" i="2"/>
  <c r="B537" i="2"/>
  <c r="Y537" i="2" s="1" a="1"/>
  <c r="Y537" i="2" s="1"/>
  <c r="D536" i="2"/>
  <c r="C536" i="2"/>
  <c r="B536" i="2"/>
  <c r="Y536" i="2" s="1" a="1"/>
  <c r="Y536" i="2" s="1"/>
  <c r="D535" i="2"/>
  <c r="C535" i="2"/>
  <c r="B535" i="2"/>
  <c r="D534" i="2"/>
  <c r="C534" i="2"/>
  <c r="B534" i="2"/>
  <c r="Y534" i="2" s="1" a="1"/>
  <c r="Y534" i="2" s="1"/>
  <c r="D533" i="2"/>
  <c r="C533" i="2"/>
  <c r="B533" i="2"/>
  <c r="Y533" i="2" s="1" a="1"/>
  <c r="Y533" i="2" s="1"/>
  <c r="D532" i="2"/>
  <c r="C532" i="2"/>
  <c r="B532" i="2"/>
  <c r="Y532" i="2" s="1" a="1"/>
  <c r="Y532" i="2" s="1"/>
  <c r="D531" i="2"/>
  <c r="C531" i="2"/>
  <c r="B531" i="2"/>
  <c r="D530" i="2"/>
  <c r="C530" i="2"/>
  <c r="B530" i="2"/>
  <c r="Y530" i="2" s="1" a="1"/>
  <c r="Y530" i="2" s="1"/>
  <c r="D529" i="2"/>
  <c r="C529" i="2"/>
  <c r="B529" i="2"/>
  <c r="Y529" i="2" s="1" a="1"/>
  <c r="Y529" i="2" s="1"/>
  <c r="D528" i="2"/>
  <c r="C528" i="2"/>
  <c r="B528" i="2"/>
  <c r="Y528" i="2" s="1" a="1"/>
  <c r="Y528" i="2" s="1"/>
  <c r="D527" i="2"/>
  <c r="C527" i="2"/>
  <c r="B527" i="2"/>
  <c r="D526" i="2"/>
  <c r="C526" i="2"/>
  <c r="B526" i="2"/>
  <c r="Y526" i="2" s="1" a="1"/>
  <c r="Y526" i="2" s="1"/>
  <c r="D525" i="2"/>
  <c r="C525" i="2"/>
  <c r="B525" i="2"/>
  <c r="Y525" i="2" s="1" a="1"/>
  <c r="Y525" i="2" s="1"/>
  <c r="D524" i="2"/>
  <c r="C524" i="2"/>
  <c r="B524" i="2"/>
  <c r="Y524" i="2" s="1" a="1"/>
  <c r="Y524" i="2" s="1"/>
  <c r="D523" i="2"/>
  <c r="C523" i="2"/>
  <c r="B523" i="2"/>
  <c r="D522" i="2"/>
  <c r="C522" i="2"/>
  <c r="B522" i="2"/>
  <c r="Y522" i="2" s="1" a="1"/>
  <c r="Y522" i="2" s="1"/>
  <c r="D521" i="2"/>
  <c r="C521" i="2"/>
  <c r="B521" i="2"/>
  <c r="Y521" i="2" s="1" a="1"/>
  <c r="Y521" i="2" s="1"/>
  <c r="D520" i="2"/>
  <c r="C520" i="2"/>
  <c r="B520" i="2"/>
  <c r="Y520" i="2" s="1" a="1"/>
  <c r="Y520" i="2" s="1"/>
  <c r="D519" i="2"/>
  <c r="C519" i="2"/>
  <c r="B519" i="2"/>
  <c r="D518" i="2"/>
  <c r="C518" i="2"/>
  <c r="B518" i="2"/>
  <c r="Y518" i="2" s="1" a="1"/>
  <c r="Y518" i="2" s="1"/>
  <c r="D517" i="2"/>
  <c r="C517" i="2"/>
  <c r="B517" i="2"/>
  <c r="Y517" i="2" s="1" a="1"/>
  <c r="Y517" i="2" s="1"/>
  <c r="D516" i="2"/>
  <c r="C516" i="2"/>
  <c r="B516" i="2"/>
  <c r="Y516" i="2" s="1" a="1"/>
  <c r="Y516" i="2" s="1"/>
  <c r="D515" i="2"/>
  <c r="C515" i="2"/>
  <c r="B515" i="2"/>
  <c r="D514" i="2"/>
  <c r="C514" i="2"/>
  <c r="B514" i="2"/>
  <c r="Y514" i="2" s="1" a="1"/>
  <c r="Y514" i="2" s="1"/>
  <c r="D513" i="2"/>
  <c r="C513" i="2"/>
  <c r="B513" i="2"/>
  <c r="Y513" i="2" s="1" a="1"/>
  <c r="Y513" i="2" s="1"/>
  <c r="D512" i="2"/>
  <c r="C512" i="2"/>
  <c r="B512" i="2"/>
  <c r="Y512" i="2" s="1" a="1"/>
  <c r="Y512" i="2" s="1"/>
  <c r="D511" i="2"/>
  <c r="C511" i="2"/>
  <c r="B511" i="2"/>
  <c r="D510" i="2"/>
  <c r="C510" i="2"/>
  <c r="B510" i="2"/>
  <c r="Y510" i="2" s="1" a="1"/>
  <c r="Y510" i="2" s="1"/>
  <c r="D509" i="2"/>
  <c r="C509" i="2"/>
  <c r="B509" i="2"/>
  <c r="Y509" i="2" s="1" a="1"/>
  <c r="Y509" i="2" s="1"/>
  <c r="D508" i="2"/>
  <c r="C508" i="2"/>
  <c r="B508" i="2"/>
  <c r="Y508" i="2" s="1" a="1"/>
  <c r="Y508" i="2" s="1"/>
  <c r="D507" i="2"/>
  <c r="C507" i="2"/>
  <c r="B507" i="2"/>
  <c r="D506" i="2"/>
  <c r="C506" i="2"/>
  <c r="B506" i="2"/>
  <c r="Y506" i="2" s="1" a="1"/>
  <c r="Y506" i="2" s="1"/>
  <c r="D505" i="2"/>
  <c r="C505" i="2"/>
  <c r="B505" i="2"/>
  <c r="Y505" i="2" s="1" a="1"/>
  <c r="Y505" i="2" s="1"/>
  <c r="D504" i="2"/>
  <c r="C504" i="2"/>
  <c r="B504" i="2"/>
  <c r="Y504" i="2" s="1" a="1"/>
  <c r="Y504" i="2" s="1"/>
  <c r="D503" i="2"/>
  <c r="C503" i="2"/>
  <c r="B503" i="2"/>
  <c r="D502" i="2"/>
  <c r="C502" i="2"/>
  <c r="B502" i="2"/>
  <c r="Y502" i="2" s="1" a="1"/>
  <c r="Y502" i="2" s="1"/>
  <c r="D501" i="2"/>
  <c r="C501" i="2"/>
  <c r="B501" i="2"/>
  <c r="Y501" i="2" s="1" a="1"/>
  <c r="Y501" i="2" s="1"/>
  <c r="D500" i="2"/>
  <c r="C500" i="2"/>
  <c r="B500" i="2"/>
  <c r="Y500" i="2" s="1" a="1"/>
  <c r="Y500" i="2" s="1"/>
  <c r="D499" i="2"/>
  <c r="C499" i="2"/>
  <c r="B499" i="2"/>
  <c r="D498" i="2"/>
  <c r="C498" i="2"/>
  <c r="B498" i="2"/>
  <c r="Y498" i="2" s="1" a="1"/>
  <c r="Y498" i="2" s="1"/>
  <c r="D497" i="2"/>
  <c r="C497" i="2"/>
  <c r="B497" i="2"/>
  <c r="Y497" i="2" s="1" a="1"/>
  <c r="Y497" i="2" s="1"/>
  <c r="D496" i="2"/>
  <c r="C496" i="2"/>
  <c r="B496" i="2"/>
  <c r="Y496" i="2" s="1" a="1"/>
  <c r="Y496" i="2" s="1"/>
  <c r="D495" i="2"/>
  <c r="C495" i="2"/>
  <c r="B495" i="2"/>
  <c r="D494" i="2"/>
  <c r="C494" i="2"/>
  <c r="B494" i="2"/>
  <c r="Y494" i="2" s="1" a="1"/>
  <c r="Y494" i="2" s="1"/>
  <c r="D493" i="2"/>
  <c r="C493" i="2"/>
  <c r="B493" i="2"/>
  <c r="Y493" i="2" s="1" a="1"/>
  <c r="Y493" i="2" s="1"/>
  <c r="D492" i="2"/>
  <c r="C492" i="2"/>
  <c r="B492" i="2"/>
  <c r="Y492" i="2" s="1" a="1"/>
  <c r="Y492" i="2" s="1"/>
  <c r="D491" i="2"/>
  <c r="C491" i="2"/>
  <c r="B491" i="2"/>
  <c r="D490" i="2"/>
  <c r="C490" i="2"/>
  <c r="B490" i="2"/>
  <c r="Y490" i="2" s="1" a="1"/>
  <c r="Y490" i="2" s="1"/>
  <c r="D489" i="2"/>
  <c r="C489" i="2"/>
  <c r="B489" i="2"/>
  <c r="Y489" i="2" s="1" a="1"/>
  <c r="Y489" i="2" s="1"/>
  <c r="D488" i="2"/>
  <c r="C488" i="2"/>
  <c r="B488" i="2"/>
  <c r="Y488" i="2" s="1" a="1"/>
  <c r="Y488" i="2" s="1"/>
  <c r="D487" i="2"/>
  <c r="C487" i="2"/>
  <c r="B487" i="2"/>
  <c r="D486" i="2"/>
  <c r="C486" i="2"/>
  <c r="B486" i="2"/>
  <c r="Y486" i="2" s="1" a="1"/>
  <c r="Y486" i="2" s="1"/>
  <c r="D485" i="2"/>
  <c r="C485" i="2"/>
  <c r="B485" i="2"/>
  <c r="Y485" i="2" s="1" a="1"/>
  <c r="Y485" i="2" s="1"/>
  <c r="D484" i="2"/>
  <c r="C484" i="2"/>
  <c r="B484" i="2"/>
  <c r="Y484" i="2" s="1" a="1"/>
  <c r="Y484" i="2" s="1"/>
  <c r="D483" i="2"/>
  <c r="C483" i="2"/>
  <c r="B483" i="2"/>
  <c r="D482" i="2"/>
  <c r="C482" i="2"/>
  <c r="B482" i="2"/>
  <c r="Y482" i="2" s="1" a="1"/>
  <c r="Y482" i="2" s="1"/>
  <c r="D481" i="2"/>
  <c r="C481" i="2"/>
  <c r="B481" i="2"/>
  <c r="Y481" i="2" s="1" a="1"/>
  <c r="Y481" i="2" s="1"/>
  <c r="D480" i="2"/>
  <c r="C480" i="2"/>
  <c r="B480" i="2"/>
  <c r="Y480" i="2" s="1" a="1"/>
  <c r="Y480" i="2" s="1"/>
  <c r="D479" i="2"/>
  <c r="C479" i="2"/>
  <c r="B479" i="2"/>
  <c r="D478" i="2"/>
  <c r="C478" i="2"/>
  <c r="B478" i="2"/>
  <c r="Y478" i="2" s="1" a="1"/>
  <c r="Y478" i="2" s="1"/>
  <c r="D477" i="2"/>
  <c r="C477" i="2"/>
  <c r="B477" i="2"/>
  <c r="Y477" i="2" s="1" a="1"/>
  <c r="Y477" i="2" s="1"/>
  <c r="D476" i="2"/>
  <c r="C476" i="2"/>
  <c r="B476" i="2"/>
  <c r="Y476" i="2" s="1" a="1"/>
  <c r="Y476" i="2" s="1"/>
  <c r="D475" i="2"/>
  <c r="C475" i="2"/>
  <c r="B475" i="2"/>
  <c r="D474" i="2"/>
  <c r="C474" i="2"/>
  <c r="B474" i="2"/>
  <c r="Y474" i="2" s="1" a="1"/>
  <c r="Y474" i="2" s="1"/>
  <c r="D473" i="2"/>
  <c r="C473" i="2"/>
  <c r="B473" i="2"/>
  <c r="Y473" i="2" s="1" a="1"/>
  <c r="Y473" i="2" s="1"/>
  <c r="D472" i="2"/>
  <c r="C472" i="2"/>
  <c r="B472" i="2"/>
  <c r="Y472" i="2" s="1" a="1"/>
  <c r="Y472" i="2" s="1"/>
  <c r="D471" i="2"/>
  <c r="C471" i="2"/>
  <c r="B471" i="2"/>
  <c r="D470" i="2"/>
  <c r="C470" i="2"/>
  <c r="B470" i="2"/>
  <c r="Y470" i="2" s="1" a="1"/>
  <c r="Y470" i="2" s="1"/>
  <c r="D469" i="2"/>
  <c r="C469" i="2"/>
  <c r="B469" i="2"/>
  <c r="Y469" i="2" s="1" a="1"/>
  <c r="Y469" i="2" s="1"/>
  <c r="D468" i="2"/>
  <c r="C468" i="2"/>
  <c r="B468" i="2"/>
  <c r="Y468" i="2" s="1" a="1"/>
  <c r="Y468" i="2" s="1"/>
  <c r="D467" i="2"/>
  <c r="C467" i="2"/>
  <c r="B467" i="2"/>
  <c r="D466" i="2"/>
  <c r="C466" i="2"/>
  <c r="B466" i="2"/>
  <c r="Y466" i="2" s="1" a="1"/>
  <c r="Y466" i="2" s="1"/>
  <c r="D465" i="2"/>
  <c r="C465" i="2"/>
  <c r="B465" i="2"/>
  <c r="Y465" i="2" s="1" a="1"/>
  <c r="Y465" i="2" s="1"/>
  <c r="D464" i="2"/>
  <c r="C464" i="2"/>
  <c r="B464" i="2"/>
  <c r="Y464" i="2" s="1" a="1"/>
  <c r="Y464" i="2" s="1"/>
  <c r="D463" i="2"/>
  <c r="C463" i="2"/>
  <c r="B463" i="2"/>
  <c r="D462" i="2"/>
  <c r="C462" i="2"/>
  <c r="B462" i="2"/>
  <c r="Y462" i="2" s="1" a="1"/>
  <c r="Y462" i="2" s="1"/>
  <c r="D461" i="2"/>
  <c r="C461" i="2"/>
  <c r="B461" i="2"/>
  <c r="Y461" i="2" s="1" a="1"/>
  <c r="Y461" i="2" s="1"/>
  <c r="D460" i="2"/>
  <c r="C460" i="2"/>
  <c r="B460" i="2"/>
  <c r="Y460" i="2" s="1" a="1"/>
  <c r="Y460" i="2" s="1"/>
  <c r="D459" i="2"/>
  <c r="C459" i="2"/>
  <c r="B459" i="2"/>
  <c r="D458" i="2"/>
  <c r="C458" i="2"/>
  <c r="B458" i="2"/>
  <c r="Y458" i="2" s="1" a="1"/>
  <c r="Y458" i="2" s="1"/>
  <c r="D457" i="2"/>
  <c r="C457" i="2"/>
  <c r="B457" i="2"/>
  <c r="Y457" i="2" s="1" a="1"/>
  <c r="Y457" i="2" s="1"/>
  <c r="D456" i="2"/>
  <c r="C456" i="2"/>
  <c r="B456" i="2"/>
  <c r="Y456" i="2" s="1" a="1"/>
  <c r="Y456" i="2" s="1"/>
  <c r="D455" i="2"/>
  <c r="C455" i="2"/>
  <c r="B455" i="2"/>
  <c r="D454" i="2"/>
  <c r="C454" i="2"/>
  <c r="B454" i="2"/>
  <c r="Y454" i="2" s="1" a="1"/>
  <c r="Y454" i="2" s="1"/>
  <c r="D453" i="2"/>
  <c r="C453" i="2"/>
  <c r="B453" i="2"/>
  <c r="Y453" i="2" s="1" a="1"/>
  <c r="Y453" i="2" s="1"/>
  <c r="D452" i="2"/>
  <c r="C452" i="2"/>
  <c r="B452" i="2"/>
  <c r="Y452" i="2" s="1" a="1"/>
  <c r="Y452" i="2" s="1"/>
  <c r="D451" i="2"/>
  <c r="C451" i="2"/>
  <c r="B451" i="2"/>
  <c r="D450" i="2"/>
  <c r="C450" i="2"/>
  <c r="B450" i="2"/>
  <c r="Y450" i="2" s="1" a="1"/>
  <c r="Y450" i="2" s="1"/>
  <c r="D449" i="2"/>
  <c r="C449" i="2"/>
  <c r="B449" i="2"/>
  <c r="Y449" i="2" s="1" a="1"/>
  <c r="Y449" i="2" s="1"/>
  <c r="D448" i="2"/>
  <c r="C448" i="2"/>
  <c r="B448" i="2"/>
  <c r="Y448" i="2" s="1" a="1"/>
  <c r="Y448" i="2" s="1"/>
  <c r="D447" i="2"/>
  <c r="C447" i="2"/>
  <c r="B447" i="2"/>
  <c r="D446" i="2"/>
  <c r="C446" i="2"/>
  <c r="B446" i="2"/>
  <c r="Y446" i="2" s="1" a="1"/>
  <c r="Y446" i="2" s="1"/>
  <c r="D445" i="2"/>
  <c r="C445" i="2"/>
  <c r="B445" i="2"/>
  <c r="Y445" i="2" s="1" a="1"/>
  <c r="Y445" i="2" s="1"/>
  <c r="D444" i="2"/>
  <c r="C444" i="2"/>
  <c r="B444" i="2"/>
  <c r="Y444" i="2" s="1" a="1"/>
  <c r="Y444" i="2" s="1"/>
  <c r="D443" i="2"/>
  <c r="C443" i="2"/>
  <c r="B443" i="2"/>
  <c r="D442" i="2"/>
  <c r="C442" i="2"/>
  <c r="B442" i="2"/>
  <c r="Y442" i="2" s="1" a="1"/>
  <c r="Y442" i="2" s="1"/>
  <c r="D441" i="2"/>
  <c r="C441" i="2"/>
  <c r="B441" i="2"/>
  <c r="Y441" i="2" s="1" a="1"/>
  <c r="Y441" i="2" s="1"/>
  <c r="D440" i="2"/>
  <c r="C440" i="2"/>
  <c r="B440" i="2"/>
  <c r="Y440" i="2" s="1" a="1"/>
  <c r="Y440" i="2" s="1"/>
  <c r="D439" i="2"/>
  <c r="C439" i="2"/>
  <c r="B439" i="2"/>
  <c r="D438" i="2"/>
  <c r="C438" i="2"/>
  <c r="B438" i="2"/>
  <c r="Y438" i="2" s="1" a="1"/>
  <c r="Y438" i="2" s="1"/>
  <c r="D437" i="2"/>
  <c r="C437" i="2"/>
  <c r="B437" i="2"/>
  <c r="Y437" i="2" s="1" a="1"/>
  <c r="Y437" i="2" s="1"/>
  <c r="D436" i="2"/>
  <c r="C436" i="2"/>
  <c r="B436" i="2"/>
  <c r="Y436" i="2" s="1" a="1"/>
  <c r="Y436" i="2" s="1"/>
  <c r="D435" i="2"/>
  <c r="C435" i="2"/>
  <c r="B435" i="2"/>
  <c r="D434" i="2"/>
  <c r="C434" i="2"/>
  <c r="B434" i="2"/>
  <c r="Y434" i="2" s="1" a="1"/>
  <c r="Y434" i="2" s="1"/>
  <c r="D433" i="2"/>
  <c r="C433" i="2"/>
  <c r="B433" i="2"/>
  <c r="Y433" i="2" s="1" a="1"/>
  <c r="Y433" i="2" s="1"/>
  <c r="D432" i="2"/>
  <c r="C432" i="2"/>
  <c r="B432" i="2"/>
  <c r="Y432" i="2" s="1" a="1"/>
  <c r="Y432" i="2" s="1"/>
  <c r="D431" i="2"/>
  <c r="C431" i="2"/>
  <c r="B431" i="2"/>
  <c r="D430" i="2"/>
  <c r="C430" i="2"/>
  <c r="B430" i="2"/>
  <c r="Y430" i="2" s="1" a="1"/>
  <c r="Y430" i="2" s="1"/>
  <c r="D429" i="2"/>
  <c r="C429" i="2"/>
  <c r="B429" i="2"/>
  <c r="Y429" i="2" s="1" a="1"/>
  <c r="Y429" i="2" s="1"/>
  <c r="D428" i="2"/>
  <c r="C428" i="2"/>
  <c r="B428" i="2"/>
  <c r="Y428" i="2" s="1" a="1"/>
  <c r="Y428" i="2" s="1"/>
  <c r="D427" i="2"/>
  <c r="C427" i="2"/>
  <c r="B427" i="2"/>
  <c r="D426" i="2"/>
  <c r="C426" i="2"/>
  <c r="B426" i="2"/>
  <c r="Y426" i="2" s="1" a="1"/>
  <c r="Y426" i="2" s="1"/>
  <c r="D425" i="2"/>
  <c r="C425" i="2"/>
  <c r="B425" i="2"/>
  <c r="Y425" i="2" s="1" a="1"/>
  <c r="Y425" i="2" s="1"/>
  <c r="D424" i="2"/>
  <c r="C424" i="2"/>
  <c r="B424" i="2"/>
  <c r="Y424" i="2" s="1" a="1"/>
  <c r="Y424" i="2" s="1"/>
  <c r="D423" i="2"/>
  <c r="C423" i="2"/>
  <c r="B423" i="2"/>
  <c r="D422" i="2"/>
  <c r="C422" i="2"/>
  <c r="B422" i="2"/>
  <c r="Y422" i="2" s="1" a="1"/>
  <c r="Y422" i="2" s="1"/>
  <c r="D421" i="2"/>
  <c r="C421" i="2"/>
  <c r="B421" i="2"/>
  <c r="Y421" i="2" s="1" a="1"/>
  <c r="Y421" i="2" s="1"/>
  <c r="D420" i="2"/>
  <c r="C420" i="2"/>
  <c r="B420" i="2"/>
  <c r="Y420" i="2" s="1" a="1"/>
  <c r="Y420" i="2" s="1"/>
  <c r="D419" i="2"/>
  <c r="C419" i="2"/>
  <c r="B419" i="2"/>
  <c r="D418" i="2"/>
  <c r="C418" i="2"/>
  <c r="B418" i="2"/>
  <c r="Y418" i="2" s="1" a="1"/>
  <c r="Y418" i="2" s="1"/>
  <c r="D417" i="2"/>
  <c r="C417" i="2"/>
  <c r="B417" i="2"/>
  <c r="Y417" i="2" s="1" a="1"/>
  <c r="Y417" i="2" s="1"/>
  <c r="D416" i="2"/>
  <c r="C416" i="2"/>
  <c r="B416" i="2"/>
  <c r="Y416" i="2" s="1" a="1"/>
  <c r="Y416" i="2" s="1"/>
  <c r="D415" i="2"/>
  <c r="C415" i="2"/>
  <c r="B415" i="2"/>
  <c r="D414" i="2"/>
  <c r="C414" i="2"/>
  <c r="B414" i="2"/>
  <c r="Y414" i="2" s="1" a="1"/>
  <c r="Y414" i="2" s="1"/>
  <c r="D413" i="2"/>
  <c r="C413" i="2"/>
  <c r="B413" i="2"/>
  <c r="Y413" i="2" s="1" a="1"/>
  <c r="Y413" i="2" s="1"/>
  <c r="D412" i="2"/>
  <c r="C412" i="2"/>
  <c r="B412" i="2"/>
  <c r="Y412" i="2" s="1" a="1"/>
  <c r="Y412" i="2" s="1"/>
  <c r="D411" i="2"/>
  <c r="C411" i="2"/>
  <c r="B411" i="2"/>
  <c r="D410" i="2"/>
  <c r="C410" i="2"/>
  <c r="B410" i="2"/>
  <c r="Y410" i="2" s="1" a="1"/>
  <c r="Y410" i="2" s="1"/>
  <c r="D409" i="2"/>
  <c r="C409" i="2"/>
  <c r="B409" i="2"/>
  <c r="Y409" i="2" s="1" a="1"/>
  <c r="Y409" i="2" s="1"/>
  <c r="D408" i="2"/>
  <c r="C408" i="2"/>
  <c r="B408" i="2"/>
  <c r="Y408" i="2" s="1" a="1"/>
  <c r="Y408" i="2" s="1"/>
  <c r="D407" i="2"/>
  <c r="C407" i="2"/>
  <c r="B407" i="2"/>
  <c r="D406" i="2"/>
  <c r="C406" i="2"/>
  <c r="B406" i="2"/>
  <c r="Y406" i="2" s="1" a="1"/>
  <c r="Y406" i="2" s="1"/>
  <c r="D405" i="2"/>
  <c r="C405" i="2"/>
  <c r="B405" i="2"/>
  <c r="Y405" i="2" s="1" a="1"/>
  <c r="Y405" i="2" s="1"/>
  <c r="D404" i="2"/>
  <c r="C404" i="2"/>
  <c r="B404" i="2"/>
  <c r="Y404" i="2" s="1" a="1"/>
  <c r="Y404" i="2" s="1"/>
  <c r="D403" i="2"/>
  <c r="C403" i="2"/>
  <c r="B403" i="2"/>
  <c r="D402" i="2"/>
  <c r="C402" i="2"/>
  <c r="B402" i="2"/>
  <c r="Y402" i="2" s="1" a="1"/>
  <c r="Y402" i="2" s="1"/>
  <c r="D401" i="2"/>
  <c r="C401" i="2"/>
  <c r="B401" i="2"/>
  <c r="Y401" i="2" s="1" a="1"/>
  <c r="Y401" i="2" s="1"/>
  <c r="D400" i="2"/>
  <c r="C400" i="2"/>
  <c r="B400" i="2"/>
  <c r="Y400" i="2" s="1" a="1"/>
  <c r="Y400" i="2" s="1"/>
  <c r="D399" i="2"/>
  <c r="C399" i="2"/>
  <c r="B399" i="2"/>
  <c r="D398" i="2"/>
  <c r="C398" i="2"/>
  <c r="B398" i="2"/>
  <c r="Y398" i="2" s="1" a="1"/>
  <c r="Y398" i="2" s="1"/>
  <c r="D397" i="2"/>
  <c r="C397" i="2"/>
  <c r="B397" i="2"/>
  <c r="Y397" i="2" s="1" a="1"/>
  <c r="Y397" i="2" s="1"/>
  <c r="D396" i="2"/>
  <c r="C396" i="2"/>
  <c r="B396" i="2"/>
  <c r="Y396" i="2" s="1" a="1"/>
  <c r="Y396" i="2" s="1"/>
  <c r="D395" i="2"/>
  <c r="C395" i="2"/>
  <c r="B395" i="2"/>
  <c r="D394" i="2"/>
  <c r="C394" i="2"/>
  <c r="B394" i="2"/>
  <c r="Y394" i="2" s="1" a="1"/>
  <c r="Y394" i="2" s="1"/>
  <c r="D393" i="2"/>
  <c r="C393" i="2"/>
  <c r="B393" i="2"/>
  <c r="Y393" i="2" s="1" a="1"/>
  <c r="Y393" i="2" s="1"/>
  <c r="D392" i="2"/>
  <c r="C392" i="2"/>
  <c r="B392" i="2"/>
  <c r="Y392" i="2" s="1" a="1"/>
  <c r="Y392" i="2" s="1"/>
  <c r="D391" i="2"/>
  <c r="C391" i="2"/>
  <c r="B391" i="2"/>
  <c r="D390" i="2"/>
  <c r="C390" i="2"/>
  <c r="B390" i="2"/>
  <c r="Y390" i="2" s="1" a="1"/>
  <c r="Y390" i="2" s="1"/>
  <c r="D389" i="2"/>
  <c r="C389" i="2"/>
  <c r="B389" i="2"/>
  <c r="Y389" i="2" s="1" a="1"/>
  <c r="Y389" i="2" s="1"/>
  <c r="D388" i="2"/>
  <c r="C388" i="2"/>
  <c r="B388" i="2"/>
  <c r="Y388" i="2" s="1" a="1"/>
  <c r="Y388" i="2" s="1"/>
  <c r="D387" i="2"/>
  <c r="C387" i="2"/>
  <c r="B387" i="2"/>
  <c r="D386" i="2"/>
  <c r="C386" i="2"/>
  <c r="B386" i="2"/>
  <c r="Y386" i="2" s="1" a="1"/>
  <c r="Y386" i="2" s="1"/>
  <c r="D385" i="2"/>
  <c r="C385" i="2"/>
  <c r="B385" i="2"/>
  <c r="Y385" i="2" s="1" a="1"/>
  <c r="Y385" i="2" s="1"/>
  <c r="D384" i="2"/>
  <c r="C384" i="2"/>
  <c r="B384" i="2"/>
  <c r="Y384" i="2" s="1" a="1"/>
  <c r="Y384" i="2" s="1"/>
  <c r="D383" i="2"/>
  <c r="C383" i="2"/>
  <c r="B383" i="2"/>
  <c r="D382" i="2"/>
  <c r="C382" i="2"/>
  <c r="B382" i="2"/>
  <c r="Y382" i="2" s="1" a="1"/>
  <c r="Y382" i="2" s="1"/>
  <c r="D381" i="2"/>
  <c r="C381" i="2"/>
  <c r="B381" i="2"/>
  <c r="Y381" i="2" s="1" a="1"/>
  <c r="Y381" i="2" s="1"/>
  <c r="D380" i="2"/>
  <c r="C380" i="2"/>
  <c r="B380" i="2"/>
  <c r="Y380" i="2" s="1" a="1"/>
  <c r="Y380" i="2" s="1"/>
  <c r="D379" i="2"/>
  <c r="C379" i="2"/>
  <c r="B379" i="2"/>
  <c r="D378" i="2"/>
  <c r="C378" i="2"/>
  <c r="B378" i="2"/>
  <c r="Y378" i="2" s="1" a="1"/>
  <c r="Y378" i="2" s="1"/>
  <c r="D377" i="2"/>
  <c r="C377" i="2"/>
  <c r="B377" i="2"/>
  <c r="Y377" i="2" s="1" a="1"/>
  <c r="Y377" i="2" s="1"/>
  <c r="D376" i="2"/>
  <c r="C376" i="2"/>
  <c r="B376" i="2"/>
  <c r="Y376" i="2" s="1" a="1"/>
  <c r="Y376" i="2" s="1"/>
  <c r="D375" i="2"/>
  <c r="C375" i="2"/>
  <c r="B375" i="2"/>
  <c r="D374" i="2"/>
  <c r="C374" i="2"/>
  <c r="B374" i="2"/>
  <c r="Y374" i="2" s="1" a="1"/>
  <c r="Y374" i="2" s="1"/>
  <c r="D373" i="2"/>
  <c r="C373" i="2"/>
  <c r="B373" i="2"/>
  <c r="Y373" i="2" s="1" a="1"/>
  <c r="Y373" i="2" s="1"/>
  <c r="D372" i="2"/>
  <c r="C372" i="2"/>
  <c r="B372" i="2"/>
  <c r="Y372" i="2" s="1" a="1"/>
  <c r="Y372" i="2" s="1"/>
  <c r="D371" i="2"/>
  <c r="C371" i="2"/>
  <c r="B371" i="2"/>
  <c r="D370" i="2"/>
  <c r="C370" i="2"/>
  <c r="B370" i="2"/>
  <c r="Y370" i="2" s="1" a="1"/>
  <c r="Y370" i="2" s="1"/>
  <c r="D369" i="2"/>
  <c r="C369" i="2"/>
  <c r="B369" i="2"/>
  <c r="Y369" i="2" s="1" a="1"/>
  <c r="Y369" i="2" s="1"/>
  <c r="D368" i="2"/>
  <c r="C368" i="2"/>
  <c r="B368" i="2"/>
  <c r="Y368" i="2" s="1" a="1"/>
  <c r="Y368" i="2" s="1"/>
  <c r="D367" i="2"/>
  <c r="C367" i="2"/>
  <c r="B367" i="2"/>
  <c r="D366" i="2"/>
  <c r="C366" i="2"/>
  <c r="B366" i="2"/>
  <c r="Y366" i="2" s="1" a="1"/>
  <c r="Y366" i="2" s="1"/>
  <c r="D365" i="2"/>
  <c r="C365" i="2"/>
  <c r="B365" i="2"/>
  <c r="Y365" i="2" s="1" a="1"/>
  <c r="Y365" i="2" s="1"/>
  <c r="D364" i="2"/>
  <c r="C364" i="2"/>
  <c r="B364" i="2"/>
  <c r="Y364" i="2" s="1" a="1"/>
  <c r="Y364" i="2" s="1"/>
  <c r="D363" i="2"/>
  <c r="C363" i="2"/>
  <c r="B363" i="2"/>
  <c r="D362" i="2"/>
  <c r="C362" i="2"/>
  <c r="B362" i="2"/>
  <c r="Y362" i="2" s="1" a="1"/>
  <c r="Y362" i="2" s="1"/>
  <c r="D361" i="2"/>
  <c r="C361" i="2"/>
  <c r="B361" i="2"/>
  <c r="Y361" i="2" s="1" a="1"/>
  <c r="Y361" i="2" s="1"/>
  <c r="D360" i="2"/>
  <c r="C360" i="2"/>
  <c r="B360" i="2"/>
  <c r="Y360" i="2" s="1" a="1"/>
  <c r="Y360" i="2" s="1"/>
  <c r="D359" i="2"/>
  <c r="C359" i="2"/>
  <c r="B359" i="2"/>
  <c r="D358" i="2"/>
  <c r="C358" i="2"/>
  <c r="B358" i="2"/>
  <c r="Y358" i="2" s="1" a="1"/>
  <c r="Y358" i="2" s="1"/>
  <c r="D357" i="2"/>
  <c r="C357" i="2"/>
  <c r="B357" i="2"/>
  <c r="Y357" i="2" s="1" a="1"/>
  <c r="Y357" i="2" s="1"/>
  <c r="D356" i="2"/>
  <c r="C356" i="2"/>
  <c r="B356" i="2"/>
  <c r="Y356" i="2" s="1" a="1"/>
  <c r="Y356" i="2" s="1"/>
  <c r="D355" i="2"/>
  <c r="C355" i="2"/>
  <c r="B355" i="2"/>
  <c r="D354" i="2"/>
  <c r="C354" i="2"/>
  <c r="B354" i="2"/>
  <c r="Y354" i="2" s="1" a="1"/>
  <c r="Y354" i="2" s="1"/>
  <c r="D353" i="2"/>
  <c r="C353" i="2"/>
  <c r="B353" i="2"/>
  <c r="Y353" i="2" s="1" a="1"/>
  <c r="Y353" i="2" s="1"/>
  <c r="D352" i="2"/>
  <c r="C352" i="2"/>
  <c r="B352" i="2"/>
  <c r="Y352" i="2" s="1" a="1"/>
  <c r="Y352" i="2" s="1"/>
  <c r="D351" i="2"/>
  <c r="C351" i="2"/>
  <c r="B351" i="2"/>
  <c r="D350" i="2"/>
  <c r="C350" i="2"/>
  <c r="B350" i="2"/>
  <c r="Y350" i="2" s="1" a="1"/>
  <c r="Y350" i="2" s="1"/>
  <c r="D349" i="2"/>
  <c r="C349" i="2"/>
  <c r="B349" i="2"/>
  <c r="Y349" i="2" s="1" a="1"/>
  <c r="Y349" i="2" s="1"/>
  <c r="D348" i="2"/>
  <c r="C348" i="2"/>
  <c r="B348" i="2"/>
  <c r="Y348" i="2" s="1" a="1"/>
  <c r="Y348" i="2" s="1"/>
  <c r="D347" i="2"/>
  <c r="C347" i="2"/>
  <c r="B347" i="2"/>
  <c r="D346" i="2"/>
  <c r="C346" i="2"/>
  <c r="B346" i="2"/>
  <c r="Y346" i="2" s="1" a="1"/>
  <c r="Y346" i="2" s="1"/>
  <c r="D345" i="2"/>
  <c r="C345" i="2"/>
  <c r="B345" i="2"/>
  <c r="Y345" i="2" s="1" a="1"/>
  <c r="Y345" i="2" s="1"/>
  <c r="D344" i="2"/>
  <c r="C344" i="2"/>
  <c r="B344" i="2"/>
  <c r="Y344" i="2" s="1" a="1"/>
  <c r="Y344" i="2" s="1"/>
  <c r="D343" i="2"/>
  <c r="C343" i="2"/>
  <c r="B343" i="2"/>
  <c r="D342" i="2"/>
  <c r="C342" i="2"/>
  <c r="B342" i="2"/>
  <c r="Y342" i="2" s="1" a="1"/>
  <c r="Y342" i="2" s="1"/>
  <c r="D341" i="2"/>
  <c r="C341" i="2"/>
  <c r="B341" i="2"/>
  <c r="Y341" i="2" s="1" a="1"/>
  <c r="Y341" i="2" s="1"/>
  <c r="D340" i="2"/>
  <c r="C340" i="2"/>
  <c r="B340" i="2"/>
  <c r="Y340" i="2" s="1" a="1"/>
  <c r="Y340" i="2" s="1"/>
  <c r="D339" i="2"/>
  <c r="C339" i="2"/>
  <c r="B339" i="2"/>
  <c r="D338" i="2"/>
  <c r="C338" i="2"/>
  <c r="B338" i="2"/>
  <c r="Y338" i="2" s="1" a="1"/>
  <c r="Y338" i="2" s="1"/>
  <c r="D337" i="2"/>
  <c r="C337" i="2"/>
  <c r="B337" i="2"/>
  <c r="Y337" i="2" s="1" a="1"/>
  <c r="Y337" i="2" s="1"/>
  <c r="D336" i="2"/>
  <c r="C336" i="2"/>
  <c r="B336" i="2"/>
  <c r="Y336" i="2" s="1" a="1"/>
  <c r="Y336" i="2" s="1"/>
  <c r="D335" i="2"/>
  <c r="C335" i="2"/>
  <c r="B335" i="2"/>
  <c r="D334" i="2"/>
  <c r="C334" i="2"/>
  <c r="B334" i="2"/>
  <c r="Y334" i="2" s="1" a="1"/>
  <c r="Y334" i="2" s="1"/>
  <c r="D333" i="2"/>
  <c r="C333" i="2"/>
  <c r="B333" i="2"/>
  <c r="Y333" i="2" s="1" a="1"/>
  <c r="Y333" i="2" s="1"/>
  <c r="D332" i="2"/>
  <c r="C332" i="2"/>
  <c r="B332" i="2"/>
  <c r="Y332" i="2" s="1" a="1"/>
  <c r="Y332" i="2" s="1"/>
  <c r="D331" i="2"/>
  <c r="C331" i="2"/>
  <c r="B331" i="2"/>
  <c r="D330" i="2"/>
  <c r="C330" i="2"/>
  <c r="B330" i="2"/>
  <c r="Y330" i="2" s="1" a="1"/>
  <c r="Y330" i="2" s="1"/>
  <c r="D329" i="2"/>
  <c r="C329" i="2"/>
  <c r="B329" i="2"/>
  <c r="Y329" i="2" s="1" a="1"/>
  <c r="Y329" i="2" s="1"/>
  <c r="D328" i="2"/>
  <c r="C328" i="2"/>
  <c r="B328" i="2"/>
  <c r="Y328" i="2" s="1" a="1"/>
  <c r="Y328" i="2" s="1"/>
  <c r="D327" i="2"/>
  <c r="C327" i="2"/>
  <c r="B327" i="2"/>
  <c r="D326" i="2"/>
  <c r="C326" i="2"/>
  <c r="B326" i="2"/>
  <c r="Y326" i="2" s="1" a="1"/>
  <c r="Y326" i="2" s="1"/>
  <c r="D325" i="2"/>
  <c r="C325" i="2"/>
  <c r="B325" i="2"/>
  <c r="Y325" i="2" s="1" a="1"/>
  <c r="Y325" i="2" s="1"/>
  <c r="D324" i="2"/>
  <c r="C324" i="2"/>
  <c r="B324" i="2"/>
  <c r="Y324" i="2" s="1" a="1"/>
  <c r="Y324" i="2" s="1"/>
  <c r="D323" i="2"/>
  <c r="C323" i="2"/>
  <c r="B323" i="2"/>
  <c r="D322" i="2"/>
  <c r="C322" i="2"/>
  <c r="B322" i="2"/>
  <c r="Y322" i="2" s="1" a="1"/>
  <c r="Y322" i="2" s="1"/>
  <c r="D321" i="2"/>
  <c r="C321" i="2"/>
  <c r="B321" i="2"/>
  <c r="Y321" i="2" s="1" a="1"/>
  <c r="Y321" i="2" s="1"/>
  <c r="D320" i="2"/>
  <c r="C320" i="2"/>
  <c r="B320" i="2"/>
  <c r="Y320" i="2" s="1" a="1"/>
  <c r="Y320" i="2" s="1"/>
  <c r="D319" i="2"/>
  <c r="C319" i="2"/>
  <c r="B319" i="2"/>
  <c r="D318" i="2"/>
  <c r="C318" i="2"/>
  <c r="B318" i="2"/>
  <c r="Y318" i="2" s="1" a="1"/>
  <c r="Y318" i="2" s="1"/>
  <c r="D317" i="2"/>
  <c r="C317" i="2"/>
  <c r="B317" i="2"/>
  <c r="Y317" i="2" s="1" a="1"/>
  <c r="Y317" i="2" s="1"/>
  <c r="D316" i="2"/>
  <c r="C316" i="2"/>
  <c r="B316" i="2"/>
  <c r="Y316" i="2" s="1" a="1"/>
  <c r="Y316" i="2" s="1"/>
  <c r="D315" i="2"/>
  <c r="C315" i="2"/>
  <c r="B315" i="2"/>
  <c r="D314" i="2"/>
  <c r="C314" i="2"/>
  <c r="B314" i="2"/>
  <c r="Y314" i="2" s="1" a="1"/>
  <c r="Y314" i="2" s="1"/>
  <c r="D313" i="2"/>
  <c r="C313" i="2"/>
  <c r="B313" i="2"/>
  <c r="Y313" i="2" s="1" a="1"/>
  <c r="Y313" i="2" s="1"/>
  <c r="D312" i="2"/>
  <c r="C312" i="2"/>
  <c r="B312" i="2"/>
  <c r="Y312" i="2" s="1" a="1"/>
  <c r="Y312" i="2" s="1"/>
  <c r="D311" i="2"/>
  <c r="C311" i="2"/>
  <c r="B311" i="2"/>
  <c r="D310" i="2"/>
  <c r="C310" i="2"/>
  <c r="B310" i="2"/>
  <c r="Y310" i="2" s="1" a="1"/>
  <c r="Y310" i="2" s="1"/>
  <c r="D309" i="2"/>
  <c r="C309" i="2"/>
  <c r="B309" i="2"/>
  <c r="Y309" i="2" s="1" a="1"/>
  <c r="Y309" i="2" s="1"/>
  <c r="D308" i="2"/>
  <c r="C308" i="2"/>
  <c r="B308" i="2"/>
  <c r="Y308" i="2" s="1" a="1"/>
  <c r="Y308" i="2" s="1"/>
  <c r="D307" i="2"/>
  <c r="C307" i="2"/>
  <c r="B307" i="2"/>
  <c r="D306" i="2"/>
  <c r="C306" i="2"/>
  <c r="B306" i="2"/>
  <c r="Y306" i="2" s="1" a="1"/>
  <c r="Y306" i="2" s="1"/>
  <c r="D305" i="2"/>
  <c r="C305" i="2"/>
  <c r="B305" i="2"/>
  <c r="Y305" i="2" s="1" a="1"/>
  <c r="Y305" i="2" s="1"/>
  <c r="D304" i="2"/>
  <c r="C304" i="2"/>
  <c r="B304" i="2"/>
  <c r="Y304" i="2" s="1" a="1"/>
  <c r="Y304" i="2" s="1"/>
  <c r="D303" i="2"/>
  <c r="C303" i="2"/>
  <c r="B303" i="2"/>
  <c r="D302" i="2"/>
  <c r="C302" i="2"/>
  <c r="B302" i="2"/>
  <c r="Y302" i="2" s="1" a="1"/>
  <c r="Y302" i="2" s="1"/>
  <c r="D301" i="2"/>
  <c r="C301" i="2"/>
  <c r="B301" i="2"/>
  <c r="Y301" i="2" s="1" a="1"/>
  <c r="Y301" i="2" s="1"/>
  <c r="D300" i="2"/>
  <c r="C300" i="2"/>
  <c r="B300" i="2"/>
  <c r="Y300" i="2" s="1" a="1"/>
  <c r="Y300" i="2" s="1"/>
  <c r="D299" i="2"/>
  <c r="C299" i="2"/>
  <c r="B299" i="2"/>
  <c r="D298" i="2"/>
  <c r="C298" i="2"/>
  <c r="B298" i="2"/>
  <c r="Y298" i="2" s="1" a="1"/>
  <c r="Y298" i="2" s="1"/>
  <c r="D297" i="2"/>
  <c r="C297" i="2"/>
  <c r="B297" i="2"/>
  <c r="Y297" i="2" s="1" a="1"/>
  <c r="Y297" i="2" s="1"/>
  <c r="D296" i="2"/>
  <c r="C296" i="2"/>
  <c r="B296" i="2"/>
  <c r="Y296" i="2" s="1" a="1"/>
  <c r="Y296" i="2" s="1"/>
  <c r="D295" i="2"/>
  <c r="C295" i="2"/>
  <c r="B295" i="2"/>
  <c r="D294" i="2"/>
  <c r="C294" i="2"/>
  <c r="B294" i="2"/>
  <c r="Y294" i="2" s="1" a="1"/>
  <c r="Y294" i="2" s="1"/>
  <c r="D293" i="2"/>
  <c r="C293" i="2"/>
  <c r="B293" i="2"/>
  <c r="Y293" i="2" s="1" a="1"/>
  <c r="Y293" i="2" s="1"/>
  <c r="D292" i="2"/>
  <c r="C292" i="2"/>
  <c r="B292" i="2"/>
  <c r="Y292" i="2" s="1" a="1"/>
  <c r="Y292" i="2" s="1"/>
  <c r="D291" i="2"/>
  <c r="C291" i="2"/>
  <c r="B291" i="2"/>
  <c r="D290" i="2"/>
  <c r="C290" i="2"/>
  <c r="B290" i="2"/>
  <c r="Y290" i="2" s="1" a="1"/>
  <c r="Y290" i="2" s="1"/>
  <c r="D289" i="2"/>
  <c r="C289" i="2"/>
  <c r="B289" i="2"/>
  <c r="Y289" i="2" s="1" a="1"/>
  <c r="Y289" i="2" s="1"/>
  <c r="D288" i="2"/>
  <c r="C288" i="2"/>
  <c r="B288" i="2"/>
  <c r="Y288" i="2" s="1" a="1"/>
  <c r="Y288" i="2" s="1"/>
  <c r="D287" i="2"/>
  <c r="C287" i="2"/>
  <c r="B287" i="2"/>
  <c r="D286" i="2"/>
  <c r="C286" i="2"/>
  <c r="B286" i="2"/>
  <c r="Y286" i="2" s="1" a="1"/>
  <c r="Y286" i="2" s="1"/>
  <c r="D285" i="2"/>
  <c r="C285" i="2"/>
  <c r="B285" i="2"/>
  <c r="Y285" i="2" s="1" a="1"/>
  <c r="Y285" i="2" s="1"/>
  <c r="D284" i="2"/>
  <c r="C284" i="2"/>
  <c r="B284" i="2"/>
  <c r="Y284" i="2" s="1" a="1"/>
  <c r="Y284" i="2" s="1"/>
  <c r="D283" i="2"/>
  <c r="C283" i="2"/>
  <c r="B283" i="2"/>
  <c r="D282" i="2"/>
  <c r="C282" i="2"/>
  <c r="B282" i="2"/>
  <c r="Y282" i="2" s="1" a="1"/>
  <c r="Y282" i="2" s="1"/>
  <c r="D281" i="2"/>
  <c r="C281" i="2"/>
  <c r="B281" i="2"/>
  <c r="Y281" i="2" s="1" a="1"/>
  <c r="Y281" i="2" s="1"/>
  <c r="D280" i="2"/>
  <c r="C280" i="2"/>
  <c r="B280" i="2"/>
  <c r="Y280" i="2" s="1" a="1"/>
  <c r="Y280" i="2" s="1"/>
  <c r="D279" i="2"/>
  <c r="C279" i="2"/>
  <c r="B279" i="2"/>
  <c r="D278" i="2"/>
  <c r="C278" i="2"/>
  <c r="B278" i="2"/>
  <c r="Y278" i="2" s="1" a="1"/>
  <c r="Y278" i="2" s="1"/>
  <c r="D277" i="2"/>
  <c r="C277" i="2"/>
  <c r="B277" i="2"/>
  <c r="Y277" i="2" s="1" a="1"/>
  <c r="Y277" i="2" s="1"/>
  <c r="D276" i="2"/>
  <c r="C276" i="2"/>
  <c r="B276" i="2"/>
  <c r="Y276" i="2" s="1" a="1"/>
  <c r="Y276" i="2" s="1"/>
  <c r="D275" i="2"/>
  <c r="C275" i="2"/>
  <c r="B275" i="2"/>
  <c r="D274" i="2"/>
  <c r="C274" i="2"/>
  <c r="B274" i="2"/>
  <c r="Y274" i="2" s="1" a="1"/>
  <c r="Y274" i="2" s="1"/>
  <c r="D273" i="2"/>
  <c r="C273" i="2"/>
  <c r="B273" i="2"/>
  <c r="Y273" i="2" s="1" a="1"/>
  <c r="Y273" i="2" s="1"/>
  <c r="D272" i="2"/>
  <c r="C272" i="2"/>
  <c r="B272" i="2"/>
  <c r="Y272" i="2" s="1" a="1"/>
  <c r="Y272" i="2" s="1"/>
  <c r="D271" i="2"/>
  <c r="C271" i="2"/>
  <c r="B271" i="2"/>
  <c r="D270" i="2"/>
  <c r="C270" i="2"/>
  <c r="B270" i="2"/>
  <c r="Y270" i="2" s="1" a="1"/>
  <c r="Y270" i="2" s="1"/>
  <c r="D269" i="2"/>
  <c r="C269" i="2"/>
  <c r="B269" i="2"/>
  <c r="Y269" i="2" s="1" a="1"/>
  <c r="Y269" i="2" s="1"/>
  <c r="D268" i="2"/>
  <c r="C268" i="2"/>
  <c r="B268" i="2"/>
  <c r="Y268" i="2" s="1" a="1"/>
  <c r="Y268" i="2" s="1"/>
  <c r="D267" i="2"/>
  <c r="C267" i="2"/>
  <c r="B267" i="2"/>
  <c r="D266" i="2"/>
  <c r="C266" i="2"/>
  <c r="B266" i="2"/>
  <c r="Y266" i="2" s="1" a="1"/>
  <c r="Y266" i="2" s="1"/>
  <c r="D265" i="2"/>
  <c r="C265" i="2"/>
  <c r="B265" i="2"/>
  <c r="Y265" i="2" s="1" a="1"/>
  <c r="Y265" i="2" s="1"/>
  <c r="D264" i="2"/>
  <c r="C264" i="2"/>
  <c r="B264" i="2"/>
  <c r="Y264" i="2" s="1" a="1"/>
  <c r="Y264" i="2" s="1"/>
  <c r="D263" i="2"/>
  <c r="C263" i="2"/>
  <c r="B263" i="2"/>
  <c r="D262" i="2"/>
  <c r="C262" i="2"/>
  <c r="B262" i="2"/>
  <c r="Y262" i="2" s="1" a="1"/>
  <c r="Y262" i="2" s="1"/>
  <c r="D261" i="2"/>
  <c r="C261" i="2"/>
  <c r="B261" i="2"/>
  <c r="Y261" i="2" s="1" a="1"/>
  <c r="Y261" i="2" s="1"/>
  <c r="D260" i="2"/>
  <c r="C260" i="2"/>
  <c r="B260" i="2"/>
  <c r="Y260" i="2" s="1" a="1"/>
  <c r="Y260" i="2" s="1"/>
  <c r="D259" i="2"/>
  <c r="C259" i="2"/>
  <c r="B259" i="2"/>
  <c r="D258" i="2"/>
  <c r="C258" i="2"/>
  <c r="B258" i="2"/>
  <c r="Y258" i="2" s="1" a="1"/>
  <c r="Y258" i="2" s="1"/>
  <c r="D257" i="2"/>
  <c r="C257" i="2"/>
  <c r="B257" i="2"/>
  <c r="Y257" i="2" s="1" a="1"/>
  <c r="Y257" i="2" s="1"/>
  <c r="D256" i="2"/>
  <c r="C256" i="2"/>
  <c r="B256" i="2"/>
  <c r="Y256" i="2" s="1" a="1"/>
  <c r="Y256" i="2" s="1"/>
  <c r="D255" i="2"/>
  <c r="C255" i="2"/>
  <c r="B255" i="2"/>
  <c r="D254" i="2"/>
  <c r="C254" i="2"/>
  <c r="B254" i="2"/>
  <c r="Y254" i="2" s="1" a="1"/>
  <c r="Y254" i="2" s="1"/>
  <c r="D253" i="2"/>
  <c r="C253" i="2"/>
  <c r="B253" i="2"/>
  <c r="Y253" i="2" s="1" a="1"/>
  <c r="Y253" i="2" s="1"/>
  <c r="D252" i="2"/>
  <c r="C252" i="2"/>
  <c r="B252" i="2"/>
  <c r="Y252" i="2" s="1" a="1"/>
  <c r="Y252" i="2" s="1"/>
  <c r="D251" i="2"/>
  <c r="C251" i="2"/>
  <c r="B251" i="2"/>
  <c r="D250" i="2"/>
  <c r="C250" i="2"/>
  <c r="B250" i="2"/>
  <c r="Y250" i="2" s="1" a="1"/>
  <c r="Y250" i="2" s="1"/>
  <c r="D249" i="2"/>
  <c r="C249" i="2"/>
  <c r="B249" i="2"/>
  <c r="Y249" i="2" s="1" a="1"/>
  <c r="Y249" i="2" s="1"/>
  <c r="D248" i="2"/>
  <c r="C248" i="2"/>
  <c r="B248" i="2"/>
  <c r="Y248" i="2" s="1" a="1"/>
  <c r="Y248" i="2" s="1"/>
  <c r="D247" i="2"/>
  <c r="C247" i="2"/>
  <c r="B247" i="2"/>
  <c r="D246" i="2"/>
  <c r="C246" i="2"/>
  <c r="B246" i="2"/>
  <c r="Y246" i="2" s="1" a="1"/>
  <c r="Y246" i="2" s="1"/>
  <c r="D245" i="2"/>
  <c r="C245" i="2"/>
  <c r="B245" i="2"/>
  <c r="Y245" i="2" s="1" a="1"/>
  <c r="Y245" i="2" s="1"/>
  <c r="D244" i="2"/>
  <c r="C244" i="2"/>
  <c r="B244" i="2"/>
  <c r="Y244" i="2" s="1" a="1"/>
  <c r="Y244" i="2" s="1"/>
  <c r="D243" i="2"/>
  <c r="C243" i="2"/>
  <c r="B243" i="2"/>
  <c r="D242" i="2"/>
  <c r="C242" i="2"/>
  <c r="B242" i="2"/>
  <c r="Y242" i="2" s="1" a="1"/>
  <c r="Y242" i="2" s="1"/>
  <c r="D241" i="2"/>
  <c r="C241" i="2"/>
  <c r="B241" i="2"/>
  <c r="Y241" i="2" s="1" a="1"/>
  <c r="Y241" i="2" s="1"/>
  <c r="D240" i="2"/>
  <c r="C240" i="2"/>
  <c r="B240" i="2"/>
  <c r="Y240" i="2" s="1" a="1"/>
  <c r="Y240" i="2" s="1"/>
  <c r="D239" i="2"/>
  <c r="C239" i="2"/>
  <c r="B239" i="2"/>
  <c r="D238" i="2"/>
  <c r="C238" i="2"/>
  <c r="B238" i="2"/>
  <c r="Y238" i="2" s="1" a="1"/>
  <c r="Y238" i="2" s="1"/>
  <c r="D237" i="2"/>
  <c r="C237" i="2"/>
  <c r="B237" i="2"/>
  <c r="Y237" i="2" s="1" a="1"/>
  <c r="Y237" i="2" s="1"/>
  <c r="D236" i="2"/>
  <c r="C236" i="2"/>
  <c r="B236" i="2"/>
  <c r="Y236" i="2" s="1" a="1"/>
  <c r="Y236" i="2" s="1"/>
  <c r="D235" i="2"/>
  <c r="C235" i="2"/>
  <c r="B235" i="2"/>
  <c r="D234" i="2"/>
  <c r="C234" i="2"/>
  <c r="B234" i="2"/>
  <c r="Y234" i="2" s="1" a="1"/>
  <c r="Y234" i="2" s="1"/>
  <c r="D233" i="2"/>
  <c r="C233" i="2"/>
  <c r="B233" i="2"/>
  <c r="Y233" i="2" s="1" a="1"/>
  <c r="Y233" i="2" s="1"/>
  <c r="D232" i="2"/>
  <c r="C232" i="2"/>
  <c r="B232" i="2"/>
  <c r="Y232" i="2" s="1" a="1"/>
  <c r="Y232" i="2" s="1"/>
  <c r="D231" i="2"/>
  <c r="C231" i="2"/>
  <c r="B231" i="2"/>
  <c r="D230" i="2"/>
  <c r="C230" i="2"/>
  <c r="B230" i="2"/>
  <c r="Y230" i="2" s="1" a="1"/>
  <c r="Y230" i="2" s="1"/>
  <c r="D229" i="2"/>
  <c r="C229" i="2"/>
  <c r="B229" i="2"/>
  <c r="Y229" i="2" s="1" a="1"/>
  <c r="Y229" i="2" s="1"/>
  <c r="D228" i="2"/>
  <c r="C228" i="2"/>
  <c r="B228" i="2"/>
  <c r="Y228" i="2" s="1" a="1"/>
  <c r="Y228" i="2" s="1"/>
  <c r="D227" i="2"/>
  <c r="C227" i="2"/>
  <c r="B227" i="2"/>
  <c r="D226" i="2"/>
  <c r="C226" i="2"/>
  <c r="B226" i="2"/>
  <c r="Y226" i="2" s="1" a="1"/>
  <c r="Y226" i="2" s="1"/>
  <c r="D225" i="2"/>
  <c r="C225" i="2"/>
  <c r="B225" i="2"/>
  <c r="Y225" i="2" s="1" a="1"/>
  <c r="Y225" i="2" s="1"/>
  <c r="D224" i="2"/>
  <c r="C224" i="2"/>
  <c r="B224" i="2"/>
  <c r="Y224" i="2" s="1" a="1"/>
  <c r="Y224" i="2" s="1"/>
  <c r="D223" i="2"/>
  <c r="C223" i="2"/>
  <c r="B223" i="2"/>
  <c r="D222" i="2"/>
  <c r="C222" i="2"/>
  <c r="B222" i="2"/>
  <c r="Y222" i="2" s="1" a="1"/>
  <c r="Y222" i="2" s="1"/>
  <c r="D221" i="2"/>
  <c r="C221" i="2"/>
  <c r="B221" i="2"/>
  <c r="Y221" i="2" s="1" a="1"/>
  <c r="Y221" i="2" s="1"/>
  <c r="D220" i="2"/>
  <c r="C220" i="2"/>
  <c r="B220" i="2"/>
  <c r="Y220" i="2" s="1" a="1"/>
  <c r="Y220" i="2" s="1"/>
  <c r="D219" i="2"/>
  <c r="C219" i="2"/>
  <c r="B219" i="2"/>
  <c r="D218" i="2"/>
  <c r="C218" i="2"/>
  <c r="B218" i="2"/>
  <c r="Y218" i="2" s="1" a="1"/>
  <c r="Y218" i="2" s="1"/>
  <c r="D217" i="2"/>
  <c r="C217" i="2"/>
  <c r="B217" i="2"/>
  <c r="Y217" i="2" s="1" a="1"/>
  <c r="Y217" i="2" s="1"/>
  <c r="D216" i="2"/>
  <c r="C216" i="2"/>
  <c r="B216" i="2"/>
  <c r="Y216" i="2" s="1" a="1"/>
  <c r="Y216" i="2" s="1"/>
  <c r="D215" i="2"/>
  <c r="C215" i="2"/>
  <c r="B215" i="2"/>
  <c r="D214" i="2"/>
  <c r="C214" i="2"/>
  <c r="B214" i="2"/>
  <c r="Y214" i="2" s="1" a="1"/>
  <c r="Y214" i="2" s="1"/>
  <c r="D213" i="2"/>
  <c r="C213" i="2"/>
  <c r="B213" i="2"/>
  <c r="Y213" i="2" s="1" a="1"/>
  <c r="Y213" i="2" s="1"/>
  <c r="D212" i="2"/>
  <c r="C212" i="2"/>
  <c r="B212" i="2"/>
  <c r="Y212" i="2" s="1" a="1"/>
  <c r="Y212" i="2" s="1"/>
  <c r="D211" i="2"/>
  <c r="C211" i="2"/>
  <c r="B211" i="2"/>
  <c r="D210" i="2"/>
  <c r="C210" i="2"/>
  <c r="B210" i="2"/>
  <c r="Y210" i="2" s="1" a="1"/>
  <c r="Y210" i="2" s="1"/>
  <c r="D209" i="2"/>
  <c r="C209" i="2"/>
  <c r="B209" i="2"/>
  <c r="Y209" i="2" s="1" a="1"/>
  <c r="Y209" i="2" s="1"/>
  <c r="D208" i="2"/>
  <c r="C208" i="2"/>
  <c r="B208" i="2"/>
  <c r="Y208" i="2" s="1" a="1"/>
  <c r="Y208" i="2" s="1"/>
  <c r="D207" i="2"/>
  <c r="C207" i="2"/>
  <c r="B207" i="2"/>
  <c r="D206" i="2"/>
  <c r="C206" i="2"/>
  <c r="B206" i="2"/>
  <c r="Y206" i="2" s="1" a="1"/>
  <c r="Y206" i="2" s="1"/>
  <c r="D205" i="2"/>
  <c r="C205" i="2"/>
  <c r="B205" i="2"/>
  <c r="Y205" i="2" s="1" a="1"/>
  <c r="Y205" i="2" s="1"/>
  <c r="D204" i="2"/>
  <c r="C204" i="2"/>
  <c r="B204" i="2"/>
  <c r="Y204" i="2" s="1" a="1"/>
  <c r="Y204" i="2" s="1"/>
  <c r="D203" i="2"/>
  <c r="C203" i="2"/>
  <c r="B203" i="2"/>
  <c r="D202" i="2"/>
  <c r="C202" i="2"/>
  <c r="B202" i="2"/>
  <c r="Y202" i="2" s="1" a="1"/>
  <c r="Y202" i="2" s="1"/>
  <c r="D201" i="2"/>
  <c r="C201" i="2"/>
  <c r="B201" i="2"/>
  <c r="Y201" i="2" s="1" a="1"/>
  <c r="Y201" i="2" s="1"/>
  <c r="D200" i="2"/>
  <c r="C200" i="2"/>
  <c r="B200" i="2"/>
  <c r="Y200" i="2" s="1" a="1"/>
  <c r="Y200" i="2" s="1"/>
  <c r="D199" i="2"/>
  <c r="C199" i="2"/>
  <c r="B199" i="2"/>
  <c r="D198" i="2"/>
  <c r="C198" i="2"/>
  <c r="B198" i="2"/>
  <c r="Y198" i="2" s="1" a="1"/>
  <c r="Y198" i="2" s="1"/>
  <c r="D197" i="2"/>
  <c r="C197" i="2"/>
  <c r="B197" i="2"/>
  <c r="Y197" i="2" s="1" a="1"/>
  <c r="Y197" i="2" s="1"/>
  <c r="D196" i="2"/>
  <c r="C196" i="2"/>
  <c r="B196" i="2"/>
  <c r="Y196" i="2" s="1" a="1"/>
  <c r="Y196" i="2" s="1"/>
  <c r="D195" i="2"/>
  <c r="C195" i="2"/>
  <c r="B195" i="2"/>
  <c r="D194" i="2"/>
  <c r="C194" i="2"/>
  <c r="B194" i="2"/>
  <c r="Y194" i="2" s="1" a="1"/>
  <c r="Y194" i="2" s="1"/>
  <c r="D193" i="2"/>
  <c r="C193" i="2"/>
  <c r="B193" i="2"/>
  <c r="Y193" i="2" s="1" a="1"/>
  <c r="Y193" i="2" s="1"/>
  <c r="D192" i="2"/>
  <c r="C192" i="2"/>
  <c r="B192" i="2"/>
  <c r="Y192" i="2" s="1" a="1"/>
  <c r="Y192" i="2" s="1"/>
  <c r="D191" i="2"/>
  <c r="C191" i="2"/>
  <c r="B191" i="2"/>
  <c r="D190" i="2"/>
  <c r="C190" i="2"/>
  <c r="B190" i="2"/>
  <c r="Y190" i="2" s="1" a="1"/>
  <c r="Y190" i="2" s="1"/>
  <c r="D189" i="2"/>
  <c r="C189" i="2"/>
  <c r="B189" i="2"/>
  <c r="Y189" i="2" s="1" a="1"/>
  <c r="Y189" i="2" s="1"/>
  <c r="D188" i="2"/>
  <c r="C188" i="2"/>
  <c r="B188" i="2"/>
  <c r="Y188" i="2" s="1" a="1"/>
  <c r="Y188" i="2" s="1"/>
  <c r="D187" i="2"/>
  <c r="C187" i="2"/>
  <c r="B187" i="2"/>
  <c r="D186" i="2"/>
  <c r="C186" i="2"/>
  <c r="B186" i="2"/>
  <c r="Y186" i="2" s="1" a="1"/>
  <c r="Y186" i="2" s="1"/>
  <c r="D185" i="2"/>
  <c r="C185" i="2"/>
  <c r="B185" i="2"/>
  <c r="Y185" i="2" s="1" a="1"/>
  <c r="Y185" i="2" s="1"/>
  <c r="D184" i="2"/>
  <c r="C184" i="2"/>
  <c r="B184" i="2"/>
  <c r="Y184" i="2" s="1" a="1"/>
  <c r="Y184" i="2" s="1"/>
  <c r="D183" i="2"/>
  <c r="C183" i="2"/>
  <c r="B183" i="2"/>
  <c r="D182" i="2"/>
  <c r="C182" i="2"/>
  <c r="B182" i="2"/>
  <c r="Y182" i="2" s="1" a="1"/>
  <c r="Y182" i="2" s="1"/>
  <c r="D181" i="2"/>
  <c r="C181" i="2"/>
  <c r="B181" i="2"/>
  <c r="Y181" i="2" s="1" a="1"/>
  <c r="Y181" i="2" s="1"/>
  <c r="D180" i="2"/>
  <c r="C180" i="2"/>
  <c r="B180" i="2"/>
  <c r="Y180" i="2" s="1" a="1"/>
  <c r="Y180" i="2" s="1"/>
  <c r="D179" i="2"/>
  <c r="C179" i="2"/>
  <c r="B179" i="2"/>
  <c r="D178" i="2"/>
  <c r="C178" i="2"/>
  <c r="B178" i="2"/>
  <c r="Y178" i="2" s="1" a="1"/>
  <c r="Y178" i="2" s="1"/>
  <c r="D177" i="2"/>
  <c r="C177" i="2"/>
  <c r="B177" i="2"/>
  <c r="Y177" i="2" s="1" a="1"/>
  <c r="Y177" i="2" s="1"/>
  <c r="D176" i="2"/>
  <c r="C176" i="2"/>
  <c r="B176" i="2"/>
  <c r="Y176" i="2" s="1" a="1"/>
  <c r="Y176" i="2" s="1"/>
  <c r="D175" i="2"/>
  <c r="C175" i="2"/>
  <c r="B175" i="2"/>
  <c r="D174" i="2"/>
  <c r="C174" i="2"/>
  <c r="B174" i="2"/>
  <c r="Y174" i="2" s="1" a="1"/>
  <c r="Y174" i="2" s="1"/>
  <c r="D173" i="2"/>
  <c r="C173" i="2"/>
  <c r="B173" i="2"/>
  <c r="Y173" i="2" s="1" a="1"/>
  <c r="Y173" i="2" s="1"/>
  <c r="D172" i="2"/>
  <c r="C172" i="2"/>
  <c r="B172" i="2"/>
  <c r="Y172" i="2" s="1" a="1"/>
  <c r="Y172" i="2" s="1"/>
  <c r="D171" i="2"/>
  <c r="C171" i="2"/>
  <c r="B171" i="2"/>
  <c r="D170" i="2"/>
  <c r="C170" i="2"/>
  <c r="B170" i="2"/>
  <c r="Y170" i="2" s="1" a="1"/>
  <c r="Y170" i="2" s="1"/>
  <c r="D169" i="2"/>
  <c r="C169" i="2"/>
  <c r="B169" i="2"/>
  <c r="Y169" i="2" s="1" a="1"/>
  <c r="Y169" i="2" s="1"/>
  <c r="D168" i="2"/>
  <c r="C168" i="2"/>
  <c r="B168" i="2"/>
  <c r="Y168" i="2" s="1" a="1"/>
  <c r="Y168" i="2" s="1"/>
  <c r="D167" i="2"/>
  <c r="C167" i="2"/>
  <c r="B167" i="2"/>
  <c r="D166" i="2"/>
  <c r="C166" i="2"/>
  <c r="B166" i="2"/>
  <c r="Y166" i="2" s="1" a="1"/>
  <c r="Y166" i="2" s="1"/>
  <c r="D165" i="2"/>
  <c r="C165" i="2"/>
  <c r="B165" i="2"/>
  <c r="Y165" i="2" s="1" a="1"/>
  <c r="Y165" i="2" s="1"/>
  <c r="D164" i="2"/>
  <c r="C164" i="2"/>
  <c r="B164" i="2"/>
  <c r="Y164" i="2" s="1" a="1"/>
  <c r="Y164" i="2" s="1"/>
  <c r="D163" i="2"/>
  <c r="C163" i="2"/>
  <c r="B163" i="2"/>
  <c r="D162" i="2"/>
  <c r="C162" i="2"/>
  <c r="B162" i="2"/>
  <c r="Y162" i="2" s="1" a="1"/>
  <c r="Y162" i="2" s="1"/>
  <c r="D161" i="2"/>
  <c r="C161" i="2"/>
  <c r="B161" i="2"/>
  <c r="Y161" i="2" s="1" a="1"/>
  <c r="Y161" i="2" s="1"/>
  <c r="D160" i="2"/>
  <c r="C160" i="2"/>
  <c r="B160" i="2"/>
  <c r="Y160" i="2" s="1" a="1"/>
  <c r="Y160" i="2" s="1"/>
  <c r="D159" i="2"/>
  <c r="C159" i="2"/>
  <c r="B159" i="2"/>
  <c r="D158" i="2"/>
  <c r="C158" i="2"/>
  <c r="B158" i="2"/>
  <c r="Y158" i="2" s="1" a="1"/>
  <c r="Y158" i="2" s="1"/>
  <c r="D157" i="2"/>
  <c r="C157" i="2"/>
  <c r="B157" i="2"/>
  <c r="Y157" i="2" s="1" a="1"/>
  <c r="Y157" i="2" s="1"/>
  <c r="D156" i="2"/>
  <c r="C156" i="2"/>
  <c r="B156" i="2"/>
  <c r="Y156" i="2" s="1" a="1"/>
  <c r="Y156" i="2" s="1"/>
  <c r="D155" i="2"/>
  <c r="C155" i="2"/>
  <c r="B155" i="2"/>
  <c r="D154" i="2"/>
  <c r="C154" i="2"/>
  <c r="B154" i="2"/>
  <c r="Y154" i="2" s="1" a="1"/>
  <c r="Y154" i="2" s="1"/>
  <c r="D153" i="2"/>
  <c r="C153" i="2"/>
  <c r="B153" i="2"/>
  <c r="Y153" i="2" s="1" a="1"/>
  <c r="Y153" i="2" s="1"/>
  <c r="D152" i="2"/>
  <c r="C152" i="2"/>
  <c r="B152" i="2"/>
  <c r="Y152" i="2" s="1" a="1"/>
  <c r="Y152" i="2" s="1"/>
  <c r="D151" i="2"/>
  <c r="C151" i="2"/>
  <c r="B151" i="2"/>
  <c r="D150" i="2"/>
  <c r="C150" i="2"/>
  <c r="B150" i="2"/>
  <c r="Y150" i="2" s="1" a="1"/>
  <c r="Y150" i="2" s="1"/>
  <c r="D149" i="2"/>
  <c r="C149" i="2"/>
  <c r="B149" i="2"/>
  <c r="Y149" i="2" s="1" a="1"/>
  <c r="Y149" i="2" s="1"/>
  <c r="D148" i="2"/>
  <c r="C148" i="2"/>
  <c r="B148" i="2"/>
  <c r="Y148" i="2" s="1" a="1"/>
  <c r="Y148" i="2" s="1"/>
  <c r="D147" i="2"/>
  <c r="C147" i="2"/>
  <c r="B147" i="2"/>
  <c r="D146" i="2"/>
  <c r="C146" i="2"/>
  <c r="B146" i="2"/>
  <c r="Y146" i="2" s="1" a="1"/>
  <c r="Y146" i="2" s="1"/>
  <c r="D145" i="2"/>
  <c r="C145" i="2"/>
  <c r="B145" i="2"/>
  <c r="Y145" i="2" s="1" a="1"/>
  <c r="Y145" i="2" s="1"/>
  <c r="D144" i="2"/>
  <c r="C144" i="2"/>
  <c r="B144" i="2"/>
  <c r="Y144" i="2" s="1" a="1"/>
  <c r="Y144" i="2" s="1"/>
  <c r="D143" i="2"/>
  <c r="C143" i="2"/>
  <c r="B143" i="2"/>
  <c r="D142" i="2"/>
  <c r="C142" i="2"/>
  <c r="B142" i="2"/>
  <c r="Y142" i="2" s="1" a="1"/>
  <c r="Y142" i="2" s="1"/>
  <c r="D141" i="2"/>
  <c r="C141" i="2"/>
  <c r="B141" i="2"/>
  <c r="Y141" i="2" s="1" a="1"/>
  <c r="Y141" i="2" s="1"/>
  <c r="D140" i="2"/>
  <c r="C140" i="2"/>
  <c r="B140" i="2"/>
  <c r="Y140" i="2" s="1" a="1"/>
  <c r="Y140" i="2" s="1"/>
  <c r="D139" i="2"/>
  <c r="C139" i="2"/>
  <c r="B139" i="2"/>
  <c r="D138" i="2"/>
  <c r="C138" i="2"/>
  <c r="B138" i="2"/>
  <c r="Y138" i="2" s="1" a="1"/>
  <c r="Y138" i="2" s="1"/>
  <c r="D137" i="2"/>
  <c r="C137" i="2"/>
  <c r="B137" i="2"/>
  <c r="Y137" i="2" s="1" a="1"/>
  <c r="Y137" i="2" s="1"/>
  <c r="D136" i="2"/>
  <c r="C136" i="2"/>
  <c r="B136" i="2"/>
  <c r="Y136" i="2" s="1" a="1"/>
  <c r="Y136" i="2" s="1"/>
  <c r="D135" i="2"/>
  <c r="C135" i="2"/>
  <c r="B135" i="2"/>
  <c r="D134" i="2"/>
  <c r="C134" i="2"/>
  <c r="B134" i="2"/>
  <c r="Y134" i="2" s="1" a="1"/>
  <c r="Y134" i="2" s="1"/>
  <c r="D133" i="2"/>
  <c r="C133" i="2"/>
  <c r="B133" i="2"/>
  <c r="Y133" i="2" s="1" a="1"/>
  <c r="Y133" i="2" s="1"/>
  <c r="D132" i="2"/>
  <c r="C132" i="2"/>
  <c r="B132" i="2"/>
  <c r="Y132" i="2" s="1" a="1"/>
  <c r="Y132" i="2" s="1"/>
  <c r="D131" i="2"/>
  <c r="C131" i="2"/>
  <c r="B131" i="2"/>
  <c r="D130" i="2"/>
  <c r="C130" i="2"/>
  <c r="B130" i="2"/>
  <c r="Y130" i="2" s="1" a="1"/>
  <c r="Y130" i="2" s="1"/>
  <c r="D129" i="2"/>
  <c r="C129" i="2"/>
  <c r="B129" i="2"/>
  <c r="Y129" i="2" s="1" a="1"/>
  <c r="Y129" i="2" s="1"/>
  <c r="D128" i="2"/>
  <c r="C128" i="2"/>
  <c r="B128" i="2"/>
  <c r="Y128" i="2" s="1" a="1"/>
  <c r="Y128" i="2" s="1"/>
  <c r="D127" i="2"/>
  <c r="C127" i="2"/>
  <c r="B127" i="2"/>
  <c r="D126" i="2"/>
  <c r="C126" i="2"/>
  <c r="B126" i="2"/>
  <c r="Y126" i="2" s="1" a="1"/>
  <c r="Y126" i="2" s="1"/>
  <c r="D125" i="2"/>
  <c r="C125" i="2"/>
  <c r="B125" i="2"/>
  <c r="Y125" i="2" s="1" a="1"/>
  <c r="Y125" i="2" s="1"/>
  <c r="D124" i="2"/>
  <c r="C124" i="2"/>
  <c r="B124" i="2"/>
  <c r="Y124" i="2" s="1" a="1"/>
  <c r="Y124" i="2" s="1"/>
  <c r="D123" i="2"/>
  <c r="C123" i="2"/>
  <c r="B123" i="2"/>
  <c r="D122" i="2"/>
  <c r="C122" i="2"/>
  <c r="B122" i="2"/>
  <c r="Y122" i="2" s="1" a="1"/>
  <c r="Y122" i="2" s="1"/>
  <c r="D121" i="2"/>
  <c r="C121" i="2"/>
  <c r="B121" i="2"/>
  <c r="Y121" i="2" s="1" a="1"/>
  <c r="Y121" i="2" s="1"/>
  <c r="D120" i="2"/>
  <c r="C120" i="2"/>
  <c r="B120" i="2"/>
  <c r="Y120" i="2" s="1" a="1"/>
  <c r="Y120" i="2" s="1"/>
  <c r="D119" i="2"/>
  <c r="C119" i="2"/>
  <c r="B119" i="2"/>
  <c r="D118" i="2"/>
  <c r="C118" i="2"/>
  <c r="B118" i="2"/>
  <c r="Y118" i="2" s="1" a="1"/>
  <c r="Y118" i="2" s="1"/>
  <c r="D117" i="2"/>
  <c r="C117" i="2"/>
  <c r="B117" i="2"/>
  <c r="Y117" i="2" s="1" a="1"/>
  <c r="Y117" i="2" s="1"/>
  <c r="D116" i="2"/>
  <c r="C116" i="2"/>
  <c r="B116" i="2"/>
  <c r="Y116" i="2" s="1" a="1"/>
  <c r="Y116" i="2" s="1"/>
  <c r="D115" i="2"/>
  <c r="C115" i="2"/>
  <c r="B115" i="2"/>
  <c r="D114" i="2"/>
  <c r="C114" i="2"/>
  <c r="B114" i="2"/>
  <c r="Y114" i="2" s="1" a="1"/>
  <c r="Y114" i="2" s="1"/>
  <c r="D113" i="2"/>
  <c r="C113" i="2"/>
  <c r="B113" i="2"/>
  <c r="Y113" i="2" s="1" a="1"/>
  <c r="Y113" i="2" s="1"/>
  <c r="D112" i="2"/>
  <c r="C112" i="2"/>
  <c r="B112" i="2"/>
  <c r="Y112" i="2" s="1" a="1"/>
  <c r="Y112" i="2" s="1"/>
  <c r="D111" i="2"/>
  <c r="C111" i="2"/>
  <c r="B111" i="2"/>
  <c r="D110" i="2"/>
  <c r="C110" i="2"/>
  <c r="B110" i="2"/>
  <c r="Y110" i="2" s="1" a="1"/>
  <c r="Y110" i="2" s="1"/>
  <c r="D109" i="2"/>
  <c r="C109" i="2"/>
  <c r="B109" i="2"/>
  <c r="Y109" i="2" s="1" a="1"/>
  <c r="Y109" i="2" s="1"/>
  <c r="D108" i="2"/>
  <c r="C108" i="2"/>
  <c r="B108" i="2"/>
  <c r="Y108" i="2" s="1" a="1"/>
  <c r="Y108" i="2" s="1"/>
  <c r="D107" i="2"/>
  <c r="C107" i="2"/>
  <c r="B107" i="2"/>
  <c r="D106" i="2"/>
  <c r="C106" i="2"/>
  <c r="B106" i="2"/>
  <c r="Y106" i="2" s="1" a="1"/>
  <c r="Y106" i="2" s="1"/>
  <c r="D105" i="2"/>
  <c r="C105" i="2"/>
  <c r="B105" i="2"/>
  <c r="Y105" i="2" s="1" a="1"/>
  <c r="Y105" i="2" s="1"/>
  <c r="D104" i="2"/>
  <c r="C104" i="2"/>
  <c r="B104" i="2"/>
  <c r="Y104" i="2" s="1" a="1"/>
  <c r="Y104" i="2" s="1"/>
  <c r="D103" i="2"/>
  <c r="C103" i="2"/>
  <c r="B103" i="2"/>
  <c r="D102" i="2"/>
  <c r="C102" i="2"/>
  <c r="B102" i="2"/>
  <c r="Y102" i="2" s="1" a="1"/>
  <c r="Y102" i="2" s="1"/>
  <c r="D101" i="2"/>
  <c r="C101" i="2"/>
  <c r="B101" i="2"/>
  <c r="Y101" i="2" s="1" a="1"/>
  <c r="Y101" i="2" s="1"/>
  <c r="D100" i="2"/>
  <c r="C100" i="2"/>
  <c r="B100" i="2"/>
  <c r="Y100" i="2" s="1" a="1"/>
  <c r="Y100" i="2" s="1"/>
  <c r="D99" i="2"/>
  <c r="C99" i="2"/>
  <c r="B99" i="2"/>
  <c r="D98" i="2"/>
  <c r="C98" i="2"/>
  <c r="B98" i="2"/>
  <c r="Y98" i="2" s="1" a="1"/>
  <c r="Y98" i="2" s="1"/>
  <c r="D97" i="2"/>
  <c r="C97" i="2"/>
  <c r="B97" i="2"/>
  <c r="Y97" i="2" s="1" a="1"/>
  <c r="Y97" i="2" s="1"/>
  <c r="D96" i="2"/>
  <c r="C96" i="2"/>
  <c r="B96" i="2"/>
  <c r="Y96" i="2" s="1" a="1"/>
  <c r="Y96" i="2" s="1"/>
  <c r="D95" i="2"/>
  <c r="C95" i="2"/>
  <c r="B95" i="2"/>
  <c r="D94" i="2"/>
  <c r="C94" i="2"/>
  <c r="B94" i="2"/>
  <c r="Y94" i="2" s="1" a="1"/>
  <c r="Y94" i="2" s="1"/>
  <c r="D93" i="2"/>
  <c r="C93" i="2"/>
  <c r="B93" i="2"/>
  <c r="Y93" i="2" s="1" a="1"/>
  <c r="Y93" i="2" s="1"/>
  <c r="D92" i="2"/>
  <c r="C92" i="2"/>
  <c r="B92" i="2"/>
  <c r="Y92" i="2" s="1" a="1"/>
  <c r="Y92" i="2" s="1"/>
  <c r="D91" i="2"/>
  <c r="C91" i="2"/>
  <c r="B91" i="2"/>
  <c r="D90" i="2"/>
  <c r="C90" i="2"/>
  <c r="B90" i="2"/>
  <c r="Y90" i="2" s="1" a="1"/>
  <c r="Y90" i="2" s="1"/>
  <c r="D89" i="2"/>
  <c r="C89" i="2"/>
  <c r="B89" i="2"/>
  <c r="Y89" i="2" s="1" a="1"/>
  <c r="Y89" i="2" s="1"/>
  <c r="D88" i="2"/>
  <c r="C88" i="2"/>
  <c r="B88" i="2"/>
  <c r="Y88" i="2" s="1" a="1"/>
  <c r="Y88" i="2" s="1"/>
  <c r="D87" i="2"/>
  <c r="C87" i="2"/>
  <c r="B87" i="2"/>
  <c r="D86" i="2"/>
  <c r="C86" i="2"/>
  <c r="B86" i="2"/>
  <c r="Y86" i="2" s="1" a="1"/>
  <c r="Y86" i="2" s="1"/>
  <c r="D85" i="2"/>
  <c r="C85" i="2"/>
  <c r="B85" i="2"/>
  <c r="Y85" i="2" s="1" a="1"/>
  <c r="Y85" i="2" s="1"/>
  <c r="D84" i="2"/>
  <c r="C84" i="2"/>
  <c r="B84" i="2"/>
  <c r="Y84" i="2" s="1" a="1"/>
  <c r="Y84" i="2" s="1"/>
  <c r="D83" i="2"/>
  <c r="C83" i="2"/>
  <c r="B83" i="2"/>
  <c r="D82" i="2"/>
  <c r="C82" i="2"/>
  <c r="B82" i="2"/>
  <c r="Y82" i="2" s="1" a="1"/>
  <c r="Y82" i="2" s="1"/>
  <c r="D81" i="2"/>
  <c r="C81" i="2"/>
  <c r="B81" i="2"/>
  <c r="Y81" i="2" s="1" a="1"/>
  <c r="Y81" i="2" s="1"/>
  <c r="D80" i="2"/>
  <c r="C80" i="2"/>
  <c r="B80" i="2"/>
  <c r="Y80" i="2" s="1" a="1"/>
  <c r="Y80" i="2" s="1"/>
  <c r="D79" i="2"/>
  <c r="C79" i="2"/>
  <c r="B79" i="2"/>
  <c r="D78" i="2"/>
  <c r="C78" i="2"/>
  <c r="B78" i="2"/>
  <c r="Y78" i="2" s="1" a="1"/>
  <c r="Y78" i="2" s="1"/>
  <c r="D77" i="2"/>
  <c r="C77" i="2"/>
  <c r="B77" i="2"/>
  <c r="Y77" i="2" s="1" a="1"/>
  <c r="Y77" i="2" s="1"/>
  <c r="D76" i="2"/>
  <c r="C76" i="2"/>
  <c r="B76" i="2"/>
  <c r="Y76" i="2" s="1" a="1"/>
  <c r="Y76" i="2" s="1"/>
  <c r="D75" i="2"/>
  <c r="C75" i="2"/>
  <c r="B75" i="2"/>
  <c r="D74" i="2"/>
  <c r="C74" i="2"/>
  <c r="B74" i="2"/>
  <c r="Y74" i="2" s="1" a="1"/>
  <c r="Y74" i="2" s="1"/>
  <c r="D73" i="2"/>
  <c r="C73" i="2"/>
  <c r="B73" i="2"/>
  <c r="Y73" i="2" s="1" a="1"/>
  <c r="Y73" i="2" s="1"/>
  <c r="D72" i="2"/>
  <c r="C72" i="2"/>
  <c r="B72" i="2"/>
  <c r="Y72" i="2" s="1" a="1"/>
  <c r="Y72" i="2" s="1"/>
  <c r="D71" i="2"/>
  <c r="C71" i="2"/>
  <c r="B71" i="2"/>
  <c r="D70" i="2"/>
  <c r="C70" i="2"/>
  <c r="B70" i="2"/>
  <c r="Y70" i="2" s="1" a="1"/>
  <c r="Y70" i="2" s="1"/>
  <c r="D69" i="2"/>
  <c r="C69" i="2"/>
  <c r="B69" i="2"/>
  <c r="Y69" i="2" s="1" a="1"/>
  <c r="Y69" i="2" s="1"/>
  <c r="D68" i="2"/>
  <c r="C68" i="2"/>
  <c r="B68" i="2"/>
  <c r="Y68" i="2" s="1" a="1"/>
  <c r="Y68" i="2" s="1"/>
  <c r="D67" i="2"/>
  <c r="C67" i="2"/>
  <c r="B67" i="2"/>
  <c r="D66" i="2"/>
  <c r="C66" i="2"/>
  <c r="B66" i="2"/>
  <c r="Y66" i="2" s="1" a="1"/>
  <c r="Y66" i="2" s="1"/>
  <c r="D65" i="2"/>
  <c r="C65" i="2"/>
  <c r="B65" i="2"/>
  <c r="Y65" i="2" s="1" a="1"/>
  <c r="Y65" i="2" s="1"/>
  <c r="D64" i="2"/>
  <c r="C64" i="2"/>
  <c r="B64" i="2"/>
  <c r="Y64" i="2" s="1" a="1"/>
  <c r="Y64" i="2" s="1"/>
  <c r="D63" i="2"/>
  <c r="C63" i="2"/>
  <c r="B63" i="2"/>
  <c r="D62" i="2"/>
  <c r="C62" i="2"/>
  <c r="B62" i="2"/>
  <c r="Y62" i="2" s="1" a="1"/>
  <c r="Y62" i="2" s="1"/>
  <c r="D61" i="2"/>
  <c r="C61" i="2"/>
  <c r="B61" i="2"/>
  <c r="Y61" i="2" s="1" a="1"/>
  <c r="Y61" i="2" s="1"/>
  <c r="D60" i="2"/>
  <c r="C60" i="2"/>
  <c r="B60" i="2"/>
  <c r="Y60" i="2" s="1" a="1"/>
  <c r="Y60" i="2" s="1"/>
  <c r="D59" i="2"/>
  <c r="C59" i="2"/>
  <c r="B59" i="2"/>
  <c r="D58" i="2"/>
  <c r="C58" i="2"/>
  <c r="B58" i="2"/>
  <c r="Y58" i="2" s="1" a="1"/>
  <c r="Y58" i="2" s="1"/>
  <c r="D57" i="2"/>
  <c r="C57" i="2"/>
  <c r="B57" i="2"/>
  <c r="Y57" i="2" s="1" a="1"/>
  <c r="Y57" i="2" s="1"/>
  <c r="D56" i="2"/>
  <c r="C56" i="2"/>
  <c r="B56" i="2"/>
  <c r="Y56" i="2" s="1" a="1"/>
  <c r="Y56" i="2" s="1"/>
  <c r="D55" i="2"/>
  <c r="C55" i="2"/>
  <c r="B55" i="2"/>
  <c r="D54" i="2"/>
  <c r="C54" i="2"/>
  <c r="B54" i="2"/>
  <c r="Y54" i="2" s="1" a="1"/>
  <c r="Y54" i="2" s="1"/>
  <c r="D53" i="2"/>
  <c r="C53" i="2"/>
  <c r="B53" i="2"/>
  <c r="Y53" i="2" s="1" a="1"/>
  <c r="Y53" i="2" s="1"/>
  <c r="D52" i="2"/>
  <c r="C52" i="2"/>
  <c r="B52" i="2"/>
  <c r="Y52" i="2" s="1" a="1"/>
  <c r="Y52" i="2" s="1"/>
  <c r="D51" i="2"/>
  <c r="C51" i="2"/>
  <c r="B51" i="2"/>
  <c r="D50" i="2"/>
  <c r="C50" i="2"/>
  <c r="B50" i="2"/>
  <c r="Y50" i="2" s="1" a="1"/>
  <c r="Y50" i="2" s="1"/>
  <c r="D49" i="2"/>
  <c r="C49" i="2"/>
  <c r="B49" i="2"/>
  <c r="Y49" i="2" s="1" a="1"/>
  <c r="Y49" i="2" s="1"/>
  <c r="D48" i="2"/>
  <c r="C48" i="2"/>
  <c r="B48" i="2"/>
  <c r="Y48" i="2" s="1" a="1"/>
  <c r="Y48" i="2" s="1"/>
  <c r="D47" i="2"/>
  <c r="C47" i="2"/>
  <c r="B47" i="2"/>
  <c r="D46" i="2"/>
  <c r="C46" i="2"/>
  <c r="B46" i="2"/>
  <c r="Y46" i="2" s="1" a="1"/>
  <c r="Y46" i="2" s="1"/>
  <c r="D45" i="2"/>
  <c r="C45" i="2"/>
  <c r="B45" i="2"/>
  <c r="Y45" i="2" s="1" a="1"/>
  <c r="Y45" i="2" s="1"/>
  <c r="D44" i="2"/>
  <c r="C44" i="2"/>
  <c r="B44" i="2"/>
  <c r="Y44" i="2" s="1" a="1"/>
  <c r="Y44" i="2" s="1"/>
  <c r="D43" i="2"/>
  <c r="C43" i="2"/>
  <c r="B43" i="2"/>
  <c r="D42" i="2"/>
  <c r="C42" i="2"/>
  <c r="B42" i="2"/>
  <c r="Y42" i="2" s="1" a="1"/>
  <c r="Y42" i="2" s="1"/>
  <c r="D41" i="2"/>
  <c r="C41" i="2"/>
  <c r="B41" i="2"/>
  <c r="Y41" i="2" s="1" a="1"/>
  <c r="Y41" i="2" s="1"/>
  <c r="D40" i="2"/>
  <c r="C40" i="2"/>
  <c r="B40" i="2"/>
  <c r="Y40" i="2" s="1" a="1"/>
  <c r="Y40" i="2" s="1"/>
  <c r="D39" i="2"/>
  <c r="C39" i="2"/>
  <c r="B39" i="2"/>
  <c r="D38" i="2"/>
  <c r="C38" i="2"/>
  <c r="B38" i="2"/>
  <c r="Y38" i="2" s="1" a="1"/>
  <c r="Y38" i="2" s="1"/>
  <c r="D37" i="2"/>
  <c r="C37" i="2"/>
  <c r="B37" i="2"/>
  <c r="Y37" i="2" s="1" a="1"/>
  <c r="Y37" i="2" s="1"/>
  <c r="D36" i="2"/>
  <c r="C36" i="2"/>
  <c r="B36" i="2"/>
  <c r="Y36" i="2" s="1" a="1"/>
  <c r="Y36" i="2" s="1"/>
  <c r="D35" i="2"/>
  <c r="C35" i="2"/>
  <c r="B35" i="2"/>
  <c r="D34" i="2"/>
  <c r="C34" i="2"/>
  <c r="B34" i="2"/>
  <c r="Y34" i="2" s="1" a="1"/>
  <c r="Y34" i="2" s="1"/>
  <c r="D33" i="2"/>
  <c r="C33" i="2"/>
  <c r="B33" i="2"/>
  <c r="Y33" i="2" s="1" a="1"/>
  <c r="Y33" i="2" s="1"/>
  <c r="D32" i="2"/>
  <c r="C32" i="2"/>
  <c r="B32" i="2"/>
  <c r="Y32" i="2" s="1" a="1"/>
  <c r="Y32" i="2" s="1"/>
  <c r="D31" i="2"/>
  <c r="C31" i="2"/>
  <c r="B31" i="2"/>
  <c r="D30" i="2"/>
  <c r="C30" i="2"/>
  <c r="B30" i="2"/>
  <c r="Y30" i="2" s="1" a="1"/>
  <c r="Y30" i="2" s="1"/>
  <c r="D29" i="2"/>
  <c r="C29" i="2"/>
  <c r="B29" i="2"/>
  <c r="Y29" i="2" s="1" a="1"/>
  <c r="Y29" i="2" s="1"/>
  <c r="D28" i="2"/>
  <c r="C28" i="2"/>
  <c r="B28" i="2"/>
  <c r="Y28" i="2" s="1" a="1"/>
  <c r="Y28" i="2" s="1"/>
  <c r="D27" i="2"/>
  <c r="C27" i="2"/>
  <c r="B27" i="2"/>
  <c r="D26" i="2"/>
  <c r="C26" i="2"/>
  <c r="B26" i="2"/>
  <c r="Y26" i="2" s="1" a="1"/>
  <c r="Y26" i="2" s="1"/>
  <c r="D25" i="2"/>
  <c r="C25" i="2"/>
  <c r="B25" i="2"/>
  <c r="Y25" i="2" s="1" a="1"/>
  <c r="Y25" i="2" s="1"/>
  <c r="D24" i="2"/>
  <c r="C24" i="2"/>
  <c r="B24" i="2"/>
  <c r="Y24" i="2" s="1" a="1"/>
  <c r="Y24" i="2" s="1"/>
  <c r="D23" i="2"/>
  <c r="C23" i="2"/>
  <c r="B23" i="2"/>
  <c r="D22" i="2"/>
  <c r="C22" i="2"/>
  <c r="B22" i="2"/>
  <c r="Y22" i="2" s="1" a="1"/>
  <c r="Y22" i="2" s="1"/>
  <c r="D21" i="2"/>
  <c r="C21" i="2"/>
  <c r="B21" i="2"/>
  <c r="Y21" i="2" s="1" a="1"/>
  <c r="Y21" i="2" s="1"/>
  <c r="D20" i="2"/>
  <c r="C20" i="2"/>
  <c r="B20" i="2"/>
  <c r="Y20" i="2" s="1" a="1"/>
  <c r="Y20" i="2" s="1"/>
  <c r="D19" i="2"/>
  <c r="C19" i="2"/>
  <c r="B19" i="2"/>
  <c r="D18" i="2"/>
  <c r="C18" i="2"/>
  <c r="B18" i="2"/>
  <c r="Y18" i="2" s="1" a="1"/>
  <c r="Y18" i="2" s="1"/>
  <c r="D17" i="2"/>
  <c r="C17" i="2"/>
  <c r="B17" i="2"/>
  <c r="Y17" i="2" s="1" a="1"/>
  <c r="Y17" i="2" s="1"/>
  <c r="D16" i="2"/>
  <c r="C16" i="2"/>
  <c r="B16" i="2"/>
  <c r="Y16" i="2" s="1" a="1"/>
  <c r="Y16" i="2" s="1"/>
  <c r="D15" i="2"/>
  <c r="C15" i="2"/>
  <c r="B15" i="2"/>
  <c r="D14" i="2"/>
  <c r="C14" i="2"/>
  <c r="B14" i="2"/>
  <c r="Y14" i="2" s="1" a="1"/>
  <c r="Y14" i="2" s="1"/>
  <c r="D13" i="2"/>
  <c r="C13" i="2"/>
  <c r="B13" i="2"/>
  <c r="Y13" i="2" s="1" a="1"/>
  <c r="Y13" i="2" s="1"/>
  <c r="D12" i="2"/>
  <c r="C12" i="2"/>
  <c r="B12" i="2"/>
  <c r="Y12" i="2" s="1" a="1"/>
  <c r="Y12" i="2" s="1"/>
  <c r="D11" i="2"/>
  <c r="C11" i="2"/>
  <c r="B11" i="2"/>
  <c r="D10" i="2"/>
  <c r="C10" i="2"/>
  <c r="B10" i="2"/>
  <c r="Y10" i="2" s="1" a="1"/>
  <c r="Y10" i="2" s="1"/>
  <c r="D9" i="2"/>
  <c r="C9" i="2"/>
  <c r="B9" i="2"/>
  <c r="Y9" i="2" s="1" a="1"/>
  <c r="Y9" i="2" s="1"/>
  <c r="D8" i="2"/>
  <c r="C8" i="2"/>
  <c r="B8" i="2"/>
  <c r="Y8" i="2" s="1" a="1"/>
  <c r="Y8" i="2" s="1"/>
  <c r="D7" i="2"/>
  <c r="C7" i="2"/>
  <c r="B7" i="2"/>
  <c r="D6" i="2"/>
  <c r="C6" i="2"/>
  <c r="B6" i="2"/>
  <c r="Y6" i="2" s="1" a="1"/>
  <c r="Y6" i="2" s="1"/>
  <c r="D5" i="2"/>
  <c r="C5" i="2"/>
  <c r="B5" i="2"/>
  <c r="Y5" i="2" s="1" a="1"/>
  <c r="Y5" i="2" s="1"/>
  <c r="D4" i="2"/>
  <c r="C4" i="2"/>
  <c r="B4" i="2"/>
  <c r="Y4" i="2" s="1" a="1"/>
  <c r="Y4" i="2" s="1"/>
  <c r="D3" i="2"/>
  <c r="C3" i="2"/>
  <c r="B3" i="2"/>
  <c r="D2" i="2"/>
  <c r="C2" i="2"/>
  <c r="B2" i="2"/>
  <c r="V56" i="9" l="1"/>
  <c r="V556" i="9"/>
  <c r="V194" i="9"/>
  <c r="V234" i="9"/>
  <c r="V435" i="9"/>
  <c r="V174" i="9"/>
  <c r="V227" i="9"/>
  <c r="V181" i="9"/>
  <c r="V740" i="9"/>
  <c r="V452" i="9"/>
  <c r="V571" i="9"/>
  <c r="V79" i="9"/>
  <c r="V486" i="9"/>
  <c r="V682" i="9"/>
  <c r="V663" i="9"/>
  <c r="V533" i="9"/>
  <c r="V644" i="9"/>
  <c r="V239" i="9"/>
  <c r="V125" i="9"/>
  <c r="V205" i="9"/>
  <c r="V847" i="9"/>
  <c r="V308" i="9"/>
  <c r="V139" i="9"/>
  <c r="V322" i="9"/>
  <c r="V971" i="9"/>
  <c r="V101" i="9"/>
  <c r="V195" i="9"/>
  <c r="V519" i="9"/>
  <c r="V801" i="9"/>
  <c r="V666" i="9"/>
  <c r="V36" i="9"/>
  <c r="V233" i="9"/>
  <c r="V745" i="9"/>
  <c r="V285" i="9"/>
  <c r="V333" i="9"/>
  <c r="V429" i="9"/>
  <c r="V477" i="9"/>
  <c r="V573" i="9"/>
  <c r="V593" i="9"/>
  <c r="V756" i="9"/>
  <c r="V312" i="9"/>
  <c r="V149" i="9"/>
  <c r="V268" i="9"/>
  <c r="V510" i="9"/>
  <c r="V814" i="9"/>
  <c r="V660" i="9"/>
  <c r="V403" i="9"/>
  <c r="V223" i="9"/>
  <c r="V12" i="9"/>
  <c r="V710" i="9"/>
  <c r="V547" i="9"/>
  <c r="V46" i="9"/>
  <c r="V208" i="9"/>
  <c r="V95" i="9"/>
  <c r="V200" i="9"/>
  <c r="V531" i="9"/>
  <c r="V674" i="9"/>
  <c r="V884" i="9"/>
  <c r="V753" i="9"/>
  <c r="V241" i="9"/>
  <c r="V481" i="9"/>
  <c r="V597" i="9"/>
  <c r="V770" i="9"/>
  <c r="V914" i="9"/>
  <c r="V905" i="9"/>
  <c r="V123" i="9"/>
  <c r="V299" i="9"/>
  <c r="V837" i="9"/>
  <c r="V69" i="9"/>
  <c r="V462" i="9"/>
  <c r="V870" i="9"/>
  <c r="V27" i="9"/>
  <c r="V721" i="9"/>
  <c r="V260" i="9"/>
  <c r="V587" i="9"/>
  <c r="V278" i="9"/>
  <c r="V300" i="9"/>
  <c r="V906" i="9"/>
  <c r="V527" i="9"/>
  <c r="V705" i="9"/>
  <c r="V130" i="9"/>
  <c r="V51" i="9"/>
  <c r="V206" i="9"/>
  <c r="V451" i="9"/>
  <c r="V689" i="9"/>
  <c r="V883" i="9"/>
  <c r="V61" i="9"/>
  <c r="V491" i="9"/>
  <c r="V778" i="9"/>
  <c r="V967" i="9"/>
  <c r="V272" i="9"/>
  <c r="V874" i="9"/>
  <c r="V209" i="9"/>
  <c r="V83" i="9"/>
  <c r="V730" i="9"/>
  <c r="V826" i="9"/>
  <c r="V642" i="9"/>
  <c r="V534" i="9"/>
  <c r="V416" i="9"/>
  <c r="V446" i="9"/>
  <c r="V132" i="9"/>
  <c r="V650" i="9"/>
  <c r="V961" i="9"/>
  <c r="V703" i="9"/>
  <c r="V808" i="9"/>
  <c r="V380" i="9"/>
  <c r="V468" i="9"/>
  <c r="V715" i="9"/>
  <c r="V136" i="9"/>
  <c r="V917" i="9"/>
  <c r="V385" i="9"/>
  <c r="V694" i="9"/>
  <c r="V371" i="9"/>
  <c r="V974" i="9"/>
  <c r="V147" i="9"/>
  <c r="V908" i="9"/>
  <c r="V389" i="9"/>
  <c r="V582" i="9"/>
  <c r="V741" i="9"/>
  <c r="V598" i="9"/>
  <c r="V543" i="9"/>
  <c r="V918" i="9"/>
  <c r="V934" i="9"/>
  <c r="V951" i="9"/>
  <c r="V297" i="9"/>
  <c r="V393" i="9"/>
  <c r="V441" i="9"/>
  <c r="V537" i="9"/>
  <c r="V657" i="9"/>
  <c r="V979" i="9"/>
  <c r="V235" i="9"/>
  <c r="V282" i="9"/>
  <c r="V87" i="9"/>
  <c r="V163" i="9"/>
  <c r="V398" i="9"/>
  <c r="V360" i="9"/>
  <c r="V822" i="9"/>
  <c r="V600" i="9"/>
  <c r="V923" i="9"/>
  <c r="V860" i="9"/>
  <c r="V970" i="9"/>
  <c r="V771" i="9"/>
  <c r="V5" i="9"/>
  <c r="V283" i="9"/>
  <c r="V232" i="9"/>
  <c r="V186" i="9"/>
  <c r="V928" i="9"/>
  <c r="V690" i="9"/>
  <c r="V590" i="9"/>
  <c r="V609" i="9"/>
  <c r="V886" i="9"/>
  <c r="V219" i="9"/>
  <c r="V258" i="9"/>
  <c r="V303" i="9"/>
  <c r="V93" i="9"/>
  <c r="V551" i="9"/>
  <c r="V332" i="9"/>
  <c r="V940" i="9"/>
  <c r="V320" i="9"/>
  <c r="V382" i="9"/>
  <c r="V746" i="9"/>
  <c r="V214" i="9"/>
  <c r="V947" i="9"/>
  <c r="V284" i="9"/>
  <c r="V180" i="9"/>
  <c r="V328" i="9"/>
  <c r="V511" i="9"/>
  <c r="V237" i="9"/>
  <c r="V525" i="9"/>
  <c r="V761" i="9"/>
  <c r="V773" i="9"/>
  <c r="V900" i="9"/>
  <c r="V483" i="9"/>
  <c r="V518" i="9"/>
  <c r="V129" i="9"/>
  <c r="V455" i="9"/>
  <c r="V834" i="9"/>
  <c r="V516" i="9"/>
  <c r="V218" i="9"/>
  <c r="V50" i="9"/>
  <c r="V226" i="9"/>
  <c r="V157" i="9"/>
  <c r="V306" i="9"/>
  <c r="V217" i="9"/>
  <c r="V142" i="9"/>
  <c r="V88" i="9"/>
  <c r="V189" i="9"/>
  <c r="V338" i="9"/>
  <c r="V656" i="9"/>
  <c r="V337" i="9"/>
  <c r="V433" i="9"/>
  <c r="V786" i="9"/>
  <c r="V635" i="9"/>
  <c r="V633" i="9"/>
  <c r="V861" i="9"/>
  <c r="V153" i="9"/>
  <c r="V524" i="9"/>
  <c r="V751" i="9"/>
  <c r="V55" i="9"/>
  <c r="V819" i="9"/>
  <c r="V222" i="9"/>
  <c r="V302" i="9"/>
  <c r="V271" i="9"/>
  <c r="V935" i="9"/>
  <c r="V293" i="9"/>
  <c r="V341" i="9"/>
  <c r="V437" i="9"/>
  <c r="V924" i="9"/>
  <c r="V915" i="9"/>
  <c r="V838" i="9"/>
  <c r="V912" i="9"/>
  <c r="V66" i="9"/>
  <c r="V276" i="9"/>
  <c r="V981" i="9"/>
  <c r="V960" i="9"/>
  <c r="V343" i="9"/>
  <c r="V591" i="9"/>
  <c r="V545" i="9"/>
  <c r="V704" i="9"/>
  <c r="V672" i="9"/>
  <c r="V953" i="9"/>
  <c r="V346" i="9"/>
  <c r="V99" i="9"/>
  <c r="V764" i="9"/>
  <c r="V991" i="9"/>
  <c r="V25" i="9"/>
  <c r="V982" i="9"/>
  <c r="V357" i="9"/>
  <c r="V501" i="9"/>
  <c r="V877" i="9"/>
  <c r="V626" i="9"/>
  <c r="V926" i="9"/>
  <c r="V685" i="9"/>
  <c r="V930" i="9"/>
  <c r="V719" i="9"/>
  <c r="V117" i="9"/>
  <c r="V890" i="9"/>
  <c r="V118" i="9"/>
  <c r="V878" i="9"/>
  <c r="V84" i="9"/>
  <c r="V472" i="9"/>
  <c r="V381" i="9"/>
  <c r="V622" i="9"/>
  <c r="V891" i="9"/>
  <c r="V729" i="9"/>
  <c r="V482" i="9"/>
  <c r="V535" i="9"/>
  <c r="V830" i="9"/>
  <c r="V558" i="9"/>
  <c r="V564" i="9"/>
  <c r="V207" i="9"/>
  <c r="V724" i="9"/>
  <c r="V391" i="9"/>
  <c r="V409" i="9"/>
  <c r="V122" i="9"/>
  <c r="V882" i="9"/>
  <c r="V809" i="9"/>
  <c r="V480" i="9"/>
  <c r="V247" i="9"/>
  <c r="V289" i="9"/>
  <c r="V529" i="9"/>
  <c r="V251" i="9"/>
  <c r="V601" i="9"/>
  <c r="V831" i="9"/>
  <c r="V363" i="9"/>
  <c r="V539" i="9"/>
  <c r="V310" i="9"/>
  <c r="V336" i="9"/>
  <c r="V4" i="9"/>
  <c r="V748" i="9"/>
  <c r="V645" i="9"/>
  <c r="V39" i="9"/>
  <c r="V825" i="9"/>
  <c r="V643" i="9"/>
  <c r="V150" i="9"/>
  <c r="V59" i="9"/>
  <c r="V231" i="9"/>
  <c r="V134" i="9"/>
  <c r="V395" i="9"/>
  <c r="V523" i="9"/>
  <c r="V956" i="9"/>
  <c r="V460" i="9"/>
  <c r="V503" i="9"/>
  <c r="V722" i="9"/>
  <c r="V44" i="9"/>
  <c r="V92" i="9"/>
  <c r="V140" i="9"/>
  <c r="V202" i="9"/>
  <c r="V352" i="9"/>
  <c r="V496" i="9"/>
  <c r="V559" i="9"/>
  <c r="V16" i="9"/>
  <c r="V15" i="9"/>
  <c r="V880" i="9"/>
  <c r="V938" i="9"/>
  <c r="V254" i="9"/>
  <c r="V653" i="9"/>
  <c r="V288" i="9"/>
  <c r="V71" i="9"/>
  <c r="V865" i="9"/>
  <c r="V319" i="9"/>
  <c r="V445" i="9"/>
  <c r="V576" i="9"/>
  <c r="V7" i="9"/>
  <c r="V937" i="9"/>
  <c r="V14" i="9"/>
  <c r="V602" i="9"/>
  <c r="V111" i="9"/>
  <c r="V528" i="9"/>
  <c r="V60" i="9"/>
  <c r="V702" i="9"/>
  <c r="V361" i="9"/>
  <c r="V842" i="9"/>
  <c r="V9" i="9"/>
  <c r="V731" i="9"/>
  <c r="V1001" i="9"/>
  <c r="V203" i="9"/>
  <c r="V102" i="9"/>
  <c r="V580" i="9"/>
  <c r="V901" i="9"/>
  <c r="V683" i="9"/>
  <c r="V794" i="9"/>
  <c r="V182" i="9"/>
  <c r="V783" i="9"/>
  <c r="V680" i="9"/>
  <c r="V948" i="9"/>
  <c r="V327" i="9"/>
  <c r="V871" i="9"/>
  <c r="V931" i="9"/>
  <c r="V631" i="9"/>
  <c r="V986" i="9"/>
  <c r="V407" i="9"/>
  <c r="V53" i="9"/>
  <c r="V921" i="9"/>
  <c r="V850" i="9"/>
  <c r="V736" i="9"/>
  <c r="V946" i="9"/>
  <c r="V965" i="9"/>
  <c r="V296" i="9"/>
  <c r="V888" i="9"/>
  <c r="V754" i="9"/>
  <c r="V577" i="9"/>
  <c r="V138" i="9"/>
  <c r="V238" i="9"/>
  <c r="V899" i="9"/>
  <c r="V700" i="9"/>
  <c r="V636" i="9"/>
  <c r="V807" i="9"/>
  <c r="V216" i="9"/>
  <c r="V988" i="9"/>
  <c r="V898" i="9"/>
  <c r="V767" i="9"/>
  <c r="V798" i="9"/>
  <c r="V623" i="9"/>
  <c r="V225" i="9"/>
  <c r="V259" i="9"/>
  <c r="V894" i="9"/>
  <c r="V787" i="9"/>
  <c r="V575" i="9"/>
  <c r="V274" i="9"/>
  <c r="V614" i="9"/>
  <c r="V949" i="9"/>
  <c r="V248" i="9"/>
  <c r="V48" i="9"/>
  <c r="V215" i="9"/>
  <c r="V584" i="9"/>
  <c r="V489" i="9"/>
  <c r="V824" i="9"/>
  <c r="V713" i="9"/>
  <c r="V929" i="9"/>
  <c r="V318" i="9"/>
  <c r="V252" i="9"/>
  <c r="V514" i="9"/>
  <c r="V86" i="9"/>
  <c r="V119" i="9"/>
  <c r="V616" i="9"/>
  <c r="V286" i="9"/>
  <c r="V555" i="9"/>
  <c r="V10" i="9"/>
  <c r="V498" i="9"/>
  <c r="V100" i="9"/>
  <c r="V376" i="9"/>
  <c r="V959" i="9"/>
  <c r="V253" i="9"/>
  <c r="V349" i="9"/>
  <c r="V493" i="9"/>
  <c r="V606" i="9"/>
  <c r="V732" i="9"/>
  <c r="V1002" i="9"/>
  <c r="V939" i="9"/>
  <c r="V957" i="9"/>
  <c r="V563" i="9"/>
  <c r="V474" i="9"/>
  <c r="V993" i="9"/>
  <c r="V287" i="9"/>
  <c r="V334" i="9"/>
  <c r="V326" i="9"/>
  <c r="V833" i="9"/>
  <c r="V618" i="9"/>
  <c r="V77" i="9"/>
  <c r="V693" i="9"/>
  <c r="V204" i="9"/>
  <c r="V107" i="9"/>
  <c r="V78" i="9"/>
  <c r="V162" i="9"/>
  <c r="V131" i="9"/>
  <c r="V627" i="9"/>
  <c r="V255" i="9"/>
  <c r="V765" i="9"/>
  <c r="V348" i="9"/>
  <c r="V785" i="9"/>
  <c r="V104" i="9"/>
  <c r="V242" i="9"/>
  <c r="V697" i="9"/>
  <c r="V257" i="9"/>
  <c r="V401" i="9"/>
  <c r="V497" i="9"/>
  <c r="V863" i="9"/>
  <c r="V747" i="9"/>
  <c r="V818" i="9"/>
  <c r="V943" i="9"/>
  <c r="V630" i="9"/>
  <c r="V279" i="9"/>
  <c r="V646" i="9"/>
  <c r="V384" i="9"/>
  <c r="V594" i="9"/>
  <c r="V964" i="9"/>
  <c r="V784" i="9"/>
  <c r="V37" i="9"/>
  <c r="V856" i="9"/>
  <c r="V456" i="9"/>
  <c r="V758" i="9"/>
  <c r="V574" i="9"/>
  <c r="V141" i="9"/>
  <c r="V895" i="9"/>
  <c r="V592" i="9"/>
  <c r="V196" i="9"/>
  <c r="V538" i="9"/>
  <c r="V156" i="9"/>
  <c r="V400" i="9"/>
  <c r="V968" i="9"/>
  <c r="V619" i="9"/>
  <c r="V843" i="9"/>
  <c r="V869" i="9"/>
  <c r="V972" i="9"/>
  <c r="V459" i="9"/>
  <c r="V634" i="9"/>
  <c r="V436" i="9"/>
  <c r="V392" i="9"/>
  <c r="V58" i="9"/>
  <c r="V355" i="9"/>
  <c r="V42" i="9"/>
  <c r="V800" i="9"/>
  <c r="V508" i="9"/>
  <c r="V816" i="9"/>
  <c r="V404" i="9"/>
  <c r="V499" i="9"/>
  <c r="V374" i="9"/>
  <c r="V375" i="9"/>
  <c r="V649" i="9"/>
  <c r="V137" i="9"/>
  <c r="V612" i="9"/>
  <c r="V22" i="9"/>
  <c r="V388" i="9"/>
  <c r="V802" i="9"/>
  <c r="V64" i="9"/>
  <c r="V266" i="9"/>
  <c r="V554" i="9"/>
  <c r="V992" i="9"/>
  <c r="V625" i="9"/>
  <c r="V313" i="9"/>
  <c r="V505" i="9"/>
  <c r="V708" i="9"/>
  <c r="V639" i="9"/>
  <c r="V932" i="9"/>
  <c r="V875" i="9"/>
  <c r="V977" i="9"/>
  <c r="V919" i="9"/>
  <c r="V779" i="9"/>
  <c r="V173" i="9"/>
  <c r="V522" i="9"/>
  <c r="V854" i="9"/>
  <c r="V450" i="9"/>
  <c r="V91" i="9"/>
  <c r="V378" i="9"/>
  <c r="V637" i="9"/>
  <c r="V567" i="9"/>
  <c r="V324" i="9"/>
  <c r="V75" i="9"/>
  <c r="V372" i="9"/>
  <c r="V827" i="9"/>
  <c r="V145" i="9"/>
  <c r="V471" i="9"/>
  <c r="V476" i="9"/>
  <c r="V706" i="9"/>
  <c r="V40" i="9"/>
  <c r="V246" i="9"/>
  <c r="V13" i="9"/>
  <c r="V692" i="9"/>
  <c r="V166" i="9"/>
  <c r="V760" i="9"/>
  <c r="V245" i="9"/>
  <c r="V485" i="9"/>
  <c r="V699" i="9"/>
  <c r="V973" i="9"/>
  <c r="V495" i="9"/>
  <c r="V74" i="9"/>
  <c r="V23" i="9"/>
  <c r="V478" i="9"/>
  <c r="V30" i="9"/>
  <c r="V781" i="9"/>
  <c r="V243" i="9"/>
  <c r="V89" i="9"/>
  <c r="V6" i="9"/>
  <c r="V492" i="9"/>
  <c r="V144" i="9"/>
  <c r="V362" i="9"/>
  <c r="V506" i="9"/>
  <c r="V295" i="9"/>
  <c r="V776" i="9"/>
  <c r="V792" i="9"/>
  <c r="V345" i="9"/>
  <c r="V605" i="9"/>
  <c r="V396" i="9"/>
  <c r="V177" i="9"/>
  <c r="V562" i="9"/>
  <c r="V910" i="9"/>
  <c r="V158" i="9"/>
  <c r="V298" i="9"/>
  <c r="V995" i="9"/>
  <c r="V11" i="9"/>
  <c r="V604" i="9"/>
  <c r="V103" i="9"/>
  <c r="V749" i="9"/>
  <c r="V52" i="9"/>
  <c r="V228" i="9"/>
  <c r="V520" i="9"/>
  <c r="V301" i="9"/>
  <c r="V541" i="9"/>
  <c r="V849" i="9"/>
  <c r="V841" i="9"/>
  <c r="V804" i="9"/>
  <c r="V759" i="9"/>
  <c r="V438" i="9"/>
  <c r="V629" i="9"/>
  <c r="V728" i="9"/>
  <c r="V412" i="9"/>
  <c r="V171" i="9"/>
  <c r="V588" i="9"/>
  <c r="V402" i="9"/>
  <c r="V323" i="9"/>
  <c r="V113" i="9"/>
  <c r="V578" i="9"/>
  <c r="V191" i="9"/>
  <c r="V532" i="9"/>
  <c r="V999" i="9"/>
  <c r="V152" i="9"/>
  <c r="V386" i="9"/>
  <c r="V958" i="9"/>
  <c r="V817" i="9"/>
  <c r="V305" i="9"/>
  <c r="V449" i="9"/>
  <c r="V613" i="9"/>
  <c r="V892" i="9"/>
  <c r="V962" i="9"/>
  <c r="V803" i="9"/>
  <c r="V213" i="9"/>
  <c r="V750" i="9"/>
  <c r="V340" i="9"/>
  <c r="V419" i="9"/>
  <c r="V210" i="9"/>
  <c r="V989" i="9"/>
  <c r="V772" i="9"/>
  <c r="V270" i="9"/>
  <c r="V335" i="9"/>
  <c r="V127" i="9"/>
  <c r="V267" i="9"/>
  <c r="V18" i="9"/>
  <c r="V354" i="9"/>
  <c r="V795" i="9"/>
  <c r="V108" i="9"/>
  <c r="V256" i="9"/>
  <c r="V717" i="9"/>
  <c r="V367" i="9"/>
  <c r="V615" i="9"/>
  <c r="V261" i="9"/>
  <c r="V309" i="9"/>
  <c r="V405" i="9"/>
  <c r="V549" i="9"/>
  <c r="V752" i="9"/>
  <c r="V718" i="9"/>
  <c r="V828" i="9"/>
  <c r="V963" i="9"/>
  <c r="V726" i="9"/>
  <c r="V994" i="9"/>
  <c r="V311" i="9"/>
  <c r="V188" i="9"/>
  <c r="V659" i="9"/>
  <c r="V105" i="9"/>
  <c r="V603" i="9"/>
  <c r="V8" i="9"/>
  <c r="V796" i="9"/>
  <c r="V566" i="9"/>
  <c r="V507" i="9"/>
  <c r="V316" i="9"/>
  <c r="V17" i="9"/>
  <c r="V788" i="9"/>
  <c r="V356" i="9"/>
  <c r="V47" i="9"/>
  <c r="V542" i="9"/>
  <c r="V67" i="9"/>
  <c r="V484" i="9"/>
  <c r="V695" i="9"/>
  <c r="V143" i="9"/>
  <c r="V155" i="9"/>
  <c r="V945" i="9"/>
  <c r="V307" i="9"/>
  <c r="V793" i="9"/>
  <c r="V550" i="9"/>
  <c r="V990" i="9"/>
  <c r="V112" i="9"/>
  <c r="V160" i="9"/>
  <c r="V410" i="9"/>
  <c r="V813" i="9"/>
  <c r="V265" i="9"/>
  <c r="V457" i="9"/>
  <c r="V553" i="9"/>
  <c r="V897" i="9"/>
  <c r="V757" i="9"/>
  <c r="V723" i="9"/>
  <c r="V698" i="9"/>
  <c r="V716" i="9"/>
  <c r="V408" i="9"/>
  <c r="V586" i="9"/>
  <c r="V65" i="9"/>
  <c r="V85" i="9"/>
  <c r="V774" i="9"/>
  <c r="V651" i="9"/>
  <c r="V33" i="9"/>
  <c r="V832" i="9"/>
  <c r="V810" i="9"/>
  <c r="V552" i="9"/>
  <c r="V135" i="9"/>
  <c r="V330" i="9"/>
  <c r="V358" i="9"/>
  <c r="V179" i="9"/>
  <c r="V427" i="9"/>
  <c r="V688" i="9"/>
  <c r="V975" i="9"/>
  <c r="V161" i="9"/>
  <c r="V359" i="9"/>
  <c r="V628" i="9"/>
  <c r="V829" i="9"/>
  <c r="V57" i="9"/>
  <c r="V244" i="9"/>
  <c r="V406" i="9"/>
  <c r="V579" i="9"/>
  <c r="V848" i="9"/>
  <c r="V24" i="9"/>
  <c r="V72" i="9"/>
  <c r="V120" i="9"/>
  <c r="V168" i="9"/>
  <c r="V290" i="9"/>
  <c r="V434" i="9"/>
  <c r="V595" i="9"/>
  <c r="V790" i="9"/>
  <c r="V198" i="9"/>
  <c r="V439" i="9"/>
  <c r="V677" i="9"/>
  <c r="V844" i="9"/>
  <c r="V679" i="9"/>
  <c r="V952" i="9"/>
  <c r="V273" i="9"/>
  <c r="V321" i="9"/>
  <c r="V369" i="9"/>
  <c r="V417" i="9"/>
  <c r="V465" i="9"/>
  <c r="V513" i="9"/>
  <c r="V561" i="9"/>
  <c r="V581" i="9"/>
  <c r="V661" i="9"/>
  <c r="V799" i="9"/>
  <c r="V966" i="9"/>
  <c r="V742" i="9"/>
  <c r="V909" i="9"/>
  <c r="V720" i="9"/>
  <c r="V866" i="9"/>
  <c r="V857" i="9"/>
  <c r="V879" i="9"/>
  <c r="V187" i="9"/>
  <c r="V954" i="9"/>
  <c r="V744" i="9"/>
  <c r="V291" i="9"/>
  <c r="V873" i="9"/>
  <c r="V63" i="9"/>
  <c r="V494" i="9"/>
  <c r="V669" i="9"/>
  <c r="V178" i="9"/>
  <c r="V422" i="9"/>
  <c r="V712" i="9"/>
  <c r="V515" i="9"/>
  <c r="V54" i="9"/>
  <c r="V502" i="9"/>
  <c r="V676" i="9"/>
  <c r="V109" i="9"/>
  <c r="V647" i="9"/>
  <c r="V911" i="9"/>
  <c r="V442" i="9"/>
  <c r="V845" i="9"/>
  <c r="V115" i="9"/>
  <c r="V583" i="9"/>
  <c r="V29" i="9"/>
  <c r="V167" i="9"/>
  <c r="V431" i="9"/>
  <c r="V889" i="9"/>
  <c r="V294" i="9"/>
  <c r="V727" i="9"/>
  <c r="V263" i="9"/>
  <c r="V366" i="9"/>
  <c r="V942" i="9"/>
  <c r="V780" i="9"/>
  <c r="V292" i="9"/>
  <c r="V855" i="9"/>
  <c r="V96" i="9"/>
  <c r="V249" i="9"/>
  <c r="V596" i="9"/>
  <c r="V836" i="9"/>
  <c r="V342" i="9"/>
  <c r="V148" i="9"/>
  <c r="V950" i="9"/>
  <c r="V805" i="9"/>
  <c r="V397" i="9"/>
  <c r="V106" i="9"/>
  <c r="V82" i="9"/>
  <c r="V344" i="9"/>
  <c r="V536" i="9"/>
  <c r="V885" i="9"/>
  <c r="V530" i="9"/>
  <c r="V791" i="9"/>
  <c r="V353" i="9"/>
  <c r="V652" i="9"/>
  <c r="V846" i="9"/>
  <c r="V735" i="9"/>
  <c r="V466" i="9"/>
  <c r="V370" i="9"/>
  <c r="V368" i="9"/>
  <c r="V641" i="9"/>
  <c r="V775" i="9"/>
  <c r="V544" i="9"/>
  <c r="V806" i="9"/>
  <c r="V453" i="9"/>
  <c r="V862" i="9"/>
  <c r="V470" i="9"/>
  <c r="V229" i="9"/>
  <c r="V920" i="9"/>
  <c r="V684" i="9"/>
  <c r="V548" i="9"/>
  <c r="V240" i="9"/>
  <c r="V165" i="9"/>
  <c r="V387" i="9"/>
  <c r="V681" i="9"/>
  <c r="V955" i="9"/>
  <c r="V151" i="9"/>
  <c r="V347" i="9"/>
  <c r="V620" i="9"/>
  <c r="V811" i="9"/>
  <c r="V35" i="9"/>
  <c r="V212" i="9"/>
  <c r="V394" i="9"/>
  <c r="V572" i="9"/>
  <c r="V812" i="9"/>
  <c r="V998" i="9"/>
  <c r="V68" i="9"/>
  <c r="V116" i="9"/>
  <c r="V164" i="9"/>
  <c r="V280" i="9"/>
  <c r="V424" i="9"/>
  <c r="V568" i="9"/>
  <c r="V782" i="9"/>
  <c r="V185" i="9"/>
  <c r="V415" i="9"/>
  <c r="V638" i="9"/>
  <c r="V821" i="9"/>
  <c r="V668" i="9"/>
  <c r="V904" i="9"/>
  <c r="V269" i="9"/>
  <c r="V317" i="9"/>
  <c r="V365" i="9"/>
  <c r="V413" i="9"/>
  <c r="V461" i="9"/>
  <c r="V509" i="9"/>
  <c r="V557" i="9"/>
  <c r="V714" i="9"/>
  <c r="V925" i="9"/>
  <c r="V648" i="9"/>
  <c r="V762" i="9"/>
  <c r="V944" i="9"/>
  <c r="V737" i="9"/>
  <c r="V887" i="9"/>
  <c r="V707" i="9"/>
  <c r="V852" i="9"/>
  <c r="V996" i="9"/>
  <c r="V987" i="9"/>
  <c r="V903" i="9"/>
  <c r="V969" i="9"/>
  <c r="V769" i="9"/>
  <c r="V570" i="9"/>
  <c r="V444" i="9"/>
  <c r="V913" i="9"/>
  <c r="V426" i="9"/>
  <c r="V62" i="9"/>
  <c r="V21" i="9"/>
  <c r="V236" i="9"/>
  <c r="V611" i="9"/>
  <c r="V159" i="9"/>
  <c r="V414" i="9"/>
  <c r="V671" i="9"/>
  <c r="V133" i="9"/>
  <c r="V43" i="9"/>
  <c r="V430" i="9"/>
  <c r="V933" i="9"/>
  <c r="V655" i="9"/>
  <c r="V97" i="9"/>
  <c r="V617" i="9"/>
  <c r="V896" i="9"/>
  <c r="V420" i="9"/>
  <c r="V823" i="9"/>
  <c r="V81" i="9"/>
  <c r="V560" i="9"/>
  <c r="V19" i="9"/>
  <c r="V154" i="9"/>
  <c r="V379" i="9"/>
  <c r="V864" i="9"/>
  <c r="V197" i="9"/>
  <c r="V976" i="9"/>
  <c r="V315" i="9"/>
  <c r="V432" i="9"/>
  <c r="V418" i="9"/>
  <c r="V664" i="9"/>
  <c r="V512" i="9"/>
  <c r="V184" i="9"/>
  <c r="V467" i="9"/>
  <c r="V696" i="9"/>
  <c r="V997" i="9"/>
  <c r="V175" i="9"/>
  <c r="V399" i="9"/>
  <c r="V665" i="9"/>
  <c r="V839" i="9"/>
  <c r="V70" i="9"/>
  <c r="V250" i="9"/>
  <c r="V428" i="9"/>
  <c r="V599" i="9"/>
  <c r="V858" i="9"/>
  <c r="V28" i="9"/>
  <c r="V76" i="9"/>
  <c r="V124" i="9"/>
  <c r="V172" i="9"/>
  <c r="V304" i="9"/>
  <c r="V448" i="9"/>
  <c r="V607" i="9"/>
  <c r="V797" i="9"/>
  <c r="V211" i="9"/>
  <c r="V463" i="9"/>
  <c r="V711" i="9"/>
  <c r="V851" i="9"/>
  <c r="V691" i="9"/>
  <c r="V980" i="9"/>
  <c r="V277" i="9"/>
  <c r="V325" i="9"/>
  <c r="V373" i="9"/>
  <c r="V421" i="9"/>
  <c r="V469" i="9"/>
  <c r="V517" i="9"/>
  <c r="V565" i="9"/>
  <c r="V743" i="9"/>
  <c r="V585" i="9"/>
  <c r="V670" i="9"/>
  <c r="V815" i="9"/>
  <c r="V978" i="9"/>
  <c r="V763" i="9"/>
  <c r="V733" i="9"/>
  <c r="V876" i="9"/>
  <c r="V867" i="9"/>
  <c r="V662" i="9"/>
  <c r="V504" i="9"/>
  <c r="V364" i="9"/>
  <c r="V941" i="9"/>
  <c r="V734" i="9"/>
  <c r="V423" i="9"/>
  <c r="V73" i="9"/>
  <c r="V41" i="9"/>
  <c r="V264" i="9"/>
  <c r="V38" i="9"/>
  <c r="V701" i="9"/>
  <c r="V192" i="9"/>
  <c r="V443" i="9"/>
  <c r="V766" i="9"/>
  <c r="V183" i="9"/>
  <c r="V98" i="9"/>
  <c r="V546" i="9"/>
  <c r="V114" i="9"/>
  <c r="V687" i="9"/>
  <c r="V126" i="9"/>
  <c r="V658" i="9"/>
  <c r="V922" i="9"/>
  <c r="V464" i="9"/>
  <c r="V859" i="9"/>
  <c r="V121" i="9"/>
  <c r="V610" i="9"/>
  <c r="V34" i="9"/>
  <c r="V193" i="9"/>
  <c r="V475" i="9"/>
  <c r="V902" i="9"/>
  <c r="V339" i="9"/>
  <c r="V608" i="9"/>
  <c r="V20" i="9"/>
  <c r="V351" i="9"/>
  <c r="V90" i="9"/>
  <c r="V985" i="9"/>
  <c r="V983" i="9"/>
  <c r="V853" i="9"/>
  <c r="V654" i="9"/>
  <c r="V490" i="9"/>
  <c r="V221" i="9"/>
  <c r="V190" i="9"/>
  <c r="V479" i="9"/>
  <c r="V738" i="9"/>
  <c r="V26" i="9"/>
  <c r="V201" i="9"/>
  <c r="V411" i="9"/>
  <c r="V673" i="9"/>
  <c r="V907" i="9"/>
  <c r="V94" i="9"/>
  <c r="V262" i="9"/>
  <c r="V440" i="9"/>
  <c r="V621" i="9"/>
  <c r="V868" i="9"/>
  <c r="V32" i="9"/>
  <c r="V80" i="9"/>
  <c r="V128" i="9"/>
  <c r="V176" i="9"/>
  <c r="V314" i="9"/>
  <c r="V458" i="9"/>
  <c r="V632" i="9"/>
  <c r="V835" i="9"/>
  <c r="V224" i="9"/>
  <c r="V487" i="9"/>
  <c r="V739" i="9"/>
  <c r="V893" i="9"/>
  <c r="V725" i="9"/>
  <c r="V1000" i="9"/>
  <c r="V281" i="9"/>
  <c r="V329" i="9"/>
  <c r="V377" i="9"/>
  <c r="V425" i="9"/>
  <c r="V473" i="9"/>
  <c r="V521" i="9"/>
  <c r="V569" i="9"/>
  <c r="V755" i="9"/>
  <c r="V589" i="9"/>
  <c r="V675" i="9"/>
  <c r="V820" i="9"/>
  <c r="V984" i="9"/>
  <c r="V768" i="9"/>
  <c r="V927" i="9"/>
  <c r="V881" i="9"/>
  <c r="V840" i="9"/>
  <c r="V350" i="9"/>
  <c r="V540" i="9"/>
  <c r="V275" i="9"/>
  <c r="V686" i="9"/>
  <c r="V31" i="9"/>
  <c r="V390" i="9"/>
  <c r="V49" i="9"/>
  <c r="V777" i="9"/>
  <c r="V199" i="9"/>
  <c r="V488" i="9"/>
  <c r="V789" i="9"/>
  <c r="V230" i="9"/>
  <c r="V110" i="9"/>
  <c r="V640" i="9"/>
  <c r="V331" i="9"/>
  <c r="V709" i="9"/>
  <c r="V170" i="9"/>
  <c r="V667" i="9"/>
  <c r="V936" i="9"/>
  <c r="V500" i="9"/>
  <c r="V872" i="9"/>
  <c r="V146" i="9"/>
  <c r="V678" i="9"/>
  <c r="V45" i="9"/>
  <c r="V220" i="9"/>
  <c r="V526" i="9"/>
  <c r="V916" i="9"/>
  <c r="V383" i="9"/>
  <c r="V447" i="9"/>
  <c r="V624" i="9"/>
  <c r="V454" i="9"/>
  <c r="V169" i="9"/>
  <c r="V3" i="9"/>
  <c r="P3" i="2"/>
  <c r="H15" i="3" s="1"/>
  <c r="O3" i="2"/>
  <c r="G15" i="3" s="1"/>
  <c r="Q3" i="2"/>
  <c r="I15" i="3" s="1"/>
  <c r="Y3" i="2" a="1"/>
  <c r="Y3" i="2" s="1"/>
  <c r="Y7" i="2" a="1"/>
  <c r="Y7" i="2" s="1"/>
  <c r="Y11" i="2" a="1"/>
  <c r="Y11" i="2" s="1"/>
  <c r="Y15" i="2" a="1"/>
  <c r="Y15" i="2" s="1"/>
  <c r="Y19" i="2" a="1"/>
  <c r="Y19" i="2" s="1"/>
  <c r="Y23" i="2" a="1"/>
  <c r="Y23" i="2" s="1"/>
  <c r="Y27" i="2" a="1"/>
  <c r="Y27" i="2" s="1"/>
  <c r="Y31" i="2" a="1"/>
  <c r="Y31" i="2" s="1"/>
  <c r="Y35" i="2" a="1"/>
  <c r="Y35" i="2" s="1"/>
  <c r="Y39" i="2" a="1"/>
  <c r="Y39" i="2" s="1"/>
  <c r="Y43" i="2" a="1"/>
  <c r="Y43" i="2" s="1"/>
  <c r="Y47" i="2" a="1"/>
  <c r="Y47" i="2" s="1"/>
  <c r="Y51" i="2" a="1"/>
  <c r="Y51" i="2" s="1"/>
  <c r="Y55" i="2" a="1"/>
  <c r="Y55" i="2" s="1"/>
  <c r="Y59" i="2" a="1"/>
  <c r="Y59" i="2" s="1"/>
  <c r="Y63" i="2" a="1"/>
  <c r="Y63" i="2" s="1"/>
  <c r="Y67" i="2" a="1"/>
  <c r="Y67" i="2" s="1"/>
  <c r="Y71" i="2" a="1"/>
  <c r="Y71" i="2" s="1"/>
  <c r="Y75" i="2" a="1"/>
  <c r="Y75" i="2" s="1"/>
  <c r="Y79" i="2" a="1"/>
  <c r="Y79" i="2" s="1"/>
  <c r="Y83" i="2" a="1"/>
  <c r="Y83" i="2" s="1"/>
  <c r="Y87" i="2" a="1"/>
  <c r="Y87" i="2" s="1"/>
  <c r="Y91" i="2" a="1"/>
  <c r="Y91" i="2" s="1"/>
  <c r="Y95" i="2" a="1"/>
  <c r="Y95" i="2" s="1"/>
  <c r="Y99" i="2" a="1"/>
  <c r="Y99" i="2" s="1"/>
  <c r="Y103" i="2" a="1"/>
  <c r="Y103" i="2" s="1"/>
  <c r="Y107" i="2" a="1"/>
  <c r="Y107" i="2" s="1"/>
  <c r="Y111" i="2" a="1"/>
  <c r="Y111" i="2" s="1"/>
  <c r="Y115" i="2" a="1"/>
  <c r="Y115" i="2" s="1"/>
  <c r="Y119" i="2" a="1"/>
  <c r="Y119" i="2" s="1"/>
  <c r="Y123" i="2" a="1"/>
  <c r="Y123" i="2" s="1"/>
  <c r="Y127" i="2" a="1"/>
  <c r="Y127" i="2" s="1"/>
  <c r="Y131" i="2" a="1"/>
  <c r="Y131" i="2" s="1"/>
  <c r="Y135" i="2" a="1"/>
  <c r="Y135" i="2" s="1"/>
  <c r="Y139" i="2" a="1"/>
  <c r="Y139" i="2" s="1"/>
  <c r="Y143" i="2" a="1"/>
  <c r="Y143" i="2" s="1"/>
  <c r="Y147" i="2" a="1"/>
  <c r="Y147" i="2" s="1"/>
  <c r="Y151" i="2" a="1"/>
  <c r="Y151" i="2" s="1"/>
  <c r="Y155" i="2" a="1"/>
  <c r="Y155" i="2" s="1"/>
  <c r="Y159" i="2" a="1"/>
  <c r="Y159" i="2" s="1"/>
  <c r="Y163" i="2" a="1"/>
  <c r="Y163" i="2" s="1"/>
  <c r="Y167" i="2" a="1"/>
  <c r="Y167" i="2" s="1"/>
  <c r="Y171" i="2" a="1"/>
  <c r="Y171" i="2" s="1"/>
  <c r="Y175" i="2" a="1"/>
  <c r="Y175" i="2" s="1"/>
  <c r="Y179" i="2" a="1"/>
  <c r="Y179" i="2" s="1"/>
  <c r="Y183" i="2" a="1"/>
  <c r="Y183" i="2" s="1"/>
  <c r="Y187" i="2" a="1"/>
  <c r="Y187" i="2" s="1"/>
  <c r="Y191" i="2" a="1"/>
  <c r="Y191" i="2" s="1"/>
  <c r="Y195" i="2" a="1"/>
  <c r="Y195" i="2" s="1"/>
  <c r="Y199" i="2" a="1"/>
  <c r="Y199" i="2" s="1"/>
  <c r="Y203" i="2" a="1"/>
  <c r="Y203" i="2" s="1"/>
  <c r="Y207" i="2" a="1"/>
  <c r="Y207" i="2" s="1"/>
  <c r="Y211" i="2" a="1"/>
  <c r="Y211" i="2" s="1"/>
  <c r="Y215" i="2" a="1"/>
  <c r="Y215" i="2" s="1"/>
  <c r="Y219" i="2" a="1"/>
  <c r="Y219" i="2" s="1"/>
  <c r="Y223" i="2" a="1"/>
  <c r="Y223" i="2" s="1"/>
  <c r="Y227" i="2" a="1"/>
  <c r="Y227" i="2" s="1"/>
  <c r="Y231" i="2" a="1"/>
  <c r="Y231" i="2" s="1"/>
  <c r="Y235" i="2" a="1"/>
  <c r="Y235" i="2" s="1"/>
  <c r="Y239" i="2" a="1"/>
  <c r="Y239" i="2" s="1"/>
  <c r="Y243" i="2" a="1"/>
  <c r="Y243" i="2" s="1"/>
  <c r="Y247" i="2" a="1"/>
  <c r="Y247" i="2" s="1"/>
  <c r="Y251" i="2" a="1"/>
  <c r="Y251" i="2" s="1"/>
  <c r="Y255" i="2" a="1"/>
  <c r="Y255" i="2" s="1"/>
  <c r="Y259" i="2" a="1"/>
  <c r="Y259" i="2" s="1"/>
  <c r="Y263" i="2" a="1"/>
  <c r="Y263" i="2" s="1"/>
  <c r="Y267" i="2" a="1"/>
  <c r="Y267" i="2" s="1"/>
  <c r="Y271" i="2" a="1"/>
  <c r="Y271" i="2" s="1"/>
  <c r="Y275" i="2" a="1"/>
  <c r="Y275" i="2" s="1"/>
  <c r="Y279" i="2" a="1"/>
  <c r="Y279" i="2" s="1"/>
  <c r="Y283" i="2" a="1"/>
  <c r="Y283" i="2" s="1"/>
  <c r="Y287" i="2" a="1"/>
  <c r="Y287" i="2" s="1"/>
  <c r="Y291" i="2" a="1"/>
  <c r="Y291" i="2" s="1"/>
  <c r="Y295" i="2" a="1"/>
  <c r="Y295" i="2" s="1"/>
  <c r="Y299" i="2" a="1"/>
  <c r="Y299" i="2" s="1"/>
  <c r="Y303" i="2" a="1"/>
  <c r="Y303" i="2" s="1"/>
  <c r="Y307" i="2" a="1"/>
  <c r="Y307" i="2" s="1"/>
  <c r="Y311" i="2" a="1"/>
  <c r="Y311" i="2" s="1"/>
  <c r="Y315" i="2" a="1"/>
  <c r="Y315" i="2" s="1"/>
  <c r="Y319" i="2" a="1"/>
  <c r="Y319" i="2" s="1"/>
  <c r="Y323" i="2" a="1"/>
  <c r="Y323" i="2" s="1"/>
  <c r="Y327" i="2" a="1"/>
  <c r="Y327" i="2" s="1"/>
  <c r="Y331" i="2" a="1"/>
  <c r="Y331" i="2" s="1"/>
  <c r="Y335" i="2" a="1"/>
  <c r="Y335" i="2" s="1"/>
  <c r="Y339" i="2" a="1"/>
  <c r="Y339" i="2" s="1"/>
  <c r="Y343" i="2" a="1"/>
  <c r="Y343" i="2" s="1"/>
  <c r="Y347" i="2" a="1"/>
  <c r="Y347" i="2" s="1"/>
  <c r="Y351" i="2" a="1"/>
  <c r="Y351" i="2" s="1"/>
  <c r="Y355" i="2" a="1"/>
  <c r="Y355" i="2" s="1"/>
  <c r="Y359" i="2" a="1"/>
  <c r="Y359" i="2" s="1"/>
  <c r="Y363" i="2" a="1"/>
  <c r="Y363" i="2" s="1"/>
  <c r="Y367" i="2" a="1"/>
  <c r="Y367" i="2" s="1"/>
  <c r="Y371" i="2" a="1"/>
  <c r="Y371" i="2" s="1"/>
  <c r="Y375" i="2" a="1"/>
  <c r="Y375" i="2" s="1"/>
  <c r="Y379" i="2" a="1"/>
  <c r="Y379" i="2" s="1"/>
  <c r="Y383" i="2" a="1"/>
  <c r="Y383" i="2" s="1"/>
  <c r="Y387" i="2" a="1"/>
  <c r="Y387" i="2" s="1"/>
  <c r="Y391" i="2" a="1"/>
  <c r="Y391" i="2" s="1"/>
  <c r="Y395" i="2" a="1"/>
  <c r="Y395" i="2" s="1"/>
  <c r="Y399" i="2" a="1"/>
  <c r="Y399" i="2" s="1"/>
  <c r="Y403" i="2" a="1"/>
  <c r="Y403" i="2" s="1"/>
  <c r="Y407" i="2" a="1"/>
  <c r="Y407" i="2" s="1"/>
  <c r="Y411" i="2" a="1"/>
  <c r="Y411" i="2" s="1"/>
  <c r="Y415" i="2" a="1"/>
  <c r="Y415" i="2" s="1"/>
  <c r="Y419" i="2" a="1"/>
  <c r="Y419" i="2" s="1"/>
  <c r="Y423" i="2" a="1"/>
  <c r="Y423" i="2" s="1"/>
  <c r="Y427" i="2" a="1"/>
  <c r="Y427" i="2" s="1"/>
  <c r="Y431" i="2" a="1"/>
  <c r="Y431" i="2" s="1"/>
  <c r="Y435" i="2" a="1"/>
  <c r="Y435" i="2" s="1"/>
  <c r="Y439" i="2" a="1"/>
  <c r="Y439" i="2" s="1"/>
  <c r="Y443" i="2" a="1"/>
  <c r="Y443" i="2" s="1"/>
  <c r="Y447" i="2" a="1"/>
  <c r="Y447" i="2" s="1"/>
  <c r="Y451" i="2" a="1"/>
  <c r="Y451" i="2" s="1"/>
  <c r="Y455" i="2" a="1"/>
  <c r="Y455" i="2" s="1"/>
  <c r="Y459" i="2" a="1"/>
  <c r="Y459" i="2" s="1"/>
  <c r="Y463" i="2" a="1"/>
  <c r="Y463" i="2" s="1"/>
  <c r="Y467" i="2" a="1"/>
  <c r="Y467" i="2" s="1"/>
  <c r="Y471" i="2" a="1"/>
  <c r="Y471" i="2" s="1"/>
  <c r="Y475" i="2" a="1"/>
  <c r="Y475" i="2" s="1"/>
  <c r="Y479" i="2" a="1"/>
  <c r="Y479" i="2" s="1"/>
  <c r="Y483" i="2" a="1"/>
  <c r="Y483" i="2" s="1"/>
  <c r="Y487" i="2" a="1"/>
  <c r="Y487" i="2" s="1"/>
  <c r="Y491" i="2" a="1"/>
  <c r="Y491" i="2" s="1"/>
  <c r="Y495" i="2" a="1"/>
  <c r="Y495" i="2" s="1"/>
  <c r="Y499" i="2" a="1"/>
  <c r="Y499" i="2" s="1"/>
  <c r="Y503" i="2" a="1"/>
  <c r="Y503" i="2" s="1"/>
  <c r="Y507" i="2" a="1"/>
  <c r="Y507" i="2" s="1"/>
  <c r="Y511" i="2" a="1"/>
  <c r="Y511" i="2" s="1"/>
  <c r="Y515" i="2" a="1"/>
  <c r="Y515" i="2" s="1"/>
  <c r="Y519" i="2" a="1"/>
  <c r="Y519" i="2" s="1"/>
  <c r="Y523" i="2" a="1"/>
  <c r="Y523" i="2" s="1"/>
  <c r="Y527" i="2" a="1"/>
  <c r="Y527" i="2" s="1"/>
  <c r="Y531" i="2" a="1"/>
  <c r="Y531" i="2" s="1"/>
  <c r="Y535" i="2" a="1"/>
  <c r="Y535" i="2" s="1"/>
  <c r="Y539" i="2" a="1"/>
  <c r="Y539" i="2" s="1"/>
  <c r="Y543" i="2" a="1"/>
  <c r="Y543" i="2" s="1"/>
  <c r="Y547" i="2" a="1"/>
  <c r="Y547" i="2" s="1"/>
  <c r="Y551" i="2" a="1"/>
  <c r="Y551" i="2" s="1"/>
  <c r="Y555" i="2" a="1"/>
  <c r="Y555" i="2" s="1"/>
  <c r="Y559" i="2" a="1"/>
  <c r="Y559" i="2" s="1"/>
  <c r="Y563" i="2" a="1"/>
  <c r="Y563" i="2" s="1"/>
  <c r="Y567" i="2" a="1"/>
  <c r="Y567" i="2" s="1"/>
  <c r="Y571" i="2" a="1"/>
  <c r="Y571" i="2" s="1"/>
  <c r="Y575" i="2" a="1"/>
  <c r="Y575" i="2" s="1"/>
  <c r="Y579" i="2" a="1"/>
  <c r="Y579" i="2" s="1"/>
  <c r="Y583" i="2" a="1"/>
  <c r="Y583" i="2" s="1"/>
  <c r="Y587" i="2" a="1"/>
  <c r="Y587" i="2" s="1"/>
  <c r="Y591" i="2" a="1"/>
  <c r="Y591" i="2" s="1"/>
  <c r="Y595" i="2" a="1"/>
  <c r="Y595" i="2" s="1"/>
  <c r="Y599" i="2" a="1"/>
  <c r="Y599" i="2" s="1"/>
  <c r="Y603" i="2" a="1"/>
  <c r="Y603" i="2" s="1"/>
  <c r="Y607" i="2" a="1"/>
  <c r="Y607" i="2" s="1"/>
  <c r="Y611" i="2" a="1"/>
  <c r="Y611" i="2" s="1"/>
  <c r="Y615" i="2" a="1"/>
  <c r="Y615" i="2" s="1"/>
  <c r="Y619" i="2" a="1"/>
  <c r="Y619" i="2" s="1"/>
  <c r="Y623" i="2" a="1"/>
  <c r="Y623" i="2" s="1"/>
  <c r="Y627" i="2" a="1"/>
  <c r="Y627" i="2" s="1"/>
  <c r="Y631" i="2" a="1"/>
  <c r="Y631" i="2" s="1"/>
  <c r="Y635" i="2" a="1"/>
  <c r="Y635" i="2" s="1"/>
  <c r="Y639" i="2" a="1"/>
  <c r="Y639" i="2" s="1"/>
  <c r="Y643" i="2" a="1"/>
  <c r="Y643" i="2" s="1"/>
  <c r="Y647" i="2" a="1"/>
  <c r="Y647" i="2" s="1"/>
  <c r="Y651" i="2" a="1"/>
  <c r="Y651" i="2" s="1"/>
  <c r="Y655" i="2" a="1"/>
  <c r="Y655" i="2" s="1"/>
  <c r="Y659" i="2" a="1"/>
  <c r="Y659" i="2" s="1"/>
  <c r="Y663" i="2" a="1"/>
  <c r="Y663" i="2" s="1"/>
  <c r="Y667" i="2" a="1"/>
  <c r="Y667" i="2" s="1"/>
  <c r="Y671" i="2" a="1"/>
  <c r="Y671" i="2" s="1"/>
  <c r="Y675" i="2" a="1"/>
  <c r="Y675" i="2" s="1"/>
  <c r="Y679" i="2" a="1"/>
  <c r="Y679" i="2" s="1"/>
  <c r="Y683" i="2" a="1"/>
  <c r="Y683" i="2" s="1"/>
  <c r="Y687" i="2" a="1"/>
  <c r="Y687" i="2" s="1"/>
  <c r="Y691" i="2" a="1"/>
  <c r="Y691" i="2" s="1"/>
  <c r="Y695" i="2" a="1"/>
  <c r="Y695" i="2" s="1"/>
  <c r="Y699" i="2" a="1"/>
  <c r="Y699" i="2" s="1"/>
  <c r="Y703" i="2" a="1"/>
  <c r="Y703" i="2" s="1"/>
  <c r="Y707" i="2" a="1"/>
  <c r="Y707" i="2" s="1"/>
  <c r="Y711" i="2" a="1"/>
  <c r="Y711" i="2" s="1"/>
  <c r="Y715" i="2" a="1"/>
  <c r="Y715" i="2" s="1"/>
  <c r="Y719" i="2" a="1"/>
  <c r="Y719" i="2" s="1"/>
  <c r="Y723" i="2" a="1"/>
  <c r="Y723" i="2" s="1"/>
  <c r="Y727" i="2" a="1"/>
  <c r="Y727" i="2" s="1"/>
  <c r="Y731" i="2" a="1"/>
  <c r="Y731" i="2" s="1"/>
  <c r="Y735" i="2" a="1"/>
  <c r="Y735" i="2" s="1"/>
  <c r="Y739" i="2" a="1"/>
  <c r="Y739" i="2" s="1"/>
  <c r="Y743" i="2" a="1"/>
  <c r="Y743" i="2" s="1"/>
  <c r="Y747" i="2" a="1"/>
  <c r="Y747" i="2" s="1"/>
  <c r="Y751" i="2" a="1"/>
  <c r="Y751" i="2" s="1"/>
  <c r="Y755" i="2" a="1"/>
  <c r="Y755" i="2" s="1"/>
  <c r="Y759" i="2" a="1"/>
  <c r="Y759" i="2" s="1"/>
  <c r="Y763" i="2" a="1"/>
  <c r="Y763" i="2" s="1"/>
  <c r="Y767" i="2" a="1"/>
  <c r="Y767" i="2" s="1"/>
  <c r="Y771" i="2" a="1"/>
  <c r="Y771" i="2" s="1"/>
  <c r="Y775" i="2" a="1"/>
  <c r="Y775" i="2" s="1"/>
  <c r="Y779" i="2" a="1"/>
  <c r="Y779" i="2" s="1"/>
  <c r="Y783" i="2" a="1"/>
  <c r="Y783" i="2" s="1"/>
  <c r="Y787" i="2" a="1"/>
  <c r="Y787" i="2" s="1"/>
  <c r="Y791" i="2" a="1"/>
  <c r="Y791" i="2" s="1"/>
  <c r="Y795" i="2" a="1"/>
  <c r="Y795" i="2" s="1"/>
  <c r="Y799" i="2" a="1"/>
  <c r="Y799" i="2" s="1"/>
  <c r="Y803" i="2" a="1"/>
  <c r="Y803" i="2" s="1"/>
  <c r="Y807" i="2" a="1"/>
  <c r="Y807" i="2" s="1"/>
  <c r="Y811" i="2" a="1"/>
  <c r="Y811" i="2" s="1"/>
  <c r="Y815" i="2" a="1"/>
  <c r="Y815" i="2" s="1"/>
  <c r="Y819" i="2" a="1"/>
  <c r="Y819" i="2" s="1"/>
  <c r="Y823" i="2" a="1"/>
  <c r="Y823" i="2" s="1"/>
  <c r="Y827" i="2" a="1"/>
  <c r="Y827" i="2" s="1"/>
  <c r="Y831" i="2" a="1"/>
  <c r="Y831" i="2" s="1"/>
  <c r="Y835" i="2" a="1"/>
  <c r="Y835" i="2" s="1"/>
  <c r="Y839" i="2" a="1"/>
  <c r="Y839" i="2" s="1"/>
  <c r="Y843" i="2" a="1"/>
  <c r="Y843" i="2" s="1"/>
  <c r="Y847" i="2" a="1"/>
  <c r="Y847" i="2" s="1"/>
  <c r="Y851" i="2" a="1"/>
  <c r="Y851" i="2" s="1"/>
  <c r="Y855" i="2" a="1"/>
  <c r="Y855" i="2" s="1"/>
  <c r="Y859" i="2" a="1"/>
  <c r="Y859" i="2" s="1"/>
  <c r="Y863" i="2" a="1"/>
  <c r="Y863" i="2" s="1"/>
  <c r="Y867" i="2" a="1"/>
  <c r="Y867" i="2" s="1"/>
  <c r="Y871" i="2" a="1"/>
  <c r="Y871" i="2" s="1"/>
  <c r="Y875" i="2" a="1"/>
  <c r="Y875" i="2" s="1"/>
  <c r="Y879" i="2" a="1"/>
  <c r="Y879" i="2" s="1"/>
  <c r="Y883" i="2" a="1"/>
  <c r="Y883" i="2" s="1"/>
  <c r="Y887" i="2" a="1"/>
  <c r="Y887" i="2" s="1"/>
  <c r="Y891" i="2" a="1"/>
  <c r="Y891" i="2" s="1"/>
  <c r="Y895" i="2" a="1"/>
  <c r="Y895" i="2" s="1"/>
  <c r="Y899" i="2" a="1"/>
  <c r="Y899" i="2" s="1"/>
  <c r="Y903" i="2" a="1"/>
  <c r="Y903" i="2" s="1"/>
  <c r="Y907" i="2" a="1"/>
  <c r="Y907" i="2" s="1"/>
  <c r="Y911" i="2" a="1"/>
  <c r="Y911" i="2" s="1"/>
  <c r="Y915" i="2" a="1"/>
  <c r="Y915" i="2" s="1"/>
  <c r="Y919" i="2" a="1"/>
  <c r="Y919" i="2" s="1"/>
  <c r="Y923" i="2" a="1"/>
  <c r="Y923" i="2" s="1"/>
  <c r="Y927" i="2" a="1"/>
  <c r="Y927" i="2" s="1"/>
  <c r="Y931" i="2" a="1"/>
  <c r="Y931" i="2" s="1"/>
  <c r="Y935" i="2" a="1"/>
  <c r="Y935" i="2" s="1"/>
  <c r="Y939" i="2" a="1"/>
  <c r="Y939" i="2" s="1"/>
  <c r="Y943" i="2" a="1"/>
  <c r="Y943" i="2" s="1"/>
  <c r="Y947" i="2" a="1"/>
  <c r="Y947" i="2" s="1"/>
  <c r="Y951" i="2" a="1"/>
  <c r="Y951" i="2" s="1"/>
  <c r="Y955" i="2" a="1"/>
  <c r="Y955" i="2" s="1"/>
  <c r="Y959" i="2" a="1"/>
  <c r="Y959" i="2" s="1"/>
  <c r="Y963" i="2" a="1"/>
  <c r="Y963" i="2" s="1"/>
  <c r="Y967" i="2" a="1"/>
  <c r="Y967" i="2" s="1"/>
  <c r="Y971" i="2" a="1"/>
  <c r="Y971" i="2" s="1"/>
  <c r="Y975" i="2" a="1"/>
  <c r="Y975" i="2" s="1"/>
  <c r="Y979" i="2" a="1"/>
  <c r="Y979" i="2" s="1"/>
  <c r="Y983" i="2" a="1"/>
  <c r="Y983" i="2" s="1"/>
  <c r="Y987" i="2" a="1"/>
  <c r="Y987" i="2" s="1"/>
  <c r="Y991" i="2" a="1"/>
  <c r="Y991" i="2" s="1"/>
  <c r="Y995" i="2" a="1"/>
  <c r="Y995" i="2" s="1"/>
  <c r="Y999" i="2" a="1"/>
  <c r="Y999" i="2" s="1"/>
  <c r="Y1003" i="2" a="1"/>
  <c r="Y1003" i="2" s="1"/>
  <c r="Y1007" i="2" a="1"/>
  <c r="Y1007" i="2" s="1"/>
  <c r="Y1011" i="2" a="1"/>
  <c r="Y1011" i="2" s="1"/>
  <c r="Y1015" i="2" a="1"/>
  <c r="Y1015" i="2" s="1"/>
  <c r="Y1019" i="2" a="1"/>
  <c r="Y1019" i="2" s="1"/>
  <c r="Y1023" i="2" a="1"/>
  <c r="Y1023" i="2" s="1"/>
  <c r="Y1027" i="2" a="1"/>
  <c r="Y1027" i="2" s="1"/>
  <c r="Y1031" i="2" a="1"/>
  <c r="Y1031" i="2" s="1"/>
  <c r="Y1035" i="2" a="1"/>
  <c r="Y1035" i="2" s="1"/>
  <c r="Y1039" i="2" a="1"/>
  <c r="Y1039" i="2" s="1"/>
  <c r="Y1043" i="2" a="1"/>
  <c r="Y1043" i="2" s="1"/>
  <c r="Y1047" i="2" a="1"/>
  <c r="Y1047" i="2" s="1"/>
  <c r="Y1051" i="2" a="1"/>
  <c r="Y1051" i="2" s="1"/>
  <c r="Y1055" i="2" a="1"/>
  <c r="Y1055" i="2" s="1"/>
  <c r="Y1059" i="2" a="1"/>
  <c r="Y1059" i="2" s="1"/>
  <c r="Y1063" i="2" a="1"/>
  <c r="Y1063" i="2" s="1"/>
  <c r="Y1067" i="2" a="1"/>
  <c r="Y1067" i="2" s="1"/>
  <c r="Y1071" i="2" a="1"/>
  <c r="Y1071" i="2" s="1"/>
  <c r="Y1075" i="2" a="1"/>
  <c r="Y1075" i="2" s="1"/>
  <c r="Y1079" i="2" a="1"/>
  <c r="Y1079" i="2" s="1"/>
  <c r="Y1083" i="2" a="1"/>
  <c r="Y1083" i="2" s="1"/>
  <c r="Y1087" i="2" a="1"/>
  <c r="Y1087" i="2" s="1"/>
  <c r="Y1091" i="2" a="1"/>
  <c r="Y1091" i="2" s="1"/>
  <c r="Y1095" i="2" a="1"/>
  <c r="Y1095" i="2" s="1"/>
  <c r="Y1099" i="2" a="1"/>
  <c r="Y1099" i="2" s="1"/>
  <c r="Y1103" i="2" a="1"/>
  <c r="Y1103" i="2" s="1"/>
  <c r="Y1107" i="2" a="1"/>
  <c r="Y1107" i="2" s="1"/>
  <c r="Y1111" i="2" a="1"/>
  <c r="Y1111" i="2" s="1"/>
  <c r="Y1115" i="2" a="1"/>
  <c r="Y1115" i="2" s="1"/>
  <c r="Y1119" i="2" a="1"/>
  <c r="Y1119" i="2" s="1"/>
  <c r="Y1123" i="2" a="1"/>
  <c r="Y1123" i="2" s="1"/>
  <c r="Y1127" i="2" a="1"/>
  <c r="Y1127" i="2" s="1"/>
  <c r="Y1131" i="2" a="1"/>
  <c r="Y1131" i="2" s="1"/>
  <c r="Y1135" i="2" a="1"/>
  <c r="Y1135" i="2" s="1"/>
  <c r="Y1139" i="2" a="1"/>
  <c r="Y1139" i="2" s="1"/>
  <c r="Y1143" i="2" a="1"/>
  <c r="Y1143" i="2" s="1"/>
  <c r="Y1147" i="2" a="1"/>
  <c r="Y1147" i="2" s="1"/>
  <c r="Y1151" i="2" a="1"/>
  <c r="Y1151" i="2" s="1"/>
  <c r="Y1155" i="2" a="1"/>
  <c r="Y1155" i="2" s="1"/>
  <c r="Y1159" i="2" a="1"/>
  <c r="Y1159" i="2" s="1"/>
  <c r="Y1163" i="2" a="1"/>
  <c r="Y1163" i="2" s="1"/>
  <c r="Y1167" i="2" a="1"/>
  <c r="Y1167" i="2" s="1"/>
  <c r="Y1171" i="2" a="1"/>
  <c r="Y1171" i="2" s="1"/>
  <c r="Y1175" i="2" a="1"/>
  <c r="Y1175" i="2" s="1"/>
  <c r="Y1179" i="2" a="1"/>
  <c r="Y1179" i="2" s="1"/>
  <c r="Y1183" i="2" a="1"/>
  <c r="Y1183" i="2" s="1"/>
  <c r="Y1187" i="2" a="1"/>
  <c r="Y1187" i="2" s="1"/>
  <c r="Y1191" i="2" a="1"/>
  <c r="Y1191" i="2" s="1"/>
  <c r="Y1195" i="2" a="1"/>
  <c r="Y1195" i="2" s="1"/>
  <c r="Y1199" i="2" a="1"/>
  <c r="Y1199" i="2" s="1"/>
  <c r="Y1203" i="2" a="1"/>
  <c r="Y1203" i="2" s="1"/>
  <c r="Y1207" i="2" a="1"/>
  <c r="Y1207" i="2" s="1"/>
  <c r="Y1211" i="2" a="1"/>
  <c r="Y1211" i="2" s="1"/>
  <c r="Y1215" i="2" a="1"/>
  <c r="Y1215" i="2" s="1"/>
  <c r="Y1219" i="2" a="1"/>
  <c r="Y1219" i="2" s="1"/>
  <c r="Y1223" i="2" a="1"/>
  <c r="Y1223" i="2" s="1"/>
  <c r="Y1227" i="2" a="1"/>
  <c r="Y1227" i="2" s="1"/>
  <c r="Y1231" i="2" a="1"/>
  <c r="Y1231" i="2" s="1"/>
  <c r="Y1235" i="2" a="1"/>
  <c r="Y1235" i="2" s="1"/>
  <c r="Y1239" i="2" a="1"/>
  <c r="Y1239" i="2" s="1"/>
  <c r="Y1243" i="2" a="1"/>
  <c r="Y1243" i="2" s="1"/>
  <c r="Y1247" i="2" a="1"/>
  <c r="Y1247" i="2" s="1"/>
  <c r="Y1251" i="2" a="1"/>
  <c r="Y1251" i="2" s="1"/>
  <c r="Y1255" i="2" a="1"/>
  <c r="Y1255" i="2" s="1"/>
  <c r="Y1259" i="2" a="1"/>
  <c r="Y1259" i="2" s="1"/>
  <c r="Y1263" i="2" a="1"/>
  <c r="Y1263" i="2" s="1"/>
  <c r="Y1267" i="2" a="1"/>
  <c r="Y1267" i="2" s="1"/>
  <c r="Y1271" i="2" a="1"/>
  <c r="Y1271" i="2" s="1"/>
  <c r="Y1275" i="2" a="1"/>
  <c r="Y1275" i="2" s="1"/>
  <c r="Y1279" i="2" a="1"/>
  <c r="Y1279" i="2" s="1"/>
  <c r="Y1283" i="2" a="1"/>
  <c r="Y1283" i="2" s="1"/>
  <c r="Y1287" i="2" a="1"/>
  <c r="Y1287" i="2" s="1"/>
  <c r="Y1291" i="2" a="1"/>
  <c r="Y1291" i="2" s="1"/>
  <c r="Y1295" i="2" a="1"/>
  <c r="Y1295" i="2" s="1"/>
  <c r="Y1299" i="2" a="1"/>
  <c r="Y1299" i="2" s="1"/>
  <c r="Y1303" i="2" a="1"/>
  <c r="Y1303" i="2" s="1"/>
  <c r="Y1307" i="2" a="1"/>
  <c r="Y1307" i="2" s="1"/>
  <c r="Y1311" i="2" a="1"/>
  <c r="Y1311" i="2" s="1"/>
  <c r="Y1315" i="2" a="1"/>
  <c r="Y1315" i="2" s="1"/>
  <c r="Y1319" i="2" a="1"/>
  <c r="Y1319" i="2" s="1"/>
  <c r="Y1323" i="2" a="1"/>
  <c r="Y1323" i="2" s="1"/>
  <c r="Y1327" i="2" a="1"/>
  <c r="Y1327" i="2" s="1"/>
  <c r="Y1331" i="2" a="1"/>
  <c r="Y1331" i="2" s="1"/>
  <c r="Y1335" i="2" a="1"/>
  <c r="Y1335" i="2" s="1"/>
  <c r="Y1339" i="2" a="1"/>
  <c r="Y1339" i="2" s="1"/>
  <c r="Y1343" i="2" a="1"/>
  <c r="Y1343" i="2" s="1"/>
  <c r="Y1347" i="2" a="1"/>
  <c r="Y1347" i="2" s="1"/>
  <c r="Y1351" i="2" a="1"/>
  <c r="Y1351" i="2" s="1"/>
  <c r="Y1355" i="2" a="1"/>
  <c r="Y1355" i="2" s="1"/>
  <c r="Y1359" i="2" a="1"/>
  <c r="Y1359" i="2" s="1"/>
  <c r="Y1363" i="2" a="1"/>
  <c r="Y1363" i="2" s="1"/>
  <c r="Y1367" i="2" a="1"/>
  <c r="Y1367" i="2" s="1"/>
  <c r="Y1371" i="2" a="1"/>
  <c r="Y1371" i="2" s="1"/>
  <c r="Y1375" i="2" a="1"/>
  <c r="Y1375" i="2" s="1"/>
  <c r="Y1379" i="2" a="1"/>
  <c r="Y1379" i="2" s="1"/>
  <c r="Y1383" i="2" a="1"/>
  <c r="Y1383" i="2" s="1"/>
  <c r="Y1387" i="2" a="1"/>
  <c r="Y1387" i="2" s="1"/>
  <c r="Y1391" i="2" a="1"/>
  <c r="Y1391" i="2" s="1"/>
  <c r="Y1395" i="2" a="1"/>
  <c r="Y1395" i="2" s="1"/>
  <c r="Y1399" i="2" a="1"/>
  <c r="Y1399" i="2" s="1"/>
  <c r="Y1403" i="2" a="1"/>
  <c r="Y1403" i="2" s="1"/>
  <c r="Y1407" i="2" a="1"/>
  <c r="Y1407" i="2" s="1"/>
  <c r="Y1411" i="2" a="1"/>
  <c r="Y1411" i="2" s="1"/>
  <c r="Y1415" i="2" a="1"/>
  <c r="Y1415" i="2" s="1"/>
  <c r="Y1419" i="2" a="1"/>
  <c r="Y1419" i="2" s="1"/>
  <c r="Y1423" i="2" a="1"/>
  <c r="Y1423" i="2" s="1"/>
  <c r="Y1427" i="2" a="1"/>
  <c r="Y1427" i="2" s="1"/>
  <c r="Y1431" i="2" a="1"/>
  <c r="Y1431" i="2" s="1"/>
  <c r="Y1435" i="2" a="1"/>
  <c r="Y1435" i="2" s="1"/>
  <c r="Y1439" i="2" a="1"/>
  <c r="Y1439" i="2" s="1"/>
  <c r="Y1443" i="2" a="1"/>
  <c r="Y1443" i="2" s="1"/>
  <c r="Y1447" i="2" a="1"/>
  <c r="Y1447" i="2" s="1"/>
  <c r="Y1451" i="2" a="1"/>
  <c r="Y1451" i="2" s="1"/>
  <c r="Y1455" i="2" a="1"/>
  <c r="Y1455" i="2" s="1"/>
  <c r="Y1459" i="2" a="1"/>
  <c r="Y1459" i="2" s="1"/>
  <c r="Y1463" i="2" a="1"/>
  <c r="Y1463" i="2" s="1"/>
  <c r="Y1467" i="2" a="1"/>
  <c r="Y1467" i="2" s="1"/>
  <c r="Y1471" i="2" a="1"/>
  <c r="Y1471" i="2" s="1"/>
  <c r="Y1475" i="2" a="1"/>
  <c r="Y1475" i="2" s="1"/>
  <c r="Y1479" i="2" a="1"/>
  <c r="Y1479" i="2" s="1"/>
  <c r="Y1483" i="2" a="1"/>
  <c r="Y1483" i="2" s="1"/>
  <c r="Y1487" i="2" a="1"/>
  <c r="Y1487" i="2" s="1"/>
  <c r="Q7" i="2"/>
  <c r="Q4" i="2"/>
  <c r="Q5" i="2"/>
  <c r="Q20" i="2"/>
  <c r="Q8" i="2"/>
  <c r="Y2" i="2" a="1"/>
  <c r="Y2" i="2" s="1"/>
  <c r="O18" i="2"/>
  <c r="T6" i="2" s="1" a="1"/>
  <c r="T6" i="2" s="1"/>
  <c r="T7" i="2" s="1"/>
  <c r="O4" i="2"/>
  <c r="O8" i="2"/>
  <c r="O7" i="2"/>
  <c r="O5" i="2"/>
  <c r="P19" i="2"/>
  <c r="P8" i="2"/>
  <c r="P4" i="2"/>
  <c r="P7" i="2"/>
  <c r="P5" i="2"/>
  <c r="P24" i="2"/>
  <c r="N24" i="2"/>
  <c r="O24" i="2"/>
  <c r="O6" i="2" l="1"/>
  <c r="T11" i="2" s="1"/>
  <c r="T12" i="2" s="1"/>
  <c r="G16" i="3"/>
  <c r="AB2" i="2"/>
  <c r="AB4" i="2"/>
  <c r="AB5" i="2"/>
  <c r="P6" i="2"/>
  <c r="U11" i="2" s="1"/>
  <c r="U12" i="2" s="1"/>
  <c r="H16" i="3"/>
  <c r="Q699" i="3" s="1"/>
  <c r="Q6" i="2"/>
  <c r="V11" i="2" s="1"/>
  <c r="V12" i="2" s="1"/>
  <c r="T13" i="2" s="1"/>
  <c r="T14" i="2" s="1"/>
  <c r="I16" i="3"/>
  <c r="R436" i="3" s="1"/>
  <c r="R566" i="3"/>
  <c r="R353" i="3"/>
  <c r="R437" i="3"/>
  <c r="R607" i="3"/>
  <c r="R711" i="3"/>
  <c r="R931" i="3"/>
  <c r="R533" i="3"/>
  <c r="R813" i="3"/>
  <c r="R162" i="3"/>
  <c r="R926" i="3"/>
  <c r="R31" i="3"/>
  <c r="R798" i="3"/>
  <c r="R537" i="3"/>
  <c r="R198" i="3"/>
  <c r="R466" i="3"/>
  <c r="R504" i="3"/>
  <c r="R34" i="3"/>
  <c r="R589" i="3"/>
  <c r="R45" i="3"/>
  <c r="R117" i="3"/>
  <c r="R69" i="3"/>
  <c r="R938" i="3"/>
  <c r="R990" i="3"/>
  <c r="R430" i="3"/>
  <c r="R312" i="3"/>
  <c r="R548" i="3"/>
  <c r="R738" i="3"/>
  <c r="R25" i="3"/>
  <c r="R105" i="3"/>
  <c r="R721" i="3"/>
  <c r="R935" i="3"/>
  <c r="R498" i="3"/>
  <c r="R556" i="3"/>
  <c r="R534" i="3"/>
  <c r="R683" i="3"/>
  <c r="R853" i="3"/>
  <c r="R765" i="3"/>
  <c r="R997" i="3"/>
  <c r="R734" i="3"/>
  <c r="R886" i="3"/>
  <c r="R36" i="3"/>
  <c r="R776" i="3"/>
  <c r="P435" i="3"/>
  <c r="P699" i="3"/>
  <c r="P548" i="3"/>
  <c r="P94" i="3"/>
  <c r="P115" i="3"/>
  <c r="P347" i="3"/>
  <c r="P423" i="3"/>
  <c r="P487" i="3"/>
  <c r="P587" i="3"/>
  <c r="P919" i="3"/>
  <c r="P252" i="3"/>
  <c r="P200" i="3"/>
  <c r="P316" i="3"/>
  <c r="P988" i="3"/>
  <c r="P102" i="3"/>
  <c r="P149" i="3"/>
  <c r="P265" i="3"/>
  <c r="P393" i="3"/>
  <c r="P469" i="3"/>
  <c r="P17" i="3"/>
  <c r="P266" i="3"/>
  <c r="P330" i="3"/>
  <c r="P502" i="3"/>
  <c r="P33" i="3"/>
  <c r="P537" i="3"/>
  <c r="P63" i="3"/>
  <c r="P609" i="3"/>
  <c r="P141" i="3"/>
  <c r="P28" i="3"/>
  <c r="P92" i="3"/>
  <c r="P164" i="3"/>
  <c r="P356" i="3"/>
  <c r="P592" i="3"/>
  <c r="P608" i="3"/>
  <c r="P624" i="3"/>
  <c r="P640" i="3"/>
  <c r="P656" i="3"/>
  <c r="P676" i="3"/>
  <c r="P776" i="3"/>
  <c r="P201" i="3"/>
  <c r="P269" i="3"/>
  <c r="P405" i="3"/>
  <c r="P649" i="3"/>
  <c r="P701" i="3"/>
  <c r="P761" i="3"/>
  <c r="P833" i="3"/>
  <c r="P905" i="3"/>
  <c r="P965" i="3"/>
  <c r="P1001" i="3"/>
  <c r="P158" i="3"/>
  <c r="P274" i="3"/>
  <c r="P334" i="3"/>
  <c r="P450" i="3"/>
  <c r="P594" i="3"/>
  <c r="P556" i="3"/>
  <c r="P712" i="3"/>
  <c r="P23" i="3"/>
  <c r="P67" i="3"/>
  <c r="P155" i="3"/>
  <c r="P323" i="3"/>
  <c r="P891" i="3"/>
  <c r="P967" i="3"/>
  <c r="P331" i="3"/>
  <c r="P176" i="3"/>
  <c r="P224" i="3"/>
  <c r="P602" i="3"/>
  <c r="P332" i="3"/>
  <c r="P408" i="3"/>
  <c r="P704" i="3"/>
  <c r="P566" i="3"/>
  <c r="P400" i="3"/>
  <c r="P693" i="3"/>
  <c r="P45" i="3"/>
  <c r="P681" i="3"/>
  <c r="P150" i="3"/>
  <c r="P214" i="3"/>
  <c r="P394" i="3"/>
  <c r="P454" i="3"/>
  <c r="P586" i="3"/>
  <c r="P662" i="3"/>
  <c r="P706" i="3"/>
  <c r="P754" i="3"/>
  <c r="P806" i="3"/>
  <c r="P858" i="3"/>
  <c r="P914" i="3"/>
  <c r="P978" i="3"/>
  <c r="P46" i="3"/>
  <c r="P721" i="3"/>
  <c r="P167" i="3"/>
  <c r="P8" i="3"/>
  <c r="P52" i="3"/>
  <c r="P72" i="3"/>
  <c r="P116" i="3"/>
  <c r="P136" i="3"/>
  <c r="P260" i="3"/>
  <c r="P312" i="3"/>
  <c r="P452" i="3"/>
  <c r="P504" i="3"/>
  <c r="P576" i="3"/>
  <c r="P792" i="3"/>
  <c r="P53" i="3"/>
  <c r="P218" i="3"/>
  <c r="P738" i="3"/>
  <c r="P786" i="3"/>
  <c r="P834" i="3"/>
  <c r="P882" i="3"/>
  <c r="P926" i="3"/>
  <c r="P66" i="3"/>
  <c r="P39" i="3"/>
  <c r="P75" i="3"/>
  <c r="P183" i="3"/>
  <c r="P499" i="3"/>
  <c r="P567" i="3"/>
  <c r="P899" i="3"/>
  <c r="P232" i="3"/>
  <c r="P392" i="3"/>
  <c r="P968" i="3"/>
  <c r="P764" i="3"/>
  <c r="P257" i="3"/>
  <c r="P286" i="3"/>
  <c r="P354" i="3"/>
  <c r="P466" i="3"/>
  <c r="P598" i="3"/>
  <c r="P670" i="3"/>
  <c r="P722" i="3"/>
  <c r="P770" i="3"/>
  <c r="P818" i="3"/>
  <c r="P870" i="3"/>
  <c r="P930" i="3"/>
  <c r="P125" i="3"/>
  <c r="P13" i="3"/>
  <c r="P337" i="3"/>
  <c r="P36" i="3"/>
  <c r="P56" i="3"/>
  <c r="P100" i="3"/>
  <c r="P120" i="3"/>
  <c r="P228" i="3"/>
  <c r="P420" i="3"/>
  <c r="P601" i="3"/>
  <c r="P877" i="3"/>
  <c r="P73" i="3"/>
  <c r="P414" i="3"/>
  <c r="P702" i="3"/>
  <c r="P903" i="3"/>
  <c r="P532" i="3"/>
  <c r="P131" i="3"/>
  <c r="P211" i="3"/>
  <c r="P307" i="3"/>
  <c r="P995" i="3"/>
  <c r="P728" i="3"/>
  <c r="P956" i="3"/>
  <c r="P101" i="3"/>
  <c r="P409" i="3"/>
  <c r="P933" i="3"/>
  <c r="P465" i="3"/>
  <c r="P178" i="3"/>
  <c r="P254" i="3"/>
  <c r="P342" i="3"/>
  <c r="P490" i="3"/>
  <c r="P82" i="3"/>
  <c r="P789" i="3"/>
  <c r="P385" i="3"/>
  <c r="P96" i="3"/>
  <c r="P124" i="3"/>
  <c r="P220" i="3"/>
  <c r="P284" i="3"/>
  <c r="P412" i="3"/>
  <c r="P476" i="3"/>
  <c r="P560" i="3"/>
  <c r="P584" i="3"/>
  <c r="P604" i="3"/>
  <c r="P648" i="3"/>
  <c r="P708" i="3"/>
  <c r="P808" i="3"/>
  <c r="P900" i="3"/>
  <c r="P996" i="3"/>
  <c r="P812" i="3"/>
  <c r="P153" i="3"/>
  <c r="P241" i="3"/>
  <c r="P605" i="3"/>
  <c r="P689" i="3"/>
  <c r="P857" i="3"/>
  <c r="P953" i="3"/>
  <c r="P182" i="3"/>
  <c r="P262" i="3"/>
  <c r="P498" i="3"/>
  <c r="P874" i="3"/>
  <c r="P65" i="3"/>
  <c r="P151" i="3"/>
  <c r="P264" i="3"/>
  <c r="P464" i="3"/>
  <c r="P229" i="3"/>
  <c r="P198" i="3"/>
  <c r="P318" i="3"/>
  <c r="P534" i="3"/>
  <c r="P626" i="3"/>
  <c r="P785" i="3"/>
  <c r="P449" i="3"/>
  <c r="P622" i="3"/>
  <c r="P187" i="3"/>
  <c r="P583" i="3"/>
  <c r="P619" i="3"/>
  <c r="P655" i="3"/>
  <c r="P683" i="3"/>
  <c r="P603" i="3"/>
  <c r="P235" i="3"/>
  <c r="P491" i="3"/>
  <c r="P999" i="3"/>
  <c r="P863" i="3"/>
  <c r="P911" i="3"/>
  <c r="P943" i="3"/>
  <c r="P979" i="3"/>
  <c r="P939" i="3"/>
  <c r="P536" i="3"/>
  <c r="P30" i="3"/>
  <c r="P267" i="3"/>
  <c r="P395" i="3"/>
  <c r="P475" i="3"/>
  <c r="P575" i="3"/>
  <c r="P711" i="3"/>
  <c r="P931" i="3"/>
  <c r="P172" i="3"/>
  <c r="P963" i="3"/>
  <c r="P832" i="3"/>
  <c r="P976" i="3"/>
  <c r="P277" i="3"/>
  <c r="P485" i="3"/>
  <c r="P682" i="3"/>
  <c r="P746" i="3"/>
  <c r="P886" i="3"/>
  <c r="P958" i="3"/>
  <c r="P118" i="3"/>
  <c r="P925" i="3"/>
  <c r="P517" i="3"/>
  <c r="P12" i="3"/>
  <c r="P40" i="3"/>
  <c r="P68" i="3"/>
  <c r="P156" i="3"/>
  <c r="P348" i="3"/>
  <c r="P628" i="3"/>
  <c r="P861" i="3"/>
  <c r="P425" i="3"/>
  <c r="P773" i="3"/>
  <c r="P949" i="3"/>
  <c r="P346" i="3"/>
  <c r="P426" i="3"/>
  <c r="P606" i="3"/>
  <c r="P714" i="3"/>
  <c r="P822" i="3"/>
  <c r="P970" i="3"/>
  <c r="P71" i="3"/>
  <c r="P160" i="3"/>
  <c r="P273" i="3"/>
  <c r="P472" i="3"/>
  <c r="P233" i="3"/>
  <c r="P333" i="3"/>
  <c r="P461" i="3"/>
  <c r="P521" i="3"/>
  <c r="P633" i="3"/>
  <c r="P729" i="3"/>
  <c r="P793" i="3"/>
  <c r="P901" i="3"/>
  <c r="P617" i="3"/>
  <c r="P285" i="3"/>
  <c r="P138" i="3"/>
  <c r="P258" i="3"/>
  <c r="P430" i="3"/>
  <c r="P494" i="3"/>
  <c r="P817" i="3"/>
  <c r="P171" i="3"/>
  <c r="P646" i="3"/>
  <c r="P549" i="3"/>
  <c r="P530" i="3"/>
  <c r="P255" i="3"/>
  <c r="P319" i="3"/>
  <c r="P383" i="3"/>
  <c r="P447" i="3"/>
  <c r="P511" i="3"/>
  <c r="P555" i="3"/>
  <c r="P623" i="3"/>
  <c r="P263" i="3"/>
  <c r="P519" i="3"/>
  <c r="P666" i="3"/>
  <c r="P87" i="3"/>
  <c r="P407" i="3"/>
  <c r="P543" i="3"/>
  <c r="P659" i="3"/>
  <c r="P727" i="3"/>
  <c r="P97" i="3"/>
  <c r="P344" i="3"/>
  <c r="P130" i="3"/>
  <c r="P297" i="3"/>
  <c r="P585" i="3"/>
  <c r="P885" i="3"/>
  <c r="P278" i="3"/>
  <c r="P165" i="3"/>
  <c r="P562" i="3"/>
  <c r="P244" i="3"/>
  <c r="P372" i="3"/>
  <c r="P540" i="3"/>
  <c r="P588" i="3"/>
  <c r="P632" i="3"/>
  <c r="P788" i="3"/>
  <c r="P964" i="3"/>
  <c r="P912" i="3"/>
  <c r="P290" i="3"/>
  <c r="P642" i="3"/>
  <c r="P179" i="3"/>
  <c r="P492" i="3"/>
  <c r="P669" i="3"/>
  <c r="P154" i="3"/>
  <c r="P210" i="3"/>
  <c r="P326" i="3"/>
  <c r="P546" i="3"/>
  <c r="P175" i="3"/>
  <c r="P6" i="3"/>
  <c r="P627" i="3"/>
  <c r="P687" i="3"/>
  <c r="P651" i="3"/>
  <c r="P879" i="3"/>
  <c r="P951" i="3"/>
  <c r="P93" i="3"/>
  <c r="P506" i="3"/>
  <c r="P89" i="3"/>
  <c r="P19" i="3"/>
  <c r="P271" i="3"/>
  <c r="P399" i="3"/>
  <c r="P463" i="3"/>
  <c r="P671" i="3"/>
  <c r="P327" i="3"/>
  <c r="P279" i="3"/>
  <c r="P613" i="3"/>
  <c r="P801" i="3"/>
  <c r="P969" i="3"/>
  <c r="P202" i="3"/>
  <c r="P373" i="3"/>
  <c r="P207" i="3"/>
  <c r="P80" i="3"/>
  <c r="P376" i="3"/>
  <c r="P752" i="3"/>
  <c r="P880" i="3"/>
  <c r="P936" i="3"/>
  <c r="P625" i="3"/>
  <c r="P298" i="3"/>
  <c r="P894" i="3"/>
  <c r="P61" i="3"/>
  <c r="P99" i="3"/>
  <c r="P197" i="3"/>
  <c r="P349" i="3"/>
  <c r="P509" i="3"/>
  <c r="P117" i="3"/>
  <c r="P222" i="3"/>
  <c r="P766" i="3"/>
  <c r="P814" i="3"/>
  <c r="P898" i="3"/>
  <c r="P982" i="3"/>
  <c r="P557" i="3"/>
  <c r="P34" i="3"/>
  <c r="P723" i="3"/>
  <c r="P751" i="3"/>
  <c r="P795" i="3"/>
  <c r="P819" i="3"/>
  <c r="P747" i="3"/>
  <c r="P371" i="3"/>
  <c r="P768" i="3"/>
  <c r="P103" i="3"/>
  <c r="P336" i="3"/>
  <c r="P345" i="3"/>
  <c r="P401" i="3"/>
  <c r="P529" i="3"/>
  <c r="P108" i="3"/>
  <c r="P440" i="3"/>
  <c r="P616" i="3"/>
  <c r="P636" i="3"/>
  <c r="P944" i="3"/>
  <c r="P977" i="3"/>
  <c r="P505" i="3"/>
  <c r="P378" i="3"/>
  <c r="P22" i="3"/>
  <c r="P368" i="3"/>
  <c r="P338" i="3"/>
  <c r="P514" i="3"/>
  <c r="P363" i="3"/>
  <c r="P923" i="3"/>
  <c r="P387" i="3"/>
  <c r="P403" i="3"/>
  <c r="P51" i="3"/>
  <c r="P375" i="3"/>
  <c r="P459" i="3"/>
  <c r="P547" i="3"/>
  <c r="P607" i="3"/>
  <c r="P675" i="3"/>
  <c r="P668" i="3"/>
  <c r="P364" i="3"/>
  <c r="P134" i="3"/>
  <c r="P686" i="3"/>
  <c r="P525" i="3"/>
  <c r="P237" i="3"/>
  <c r="P226" i="3"/>
  <c r="P302" i="3"/>
  <c r="P382" i="3"/>
  <c r="P634" i="3"/>
  <c r="P782" i="3"/>
  <c r="P842" i="3"/>
  <c r="P630" i="3"/>
  <c r="P421" i="3"/>
  <c r="P24" i="3"/>
  <c r="P84" i="3"/>
  <c r="P140" i="3"/>
  <c r="P192" i="3"/>
  <c r="P384" i="3"/>
  <c r="P512" i="3"/>
  <c r="P596" i="3"/>
  <c r="P660" i="3"/>
  <c r="P661" i="3"/>
  <c r="P230" i="3"/>
  <c r="P29" i="3"/>
  <c r="P396" i="3"/>
  <c r="P305" i="3"/>
  <c r="P769" i="3"/>
  <c r="P10" i="3"/>
  <c r="P593" i="3"/>
  <c r="P223" i="3"/>
  <c r="P415" i="3"/>
  <c r="P871" i="3"/>
  <c r="P243" i="3"/>
  <c r="P983" i="3"/>
  <c r="P544" i="3"/>
  <c r="P590" i="3"/>
  <c r="P219" i="3"/>
  <c r="P275" i="3"/>
  <c r="P443" i="3"/>
  <c r="P639" i="3"/>
  <c r="P803" i="3"/>
  <c r="P280" i="3"/>
  <c r="P304" i="3"/>
  <c r="P685" i="3"/>
  <c r="P992" i="3"/>
  <c r="P328" i="3"/>
  <c r="P569" i="3"/>
  <c r="P709" i="3"/>
  <c r="P777" i="3"/>
  <c r="P873" i="3"/>
  <c r="P957" i="3"/>
  <c r="P629" i="3"/>
  <c r="P513" i="3"/>
  <c r="P190" i="3"/>
  <c r="P434" i="3"/>
  <c r="P146" i="3"/>
  <c r="P27" i="3"/>
  <c r="P538" i="3"/>
  <c r="P16" i="3"/>
  <c r="P128" i="3"/>
  <c r="P292" i="3"/>
  <c r="P484" i="3"/>
  <c r="P564" i="3"/>
  <c r="P716" i="3"/>
  <c r="P744" i="3"/>
  <c r="P784" i="3"/>
  <c r="P816" i="3"/>
  <c r="P848" i="3"/>
  <c r="P872" i="3"/>
  <c r="P904" i="3"/>
  <c r="P932" i="3"/>
  <c r="P960" i="3"/>
  <c r="P1000" i="3"/>
  <c r="P892" i="3"/>
  <c r="P181" i="3"/>
  <c r="P194" i="3"/>
  <c r="P358" i="3"/>
  <c r="P510" i="3"/>
  <c r="P774" i="3"/>
  <c r="P31" i="3"/>
  <c r="P163" i="3"/>
  <c r="P49" i="3"/>
  <c r="P4" i="3"/>
  <c r="P78" i="3"/>
  <c r="P168" i="3"/>
  <c r="P293" i="3"/>
  <c r="P481" i="3"/>
  <c r="P797" i="3"/>
  <c r="P493" i="3"/>
  <c r="P374" i="3"/>
  <c r="P710" i="3"/>
  <c r="P758" i="3"/>
  <c r="P798" i="3"/>
  <c r="P850" i="3"/>
  <c r="P890" i="3"/>
  <c r="P934" i="3"/>
  <c r="P974" i="3"/>
  <c r="P998" i="3"/>
  <c r="P869" i="3"/>
  <c r="P805" i="3"/>
  <c r="P573" i="3"/>
  <c r="P542" i="3"/>
  <c r="P719" i="3"/>
  <c r="P743" i="3"/>
  <c r="P767" i="3"/>
  <c r="P791" i="3"/>
  <c r="P815" i="3"/>
  <c r="P839" i="3"/>
  <c r="P643" i="3"/>
  <c r="P291" i="3"/>
  <c r="P551" i="3"/>
  <c r="P572" i="3"/>
  <c r="P38" i="3"/>
  <c r="P231" i="3"/>
  <c r="P311" i="3"/>
  <c r="P3" i="3"/>
  <c r="P457" i="3"/>
  <c r="P849" i="3"/>
  <c r="P518" i="3"/>
  <c r="P41" i="3"/>
  <c r="P44" i="3"/>
  <c r="P180" i="3"/>
  <c r="P436" i="3"/>
  <c r="P652" i="3"/>
  <c r="P680" i="3"/>
  <c r="P876" i="3"/>
  <c r="P177" i="3"/>
  <c r="P433" i="3"/>
  <c r="P641" i="3"/>
  <c r="P809" i="3"/>
  <c r="P893" i="3"/>
  <c r="P522" i="3"/>
  <c r="P113" i="3"/>
  <c r="P86" i="3"/>
  <c r="P301" i="3"/>
  <c r="P692" i="3"/>
  <c r="P270" i="3"/>
  <c r="P658" i="3"/>
  <c r="P25" i="3"/>
  <c r="P554" i="3"/>
  <c r="P591" i="3"/>
  <c r="P663" i="3"/>
  <c r="P299" i="3"/>
  <c r="P847" i="3"/>
  <c r="P915" i="3"/>
  <c r="P987" i="3"/>
  <c r="P321" i="3"/>
  <c r="P386" i="3"/>
  <c r="P335" i="3"/>
  <c r="P527" i="3"/>
  <c r="P707" i="3"/>
  <c r="P11" i="3"/>
  <c r="P247" i="3"/>
  <c r="P827" i="3"/>
  <c r="P288" i="3"/>
  <c r="P733" i="3"/>
  <c r="P897" i="3"/>
  <c r="P917" i="3"/>
  <c r="P77" i="3"/>
  <c r="P48" i="3"/>
  <c r="P184" i="3"/>
  <c r="P568" i="3"/>
  <c r="P720" i="3"/>
  <c r="P820" i="3"/>
  <c r="P852" i="3"/>
  <c r="P908" i="3"/>
  <c r="P972" i="3"/>
  <c r="P945" i="3"/>
  <c r="P58" i="3"/>
  <c r="P79" i="3"/>
  <c r="P14" i="3"/>
  <c r="P9" i="3"/>
  <c r="P166" i="3"/>
  <c r="P718" i="3"/>
  <c r="P854" i="3"/>
  <c r="P946" i="3"/>
  <c r="P1002" i="3"/>
  <c r="P110" i="3"/>
  <c r="P199" i="3"/>
  <c r="P531" i="3"/>
  <c r="P771" i="3"/>
  <c r="P355" i="3"/>
  <c r="P300" i="3"/>
  <c r="P840" i="3"/>
  <c r="P411" i="3"/>
  <c r="P503" i="3"/>
  <c r="P835" i="3"/>
  <c r="P523" i="3"/>
  <c r="P296" i="3"/>
  <c r="P380" i="3"/>
  <c r="P205" i="3"/>
  <c r="P829" i="3"/>
  <c r="P189" i="3"/>
  <c r="P74" i="3"/>
  <c r="P756" i="3"/>
  <c r="P638" i="3"/>
  <c r="P341" i="3"/>
  <c r="P725" i="3"/>
  <c r="P981" i="3"/>
  <c r="P462" i="3"/>
  <c r="T462" i="3" s="1"/>
  <c r="P846" i="3"/>
  <c r="P261" i="3"/>
  <c r="P208" i="3"/>
  <c r="P520" i="3"/>
  <c r="P81" i="3"/>
  <c r="P282" i="3"/>
  <c r="P458" i="3"/>
  <c r="P578" i="3"/>
  <c r="P173" i="3"/>
  <c r="P47" i="3"/>
  <c r="T47" i="3" s="1"/>
  <c r="P631" i="3"/>
  <c r="P887" i="3"/>
  <c r="P959" i="3"/>
  <c r="P550" i="3"/>
  <c r="P105" i="3"/>
  <c r="P320" i="3"/>
  <c r="P650" i="3"/>
  <c r="P213" i="3"/>
  <c r="P565" i="3"/>
  <c r="P929" i="3"/>
  <c r="P122" i="3"/>
  <c r="P802" i="3"/>
  <c r="P950" i="3"/>
  <c r="P309" i="3"/>
  <c r="P114" i="3"/>
  <c r="P216" i="3"/>
  <c r="P133" i="3"/>
  <c r="P369" i="3"/>
  <c r="P489" i="3"/>
  <c r="P589" i="3"/>
  <c r="P697" i="3"/>
  <c r="P837" i="3"/>
  <c r="P941" i="3"/>
  <c r="P109" i="3"/>
  <c r="P174" i="3"/>
  <c r="P193" i="3"/>
  <c r="P70" i="3"/>
  <c r="P287" i="3"/>
  <c r="P351" i="3"/>
  <c r="P479" i="3"/>
  <c r="P391" i="3"/>
  <c r="P667" i="3"/>
  <c r="P541" i="3"/>
  <c r="T541" i="3" s="1"/>
  <c r="P272" i="3"/>
  <c r="P580" i="3"/>
  <c r="P824" i="3"/>
  <c r="P315" i="3"/>
  <c r="P451" i="3"/>
  <c r="T451" i="3" s="1"/>
  <c r="P488" i="3"/>
  <c r="P360" i="3"/>
  <c r="P508" i="3"/>
  <c r="P185" i="3"/>
  <c r="P881" i="3"/>
  <c r="P26" i="3"/>
  <c r="P366" i="3"/>
  <c r="P446" i="3"/>
  <c r="P610" i="3"/>
  <c r="P694" i="3"/>
  <c r="P830" i="3"/>
  <c r="P902" i="3"/>
  <c r="P353" i="3"/>
  <c r="P127" i="3"/>
  <c r="P62" i="3"/>
  <c r="P20" i="3"/>
  <c r="P76" i="3"/>
  <c r="P104" i="3"/>
  <c r="P132" i="3"/>
  <c r="P308" i="3"/>
  <c r="P500" i="3"/>
  <c r="P612" i="3"/>
  <c r="P684" i="3"/>
  <c r="P928" i="3"/>
  <c r="P329" i="3"/>
  <c r="P713" i="3"/>
  <c r="P973" i="3"/>
  <c r="P206" i="3"/>
  <c r="P370" i="3"/>
  <c r="P438" i="3"/>
  <c r="P726" i="3"/>
  <c r="P938" i="3"/>
  <c r="P990" i="3"/>
  <c r="P191" i="3"/>
  <c r="P147" i="3"/>
  <c r="P7" i="3"/>
  <c r="P188" i="3"/>
  <c r="P501" i="3"/>
  <c r="P281" i="3"/>
  <c r="P361" i="3"/>
  <c r="P473" i="3"/>
  <c r="P545" i="3"/>
  <c r="P753" i="3"/>
  <c r="P825" i="3"/>
  <c r="P913" i="3"/>
  <c r="P5" i="3"/>
  <c r="P442" i="3"/>
  <c r="P559" i="3"/>
  <c r="P553" i="3"/>
  <c r="P955" i="3"/>
  <c r="P524" i="3"/>
  <c r="P796" i="3"/>
  <c r="P195" i="3"/>
  <c r="P240" i="3"/>
  <c r="P570" i="3"/>
  <c r="P91" i="3"/>
  <c r="P248" i="3"/>
  <c r="P856" i="3"/>
  <c r="P821" i="3"/>
  <c r="P107" i="3"/>
  <c r="P398" i="3"/>
  <c r="P674" i="3"/>
  <c r="P581" i="3"/>
  <c r="P55" i="3"/>
  <c r="P599" i="3"/>
  <c r="P807" i="3"/>
  <c r="T807" i="3" s="1"/>
  <c r="P851" i="3"/>
  <c r="P991" i="3"/>
  <c r="P59" i="3"/>
  <c r="P259" i="3"/>
  <c r="P379" i="3"/>
  <c r="P691" i="3"/>
  <c r="P888" i="3"/>
  <c r="P314" i="3"/>
  <c r="P574" i="3"/>
  <c r="P794" i="3"/>
  <c r="T794" i="3" s="1"/>
  <c r="P853" i="3"/>
  <c r="P88" i="3"/>
  <c r="P741" i="3"/>
  <c r="P322" i="3"/>
  <c r="P810" i="3"/>
  <c r="P962" i="3"/>
  <c r="P135" i="3"/>
  <c r="P313" i="3"/>
  <c r="P621" i="3"/>
  <c r="P889" i="3"/>
  <c r="P119" i="3"/>
  <c r="P303" i="3"/>
  <c r="P495" i="3"/>
  <c r="P470" i="3"/>
  <c r="P95" i="3"/>
  <c r="P935" i="3"/>
  <c r="P736" i="3"/>
  <c r="P406" i="3"/>
  <c r="P482" i="3"/>
  <c r="P439" i="3"/>
  <c r="P779" i="3"/>
  <c r="P864" i="3"/>
  <c r="P765" i="3"/>
  <c r="P418" i="3"/>
  <c r="P365" i="3"/>
  <c r="T365" i="3" s="1"/>
  <c r="P740" i="3"/>
  <c r="P106" i="3"/>
  <c r="P698" i="3"/>
  <c r="P717" i="3"/>
  <c r="P735" i="3"/>
  <c r="P152" i="3"/>
  <c r="P389" i="3"/>
  <c r="P144" i="3"/>
  <c r="P772" i="3"/>
  <c r="P416" i="3"/>
  <c r="P986" i="3"/>
  <c r="P571" i="3"/>
  <c r="P471" i="3"/>
  <c r="P611" i="3"/>
  <c r="P417" i="3"/>
  <c r="P238" i="3"/>
  <c r="P600" i="3"/>
  <c r="P203" i="3"/>
  <c r="P339" i="3"/>
  <c r="P635" i="3"/>
  <c r="T635" i="3" s="1"/>
  <c r="P139" i="3"/>
  <c r="P437" i="3"/>
  <c r="P340" i="3"/>
  <c r="P672" i="3"/>
  <c r="P250" i="3"/>
  <c r="P781" i="3"/>
  <c r="P381" i="3"/>
  <c r="P855" i="3"/>
  <c r="P359" i="3"/>
  <c r="P561" i="3"/>
  <c r="P445" i="3"/>
  <c r="P762" i="3"/>
  <c r="P878" i="3"/>
  <c r="P528" i="3"/>
  <c r="P456" i="3"/>
  <c r="P251" i="3"/>
  <c r="P204" i="3"/>
  <c r="P700" i="3"/>
  <c r="P800" i="3"/>
  <c r="P665" i="3"/>
  <c r="P234" i="3"/>
  <c r="P507" i="3"/>
  <c r="P907" i="3"/>
  <c r="P748" i="3"/>
  <c r="P388" i="3"/>
  <c r="P620" i="3"/>
  <c r="P377" i="3"/>
  <c r="P558" i="3"/>
  <c r="P614" i="3"/>
  <c r="P515" i="3"/>
  <c r="P940" i="3"/>
  <c r="P496" i="3"/>
  <c r="P653" i="3"/>
  <c r="P921" i="3"/>
  <c r="P18" i="3"/>
  <c r="P582" i="3"/>
  <c r="P212" i="3"/>
  <c r="P404" i="3"/>
  <c r="P804" i="3"/>
  <c r="P896" i="3"/>
  <c r="P984" i="3"/>
  <c r="P760" i="3"/>
  <c r="P142" i="3"/>
  <c r="P246" i="3"/>
  <c r="P422" i="3"/>
  <c r="P790" i="3"/>
  <c r="P922" i="3"/>
  <c r="P157" i="3"/>
  <c r="P715" i="3"/>
  <c r="P787" i="3"/>
  <c r="T787" i="3" s="1"/>
  <c r="P595" i="3"/>
  <c r="P477" i="3"/>
  <c r="P256" i="3"/>
  <c r="P724" i="3"/>
  <c r="P916" i="3"/>
  <c r="P21" i="3"/>
  <c r="P390" i="3"/>
  <c r="P357" i="3"/>
  <c r="P954" i="3"/>
  <c r="P535" i="3"/>
  <c r="P731" i="3"/>
  <c r="P883" i="3"/>
  <c r="P295" i="3"/>
  <c r="P563" i="3"/>
  <c r="P428" i="3"/>
  <c r="P432" i="3"/>
  <c r="P757" i="3"/>
  <c r="P289" i="3"/>
  <c r="P732" i="3"/>
  <c r="P920" i="3"/>
  <c r="P236" i="3"/>
  <c r="P42" i="3"/>
  <c r="P645" i="3"/>
  <c r="P695" i="3"/>
  <c r="P123" i="3"/>
  <c r="P352" i="3"/>
  <c r="P468" i="3"/>
  <c r="P644" i="3"/>
  <c r="P85" i="3"/>
  <c r="P845" i="3"/>
  <c r="P245" i="3"/>
  <c r="P441" i="3"/>
  <c r="P961" i="3"/>
  <c r="P306" i="3"/>
  <c r="P657" i="3"/>
  <c r="P367" i="3"/>
  <c r="P867" i="3"/>
  <c r="P924" i="3"/>
  <c r="P15" i="3"/>
  <c r="P966" i="3"/>
  <c r="T966" i="3" s="1"/>
  <c r="P539" i="3"/>
  <c r="P811" i="3"/>
  <c r="P971" i="3"/>
  <c r="P467" i="3"/>
  <c r="P343" i="3"/>
  <c r="P813" i="3"/>
  <c r="P516" i="3"/>
  <c r="P948" i="3"/>
  <c r="P242" i="3"/>
  <c r="P750" i="3"/>
  <c r="P111" i="3"/>
  <c r="P350" i="3"/>
  <c r="P730" i="3"/>
  <c r="P221" i="3"/>
  <c r="P759" i="3"/>
  <c r="P419" i="3"/>
  <c r="P533" i="3"/>
  <c r="P60" i="3"/>
  <c r="P673" i="3"/>
  <c r="P43" i="3"/>
  <c r="P145" i="3"/>
  <c r="P325" i="3"/>
  <c r="P579" i="3"/>
  <c r="P859" i="3"/>
  <c r="T859" i="3" s="1"/>
  <c r="P734" i="3"/>
  <c r="P486" i="3"/>
  <c r="P444" i="3"/>
  <c r="P497" i="3"/>
  <c r="P186" i="3"/>
  <c r="P431" i="3"/>
  <c r="P455" i="3"/>
  <c r="P865" i="3"/>
  <c r="P868" i="3"/>
  <c r="P143" i="3"/>
  <c r="P453" i="3"/>
  <c r="P994" i="3"/>
  <c r="P831" i="3"/>
  <c r="P637" i="3"/>
  <c r="P884" i="3"/>
  <c r="P310" i="3"/>
  <c r="P121" i="3"/>
  <c r="P910" i="3"/>
  <c r="P83" i="3"/>
  <c r="P703" i="3"/>
  <c r="P749" i="3"/>
  <c r="P196" i="3"/>
  <c r="P696" i="3"/>
  <c r="P989" i="3"/>
  <c r="P129" i="3"/>
  <c r="P410" i="3"/>
  <c r="P615" i="3"/>
  <c r="P215" i="3"/>
  <c r="P54" i="3"/>
  <c r="P283" i="3"/>
  <c r="P755" i="3"/>
  <c r="P480" i="3"/>
  <c r="P690" i="3"/>
  <c r="P745" i="3"/>
  <c r="P985" i="3"/>
  <c r="P90" i="3"/>
  <c r="P126" i="3"/>
  <c r="P112" i="3"/>
  <c r="P448" i="3"/>
  <c r="P828" i="3"/>
  <c r="P678" i="3"/>
  <c r="P225" i="3"/>
  <c r="P294" i="3"/>
  <c r="P826" i="3"/>
  <c r="P618" i="3"/>
  <c r="P799" i="3"/>
  <c r="P775" i="3"/>
  <c r="P993" i="3"/>
  <c r="P32" i="3"/>
  <c r="P836" i="3"/>
  <c r="P402" i="3"/>
  <c r="P862" i="3"/>
  <c r="P413" i="3"/>
  <c r="P647" i="3"/>
  <c r="P927" i="3"/>
  <c r="P268" i="3"/>
  <c r="P460" i="3"/>
  <c r="P397" i="3"/>
  <c r="T397" i="3" s="1"/>
  <c r="P162" i="3"/>
  <c r="P317" i="3"/>
  <c r="P276" i="3"/>
  <c r="P577" i="3"/>
  <c r="P170" i="3"/>
  <c r="P705" i="3"/>
  <c r="P947" i="3"/>
  <c r="P654" i="3"/>
  <c r="P997" i="3"/>
  <c r="P844" i="3"/>
  <c r="P253" i="3"/>
  <c r="P838" i="3"/>
  <c r="P159" i="3"/>
  <c r="P227" i="3"/>
  <c r="P843" i="3"/>
  <c r="P37" i="3"/>
  <c r="P841" i="3"/>
  <c r="P324" i="3"/>
  <c r="P860" i="3"/>
  <c r="P474" i="3"/>
  <c r="P906" i="3"/>
  <c r="P35" i="3"/>
  <c r="P137" i="3"/>
  <c r="P526" i="3"/>
  <c r="P866" i="3"/>
  <c r="P679" i="3"/>
  <c r="P823" i="3"/>
  <c r="P478" i="3"/>
  <c r="P664" i="3"/>
  <c r="P217" i="3"/>
  <c r="P937" i="3"/>
  <c r="P424" i="3"/>
  <c r="P427" i="3"/>
  <c r="P975" i="3"/>
  <c r="P739" i="3"/>
  <c r="P69" i="3"/>
  <c r="P942" i="3"/>
  <c r="P148" i="3"/>
  <c r="P50" i="3"/>
  <c r="P169" i="3"/>
  <c r="P161" i="3"/>
  <c r="P239" i="3"/>
  <c r="P597" i="3"/>
  <c r="T597" i="3" s="1"/>
  <c r="P64" i="3"/>
  <c r="P780" i="3"/>
  <c r="P952" i="3"/>
  <c r="P918" i="3"/>
  <c r="P57" i="3"/>
  <c r="P209" i="3"/>
  <c r="P362" i="3"/>
  <c r="P742" i="3"/>
  <c r="P429" i="3"/>
  <c r="P763" i="3"/>
  <c r="P483" i="3"/>
  <c r="T483" i="3" s="1"/>
  <c r="P875" i="3"/>
  <c r="P909" i="3"/>
  <c r="P688" i="3"/>
  <c r="P980" i="3"/>
  <c r="T980" i="3" s="1"/>
  <c r="P778" i="3"/>
  <c r="P783" i="3"/>
  <c r="P249" i="3"/>
  <c r="P552" i="3"/>
  <c r="P677" i="3"/>
  <c r="P737" i="3"/>
  <c r="P98" i="3"/>
  <c r="P895" i="3"/>
  <c r="Q23" i="3"/>
  <c r="Q67" i="3"/>
  <c r="Q155" i="3"/>
  <c r="Q352" i="3"/>
  <c r="Q629" i="3"/>
  <c r="Q150" i="3"/>
  <c r="Q454" i="3"/>
  <c r="Q754" i="3"/>
  <c r="Q116" i="3"/>
  <c r="Q136" i="3"/>
  <c r="Q504" i="3"/>
  <c r="Q218" i="3"/>
  <c r="Q738" i="3"/>
  <c r="Q590" i="3"/>
  <c r="Q129" i="3"/>
  <c r="Q387" i="3"/>
  <c r="Q785" i="3"/>
  <c r="Q704" i="3"/>
  <c r="Q328" i="3"/>
  <c r="Q221" i="3"/>
  <c r="Q925" i="3"/>
  <c r="Q215" i="3"/>
  <c r="Q180" i="3"/>
  <c r="Q220" i="3"/>
  <c r="Q560" i="3"/>
  <c r="Q876" i="3"/>
  <c r="Q900" i="3"/>
  <c r="Q553" i="3"/>
  <c r="Q290" i="3"/>
  <c r="Q522" i="3"/>
  <c r="Q843" i="3"/>
  <c r="Q152" i="3"/>
  <c r="Q300" i="3"/>
  <c r="Q29" i="3"/>
  <c r="Q141" i="3"/>
  <c r="Q360" i="3"/>
  <c r="Q17" i="3"/>
  <c r="Q418" i="3"/>
  <c r="Q207" i="3"/>
  <c r="Q41" i="3"/>
  <c r="Q324" i="3"/>
  <c r="Q816" i="3"/>
  <c r="Q844" i="3"/>
  <c r="Q924" i="3"/>
  <c r="Q948" i="3"/>
  <c r="Q972" i="3"/>
  <c r="Q1000" i="3"/>
  <c r="Q343" i="3"/>
  <c r="Q395" i="3"/>
  <c r="Q931" i="3"/>
  <c r="Q172" i="3"/>
  <c r="Q371" i="3"/>
  <c r="Q12" i="3"/>
  <c r="Q40" i="3"/>
  <c r="Q68" i="3"/>
  <c r="Q156" i="3"/>
  <c r="Q348" i="3"/>
  <c r="Q346" i="3"/>
  <c r="Q650" i="3"/>
  <c r="Q912" i="3"/>
  <c r="Q793" i="3"/>
  <c r="Q901" i="3"/>
  <c r="Q257" i="3"/>
  <c r="Q319" i="3"/>
  <c r="Q383" i="3"/>
  <c r="Q447" i="3"/>
  <c r="Q511" i="3"/>
  <c r="Q82" i="3"/>
  <c r="Q11" i="3"/>
  <c r="Q569" i="3"/>
  <c r="Q777" i="3"/>
  <c r="Q190" i="3"/>
  <c r="Q354" i="3"/>
  <c r="Q853" i="3"/>
  <c r="Q784" i="3"/>
  <c r="Q848" i="3"/>
  <c r="Q774" i="3"/>
  <c r="Q926" i="3"/>
  <c r="Q31" i="3"/>
  <c r="Q163" i="3"/>
  <c r="Q934" i="3"/>
  <c r="Q974" i="3"/>
  <c r="Q657" i="3"/>
  <c r="Q401" i="3"/>
  <c r="Q517" i="3"/>
  <c r="Q987" i="3"/>
  <c r="Q151" i="3"/>
  <c r="Q359" i="3"/>
  <c r="Q635" i="3"/>
  <c r="Q400" i="3"/>
  <c r="Q610" i="3"/>
  <c r="Q973" i="3"/>
  <c r="Q438" i="3"/>
  <c r="Q473" i="3"/>
  <c r="Q753" i="3"/>
  <c r="Q913" i="3"/>
  <c r="Q595" i="3"/>
  <c r="Q227" i="3"/>
  <c r="Q166" i="3"/>
  <c r="Q814" i="3"/>
  <c r="Q898" i="3"/>
  <c r="Q982" i="3"/>
  <c r="Q240" i="3"/>
  <c r="Q33" i="3"/>
  <c r="Q646" i="3"/>
  <c r="Q345" i="3"/>
  <c r="Q248" i="3"/>
  <c r="Q666" i="3"/>
  <c r="Q9" i="3"/>
  <c r="Q674" i="3"/>
  <c r="Q35" i="3"/>
  <c r="Q197" i="3"/>
  <c r="Q599" i="3"/>
  <c r="Q675" i="3"/>
  <c r="Q903" i="3"/>
  <c r="Q668" i="3"/>
  <c r="Q73" i="3"/>
  <c r="Q226" i="3"/>
  <c r="Q950" i="3"/>
  <c r="Q133" i="3"/>
  <c r="Q489" i="3"/>
  <c r="Q697" i="3"/>
  <c r="Q941" i="3"/>
  <c r="Q223" i="3"/>
  <c r="Q183" i="3"/>
  <c r="Q251" i="3"/>
  <c r="Q700" i="3"/>
  <c r="Q566" i="3"/>
  <c r="Q637" i="3"/>
  <c r="Q549" i="3"/>
  <c r="Q56" i="3"/>
  <c r="Q256" i="3"/>
  <c r="Q448" i="3"/>
  <c r="Q572" i="3"/>
  <c r="Q688" i="3"/>
  <c r="Q866" i="3"/>
  <c r="Q986" i="3"/>
  <c r="Q571" i="3"/>
  <c r="Q679" i="3"/>
  <c r="Q956" i="3"/>
  <c r="Q727" i="3"/>
  <c r="Q939" i="3"/>
  <c r="Q622" i="3"/>
  <c r="Q149" i="3"/>
  <c r="Q297" i="3"/>
  <c r="Q457" i="3"/>
  <c r="Q536" i="3"/>
  <c r="Q588" i="3"/>
  <c r="Q652" i="3"/>
  <c r="Q676" i="3"/>
  <c r="Q529" i="3"/>
  <c r="Q882" i="3"/>
  <c r="Q677" i="3"/>
  <c r="Q945" i="3"/>
  <c r="Q669" i="3"/>
  <c r="Q437" i="3"/>
  <c r="Q326" i="3"/>
  <c r="Q321" i="3"/>
  <c r="Q591" i="3"/>
  <c r="Q879" i="3"/>
  <c r="Q915" i="3"/>
  <c r="Q537" i="3"/>
  <c r="Q308" i="3"/>
  <c r="Q500" i="3"/>
  <c r="Q612" i="3"/>
  <c r="Q949" i="3"/>
  <c r="Q206" i="3"/>
  <c r="Q370" i="3"/>
  <c r="Q609" i="3"/>
  <c r="Q168" i="3"/>
  <c r="Q527" i="3"/>
  <c r="Q485" i="3"/>
  <c r="Q771" i="3"/>
  <c r="Q503" i="3"/>
  <c r="Q736" i="3"/>
  <c r="Q385" i="3"/>
  <c r="Q108" i="3"/>
  <c r="Q440" i="3"/>
  <c r="Q616" i="3"/>
  <c r="Q458" i="3"/>
  <c r="Q578" i="3"/>
  <c r="Q396" i="3"/>
  <c r="Q631" i="3"/>
  <c r="Q51" i="3"/>
  <c r="Q512" i="3"/>
  <c r="Q660" i="3"/>
  <c r="Q230" i="3"/>
  <c r="Q61" i="3"/>
  <c r="Q305" i="3"/>
  <c r="Q43" i="3"/>
  <c r="Q390" i="3"/>
  <c r="Q678" i="3"/>
  <c r="Q350" i="3"/>
  <c r="Q470" i="3"/>
  <c r="Q826" i="3"/>
  <c r="Q823" i="3"/>
  <c r="Q867" i="3"/>
  <c r="Q488" i="3"/>
  <c r="Q976" i="3"/>
  <c r="Q39" i="3"/>
  <c r="Q279" i="3"/>
  <c r="Q733" i="3"/>
  <c r="Q801" i="3"/>
  <c r="Q881" i="3"/>
  <c r="Q202" i="3"/>
  <c r="Q309" i="3"/>
  <c r="Q908" i="3"/>
  <c r="Q936" i="3"/>
  <c r="Q741" i="3"/>
  <c r="Q117" i="3"/>
  <c r="Q917" i="3"/>
  <c r="Q222" i="3"/>
  <c r="Q46" i="3"/>
  <c r="Q695" i="3"/>
  <c r="Q375" i="3"/>
  <c r="Q525" i="3"/>
  <c r="Q302" i="3"/>
  <c r="Q460" i="3"/>
  <c r="Q653" i="3"/>
  <c r="Q921" i="3"/>
  <c r="Q285" i="3"/>
  <c r="Q404" i="3"/>
  <c r="Q625" i="3"/>
  <c r="Q715" i="3"/>
  <c r="Q787" i="3"/>
  <c r="Q252" i="3"/>
  <c r="Q162" i="3"/>
  <c r="Q845" i="3"/>
  <c r="Q272" i="3"/>
  <c r="Q145" i="3"/>
  <c r="Q464" i="3"/>
  <c r="Q409" i="3"/>
  <c r="Q476" i="3"/>
  <c r="Q857" i="3"/>
  <c r="Q148" i="3"/>
  <c r="Q486" i="3"/>
  <c r="Q855" i="3"/>
  <c r="Q849" i="3"/>
  <c r="Q868" i="3"/>
  <c r="Q507" i="3"/>
  <c r="Q907" i="3"/>
  <c r="Q685" i="3"/>
  <c r="Q552" i="3"/>
  <c r="Q615" i="3"/>
  <c r="Q59" i="3"/>
  <c r="Q303" i="3"/>
  <c r="Q999" i="3"/>
  <c r="Q263" i="3"/>
  <c r="Q391" i="3"/>
  <c r="Q919" i="3"/>
  <c r="Q1001" i="3"/>
  <c r="Q334" i="3"/>
  <c r="Q594" i="3"/>
  <c r="Q638" i="3"/>
  <c r="Q237" i="3"/>
  <c r="Q911" i="3"/>
  <c r="Q472" i="3"/>
  <c r="Q927" i="3"/>
  <c r="Q482" i="3"/>
  <c r="Q481" i="3"/>
  <c r="Q670" i="3"/>
  <c r="Q284" i="3"/>
  <c r="Q648" i="3"/>
  <c r="Q605" i="3"/>
  <c r="Q892" i="3"/>
  <c r="Q357" i="3"/>
  <c r="Q533" i="3"/>
  <c r="Q239" i="3"/>
  <c r="Q593" i="3"/>
  <c r="Q952" i="3"/>
  <c r="Q918" i="3"/>
  <c r="Q763" i="3"/>
  <c r="Q863" i="3"/>
  <c r="Q196" i="3"/>
  <c r="Q614" i="3"/>
  <c r="Q895" i="3"/>
  <c r="Q962" i="3"/>
  <c r="Q621" i="3"/>
  <c r="Q28" i="3"/>
  <c r="Q640" i="3"/>
  <c r="Q126" i="3"/>
  <c r="Q647" i="3"/>
  <c r="Q551" i="3"/>
  <c r="Q577" i="3"/>
  <c r="Q861" i="3"/>
  <c r="Q961" i="3"/>
  <c r="Q306" i="3"/>
  <c r="Q261" i="3"/>
  <c r="Q580" i="3"/>
  <c r="Q539" i="3"/>
  <c r="Q403" i="3"/>
  <c r="Q655" i="3"/>
  <c r="Q478" i="3"/>
  <c r="Q600" i="3"/>
  <c r="Q762" i="3"/>
  <c r="Q362" i="3"/>
  <c r="Q878" i="3"/>
  <c r="Q831" i="3"/>
  <c r="Q254" i="3"/>
  <c r="Q689" i="3"/>
  <c r="Q245" i="3"/>
  <c r="Q707" i="3"/>
  <c r="Q574" i="3"/>
  <c r="Q322" i="3"/>
  <c r="T531" i="3" l="1"/>
  <c r="T54" i="3"/>
  <c r="T196" i="3"/>
  <c r="T299" i="3"/>
  <c r="T950" i="3"/>
  <c r="T552" i="3"/>
  <c r="T565" i="3"/>
  <c r="T263" i="3"/>
  <c r="T215" i="3"/>
  <c r="T637" i="3"/>
  <c r="T947" i="3"/>
  <c r="T177" i="3"/>
  <c r="T973" i="3"/>
  <c r="T234" i="3"/>
  <c r="T720" i="3"/>
  <c r="T90" i="3"/>
  <c r="T279" i="3"/>
  <c r="U117" i="3"/>
  <c r="R409" i="3"/>
  <c r="R662" i="3"/>
  <c r="R499" i="3"/>
  <c r="V499" i="3" s="1"/>
  <c r="R593" i="3"/>
  <c r="R235" i="3"/>
  <c r="R317" i="3"/>
  <c r="R695" i="3"/>
  <c r="R877" i="3"/>
  <c r="R651" i="3"/>
  <c r="R599" i="3"/>
  <c r="R254" i="3"/>
  <c r="R693" i="3"/>
  <c r="R531" i="3"/>
  <c r="R70" i="3"/>
  <c r="V70" i="3" s="1"/>
  <c r="R382" i="3"/>
  <c r="R307" i="3"/>
  <c r="R865" i="3"/>
  <c r="R755" i="3"/>
  <c r="R349" i="3"/>
  <c r="R631" i="3"/>
  <c r="R488" i="3"/>
  <c r="R337" i="3"/>
  <c r="R47" i="3"/>
  <c r="R617" i="3"/>
  <c r="R569" i="3"/>
  <c r="R131" i="3"/>
  <c r="R996" i="3"/>
  <c r="V997" i="3" s="1"/>
  <c r="R164" i="3"/>
  <c r="R438" i="3"/>
  <c r="V438" i="3" s="1"/>
  <c r="R792" i="3"/>
  <c r="R557" i="3"/>
  <c r="V557" i="3" s="1"/>
  <c r="R927" i="3"/>
  <c r="V927" i="3" s="1"/>
  <c r="R795" i="3"/>
  <c r="R165" i="3"/>
  <c r="R823" i="3"/>
  <c r="R514" i="3"/>
  <c r="R101" i="3"/>
  <c r="R304" i="3"/>
  <c r="R218" i="3"/>
  <c r="R964" i="3"/>
  <c r="R385" i="3"/>
  <c r="R901" i="3"/>
  <c r="R237" i="3"/>
  <c r="R255" i="3"/>
  <c r="R859" i="3"/>
  <c r="R723" i="3"/>
  <c r="R9" i="3"/>
  <c r="R799" i="3"/>
  <c r="V799" i="3" s="1"/>
  <c r="R578" i="3"/>
  <c r="R957" i="3"/>
  <c r="R257" i="3"/>
  <c r="R256" i="3"/>
  <c r="R876" i="3"/>
  <c r="R824" i="3"/>
  <c r="R194" i="3"/>
  <c r="R340" i="3"/>
  <c r="R896" i="3"/>
  <c r="R128" i="3"/>
  <c r="R178" i="3"/>
  <c r="R319" i="3"/>
  <c r="R717" i="3"/>
  <c r="R728" i="3"/>
  <c r="R909" i="3"/>
  <c r="R733" i="3"/>
  <c r="V734" i="3" s="1"/>
  <c r="R522" i="3"/>
  <c r="R107" i="3"/>
  <c r="R661" i="3"/>
  <c r="R881" i="3"/>
  <c r="R794" i="3"/>
  <c r="R746" i="3"/>
  <c r="R442" i="3"/>
  <c r="R352" i="3"/>
  <c r="V353" i="3" s="1"/>
  <c r="R28" i="3"/>
  <c r="R783" i="3"/>
  <c r="R827" i="3"/>
  <c r="R316" i="3"/>
  <c r="R668" i="3"/>
  <c r="R310" i="3"/>
  <c r="R228" i="3"/>
  <c r="R625" i="3"/>
  <c r="R329" i="3"/>
  <c r="R520" i="3"/>
  <c r="Q971" i="3"/>
  <c r="U972" i="3" s="1"/>
  <c r="Q874" i="3"/>
  <c r="Q158" i="3"/>
  <c r="Q561" i="3"/>
  <c r="U561" i="3" s="1"/>
  <c r="Q705" i="3"/>
  <c r="U705" i="3" s="1"/>
  <c r="Q22" i="3"/>
  <c r="U23" i="3" s="1"/>
  <c r="Q169" i="3"/>
  <c r="U169" i="3" s="1"/>
  <c r="Q3" i="3"/>
  <c r="Q851" i="3"/>
  <c r="Q969" i="3"/>
  <c r="Q234" i="3"/>
  <c r="Q19" i="3"/>
  <c r="Q335" i="3"/>
  <c r="U335" i="3" s="1"/>
  <c r="Q847" i="3"/>
  <c r="Q632" i="3"/>
  <c r="U632" i="3" s="1"/>
  <c r="Q57" i="3"/>
  <c r="U57" i="3" s="1"/>
  <c r="Q243" i="3"/>
  <c r="Q113" i="3"/>
  <c r="Q364" i="3"/>
  <c r="Q361" i="3"/>
  <c r="U361" i="3" s="1"/>
  <c r="Q998" i="3"/>
  <c r="U999" i="3" s="1"/>
  <c r="Q873" i="3"/>
  <c r="Q729" i="3"/>
  <c r="Q711" i="3"/>
  <c r="Q477" i="3"/>
  <c r="U478" i="3" s="1"/>
  <c r="Q996" i="3"/>
  <c r="Q304" i="3"/>
  <c r="U304" i="3" s="1"/>
  <c r="Q445" i="3"/>
  <c r="R435" i="3"/>
  <c r="V436" i="3" s="1"/>
  <c r="R892" i="3"/>
  <c r="R883" i="3"/>
  <c r="R655" i="3"/>
  <c r="R972" i="3"/>
  <c r="R703" i="3"/>
  <c r="R39" i="3"/>
  <c r="R156" i="3"/>
  <c r="R396" i="3"/>
  <c r="R925" i="3"/>
  <c r="V926" i="3" s="1"/>
  <c r="R88" i="3"/>
  <c r="R501" i="3"/>
  <c r="R213" i="3"/>
  <c r="R424" i="3"/>
  <c r="V534" i="3"/>
  <c r="R943" i="3"/>
  <c r="R137" i="3"/>
  <c r="R241" i="3"/>
  <c r="R748" i="3"/>
  <c r="R240" i="3"/>
  <c r="R278" i="3"/>
  <c r="R834" i="3"/>
  <c r="R300" i="3"/>
  <c r="R706" i="3"/>
  <c r="R882" i="3"/>
  <c r="R774" i="3"/>
  <c r="R233" i="3"/>
  <c r="R747" i="3"/>
  <c r="R57" i="3"/>
  <c r="R439" i="3"/>
  <c r="R656" i="3"/>
  <c r="R535" i="3"/>
  <c r="V535" i="3" s="1"/>
  <c r="R968" i="3"/>
  <c r="R199" i="3"/>
  <c r="V199" i="3" s="1"/>
  <c r="R41" i="3"/>
  <c r="R21" i="3"/>
  <c r="R479" i="3"/>
  <c r="R673" i="3"/>
  <c r="R207" i="3"/>
  <c r="R775" i="3"/>
  <c r="U600" i="3"/>
  <c r="R659" i="3"/>
  <c r="R247" i="3"/>
  <c r="R263" i="3"/>
  <c r="Q393" i="3"/>
  <c r="Q761" i="3"/>
  <c r="U762" i="3" s="1"/>
  <c r="Q325" i="3"/>
  <c r="U325" i="3" s="1"/>
  <c r="Q432" i="3"/>
  <c r="Q587" i="3"/>
  <c r="U588" i="3" s="1"/>
  <c r="Q436" i="3"/>
  <c r="Q802" i="3"/>
  <c r="Q713" i="3"/>
  <c r="Q337" i="3"/>
  <c r="Q856" i="3"/>
  <c r="U856" i="3" s="1"/>
  <c r="R231" i="3"/>
  <c r="Q484" i="3"/>
  <c r="U485" i="3" s="1"/>
  <c r="R602" i="3"/>
  <c r="R992" i="3"/>
  <c r="Q101" i="3"/>
  <c r="R768" i="3"/>
  <c r="Q859" i="3"/>
  <c r="Q120" i="3"/>
  <c r="Q509" i="3"/>
  <c r="Q499" i="3"/>
  <c r="Q291" i="3"/>
  <c r="U291" i="3" s="1"/>
  <c r="Q139" i="3"/>
  <c r="Q355" i="3"/>
  <c r="U355" i="3" s="1"/>
  <c r="Q127" i="3"/>
  <c r="U127" i="3" s="1"/>
  <c r="Q228" i="3"/>
  <c r="U228" i="3" s="1"/>
  <c r="Q258" i="3"/>
  <c r="U258" i="3" s="1"/>
  <c r="Q606" i="3"/>
  <c r="U606" i="3" s="1"/>
  <c r="Q474" i="3"/>
  <c r="U474" i="3" s="1"/>
  <c r="Q516" i="3"/>
  <c r="U517" i="3" s="1"/>
  <c r="Q645" i="3"/>
  <c r="Q708" i="3"/>
  <c r="U708" i="3" s="1"/>
  <c r="Q757" i="3"/>
  <c r="Q768" i="3"/>
  <c r="Q858" i="3"/>
  <c r="U858" i="3" s="1"/>
  <c r="R889" i="3"/>
  <c r="R868" i="3"/>
  <c r="R64" i="3"/>
  <c r="R243" i="3"/>
  <c r="R497" i="3"/>
  <c r="V498" i="3" s="1"/>
  <c r="R481" i="3"/>
  <c r="R764" i="3"/>
  <c r="R148" i="3"/>
  <c r="R350" i="3"/>
  <c r="R461" i="3"/>
  <c r="R696" i="3"/>
  <c r="R378" i="3"/>
  <c r="R201" i="3"/>
  <c r="R110" i="3"/>
  <c r="R335" i="3"/>
  <c r="R620" i="3"/>
  <c r="R643" i="3"/>
  <c r="R367" i="3"/>
  <c r="R630" i="3"/>
  <c r="R486" i="3"/>
  <c r="R250" i="3"/>
  <c r="R657" i="3"/>
  <c r="R772" i="3"/>
  <c r="R144" i="3"/>
  <c r="R930" i="3"/>
  <c r="V931" i="3" s="1"/>
  <c r="R837" i="3"/>
  <c r="R851" i="3"/>
  <c r="R908" i="3"/>
  <c r="R847" i="3"/>
  <c r="R608" i="3"/>
  <c r="V608" i="3" s="1"/>
  <c r="R219" i="3"/>
  <c r="R974" i="3"/>
  <c r="R873" i="3"/>
  <c r="R220" i="3"/>
  <c r="R648" i="3"/>
  <c r="R727" i="3"/>
  <c r="R606" i="3"/>
  <c r="V607" i="3" s="1"/>
  <c r="R17" i="3"/>
  <c r="R463" i="3"/>
  <c r="R757" i="3"/>
  <c r="R420" i="3"/>
  <c r="R517" i="3"/>
  <c r="R22" i="3"/>
  <c r="R125" i="3"/>
  <c r="R993" i="3"/>
  <c r="R900" i="3"/>
  <c r="R55" i="3"/>
  <c r="R123" i="3"/>
  <c r="R432" i="3"/>
  <c r="R644" i="3"/>
  <c r="R973" i="3"/>
  <c r="R807" i="3"/>
  <c r="R363" i="3"/>
  <c r="R460" i="3"/>
  <c r="R542" i="3"/>
  <c r="R320" i="3"/>
  <c r="R642" i="3"/>
  <c r="R443" i="3"/>
  <c r="R861" i="3"/>
  <c r="R848" i="3"/>
  <c r="R362" i="3"/>
  <c r="R767" i="3"/>
  <c r="R384" i="3"/>
  <c r="R681" i="3"/>
  <c r="R536" i="3"/>
  <c r="R269" i="3"/>
  <c r="R591" i="3"/>
  <c r="R86" i="3"/>
  <c r="R770" i="3"/>
  <c r="R751" i="3"/>
  <c r="R136" i="3"/>
  <c r="R782" i="3"/>
  <c r="R941" i="3"/>
  <c r="R251" i="3"/>
  <c r="R572" i="3"/>
  <c r="R571" i="3"/>
  <c r="R294" i="3"/>
  <c r="R221" i="3"/>
  <c r="R56" i="3"/>
  <c r="R399" i="3"/>
  <c r="R260" i="3"/>
  <c r="R273" i="3"/>
  <c r="R902" i="3"/>
  <c r="R473" i="3"/>
  <c r="R515" i="3"/>
  <c r="R288" i="3"/>
  <c r="R6" i="3"/>
  <c r="R887" i="3"/>
  <c r="V887" i="3" s="1"/>
  <c r="R374" i="3"/>
  <c r="R950" i="3"/>
  <c r="R52" i="3"/>
  <c r="R249" i="3"/>
  <c r="R95" i="3"/>
  <c r="R603" i="3"/>
  <c r="R667" i="3"/>
  <c r="R338" i="3"/>
  <c r="R544" i="3"/>
  <c r="R649" i="3"/>
  <c r="R109" i="3"/>
  <c r="R298" i="3"/>
  <c r="R208" i="3"/>
  <c r="R1001" i="3"/>
  <c r="R456" i="3"/>
  <c r="R203" i="3"/>
  <c r="R817" i="3"/>
  <c r="R160" i="3"/>
  <c r="R343" i="3"/>
  <c r="R691" i="3"/>
  <c r="R653" i="3"/>
  <c r="R586" i="3"/>
  <c r="R121" i="3"/>
  <c r="R838" i="3"/>
  <c r="R29" i="3"/>
  <c r="R918" i="3"/>
  <c r="R793" i="3"/>
  <c r="R921" i="3"/>
  <c r="R565" i="3"/>
  <c r="R740" i="3"/>
  <c r="R186" i="3"/>
  <c r="R583" i="3"/>
  <c r="R60" i="3"/>
  <c r="R609" i="3"/>
  <c r="R58" i="3"/>
  <c r="R193" i="3"/>
  <c r="R212" i="3"/>
  <c r="R920" i="3"/>
  <c r="R287" i="3"/>
  <c r="R267" i="3"/>
  <c r="R524" i="3"/>
  <c r="R660" i="3"/>
  <c r="R65" i="3"/>
  <c r="R44" i="3"/>
  <c r="V45" i="3" s="1"/>
  <c r="R407" i="3"/>
  <c r="R760" i="3"/>
  <c r="R202" i="3"/>
  <c r="R153" i="3"/>
  <c r="R285" i="3"/>
  <c r="R639" i="3"/>
  <c r="R210" i="3"/>
  <c r="R872" i="3"/>
  <c r="R710" i="3"/>
  <c r="V711" i="3" s="1"/>
  <c r="R791" i="3"/>
  <c r="R840" i="3"/>
  <c r="R869" i="3"/>
  <c r="R564" i="3"/>
  <c r="R641" i="3"/>
  <c r="R627" i="3"/>
  <c r="R279" i="3"/>
  <c r="R852" i="3"/>
  <c r="R771" i="3"/>
  <c r="R428" i="3"/>
  <c r="R914" i="3"/>
  <c r="R211" i="3"/>
  <c r="R963" i="3"/>
  <c r="R724" i="3"/>
  <c r="R731" i="3"/>
  <c r="R50" i="3"/>
  <c r="R408" i="3"/>
  <c r="R292" i="3"/>
  <c r="R48" i="3"/>
  <c r="R388" i="3"/>
  <c r="R344" i="3"/>
  <c r="R978" i="3"/>
  <c r="R545" i="3"/>
  <c r="R559" i="3"/>
  <c r="R173" i="3"/>
  <c r="R562" i="3"/>
  <c r="R959" i="3"/>
  <c r="R286" i="3"/>
  <c r="R489" i="3"/>
  <c r="R828" i="3"/>
  <c r="R552" i="3"/>
  <c r="R615" i="3"/>
  <c r="R8" i="3"/>
  <c r="R739" i="3"/>
  <c r="V739" i="3" s="1"/>
  <c r="R638" i="3"/>
  <c r="R592" i="3"/>
  <c r="R821" i="3"/>
  <c r="R403" i="3"/>
  <c r="R678" i="3"/>
  <c r="R61" i="3"/>
  <c r="R594" i="3"/>
  <c r="R844" i="3"/>
  <c r="R229" i="3"/>
  <c r="R154" i="3"/>
  <c r="R245" i="3"/>
  <c r="R475" i="3"/>
  <c r="R422" i="3"/>
  <c r="R97" i="3"/>
  <c r="R806" i="3"/>
  <c r="R576" i="3"/>
  <c r="R539" i="3"/>
  <c r="R482" i="3"/>
  <c r="R526" i="3"/>
  <c r="R470" i="3"/>
  <c r="R984" i="3"/>
  <c r="R441" i="3"/>
  <c r="R113" i="3"/>
  <c r="R227" i="3"/>
  <c r="R863" i="3"/>
  <c r="R597" i="3"/>
  <c r="R43" i="3"/>
  <c r="R295" i="3"/>
  <c r="R258" i="3"/>
  <c r="R808" i="3"/>
  <c r="R445" i="3"/>
  <c r="R359" i="3"/>
  <c r="R282" i="3"/>
  <c r="R425" i="3"/>
  <c r="R91" i="3"/>
  <c r="R299" i="3"/>
  <c r="R805" i="3"/>
  <c r="R584" i="3"/>
  <c r="R725" i="3"/>
  <c r="R502" i="3"/>
  <c r="R472" i="3"/>
  <c r="R932" i="3"/>
  <c r="V932" i="3" s="1"/>
  <c r="R850" i="3"/>
  <c r="R509" i="3"/>
  <c r="R261" i="3"/>
  <c r="R490" i="3"/>
  <c r="R701" i="3"/>
  <c r="R879" i="3"/>
  <c r="R360" i="3"/>
  <c r="R766" i="3"/>
  <c r="V766" i="3" s="1"/>
  <c r="R923" i="3"/>
  <c r="R20" i="3"/>
  <c r="R563" i="3"/>
  <c r="R130" i="3"/>
  <c r="R910" i="3"/>
  <c r="R712" i="3"/>
  <c r="V712" i="3" s="1"/>
  <c r="R692" i="3"/>
  <c r="R989" i="3"/>
  <c r="V990" i="3" s="1"/>
  <c r="R413" i="3"/>
  <c r="R487" i="3"/>
  <c r="R754" i="3"/>
  <c r="R753" i="3"/>
  <c r="R147" i="3"/>
  <c r="R190" i="3"/>
  <c r="R867" i="3"/>
  <c r="R392" i="3"/>
  <c r="R769" i="3"/>
  <c r="R750" i="3"/>
  <c r="R90" i="3"/>
  <c r="R421" i="3"/>
  <c r="R411" i="3"/>
  <c r="R345" i="3"/>
  <c r="R796" i="3"/>
  <c r="R846" i="3"/>
  <c r="R985" i="3"/>
  <c r="R18" i="3"/>
  <c r="R242" i="3"/>
  <c r="V242" i="3" s="1"/>
  <c r="R575" i="3"/>
  <c r="R342" i="3"/>
  <c r="R512" i="3"/>
  <c r="R516" i="3"/>
  <c r="R302" i="3"/>
  <c r="R99" i="3"/>
  <c r="R333" i="3"/>
  <c r="R116" i="3"/>
  <c r="R464" i="3"/>
  <c r="R878" i="3"/>
  <c r="R871" i="3"/>
  <c r="R555" i="3"/>
  <c r="V556" i="3" s="1"/>
  <c r="R811" i="3"/>
  <c r="R570" i="3"/>
  <c r="R182" i="3"/>
  <c r="R234" i="3"/>
  <c r="R171" i="3"/>
  <c r="R455" i="3"/>
  <c r="R585" i="3"/>
  <c r="R836" i="3"/>
  <c r="R529" i="3"/>
  <c r="R395" i="3"/>
  <c r="R185" i="3"/>
  <c r="R577" i="3"/>
  <c r="R195" i="3"/>
  <c r="R331" i="3"/>
  <c r="R949" i="3"/>
  <c r="R600" i="3"/>
  <c r="R809" i="3"/>
  <c r="R78" i="3"/>
  <c r="R912" i="3"/>
  <c r="R960" i="3"/>
  <c r="R890" i="3"/>
  <c r="R629" i="3"/>
  <c r="R328" i="3"/>
  <c r="R63" i="3"/>
  <c r="R893" i="3"/>
  <c r="R915" i="3"/>
  <c r="R492" i="3"/>
  <c r="R854" i="3"/>
  <c r="V854" i="3" s="1"/>
  <c r="R623" i="3"/>
  <c r="R132" i="3"/>
  <c r="R671" i="3"/>
  <c r="R745" i="3"/>
  <c r="R986" i="3"/>
  <c r="R988" i="3"/>
  <c r="R444" i="3"/>
  <c r="R462" i="3"/>
  <c r="R513" i="3"/>
  <c r="R176" i="3"/>
  <c r="R830" i="3"/>
  <c r="R825" i="3"/>
  <c r="R303" i="3"/>
  <c r="R74" i="3"/>
  <c r="R674" i="3"/>
  <c r="R977" i="3"/>
  <c r="R275" i="3"/>
  <c r="R778" i="3"/>
  <c r="R541" i="3"/>
  <c r="R7" i="3"/>
  <c r="R587" i="3"/>
  <c r="R469" i="3"/>
  <c r="R880" i="3"/>
  <c r="R669" i="3"/>
  <c r="R722" i="3"/>
  <c r="R919" i="3"/>
  <c r="V919" i="3" s="1"/>
  <c r="R626" i="3"/>
  <c r="R682" i="3"/>
  <c r="R266" i="3"/>
  <c r="R370" i="3"/>
  <c r="R474" i="3"/>
  <c r="R84" i="3"/>
  <c r="R76" i="3"/>
  <c r="R633" i="3"/>
  <c r="R98" i="3"/>
  <c r="R414" i="3"/>
  <c r="R763" i="3"/>
  <c r="R550" i="3"/>
  <c r="R967" i="3"/>
  <c r="R223" i="3"/>
  <c r="R330" i="3"/>
  <c r="R645" i="3"/>
  <c r="R790" i="3"/>
  <c r="R271" i="3"/>
  <c r="R835" i="3"/>
  <c r="R404" i="3"/>
  <c r="R390" i="3"/>
  <c r="R654" i="3"/>
  <c r="R277" i="3"/>
  <c r="R845" i="3"/>
  <c r="R364" i="3"/>
  <c r="R89" i="3"/>
  <c r="R685" i="3"/>
  <c r="R857" i="3"/>
  <c r="R803" i="3"/>
  <c r="R37" i="3"/>
  <c r="V37" i="3" s="1"/>
  <c r="R394" i="3"/>
  <c r="R289" i="3"/>
  <c r="R480" i="3"/>
  <c r="R652" i="3"/>
  <c r="R318" i="3"/>
  <c r="R899" i="3"/>
  <c r="R4" i="3"/>
  <c r="R114" i="3"/>
  <c r="R802" i="3"/>
  <c r="R976" i="3"/>
  <c r="R244" i="3"/>
  <c r="R308" i="3"/>
  <c r="R386" i="3"/>
  <c r="R975" i="3"/>
  <c r="R888" i="3"/>
  <c r="R849" i="3"/>
  <c r="R281" i="3"/>
  <c r="R595" i="3"/>
  <c r="R820" i="3"/>
  <c r="R12" i="3"/>
  <c r="R187" i="3"/>
  <c r="R916" i="3"/>
  <c r="R398" i="3"/>
  <c r="R112" i="3"/>
  <c r="R181" i="3"/>
  <c r="R376" i="3"/>
  <c r="R530" i="3"/>
  <c r="R688" i="3"/>
  <c r="R265" i="3"/>
  <c r="R168" i="3"/>
  <c r="R146" i="3"/>
  <c r="R402" i="3"/>
  <c r="R635" i="3"/>
  <c r="R138" i="3"/>
  <c r="R947" i="3"/>
  <c r="R66" i="3"/>
  <c r="R924" i="3"/>
  <c r="R604" i="3"/>
  <c r="R621" i="3"/>
  <c r="R961" i="3"/>
  <c r="R729" i="3"/>
  <c r="R953" i="3"/>
  <c r="R306" i="3"/>
  <c r="R192" i="3"/>
  <c r="R13" i="3"/>
  <c r="R708" i="3"/>
  <c r="R690" i="3"/>
  <c r="R459" i="3"/>
  <c r="R525" i="3"/>
  <c r="R158" i="3"/>
  <c r="R680" i="3"/>
  <c r="R590" i="3"/>
  <c r="V590" i="3" s="1"/>
  <c r="R616" i="3"/>
  <c r="R981" i="3"/>
  <c r="R232" i="3"/>
  <c r="R598" i="3"/>
  <c r="R758" i="3"/>
  <c r="R239" i="3"/>
  <c r="R230" i="3"/>
  <c r="R816" i="3"/>
  <c r="R658" i="3"/>
  <c r="R236" i="3"/>
  <c r="R898" i="3"/>
  <c r="R155" i="3"/>
  <c r="R305" i="3"/>
  <c r="R204" i="3"/>
  <c r="R730" i="3"/>
  <c r="R115" i="3"/>
  <c r="R841" i="3"/>
  <c r="R35" i="3"/>
  <c r="V35" i="3" s="1"/>
  <c r="R23" i="3"/>
  <c r="R610" i="3"/>
  <c r="R913" i="3"/>
  <c r="R264" i="3"/>
  <c r="R79" i="3"/>
  <c r="R700" i="3"/>
  <c r="R554" i="3"/>
  <c r="R954" i="3"/>
  <c r="R686" i="3"/>
  <c r="R956" i="3"/>
  <c r="R496" i="3"/>
  <c r="R636" i="3"/>
  <c r="R270" i="3"/>
  <c r="R906" i="3"/>
  <c r="R622" i="3"/>
  <c r="R180" i="3"/>
  <c r="R174" i="3"/>
  <c r="R274" i="3"/>
  <c r="R253" i="3"/>
  <c r="R14" i="3"/>
  <c r="R646" i="3"/>
  <c r="R133" i="3"/>
  <c r="R415" i="3"/>
  <c r="R979" i="3"/>
  <c r="R447" i="3"/>
  <c r="R427" i="3"/>
  <c r="R573" i="3"/>
  <c r="R532" i="3"/>
  <c r="R511" i="3"/>
  <c r="R73" i="3"/>
  <c r="R732" i="3"/>
  <c r="R357" i="3"/>
  <c r="R519" i="3"/>
  <c r="R127" i="3"/>
  <c r="R334" i="3"/>
  <c r="R314" i="3"/>
  <c r="R332" i="3"/>
  <c r="R632" i="3"/>
  <c r="R170" i="3"/>
  <c r="R16" i="3"/>
  <c r="V17" i="3" s="1"/>
  <c r="R296" i="3"/>
  <c r="R560" i="3"/>
  <c r="R510" i="3"/>
  <c r="R30" i="3"/>
  <c r="R397" i="3"/>
  <c r="R929" i="3"/>
  <c r="R484" i="3"/>
  <c r="R225" i="3"/>
  <c r="R276" i="3"/>
  <c r="R937" i="3"/>
  <c r="R875" i="3"/>
  <c r="R418" i="3"/>
  <c r="R93" i="3"/>
  <c r="R401" i="3"/>
  <c r="R928" i="3"/>
  <c r="R716" i="3"/>
  <c r="R546" i="3"/>
  <c r="R955" i="3"/>
  <c r="R718" i="3"/>
  <c r="R51" i="3"/>
  <c r="R191" i="3"/>
  <c r="R122" i="3"/>
  <c r="R111" i="3"/>
  <c r="R476" i="3"/>
  <c r="R393" i="3"/>
  <c r="R477" i="3"/>
  <c r="R38" i="3"/>
  <c r="R354" i="3"/>
  <c r="V354" i="3" s="1"/>
  <c r="R361" i="3"/>
  <c r="R108" i="3"/>
  <c r="R936" i="3"/>
  <c r="V936" i="3" s="1"/>
  <c r="R284" i="3"/>
  <c r="R206" i="3"/>
  <c r="R980" i="3"/>
  <c r="R614" i="3"/>
  <c r="R412" i="3"/>
  <c r="R368" i="3"/>
  <c r="R440" i="3"/>
  <c r="R666" i="3"/>
  <c r="R49" i="3"/>
  <c r="R561" i="3"/>
  <c r="R580" i="3"/>
  <c r="R942" i="3"/>
  <c r="R831" i="3"/>
  <c r="R172" i="3"/>
  <c r="R736" i="3"/>
  <c r="R538" i="3"/>
  <c r="V538" i="3" s="1"/>
  <c r="R983" i="3"/>
  <c r="R493" i="3"/>
  <c r="R689" i="3"/>
  <c r="R291" i="3"/>
  <c r="R355" i="3"/>
  <c r="R371" i="3"/>
  <c r="R450" i="3"/>
  <c r="R715" i="3"/>
  <c r="R406" i="3"/>
  <c r="R874" i="3"/>
  <c r="R787" i="3"/>
  <c r="R952" i="3"/>
  <c r="R779" i="3"/>
  <c r="R346" i="3"/>
  <c r="R313" i="3"/>
  <c r="V313" i="3" s="1"/>
  <c r="R618" i="3"/>
  <c r="R543" i="3"/>
  <c r="R3" i="3"/>
  <c r="R72" i="3"/>
  <c r="R547" i="3"/>
  <c r="R248" i="3"/>
  <c r="R188" i="3"/>
  <c r="R383" i="3"/>
  <c r="R637" i="3"/>
  <c r="R842" i="3"/>
  <c r="R1002" i="3"/>
  <c r="R665" i="3"/>
  <c r="R726" i="3"/>
  <c r="R891" i="3"/>
  <c r="R895" i="3"/>
  <c r="R252" i="3"/>
  <c r="R5" i="3"/>
  <c r="R140" i="3"/>
  <c r="R366" i="3"/>
  <c r="R326" i="3"/>
  <c r="R940" i="3"/>
  <c r="R262" i="3"/>
  <c r="R457" i="3"/>
  <c r="R839" i="3"/>
  <c r="R129" i="3"/>
  <c r="R157" i="3"/>
  <c r="R605" i="3"/>
  <c r="R297" i="3"/>
  <c r="R124" i="3"/>
  <c r="R92" i="3"/>
  <c r="R448" i="3"/>
  <c r="R856" i="3"/>
  <c r="U512" i="3"/>
  <c r="R679" i="3"/>
  <c r="R567" i="3"/>
  <c r="V567" i="3" s="1"/>
  <c r="R922" i="3"/>
  <c r="R780" i="3"/>
  <c r="R485" i="3"/>
  <c r="R970" i="3"/>
  <c r="R810" i="3"/>
  <c r="R478" i="3"/>
  <c r="R855" i="3"/>
  <c r="R911" i="3"/>
  <c r="R83" i="3"/>
  <c r="R315" i="3"/>
  <c r="R184" i="3"/>
  <c r="R647" i="3"/>
  <c r="R650" i="3"/>
  <c r="R634" i="3"/>
  <c r="R946" i="3"/>
  <c r="R417" i="3"/>
  <c r="R426" i="3"/>
  <c r="R579" i="3"/>
  <c r="R26" i="3"/>
  <c r="V26" i="3" s="1"/>
  <c r="R152" i="3"/>
  <c r="R10" i="3"/>
  <c r="R32" i="3"/>
  <c r="V32" i="3" s="1"/>
  <c r="R508" i="3"/>
  <c r="R819" i="3"/>
  <c r="R400" i="3"/>
  <c r="R177" i="3"/>
  <c r="R149" i="3"/>
  <c r="R815" i="3"/>
  <c r="R452" i="3"/>
  <c r="R81" i="3"/>
  <c r="R433" i="3"/>
  <c r="R205" i="3"/>
  <c r="R495" i="3"/>
  <c r="R628" i="3"/>
  <c r="R336" i="3"/>
  <c r="R788" i="3"/>
  <c r="Q176" i="3"/>
  <c r="Q214" i="3"/>
  <c r="Q789" i="3"/>
  <c r="Q541" i="3"/>
  <c r="Q491" i="3"/>
  <c r="Q712" i="3"/>
  <c r="Q224" i="3"/>
  <c r="U224" i="3" s="1"/>
  <c r="Q394" i="3"/>
  <c r="U395" i="3" s="1"/>
  <c r="Q195" i="3"/>
  <c r="Q53" i="3"/>
  <c r="Q323" i="3"/>
  <c r="Q764" i="3"/>
  <c r="U764" i="3" s="1"/>
  <c r="Q914" i="3"/>
  <c r="Q576" i="3"/>
  <c r="U577" i="3" s="1"/>
  <c r="Q659" i="3"/>
  <c r="Q829" i="3"/>
  <c r="Q32" i="3"/>
  <c r="U32" i="3" s="1"/>
  <c r="Q788" i="3"/>
  <c r="Q402" i="3"/>
  <c r="Q667" i="3"/>
  <c r="U667" i="3" s="1"/>
  <c r="Q613" i="3"/>
  <c r="U614" i="3" s="1"/>
  <c r="Q365" i="3"/>
  <c r="Q772" i="3"/>
  <c r="U772" i="3" s="1"/>
  <c r="Q298" i="3"/>
  <c r="U298" i="3" s="1"/>
  <c r="Q475" i="3"/>
  <c r="U476" i="3" s="1"/>
  <c r="Q746" i="3"/>
  <c r="Q672" i="3"/>
  <c r="Q233" i="3"/>
  <c r="Q494" i="3"/>
  <c r="Q883" i="3"/>
  <c r="U883" i="3" s="1"/>
  <c r="Q280" i="3"/>
  <c r="U280" i="3" s="1"/>
  <c r="Q134" i="3"/>
  <c r="Q960" i="3"/>
  <c r="U961" i="3" s="1"/>
  <c r="Q710" i="3"/>
  <c r="Q301" i="3"/>
  <c r="U302" i="3" s="1"/>
  <c r="Q188" i="3"/>
  <c r="Q329" i="3"/>
  <c r="U329" i="3" s="1"/>
  <c r="Q386" i="3"/>
  <c r="Q718" i="3"/>
  <c r="Q739" i="3"/>
  <c r="U739" i="3" s="1"/>
  <c r="Q656" i="3"/>
  <c r="Q47" i="3"/>
  <c r="Q459" i="3"/>
  <c r="U459" i="3" s="1"/>
  <c r="Q384" i="3"/>
  <c r="Q125" i="3"/>
  <c r="U126" i="3" s="1"/>
  <c r="Q283" i="3"/>
  <c r="Q90" i="3"/>
  <c r="Q800" i="3"/>
  <c r="Q146" i="3"/>
  <c r="U146" i="3" s="1"/>
  <c r="Q407" i="3"/>
  <c r="Q266" i="3"/>
  <c r="Q608" i="3"/>
  <c r="U609" i="3" s="1"/>
  <c r="Q965" i="3"/>
  <c r="Q546" i="3"/>
  <c r="Q947" i="3"/>
  <c r="Q54" i="3"/>
  <c r="Q281" i="3"/>
  <c r="Q854" i="3"/>
  <c r="Q524" i="3"/>
  <c r="Q505" i="3"/>
  <c r="U505" i="3" s="1"/>
  <c r="Q923" i="3"/>
  <c r="U924" i="3" s="1"/>
  <c r="Q596" i="3"/>
  <c r="U596" i="3" s="1"/>
  <c r="Q724" i="3"/>
  <c r="Q778" i="3"/>
  <c r="U778" i="3" s="1"/>
  <c r="Q651" i="3"/>
  <c r="U652" i="3" s="1"/>
  <c r="Q315" i="3"/>
  <c r="Q582" i="3"/>
  <c r="Q894" i="3"/>
  <c r="U895" i="3" s="1"/>
  <c r="Q94" i="3"/>
  <c r="Q213" i="3"/>
  <c r="Q212" i="3"/>
  <c r="Q264" i="3"/>
  <c r="U264" i="3" s="1"/>
  <c r="Q983" i="3"/>
  <c r="U983" i="3" s="1"/>
  <c r="Q124" i="3"/>
  <c r="Q942" i="3"/>
  <c r="U942" i="3" s="1"/>
  <c r="Q211" i="3"/>
  <c r="Q989" i="3"/>
  <c r="Q601" i="3"/>
  <c r="U601" i="3" s="1"/>
  <c r="Q556" i="3"/>
  <c r="Q273" i="3"/>
  <c r="U273" i="3" s="1"/>
  <c r="Q468" i="3"/>
  <c r="Q317" i="3"/>
  <c r="Q62" i="3"/>
  <c r="U62" i="3" s="1"/>
  <c r="Q64" i="3"/>
  <c r="Q534" i="3"/>
  <c r="U534" i="3" s="1"/>
  <c r="Q193" i="3"/>
  <c r="Q165" i="3"/>
  <c r="U166" i="3" s="1"/>
  <c r="Q276" i="3"/>
  <c r="Q877" i="3"/>
  <c r="U877" i="3" s="1"/>
  <c r="Q318" i="3"/>
  <c r="U319" i="3" s="1"/>
  <c r="Q431" i="3"/>
  <c r="Q573" i="3"/>
  <c r="U574" i="3" s="1"/>
  <c r="Q313" i="3"/>
  <c r="Q519" i="3"/>
  <c r="Q978" i="3"/>
  <c r="Q565" i="3"/>
  <c r="Q775" i="3"/>
  <c r="U775" i="3" s="1"/>
  <c r="Q885" i="3"/>
  <c r="Q96" i="3"/>
  <c r="Q808" i="3"/>
  <c r="Q779" i="3"/>
  <c r="Q709" i="3"/>
  <c r="Q16" i="3"/>
  <c r="U17" i="3" s="1"/>
  <c r="Q796" i="3"/>
  <c r="Q358" i="3"/>
  <c r="Q575" i="3"/>
  <c r="Q425" i="3"/>
  <c r="Q333" i="3"/>
  <c r="U334" i="3" s="1"/>
  <c r="Q373" i="3"/>
  <c r="Q940" i="3"/>
  <c r="Q344" i="3"/>
  <c r="U345" i="3" s="1"/>
  <c r="Q100" i="3"/>
  <c r="Q194" i="3"/>
  <c r="Q693" i="3"/>
  <c r="Q462" i="3"/>
  <c r="Q886" i="3"/>
  <c r="Q891" i="3"/>
  <c r="U892" i="3" s="1"/>
  <c r="Q586" i="3"/>
  <c r="Q260" i="3"/>
  <c r="Q427" i="3"/>
  <c r="Q933" i="3"/>
  <c r="Q372" i="3"/>
  <c r="Q920" i="3"/>
  <c r="U920" i="3" s="1"/>
  <c r="Q247" i="3"/>
  <c r="U248" i="3" s="1"/>
  <c r="Q618" i="3"/>
  <c r="Q80" i="3"/>
  <c r="Q860" i="3"/>
  <c r="Q832" i="3"/>
  <c r="U832" i="3" s="1"/>
  <c r="Q570" i="3"/>
  <c r="U570" i="3" s="1"/>
  <c r="Q532" i="3"/>
  <c r="Q461" i="3"/>
  <c r="U461" i="3" s="1"/>
  <c r="Q121" i="3"/>
  <c r="Q523" i="3"/>
  <c r="U523" i="3" s="1"/>
  <c r="Q434" i="3"/>
  <c r="Q872" i="3"/>
  <c r="Q758" i="3"/>
  <c r="Q743" i="3"/>
  <c r="Q813" i="3"/>
  <c r="Q990" i="3"/>
  <c r="Q271" i="3"/>
  <c r="U272" i="3" s="1"/>
  <c r="Q692" i="3"/>
  <c r="Q45" i="3"/>
  <c r="Q681" i="3"/>
  <c r="Q456" i="3"/>
  <c r="U457" i="3" s="1"/>
  <c r="Q24" i="3"/>
  <c r="U24" i="3" s="1"/>
  <c r="Q81" i="3"/>
  <c r="Q755" i="3"/>
  <c r="U755" i="3" s="1"/>
  <c r="Q722" i="3"/>
  <c r="Q21" i="3"/>
  <c r="Q731" i="3"/>
  <c r="Q236" i="3"/>
  <c r="U237" i="3" s="1"/>
  <c r="Q164" i="3"/>
  <c r="U164" i="3" s="1"/>
  <c r="Q433" i="3"/>
  <c r="Q154" i="3"/>
  <c r="Q627" i="3"/>
  <c r="Q694" i="3"/>
  <c r="U695" i="3" s="1"/>
  <c r="Q938" i="3"/>
  <c r="Q1002" i="3"/>
  <c r="U1002" i="3" s="1"/>
  <c r="Q469" i="3"/>
  <c r="Q378" i="3"/>
  <c r="Q382" i="3"/>
  <c r="U383" i="3" s="1"/>
  <c r="Q589" i="3"/>
  <c r="U589" i="3" s="1"/>
  <c r="Q110" i="3"/>
  <c r="Q535" i="3"/>
  <c r="U536" i="3" s="1"/>
  <c r="Q543" i="3"/>
  <c r="Q286" i="3"/>
  <c r="U286" i="3" s="1"/>
  <c r="Q58" i="3"/>
  <c r="Q603" i="3"/>
  <c r="Q776" i="3"/>
  <c r="Q804" i="3"/>
  <c r="Q567" i="3"/>
  <c r="U567" i="3" s="1"/>
  <c r="Q70" i="3"/>
  <c r="Q943" i="3"/>
  <c r="Q865" i="3"/>
  <c r="U866" i="3" s="1"/>
  <c r="Q408" i="3"/>
  <c r="U409" i="3" s="1"/>
  <c r="Q229" i="3"/>
  <c r="U230" i="3" s="1"/>
  <c r="Q389" i="3"/>
  <c r="U390" i="3" s="1"/>
  <c r="Q626" i="3"/>
  <c r="U626" i="3" s="1"/>
  <c r="Q406" i="3"/>
  <c r="Q735" i="3"/>
  <c r="U736" i="3" s="1"/>
  <c r="Q664" i="3"/>
  <c r="Q742" i="3"/>
  <c r="U742" i="3" s="1"/>
  <c r="Q620" i="3"/>
  <c r="U621" i="3" s="1"/>
  <c r="Q423" i="3"/>
  <c r="Q123" i="3"/>
  <c r="Q367" i="3"/>
  <c r="Q584" i="3"/>
  <c r="Q781" i="3"/>
  <c r="Q979" i="3"/>
  <c r="Q810" i="3"/>
  <c r="Q967" i="3"/>
  <c r="Q662" i="3"/>
  <c r="Q312" i="3"/>
  <c r="Q563" i="3"/>
  <c r="Q993" i="3"/>
  <c r="Q412" i="3"/>
  <c r="Q944" i="3"/>
  <c r="Q275" i="3"/>
  <c r="Q37" i="3"/>
  <c r="Q144" i="3"/>
  <c r="Q880" i="3"/>
  <c r="Q888" i="3"/>
  <c r="Q277" i="3"/>
  <c r="Q628" i="3"/>
  <c r="U629" i="3" s="1"/>
  <c r="Q521" i="3"/>
  <c r="Q293" i="3"/>
  <c r="Q639" i="3"/>
  <c r="U640" i="3" s="1"/>
  <c r="Q598" i="3"/>
  <c r="U599" i="3" s="1"/>
  <c r="Q932" i="3"/>
  <c r="U932" i="3" s="1"/>
  <c r="Q798" i="3"/>
  <c r="Q767" i="3"/>
  <c r="Q26" i="3"/>
  <c r="Q191" i="3"/>
  <c r="U191" i="3" s="1"/>
  <c r="Q399" i="3"/>
  <c r="U400" i="3" s="1"/>
  <c r="Q723" i="3"/>
  <c r="Q542" i="3"/>
  <c r="Q338" i="3"/>
  <c r="Q50" i="3"/>
  <c r="U51" i="3" s="1"/>
  <c r="Q192" i="3"/>
  <c r="Q55" i="3"/>
  <c r="U56" i="3" s="1"/>
  <c r="Q963" i="3"/>
  <c r="U963" i="3" s="1"/>
  <c r="Q930" i="3"/>
  <c r="Q750" i="3"/>
  <c r="Q799" i="3"/>
  <c r="Q93" i="3"/>
  <c r="Q244" i="3"/>
  <c r="Q641" i="3"/>
  <c r="Q210" i="3"/>
  <c r="Q663" i="3"/>
  <c r="Q830" i="3"/>
  <c r="Q545" i="3"/>
  <c r="Q199" i="3"/>
  <c r="Q74" i="3"/>
  <c r="U74" i="3" s="1"/>
  <c r="Q846" i="3"/>
  <c r="U846" i="3" s="1"/>
  <c r="Q550" i="3"/>
  <c r="U550" i="3" s="1"/>
  <c r="Q769" i="3"/>
  <c r="Q792" i="3"/>
  <c r="Q703" i="3"/>
  <c r="Q827" i="3"/>
  <c r="U827" i="3" s="1"/>
  <c r="Q770" i="3"/>
  <c r="U771" i="3" s="1"/>
  <c r="Q786" i="3"/>
  <c r="U786" i="3" s="1"/>
  <c r="Q114" i="3"/>
  <c r="Q369" i="3"/>
  <c r="U370" i="3" s="1"/>
  <c r="Q896" i="3"/>
  <c r="U896" i="3" s="1"/>
  <c r="Q807" i="3"/>
  <c r="Q131" i="3"/>
  <c r="Q331" i="3"/>
  <c r="Q91" i="3"/>
  <c r="Q249" i="3"/>
  <c r="U249" i="3" s="1"/>
  <c r="Q314" i="3"/>
  <c r="Q330" i="3"/>
  <c r="Q353" i="3"/>
  <c r="Q85" i="3"/>
  <c r="Q811" i="3"/>
  <c r="Q217" i="3"/>
  <c r="Q994" i="3"/>
  <c r="Q377" i="3"/>
  <c r="Q416" i="3"/>
  <c r="Q268" i="3"/>
  <c r="Q299" i="3"/>
  <c r="Q153" i="3"/>
  <c r="U153" i="3" s="1"/>
  <c r="Q186" i="3"/>
  <c r="Q49" i="3"/>
  <c r="Q889" i="3"/>
  <c r="Q87" i="3"/>
  <c r="Q706" i="3"/>
  <c r="Q452" i="3"/>
  <c r="Q835" i="3"/>
  <c r="Q493" i="3"/>
  <c r="Q540" i="3"/>
  <c r="U540" i="3" s="1"/>
  <c r="Q964" i="3"/>
  <c r="Q765" i="3"/>
  <c r="Q184" i="3"/>
  <c r="U184" i="3" s="1"/>
  <c r="Q904" i="3"/>
  <c r="U904" i="3" s="1"/>
  <c r="Q30" i="3"/>
  <c r="Q513" i="3"/>
  <c r="U513" i="3" s="1"/>
  <c r="Q773" i="3"/>
  <c r="U774" i="3" s="1"/>
  <c r="Q633" i="3"/>
  <c r="U633" i="3" s="1"/>
  <c r="Q520" i="3"/>
  <c r="Q803" i="3"/>
  <c r="Q818" i="3"/>
  <c r="Q510" i="3"/>
  <c r="U511" i="3" s="1"/>
  <c r="Q850" i="3"/>
  <c r="Q791" i="3"/>
  <c r="Q446" i="3"/>
  <c r="Q977" i="3"/>
  <c r="Q463" i="3"/>
  <c r="U464" i="3" s="1"/>
  <c r="Q795" i="3"/>
  <c r="Q721" i="3"/>
  <c r="Q514" i="3"/>
  <c r="Q327" i="3"/>
  <c r="Q661" i="3"/>
  <c r="U661" i="3" s="1"/>
  <c r="Q216" i="3"/>
  <c r="U216" i="3" s="1"/>
  <c r="Q204" i="3"/>
  <c r="Q421" i="3"/>
  <c r="Q906" i="3"/>
  <c r="U907" i="3" s="1"/>
  <c r="Q483" i="3"/>
  <c r="U483" i="3" s="1"/>
  <c r="Q392" i="3"/>
  <c r="U392" i="3" s="1"/>
  <c r="Q356" i="3"/>
  <c r="Q701" i="3"/>
  <c r="U701" i="3" s="1"/>
  <c r="Q687" i="3"/>
  <c r="U688" i="3" s="1"/>
  <c r="Q289" i="3"/>
  <c r="U290" i="3" s="1"/>
  <c r="Q825" i="3"/>
  <c r="U826" i="3" s="1"/>
  <c r="Q179" i="3"/>
  <c r="Q97" i="3"/>
  <c r="Q760" i="3"/>
  <c r="Q842" i="3"/>
  <c r="Q10" i="3"/>
  <c r="Q137" i="3"/>
  <c r="Q759" i="3"/>
  <c r="Q899" i="3"/>
  <c r="U899" i="3" s="1"/>
  <c r="Q89" i="3"/>
  <c r="Q79" i="3"/>
  <c r="Q205" i="3"/>
  <c r="Q837" i="3"/>
  <c r="Q984" i="3"/>
  <c r="Q871" i="3"/>
  <c r="Q307" i="3"/>
  <c r="Q611" i="3"/>
  <c r="Q528" i="3"/>
  <c r="U529" i="3" s="1"/>
  <c r="Q209" i="3"/>
  <c r="Q794" i="3"/>
  <c r="Q92" i="3"/>
  <c r="Q619" i="3"/>
  <c r="Q178" i="3"/>
  <c r="Q71" i="3"/>
  <c r="Q99" i="3"/>
  <c r="Q161" i="3"/>
  <c r="Q748" i="3"/>
  <c r="Q444" i="3"/>
  <c r="Q870" i="3"/>
  <c r="Q182" i="3"/>
  <c r="U183" i="3" s="1"/>
  <c r="Q78" i="3"/>
  <c r="Q388" i="3"/>
  <c r="Q495" i="3"/>
  <c r="Q439" i="3"/>
  <c r="U440" i="3" s="1"/>
  <c r="Q270" i="3"/>
  <c r="Q170" i="3"/>
  <c r="Q173" i="3"/>
  <c r="U173" i="3" s="1"/>
  <c r="Q780" i="3"/>
  <c r="Q501" i="3"/>
  <c r="U501" i="3" s="1"/>
  <c r="Q644" i="3"/>
  <c r="Q683" i="3"/>
  <c r="Q497" i="3"/>
  <c r="Q749" i="3"/>
  <c r="Q95" i="3"/>
  <c r="Q88" i="3"/>
  <c r="Q583" i="3"/>
  <c r="Q160" i="3"/>
  <c r="Q995" i="3"/>
  <c r="Q515" i="3"/>
  <c r="Q398" i="3"/>
  <c r="Q852" i="3"/>
  <c r="Q783" i="3"/>
  <c r="U784" i="3" s="1"/>
  <c r="Q310" i="3"/>
  <c r="U310" i="3" s="1"/>
  <c r="Q320" i="3"/>
  <c r="Q282" i="3"/>
  <c r="Q449" i="3"/>
  <c r="U449" i="3" s="1"/>
  <c r="Q104" i="3"/>
  <c r="Q142" i="3"/>
  <c r="Q642" i="3"/>
  <c r="Q531" i="3"/>
  <c r="Q730" i="3"/>
  <c r="Q27" i="3"/>
  <c r="U28" i="3" s="1"/>
  <c r="Q130" i="3"/>
  <c r="U130" i="3" s="1"/>
  <c r="Q547" i="3"/>
  <c r="Q450" i="3"/>
  <c r="Q200" i="3"/>
  <c r="Q559" i="3"/>
  <c r="U560" i="3" s="1"/>
  <c r="Q951" i="3"/>
  <c r="Q890" i="3"/>
  <c r="Q744" i="3"/>
  <c r="Q98" i="3"/>
  <c r="Q255" i="3"/>
  <c r="Q119" i="3"/>
  <c r="Q267" i="3"/>
  <c r="Q740" i="3"/>
  <c r="U741" i="3" s="1"/>
  <c r="Q997" i="3"/>
  <c r="Q467" i="3"/>
  <c r="Q557" i="3"/>
  <c r="Q296" i="3"/>
  <c r="U297" i="3" s="1"/>
  <c r="Q72" i="3"/>
  <c r="Q562" i="3"/>
  <c r="R994" i="3"/>
  <c r="R832" i="3"/>
  <c r="R71" i="3"/>
  <c r="R528" i="3"/>
  <c r="R735" i="3"/>
  <c r="V735" i="3" s="1"/>
  <c r="R822" i="3"/>
  <c r="R379" i="3"/>
  <c r="R238" i="3"/>
  <c r="R372" i="3"/>
  <c r="R619" i="3"/>
  <c r="R365" i="3"/>
  <c r="R991" i="3"/>
  <c r="R145" i="3"/>
  <c r="R151" i="3"/>
  <c r="R53" i="3"/>
  <c r="R209" i="3"/>
  <c r="R446" i="3"/>
  <c r="R814" i="3"/>
  <c r="V814" i="3" s="1"/>
  <c r="R451" i="3"/>
  <c r="R150" i="3"/>
  <c r="R87" i="3"/>
  <c r="R833" i="3"/>
  <c r="R907" i="3"/>
  <c r="R826" i="3"/>
  <c r="R19" i="3"/>
  <c r="R215" i="3"/>
  <c r="R982" i="3"/>
  <c r="R999" i="3"/>
  <c r="R500" i="3"/>
  <c r="R582" i="3"/>
  <c r="R743" i="3"/>
  <c r="R134" i="3"/>
  <c r="R280" i="3"/>
  <c r="R217" i="3"/>
  <c r="R142" i="3"/>
  <c r="R351" i="3"/>
  <c r="R612" i="3"/>
  <c r="R216" i="3"/>
  <c r="R756" i="3"/>
  <c r="Q410" i="3"/>
  <c r="U410" i="3" s="1"/>
  <c r="Q340" i="3"/>
  <c r="Q159" i="3"/>
  <c r="Q581" i="3"/>
  <c r="U581" i="3" s="1"/>
  <c r="Q115" i="3"/>
  <c r="U116" i="3" s="1"/>
  <c r="Q198" i="3"/>
  <c r="U198" i="3" s="1"/>
  <c r="Q250" i="3"/>
  <c r="Q838" i="3"/>
  <c r="Q686" i="3"/>
  <c r="U686" i="3" s="1"/>
  <c r="Q405" i="3"/>
  <c r="U405" i="3" s="1"/>
  <c r="Q428" i="3"/>
  <c r="Q604" i="3"/>
  <c r="Q339" i="3"/>
  <c r="Q864" i="3"/>
  <c r="U864" i="3" s="1"/>
  <c r="Q922" i="3"/>
  <c r="U922" i="3" s="1"/>
  <c r="Q415" i="3"/>
  <c r="Q751" i="3"/>
  <c r="Q820" i="3"/>
  <c r="Q336" i="3"/>
  <c r="Q453" i="3"/>
  <c r="Q980" i="3"/>
  <c r="Q140" i="3"/>
  <c r="U141" i="3" s="1"/>
  <c r="Q905" i="3"/>
  <c r="Q455" i="3"/>
  <c r="Q442" i="3"/>
  <c r="Q366" i="3"/>
  <c r="Q538" i="3"/>
  <c r="U539" i="3" s="1"/>
  <c r="Q274" i="3"/>
  <c r="Q44" i="3"/>
  <c r="U44" i="3" s="1"/>
  <c r="Q487" i="3"/>
  <c r="U487" i="3" s="1"/>
  <c r="Q526" i="3"/>
  <c r="U526" i="3" s="1"/>
  <c r="Q466" i="3"/>
  <c r="Q187" i="3"/>
  <c r="Q554" i="3"/>
  <c r="U554" i="3" s="1"/>
  <c r="Q991" i="3"/>
  <c r="Q981" i="3"/>
  <c r="Q411" i="3"/>
  <c r="Q349" i="3"/>
  <c r="U349" i="3" s="1"/>
  <c r="Q132" i="3"/>
  <c r="Q935" i="3"/>
  <c r="U936" i="3" s="1"/>
  <c r="Q374" i="3"/>
  <c r="U375" i="3" s="1"/>
  <c r="Q232" i="3"/>
  <c r="Q413" i="3"/>
  <c r="Q970" i="3"/>
  <c r="Q817" i="3"/>
  <c r="U817" i="3" s="1"/>
  <c r="Q471" i="3"/>
  <c r="U471" i="3" s="1"/>
  <c r="Q716" i="3"/>
  <c r="U716" i="3" s="1"/>
  <c r="Q957" i="3"/>
  <c r="U957" i="3" s="1"/>
  <c r="Q34" i="3"/>
  <c r="U35" i="3" s="1"/>
  <c r="Q836" i="3"/>
  <c r="Q518" i="3"/>
  <c r="U518" i="3" s="1"/>
  <c r="Q295" i="3"/>
  <c r="Q52" i="3"/>
  <c r="U52" i="3" s="1"/>
  <c r="Q496" i="3"/>
  <c r="R214" i="3"/>
  <c r="R742" i="3"/>
  <c r="R966" i="3"/>
  <c r="R962" i="3"/>
  <c r="R581" i="3"/>
  <c r="R15" i="3"/>
  <c r="R224" i="3"/>
  <c r="R59" i="3"/>
  <c r="R166" i="3"/>
  <c r="R246" i="3"/>
  <c r="R410" i="3"/>
  <c r="R759" i="3"/>
  <c r="R290" i="3"/>
  <c r="R518" i="3"/>
  <c r="R103" i="3"/>
  <c r="R862" i="3"/>
  <c r="R283" i="3"/>
  <c r="R189" i="3"/>
  <c r="R752" i="3"/>
  <c r="R387" i="3"/>
  <c r="R100" i="3"/>
  <c r="R96" i="3"/>
  <c r="V96" i="3" s="1"/>
  <c r="R377" i="3"/>
  <c r="R843" i="3"/>
  <c r="R884" i="3"/>
  <c r="R325" i="3"/>
  <c r="R903" i="3"/>
  <c r="R894" i="3"/>
  <c r="R309" i="3"/>
  <c r="R141" i="3"/>
  <c r="R161" i="3"/>
  <c r="V162" i="3" s="1"/>
  <c r="R719" i="3"/>
  <c r="R784" i="3"/>
  <c r="R75" i="3"/>
  <c r="R120" i="3"/>
  <c r="R272" i="3"/>
  <c r="R465" i="3"/>
  <c r="V466" i="3" s="1"/>
  <c r="R126" i="3"/>
  <c r="R104" i="3"/>
  <c r="V105" i="3" s="1"/>
  <c r="R933" i="3"/>
  <c r="Q558" i="3"/>
  <c r="Q77" i="3"/>
  <c r="Q966" i="3"/>
  <c r="Q397" i="3"/>
  <c r="U397" i="3" s="1"/>
  <c r="Q992" i="3"/>
  <c r="Q498" i="3"/>
  <c r="Q734" i="3"/>
  <c r="Q15" i="3"/>
  <c r="Q42" i="3"/>
  <c r="U43" i="3" s="1"/>
  <c r="Q696" i="3"/>
  <c r="Q208" i="3"/>
  <c r="U208" i="3" s="1"/>
  <c r="Q490" i="3"/>
  <c r="Q203" i="3"/>
  <c r="U203" i="3" s="1"/>
  <c r="Q702" i="3"/>
  <c r="Q790" i="3"/>
  <c r="Q424" i="3"/>
  <c r="Q368" i="3"/>
  <c r="Q752" i="3"/>
  <c r="U753" i="3" s="1"/>
  <c r="Q288" i="3"/>
  <c r="Q225" i="3"/>
  <c r="U226" i="3" s="1"/>
  <c r="Q828" i="3"/>
  <c r="Q13" i="3"/>
  <c r="U13" i="3" s="1"/>
  <c r="Q725" i="3"/>
  <c r="Q103" i="3"/>
  <c r="Q465" i="3"/>
  <c r="U465" i="3" s="1"/>
  <c r="Q185" i="3"/>
  <c r="Q175" i="3"/>
  <c r="Q893" i="3"/>
  <c r="U893" i="3" s="1"/>
  <c r="Q147" i="3"/>
  <c r="U148" i="3" s="1"/>
  <c r="Q347" i="3"/>
  <c r="Q294" i="3"/>
  <c r="Q109" i="3"/>
  <c r="U109" i="3" s="1"/>
  <c r="Q419" i="3"/>
  <c r="U419" i="3" s="1"/>
  <c r="Q122" i="3"/>
  <c r="Q959" i="3"/>
  <c r="Q821" i="3"/>
  <c r="Q968" i="3"/>
  <c r="Q7" i="3"/>
  <c r="Q76" i="3"/>
  <c r="Q839" i="3"/>
  <c r="Q417" i="3"/>
  <c r="Q420" i="3"/>
  <c r="Q38" i="3"/>
  <c r="Q171" i="3"/>
  <c r="Q822" i="3"/>
  <c r="U823" i="3" s="1"/>
  <c r="Q958" i="3"/>
  <c r="Q235" i="3"/>
  <c r="Q564" i="3"/>
  <c r="Q897" i="3"/>
  <c r="U898" i="3" s="1"/>
  <c r="Q6" i="3"/>
  <c r="Q756" i="3"/>
  <c r="Q342" i="3"/>
  <c r="Q231" i="3"/>
  <c r="Q8" i="3"/>
  <c r="Q654" i="3"/>
  <c r="U654" i="3" s="1"/>
  <c r="R804" i="3"/>
  <c r="R143" i="3"/>
  <c r="V144" i="3" s="1"/>
  <c r="R698" i="3"/>
  <c r="R82" i="3"/>
  <c r="R419" i="3"/>
  <c r="R702" i="3"/>
  <c r="R699" i="3"/>
  <c r="R521" i="3"/>
  <c r="R812" i="3"/>
  <c r="R322" i="3"/>
  <c r="R761" i="3"/>
  <c r="R866" i="3"/>
  <c r="R905" i="3"/>
  <c r="R897" i="3"/>
  <c r="R94" i="3"/>
  <c r="R558" i="3"/>
  <c r="R183" i="3"/>
  <c r="R375" i="3"/>
  <c r="R568" i="3"/>
  <c r="R323" i="3"/>
  <c r="R68" i="3"/>
  <c r="R527" i="3"/>
  <c r="R948" i="3"/>
  <c r="R507" i="3"/>
  <c r="R800" i="3"/>
  <c r="R467" i="3"/>
  <c r="V467" i="3" s="1"/>
  <c r="R675" i="3"/>
  <c r="R786" i="3"/>
  <c r="R987" i="3"/>
  <c r="R1000" i="3"/>
  <c r="R347" i="3"/>
  <c r="R551" i="3"/>
  <c r="R785" i="3"/>
  <c r="R11" i="3"/>
  <c r="R684" i="3"/>
  <c r="V684" i="3" s="1"/>
  <c r="R200" i="3"/>
  <c r="R381" i="3"/>
  <c r="R917" i="3"/>
  <c r="R24" i="3"/>
  <c r="R885" i="3"/>
  <c r="V886" i="3" s="1"/>
  <c r="Q737" i="3"/>
  <c r="U738" i="3" s="1"/>
  <c r="Q69" i="3"/>
  <c r="U69" i="3" s="1"/>
  <c r="Q698" i="3"/>
  <c r="U698" i="3" s="1"/>
  <c r="Q728" i="3"/>
  <c r="Q747" i="3"/>
  <c r="Q953" i="3"/>
  <c r="U953" i="3" s="1"/>
  <c r="Q975" i="3"/>
  <c r="Q414" i="3"/>
  <c r="Q812" i="3"/>
  <c r="Q624" i="3"/>
  <c r="U625" i="3" s="1"/>
  <c r="Q691" i="3"/>
  <c r="Q937" i="3"/>
  <c r="U937" i="3" s="1"/>
  <c r="Q36" i="3"/>
  <c r="U36" i="3" s="1"/>
  <c r="Q422" i="3"/>
  <c r="Q174" i="3"/>
  <c r="Q25" i="3"/>
  <c r="Q720" i="3"/>
  <c r="Q955" i="3"/>
  <c r="Q83" i="3"/>
  <c r="Q112" i="3"/>
  <c r="Q381" i="3"/>
  <c r="Q341" i="3"/>
  <c r="Q988" i="3"/>
  <c r="U988" i="3" s="1"/>
  <c r="Q5" i="3"/>
  <c r="Q492" i="3"/>
  <c r="Q429" i="3"/>
  <c r="Q809" i="3"/>
  <c r="Q63" i="3"/>
  <c r="Q311" i="3"/>
  <c r="Q111" i="3"/>
  <c r="Q985" i="3"/>
  <c r="Q671" i="3"/>
  <c r="U671" i="3" s="1"/>
  <c r="Q929" i="3"/>
  <c r="Q887" i="3"/>
  <c r="Q649" i="3"/>
  <c r="Q167" i="3"/>
  <c r="Q869" i="3"/>
  <c r="U869" i="3" s="1"/>
  <c r="Q20" i="3"/>
  <c r="Q815" i="3"/>
  <c r="Q928" i="3"/>
  <c r="U928" i="3" s="1"/>
  <c r="Q292" i="3"/>
  <c r="Q875" i="3"/>
  <c r="Q430" i="3"/>
  <c r="Q714" i="3"/>
  <c r="U715" i="3" s="1"/>
  <c r="Q682" i="3"/>
  <c r="Q530" i="3"/>
  <c r="U530" i="3" s="1"/>
  <c r="Q544" i="3"/>
  <c r="Q841" i="3"/>
  <c r="Q840" i="3"/>
  <c r="Q732" i="3"/>
  <c r="U733" i="3" s="1"/>
  <c r="Q278" i="3"/>
  <c r="U279" i="3" s="1"/>
  <c r="Q102" i="3"/>
  <c r="Q118" i="3"/>
  <c r="U118" i="3" s="1"/>
  <c r="Q316" i="3"/>
  <c r="R483" i="3"/>
  <c r="R762" i="3"/>
  <c r="R670" i="3"/>
  <c r="R601" i="3"/>
  <c r="R781" i="3"/>
  <c r="R870" i="3"/>
  <c r="R67" i="3"/>
  <c r="R434" i="3"/>
  <c r="R471" i="3"/>
  <c r="R356" i="3"/>
  <c r="R405" i="3"/>
  <c r="R33" i="3"/>
  <c r="V34" i="3" s="1"/>
  <c r="R505" i="3"/>
  <c r="V505" i="3" s="1"/>
  <c r="R613" i="3"/>
  <c r="R42" i="3"/>
  <c r="R737" i="3"/>
  <c r="V738" i="3" s="1"/>
  <c r="R704" i="3"/>
  <c r="R46" i="3"/>
  <c r="R801" i="3"/>
  <c r="R259" i="3"/>
  <c r="R694" i="3"/>
  <c r="R135" i="3"/>
  <c r="R860" i="3"/>
  <c r="R327" i="3"/>
  <c r="R54" i="3"/>
  <c r="R339" i="3"/>
  <c r="R503" i="3"/>
  <c r="V504" i="3" s="1"/>
  <c r="R167" i="3"/>
  <c r="R951" i="3"/>
  <c r="R904" i="3"/>
  <c r="R311" i="3"/>
  <c r="R998" i="3"/>
  <c r="V998" i="3" s="1"/>
  <c r="R818" i="3"/>
  <c r="R380" i="3"/>
  <c r="R664" i="3"/>
  <c r="R939" i="3"/>
  <c r="V939" i="3" s="1"/>
  <c r="R293" i="3"/>
  <c r="R197" i="3"/>
  <c r="V198" i="3" s="1"/>
  <c r="R707" i="3"/>
  <c r="R829" i="3"/>
  <c r="Q107" i="3"/>
  <c r="U108" i="3" s="1"/>
  <c r="Q106" i="3"/>
  <c r="Q824" i="3"/>
  <c r="U824" i="3" s="1"/>
  <c r="Q253" i="3"/>
  <c r="U253" i="3" s="1"/>
  <c r="Q241" i="3"/>
  <c r="Q60" i="3"/>
  <c r="U60" i="3" s="1"/>
  <c r="Q862" i="3"/>
  <c r="Q265" i="3"/>
  <c r="Q379" i="3"/>
  <c r="Q435" i="3"/>
  <c r="Q66" i="3"/>
  <c r="U67" i="3" s="1"/>
  <c r="Q246" i="3"/>
  <c r="U246" i="3" s="1"/>
  <c r="Q548" i="3"/>
  <c r="Q946" i="3"/>
  <c r="U946" i="3" s="1"/>
  <c r="Q568" i="3"/>
  <c r="Q954" i="3"/>
  <c r="Q643" i="3"/>
  <c r="Q602" i="3"/>
  <c r="Q684" i="3"/>
  <c r="U685" i="3" s="1"/>
  <c r="Q834" i="3"/>
  <c r="Q579" i="3"/>
  <c r="Q717" i="3"/>
  <c r="Q269" i="3"/>
  <c r="Q18" i="3"/>
  <c r="Q916" i="3"/>
  <c r="Q909" i="3"/>
  <c r="U909" i="3" s="1"/>
  <c r="Q479" i="3"/>
  <c r="U479" i="3" s="1"/>
  <c r="Q782" i="3"/>
  <c r="Q201" i="3"/>
  <c r="Q14" i="3"/>
  <c r="Q506" i="3"/>
  <c r="Q719" i="3"/>
  <c r="Q665" i="3"/>
  <c r="Q443" i="3"/>
  <c r="Q480" i="3"/>
  <c r="Q380" i="3"/>
  <c r="Q262" i="3"/>
  <c r="U262" i="3" s="1"/>
  <c r="Q673" i="3"/>
  <c r="Q597" i="3"/>
  <c r="Q219" i="3"/>
  <c r="U220" i="3" s="1"/>
  <c r="Q181" i="3"/>
  <c r="U181" i="3" s="1"/>
  <c r="Q105" i="3"/>
  <c r="Q238" i="3"/>
  <c r="U239" i="3" s="1"/>
  <c r="Q630" i="3"/>
  <c r="Q833" i="3"/>
  <c r="Q65" i="3"/>
  <c r="Q259" i="3"/>
  <c r="Q143" i="3"/>
  <c r="Q157" i="3"/>
  <c r="Q441" i="3"/>
  <c r="Q189" i="3"/>
  <c r="Q84" i="3"/>
  <c r="Q766" i="3"/>
  <c r="Q48" i="3"/>
  <c r="Q363" i="3"/>
  <c r="Q910" i="3"/>
  <c r="Q287" i="3"/>
  <c r="Q607" i="3"/>
  <c r="Q636" i="3"/>
  <c r="U636" i="3" s="1"/>
  <c r="Q819" i="3"/>
  <c r="Q726" i="3"/>
  <c r="Q451" i="3"/>
  <c r="Q658" i="3"/>
  <c r="U658" i="3" s="1"/>
  <c r="Q177" i="3"/>
  <c r="U177" i="3" s="1"/>
  <c r="Q502" i="3"/>
  <c r="Q86" i="3"/>
  <c r="Q884" i="3"/>
  <c r="Q745" i="3"/>
  <c r="Q351" i="3"/>
  <c r="U352" i="3" s="1"/>
  <c r="Q634" i="3"/>
  <c r="Q623" i="3"/>
  <c r="U623" i="3" s="1"/>
  <c r="Q592" i="3"/>
  <c r="U593" i="3" s="1"/>
  <c r="Q805" i="3"/>
  <c r="Q797" i="3"/>
  <c r="Q902" i="3"/>
  <c r="U902" i="3" s="1"/>
  <c r="Q135" i="3"/>
  <c r="U136" i="3" s="1"/>
  <c r="Q4" i="3"/>
  <c r="Q128" i="3"/>
  <c r="U129" i="3" s="1"/>
  <c r="Q75" i="3"/>
  <c r="Q138" i="3"/>
  <c r="Q426" i="3"/>
  <c r="Q332" i="3"/>
  <c r="Q242" i="3"/>
  <c r="Q376" i="3"/>
  <c r="U376" i="3" s="1"/>
  <c r="Q508" i="3"/>
  <c r="U508" i="3" s="1"/>
  <c r="Q690" i="3"/>
  <c r="U690" i="3" s="1"/>
  <c r="Q680" i="3"/>
  <c r="U680" i="3" s="1"/>
  <c r="Q585" i="3"/>
  <c r="Q617" i="3"/>
  <c r="Q806" i="3"/>
  <c r="Q555" i="3"/>
  <c r="R553" i="3"/>
  <c r="R431" i="3"/>
  <c r="V431" i="3" s="1"/>
  <c r="R858" i="3"/>
  <c r="R672" i="3"/>
  <c r="R169" i="3"/>
  <c r="R705" i="3"/>
  <c r="R373" i="3"/>
  <c r="R958" i="3"/>
  <c r="R348" i="3"/>
  <c r="R714" i="3"/>
  <c r="R624" i="3"/>
  <c r="R789" i="3"/>
  <c r="R574" i="3"/>
  <c r="R945" i="3"/>
  <c r="R159" i="3"/>
  <c r="R453" i="3"/>
  <c r="R449" i="3"/>
  <c r="R321" i="3"/>
  <c r="R106" i="3"/>
  <c r="V106" i="3" s="1"/>
  <c r="R494" i="3"/>
  <c r="R102" i="3"/>
  <c r="R301" i="3"/>
  <c r="R640" i="3"/>
  <c r="R40" i="3"/>
  <c r="R454" i="3"/>
  <c r="R697" i="3"/>
  <c r="R971" i="3"/>
  <c r="R969" i="3"/>
  <c r="R663" i="3"/>
  <c r="R588" i="3"/>
  <c r="R139" i="3"/>
  <c r="R934" i="3"/>
  <c r="R777" i="3"/>
  <c r="V777" i="3" s="1"/>
  <c r="R80" i="3"/>
  <c r="R226" i="3"/>
  <c r="R611" i="3"/>
  <c r="R773" i="3"/>
  <c r="R268" i="3"/>
  <c r="R196" i="3"/>
  <c r="R118" i="3"/>
  <c r="V118" i="3" s="1"/>
  <c r="R324" i="3"/>
  <c r="T95" i="3"/>
  <c r="T868" i="3"/>
  <c r="T607" i="3"/>
  <c r="T256" i="3"/>
  <c r="T471" i="3"/>
  <c r="T688" i="3"/>
  <c r="T427" i="3"/>
  <c r="T455" i="3"/>
  <c r="T811" i="3"/>
  <c r="T595" i="3"/>
  <c r="U448" i="3"/>
  <c r="T406" i="3"/>
  <c r="T223" i="3"/>
  <c r="T376" i="3"/>
  <c r="T150" i="3"/>
  <c r="T836" i="3"/>
  <c r="T855" i="3"/>
  <c r="T248" i="3"/>
  <c r="T500" i="3"/>
  <c r="T173" i="3"/>
  <c r="T335" i="3"/>
  <c r="T126" i="3"/>
  <c r="T831" i="3"/>
  <c r="T142" i="3"/>
  <c r="T308" i="3"/>
  <c r="T518" i="3"/>
  <c r="T568" i="3"/>
  <c r="T183" i="3"/>
  <c r="T9" i="3"/>
  <c r="U868" i="3"/>
  <c r="U653" i="3"/>
  <c r="U149" i="3"/>
  <c r="U987" i="3"/>
  <c r="U401" i="3"/>
  <c r="T763" i="3"/>
  <c r="T664" i="3"/>
  <c r="T759" i="3"/>
  <c r="T732" i="3"/>
  <c r="T390" i="3"/>
  <c r="T962" i="3"/>
  <c r="T658" i="3"/>
  <c r="T876" i="3"/>
  <c r="T280" i="3"/>
  <c r="T226" i="3"/>
  <c r="T944" i="3"/>
  <c r="T399" i="3"/>
  <c r="T175" i="3"/>
  <c r="T555" i="3"/>
  <c r="T233" i="3"/>
  <c r="T773" i="3"/>
  <c r="T534" i="3"/>
  <c r="T598" i="3"/>
  <c r="T548" i="3"/>
  <c r="V437" i="3"/>
  <c r="T886" i="3"/>
  <c r="U689" i="3"/>
  <c r="U252" i="3"/>
  <c r="U458" i="3"/>
  <c r="U360" i="3"/>
  <c r="T843" i="3"/>
  <c r="T32" i="3"/>
  <c r="T730" i="3"/>
  <c r="T916" i="3"/>
  <c r="T929" i="3"/>
  <c r="T386" i="3"/>
  <c r="T194" i="3"/>
  <c r="T395" i="3"/>
  <c r="T603" i="3"/>
  <c r="T191" i="3"/>
  <c r="T104" i="3"/>
  <c r="T291" i="3"/>
  <c r="T723" i="3"/>
  <c r="T348" i="3"/>
  <c r="T993" i="3"/>
  <c r="T771" i="3"/>
  <c r="T219" i="3"/>
  <c r="T520" i="3"/>
  <c r="T522" i="3"/>
  <c r="T170" i="3"/>
  <c r="T359" i="3"/>
  <c r="T259" i="3"/>
  <c r="T856" i="3"/>
  <c r="T718" i="3"/>
  <c r="T510" i="3"/>
  <c r="T430" i="3"/>
  <c r="U670" i="3"/>
  <c r="T202" i="3"/>
  <c r="T121" i="3"/>
  <c r="T7" i="3"/>
  <c r="T238" i="3"/>
  <c r="T799" i="3"/>
  <c r="T853" i="3"/>
  <c r="T421" i="3"/>
  <c r="T93" i="3"/>
  <c r="T43" i="3"/>
  <c r="T815" i="3"/>
  <c r="T729" i="3"/>
  <c r="T809" i="3"/>
  <c r="T737" i="3"/>
  <c r="U1001" i="3"/>
  <c r="T775" i="3"/>
  <c r="U537" i="3"/>
  <c r="U926" i="3"/>
  <c r="T495" i="3"/>
  <c r="T1000" i="3"/>
  <c r="U594" i="3"/>
  <c r="U152" i="3"/>
  <c r="T749" i="3"/>
  <c r="T145" i="3"/>
  <c r="T847" i="3"/>
  <c r="U676" i="3"/>
  <c r="U844" i="3"/>
  <c r="T369" i="3"/>
  <c r="T41" i="3"/>
  <c r="T742" i="3"/>
  <c r="T85" i="3"/>
  <c r="T757" i="3"/>
  <c r="T698" i="3"/>
  <c r="T322" i="3"/>
  <c r="T938" i="3"/>
  <c r="T446" i="3"/>
  <c r="T692" i="3"/>
  <c r="T629" i="3"/>
  <c r="T198" i="3"/>
  <c r="T325" i="3"/>
  <c r="T672" i="3"/>
  <c r="T881" i="3"/>
  <c r="T489" i="3"/>
  <c r="T168" i="3"/>
  <c r="T264" i="3"/>
  <c r="U962" i="3"/>
  <c r="U845" i="3"/>
  <c r="U595" i="3"/>
  <c r="U221" i="3"/>
  <c r="T98" i="3"/>
  <c r="T161" i="3"/>
  <c r="T841" i="3"/>
  <c r="T402" i="3"/>
  <c r="T448" i="3"/>
  <c r="T615" i="3"/>
  <c r="T884" i="3"/>
  <c r="T444" i="3"/>
  <c r="T971" i="3"/>
  <c r="T245" i="3"/>
  <c r="T422" i="3"/>
  <c r="T653" i="3"/>
  <c r="T600" i="3"/>
  <c r="T735" i="3"/>
  <c r="T5" i="3"/>
  <c r="T612" i="3"/>
  <c r="T694" i="3"/>
  <c r="T824" i="3"/>
  <c r="T109" i="3"/>
  <c r="T802" i="3"/>
  <c r="T725" i="3"/>
  <c r="T503" i="3"/>
  <c r="T527" i="3"/>
  <c r="T231" i="3"/>
  <c r="T542" i="3"/>
  <c r="T374" i="3"/>
  <c r="T784" i="3"/>
  <c r="T190" i="3"/>
  <c r="T384" i="3"/>
  <c r="T51" i="3"/>
  <c r="T747" i="3"/>
  <c r="T117" i="3"/>
  <c r="T788" i="3"/>
  <c r="T130" i="3"/>
  <c r="T958" i="3"/>
  <c r="T575" i="3"/>
  <c r="T953" i="3"/>
  <c r="T604" i="3"/>
  <c r="T490" i="3"/>
  <c r="T211" i="3"/>
  <c r="T100" i="3"/>
  <c r="T46" i="3"/>
  <c r="T331" i="3"/>
  <c r="T274" i="3"/>
  <c r="T776" i="3"/>
  <c r="T609" i="3"/>
  <c r="T102" i="3"/>
  <c r="U638" i="3"/>
  <c r="U908" i="3"/>
  <c r="U578" i="3"/>
  <c r="U591" i="3"/>
  <c r="U622" i="3"/>
  <c r="U489" i="3"/>
  <c r="U156" i="3"/>
  <c r="U504" i="3"/>
  <c r="T429" i="3"/>
  <c r="T169" i="3"/>
  <c r="T478" i="3"/>
  <c r="T37" i="3"/>
  <c r="T112" i="3"/>
  <c r="T410" i="3"/>
  <c r="T486" i="3"/>
  <c r="T221" i="3"/>
  <c r="T845" i="3"/>
  <c r="T289" i="3"/>
  <c r="T21" i="3"/>
  <c r="T496" i="3"/>
  <c r="T717" i="3"/>
  <c r="T59" i="3"/>
  <c r="T913" i="3"/>
  <c r="T990" i="3"/>
  <c r="T580" i="3"/>
  <c r="T941" i="3"/>
  <c r="T122" i="3"/>
  <c r="T166" i="3"/>
  <c r="T270" i="3"/>
  <c r="T680" i="3"/>
  <c r="T573" i="3"/>
  <c r="T493" i="3"/>
  <c r="T358" i="3"/>
  <c r="T744" i="3"/>
  <c r="T513" i="3"/>
  <c r="T593" i="3"/>
  <c r="T237" i="3"/>
  <c r="T636" i="3"/>
  <c r="T509" i="3"/>
  <c r="T80" i="3"/>
  <c r="T546" i="3"/>
  <c r="T632" i="3"/>
  <c r="T344" i="3"/>
  <c r="T258" i="3"/>
  <c r="T472" i="3"/>
  <c r="T425" i="3"/>
  <c r="T475" i="3"/>
  <c r="T318" i="3"/>
  <c r="T466" i="3"/>
  <c r="T75" i="3"/>
  <c r="T978" i="3"/>
  <c r="T967" i="3"/>
  <c r="T158" i="3"/>
  <c r="T988" i="3"/>
  <c r="T699" i="3"/>
  <c r="T864" i="3"/>
  <c r="T790" i="3"/>
  <c r="U616" i="3"/>
  <c r="T810" i="3"/>
  <c r="T341" i="3"/>
  <c r="T819" i="3"/>
  <c r="T584" i="3"/>
  <c r="T56" i="3"/>
  <c r="T676" i="3"/>
  <c r="T63" i="3"/>
  <c r="U68" i="3"/>
  <c r="T50" i="3"/>
  <c r="T823" i="3"/>
  <c r="T129" i="3"/>
  <c r="T734" i="3"/>
  <c r="T539" i="3"/>
  <c r="T940" i="3"/>
  <c r="T800" i="3"/>
  <c r="T381" i="3"/>
  <c r="T417" i="3"/>
  <c r="T935" i="3"/>
  <c r="T91" i="3"/>
  <c r="T840" i="3"/>
  <c r="T652" i="3"/>
  <c r="T588" i="3"/>
  <c r="T97" i="3"/>
  <c r="T851" i="3"/>
  <c r="T957" i="3"/>
  <c r="T209" i="3"/>
  <c r="T111" i="3"/>
  <c r="T984" i="3"/>
  <c r="T614" i="3"/>
  <c r="T470" i="3"/>
  <c r="T88" i="3"/>
  <c r="T545" i="3"/>
  <c r="T667" i="3"/>
  <c r="T74" i="3"/>
  <c r="T180" i="3"/>
  <c r="T24" i="3"/>
  <c r="T783" i="3"/>
  <c r="T69" i="3"/>
  <c r="T352" i="3"/>
  <c r="T563" i="3"/>
  <c r="T558" i="3"/>
  <c r="T650" i="3"/>
  <c r="T643" i="3"/>
  <c r="T969" i="3"/>
  <c r="T901" i="3"/>
  <c r="T739" i="3"/>
  <c r="T557" i="3"/>
  <c r="T165" i="3"/>
  <c r="T310" i="3"/>
  <c r="T821" i="3"/>
  <c r="T147" i="3"/>
  <c r="U306" i="3"/>
  <c r="U391" i="3"/>
  <c r="U677" i="3"/>
  <c r="T572" i="3"/>
  <c r="T805" i="3"/>
  <c r="T797" i="3"/>
  <c r="T716" i="3"/>
  <c r="T140" i="3"/>
  <c r="T525" i="3"/>
  <c r="T795" i="3"/>
  <c r="T207" i="3"/>
  <c r="T19" i="3"/>
  <c r="T326" i="3"/>
  <c r="T138" i="3"/>
  <c r="T861" i="3"/>
  <c r="T746" i="3"/>
  <c r="T689" i="3"/>
  <c r="T560" i="3"/>
  <c r="T254" i="3"/>
  <c r="T532" i="3"/>
  <c r="T36" i="3"/>
  <c r="T354" i="3"/>
  <c r="T452" i="3"/>
  <c r="T45" i="3"/>
  <c r="T891" i="3"/>
  <c r="T1001" i="3"/>
  <c r="T537" i="3"/>
  <c r="T316" i="3"/>
  <c r="T435" i="3"/>
  <c r="U763" i="3"/>
  <c r="U648" i="3"/>
  <c r="U919" i="3"/>
  <c r="U974" i="3"/>
  <c r="T362" i="3"/>
  <c r="T432" i="3"/>
  <c r="T781" i="3"/>
  <c r="T106" i="3"/>
  <c r="T570" i="3"/>
  <c r="T458" i="3"/>
  <c r="T756" i="3"/>
  <c r="T300" i="3"/>
  <c r="T321" i="3"/>
  <c r="T551" i="3"/>
  <c r="T869" i="3"/>
  <c r="T481" i="3"/>
  <c r="U678" i="3"/>
  <c r="U12" i="3"/>
  <c r="T866" i="3"/>
  <c r="T696" i="3"/>
  <c r="T468" i="3"/>
  <c r="T428" i="3"/>
  <c r="T204" i="3"/>
  <c r="T740" i="3"/>
  <c r="T240" i="3"/>
  <c r="T438" i="3"/>
  <c r="T26" i="3"/>
  <c r="T213" i="3"/>
  <c r="T282" i="3"/>
  <c r="T79" i="3"/>
  <c r="T987" i="3"/>
  <c r="T998" i="3"/>
  <c r="T293" i="3"/>
  <c r="T484" i="3"/>
  <c r="T873" i="3"/>
  <c r="T305" i="3"/>
  <c r="T134" i="3"/>
  <c r="T108" i="3"/>
  <c r="T506" i="3"/>
  <c r="T154" i="3"/>
  <c r="T372" i="3"/>
  <c r="T71" i="3"/>
  <c r="T30" i="3"/>
  <c r="T655" i="3"/>
  <c r="T464" i="3"/>
  <c r="T702" i="3"/>
  <c r="T13" i="3"/>
  <c r="T926" i="3"/>
  <c r="T905" i="3"/>
  <c r="T624" i="3"/>
  <c r="T502" i="3"/>
  <c r="T252" i="3"/>
  <c r="T750" i="3"/>
  <c r="T896" i="3"/>
  <c r="T370" i="3"/>
  <c r="T189" i="3"/>
  <c r="T44" i="3"/>
  <c r="T974" i="3"/>
  <c r="T529" i="3"/>
  <c r="T61" i="3"/>
  <c r="T669" i="3"/>
  <c r="T244" i="3"/>
  <c r="T536" i="3"/>
  <c r="T619" i="3"/>
  <c r="T153" i="3"/>
  <c r="T284" i="3"/>
  <c r="T933" i="3"/>
  <c r="T414" i="3"/>
  <c r="T125" i="3"/>
  <c r="T136" i="3"/>
  <c r="T833" i="3"/>
  <c r="T608" i="3"/>
  <c r="T330" i="3"/>
  <c r="T919" i="3"/>
  <c r="T960" i="3"/>
  <c r="T583" i="3"/>
  <c r="T592" i="3"/>
  <c r="T587" i="3"/>
  <c r="T878" i="3"/>
  <c r="T713" i="3"/>
  <c r="T424" i="3"/>
  <c r="T647" i="3"/>
  <c r="T875" i="3"/>
  <c r="T937" i="3"/>
  <c r="T18" i="3"/>
  <c r="T997" i="3"/>
  <c r="T217" i="3"/>
  <c r="T828" i="3"/>
  <c r="T357" i="3"/>
  <c r="T379" i="3"/>
  <c r="T964" i="3"/>
  <c r="T623" i="3"/>
  <c r="T333" i="3"/>
  <c r="T952" i="3"/>
  <c r="T480" i="3"/>
  <c r="T780" i="3"/>
  <c r="T889" i="3"/>
  <c r="T328" i="3"/>
  <c r="T661" i="3"/>
  <c r="T900" i="3"/>
  <c r="T985" i="3"/>
  <c r="T922" i="3"/>
  <c r="T389" i="3"/>
  <c r="T554" i="3"/>
  <c r="T768" i="3"/>
  <c r="T912" i="3"/>
  <c r="T53" i="3"/>
  <c r="T394" i="3"/>
  <c r="T705" i="3"/>
  <c r="T271" i="3"/>
  <c r="U700" i="3"/>
  <c r="U346" i="3"/>
  <c r="T338" i="3"/>
  <c r="T838" i="3"/>
  <c r="T924" i="3"/>
  <c r="T34" i="3"/>
  <c r="T67" i="3"/>
  <c r="T268" i="3"/>
  <c r="T230" i="3"/>
  <c r="T179" i="3"/>
  <c r="T579" i="3"/>
  <c r="T917" i="3"/>
  <c r="T363" i="3"/>
  <c r="T806" i="3"/>
  <c r="T754" i="3"/>
  <c r="T715" i="3"/>
  <c r="T287" i="3"/>
  <c r="T550" i="3"/>
  <c r="T827" i="3"/>
  <c r="T663" i="3"/>
  <c r="T904" i="3"/>
  <c r="T983" i="3"/>
  <c r="T642" i="3"/>
  <c r="T606" i="3"/>
  <c r="T622" i="3"/>
  <c r="T164" i="3"/>
  <c r="T589" i="3"/>
  <c r="T355" i="3"/>
  <c r="T86" i="3"/>
  <c r="T617" i="3"/>
  <c r="T465" i="3"/>
  <c r="T453" i="3"/>
  <c r="T892" i="3"/>
  <c r="T477" i="3"/>
  <c r="U552" i="3"/>
  <c r="U912" i="3"/>
  <c r="U41" i="3"/>
  <c r="T860" i="3"/>
  <c r="T186" i="3"/>
  <c r="T961" i="3"/>
  <c r="T907" i="3"/>
  <c r="T339" i="3"/>
  <c r="T313" i="3"/>
  <c r="T691" i="3"/>
  <c r="T107" i="3"/>
  <c r="T928" i="3"/>
  <c r="T523" i="3"/>
  <c r="T946" i="3"/>
  <c r="T433" i="3"/>
  <c r="T848" i="3"/>
  <c r="T146" i="3"/>
  <c r="T871" i="3"/>
  <c r="T596" i="3"/>
  <c r="T459" i="3"/>
  <c r="T766" i="3"/>
  <c r="T880" i="3"/>
  <c r="T346" i="3"/>
  <c r="T931" i="3"/>
  <c r="T450" i="3"/>
  <c r="T28" i="3"/>
  <c r="T115" i="3"/>
  <c r="T15" i="3"/>
  <c r="T526" i="3"/>
  <c r="T571" i="3"/>
  <c r="T566" i="3"/>
  <c r="U572" i="3"/>
  <c r="U1000" i="3"/>
  <c r="T895" i="3"/>
  <c r="T324" i="3"/>
  <c r="T419" i="3"/>
  <c r="T441" i="3"/>
  <c r="T152" i="3"/>
  <c r="T482" i="3"/>
  <c r="T684" i="3"/>
  <c r="T830" i="3"/>
  <c r="T315" i="3"/>
  <c r="T631" i="3"/>
  <c r="T981" i="3"/>
  <c r="T835" i="3"/>
  <c r="T707" i="3"/>
  <c r="T710" i="3"/>
  <c r="T816" i="3"/>
  <c r="T304" i="3"/>
  <c r="T302" i="3"/>
  <c r="T977" i="3"/>
  <c r="T752" i="3"/>
  <c r="T297" i="3"/>
  <c r="T949" i="3"/>
  <c r="T626" i="3"/>
  <c r="T182" i="3"/>
  <c r="T648" i="3"/>
  <c r="T307" i="3"/>
  <c r="T120" i="3"/>
  <c r="T499" i="3"/>
  <c r="T792" i="3"/>
  <c r="T201" i="3"/>
  <c r="U150" i="3"/>
  <c r="U257" i="3"/>
  <c r="T577" i="3"/>
  <c r="T246" i="3"/>
  <c r="T665" i="3"/>
  <c r="T736" i="3"/>
  <c r="T610" i="3"/>
  <c r="T411" i="3"/>
  <c r="T184" i="3"/>
  <c r="T38" i="3"/>
  <c r="T803" i="3"/>
  <c r="T192" i="3"/>
  <c r="T403" i="3"/>
  <c r="T511" i="3"/>
  <c r="T235" i="3"/>
  <c r="T857" i="3"/>
  <c r="T342" i="3"/>
  <c r="T131" i="3"/>
  <c r="T504" i="3"/>
  <c r="T681" i="3"/>
  <c r="U901" i="3"/>
  <c r="U785" i="3"/>
  <c r="T677" i="3"/>
  <c r="T276" i="3"/>
  <c r="T991" i="3"/>
  <c r="T825" i="3"/>
  <c r="T272" i="3"/>
  <c r="T837" i="3"/>
  <c r="T578" i="3"/>
  <c r="T638" i="3"/>
  <c r="T48" i="3"/>
  <c r="T639" i="3"/>
  <c r="T10" i="3"/>
  <c r="T387" i="3"/>
  <c r="T616" i="3"/>
  <c r="T349" i="3"/>
  <c r="T447" i="3"/>
  <c r="T273" i="3"/>
  <c r="T39" i="3"/>
  <c r="T914" i="3"/>
  <c r="T656" i="3"/>
  <c r="T249" i="3"/>
  <c r="T162" i="3"/>
  <c r="T412" i="3"/>
  <c r="U482" i="3"/>
  <c r="T491" i="3"/>
  <c r="T576" i="3"/>
  <c r="T275" i="3"/>
  <c r="T659" i="3"/>
  <c r="T257" i="3"/>
  <c r="T260" i="3"/>
  <c r="T400" i="3"/>
  <c r="U754" i="3"/>
  <c r="U473" i="3"/>
  <c r="T159" i="3"/>
  <c r="T241" i="3"/>
  <c r="T250" i="3"/>
  <c r="T99" i="3"/>
  <c r="T155" i="3"/>
  <c r="U849" i="3"/>
  <c r="U222" i="3"/>
  <c r="U371" i="3"/>
  <c r="U29" i="3"/>
  <c r="T942" i="3"/>
  <c r="T319" i="3"/>
  <c r="T485" i="3"/>
  <c r="V14" i="2"/>
  <c r="T57" i="3"/>
  <c r="T915" i="3"/>
  <c r="U882" i="3"/>
  <c r="U679" i="3"/>
  <c r="U223" i="3"/>
  <c r="U438" i="3"/>
  <c r="T251" i="3"/>
  <c r="T599" i="3"/>
  <c r="T76" i="3"/>
  <c r="T81" i="3"/>
  <c r="T897" i="3"/>
  <c r="T113" i="3"/>
  <c r="T777" i="3"/>
  <c r="T396" i="3"/>
  <c r="T514" i="3"/>
  <c r="T970" i="3"/>
  <c r="T277" i="3"/>
  <c r="T764" i="3"/>
  <c r="T143" i="3"/>
  <c r="T391" i="3"/>
  <c r="T543" i="3"/>
  <c r="T156" i="3"/>
  <c r="T195" i="3"/>
  <c r="T58" i="3"/>
  <c r="T292" i="3"/>
  <c r="T364" i="3"/>
  <c r="T255" i="3"/>
  <c r="T882" i="3"/>
  <c r="U285" i="3"/>
  <c r="T745" i="3"/>
  <c r="T473" i="3"/>
  <c r="U322" i="3"/>
  <c r="U927" i="3"/>
  <c r="U396" i="3"/>
  <c r="U227" i="3"/>
  <c r="U913" i="3"/>
  <c r="U151" i="3"/>
  <c r="U207" i="3"/>
  <c r="U553" i="3"/>
  <c r="U925" i="3"/>
  <c r="T239" i="3"/>
  <c r="U949" i="3"/>
  <c r="U669" i="3"/>
  <c r="U950" i="3"/>
  <c r="U610" i="3"/>
  <c r="U163" i="3"/>
  <c r="U40" i="3"/>
  <c r="T148" i="3"/>
  <c r="T679" i="3"/>
  <c r="T227" i="3"/>
  <c r="T317" i="3"/>
  <c r="T989" i="3"/>
  <c r="T994" i="3"/>
  <c r="T350" i="3"/>
  <c r="T644" i="3"/>
  <c r="T724" i="3"/>
  <c r="T760" i="3"/>
  <c r="T515" i="3"/>
  <c r="T700" i="3"/>
  <c r="T611" i="3"/>
  <c r="T741" i="3"/>
  <c r="T753" i="3"/>
  <c r="T726" i="3"/>
  <c r="T132" i="3"/>
  <c r="T366" i="3"/>
  <c r="T697" i="3"/>
  <c r="T14" i="3"/>
  <c r="T77" i="3"/>
  <c r="T301" i="3"/>
  <c r="T436" i="3"/>
  <c r="T181" i="3"/>
  <c r="T564" i="3"/>
  <c r="T443" i="3"/>
  <c r="T769" i="3"/>
  <c r="T84" i="3"/>
  <c r="T686" i="3"/>
  <c r="T923" i="3"/>
  <c r="T440" i="3"/>
  <c r="T751" i="3"/>
  <c r="U647" i="3"/>
  <c r="U918" i="3"/>
  <c r="U486" i="3"/>
  <c r="U879" i="3"/>
  <c r="U675" i="3"/>
  <c r="U197" i="3"/>
  <c r="U240" i="3"/>
  <c r="U973" i="3"/>
  <c r="U303" i="3"/>
  <c r="U615" i="3"/>
  <c r="U404" i="3"/>
  <c r="U309" i="3"/>
  <c r="U867" i="3"/>
  <c r="T906" i="3"/>
  <c r="T927" i="3"/>
  <c r="T294" i="3"/>
  <c r="T755" i="3"/>
  <c r="T83" i="3"/>
  <c r="T673" i="3"/>
  <c r="T516" i="3"/>
  <c r="T657" i="3"/>
  <c r="T645" i="3"/>
  <c r="T731" i="3"/>
  <c r="T212" i="3"/>
  <c r="T388" i="3"/>
  <c r="T139" i="3"/>
  <c r="T772" i="3"/>
  <c r="T314" i="3"/>
  <c r="T674" i="3"/>
  <c r="T955" i="3"/>
  <c r="T501" i="3"/>
  <c r="T127" i="3"/>
  <c r="T360" i="3"/>
  <c r="T216" i="3"/>
  <c r="T413" i="3"/>
  <c r="T678" i="3"/>
  <c r="T533" i="3"/>
  <c r="T343" i="3"/>
  <c r="T236" i="3"/>
  <c r="T954" i="3"/>
  <c r="T445" i="3"/>
  <c r="T439" i="3"/>
  <c r="T559" i="3"/>
  <c r="T902" i="3"/>
  <c r="T193" i="3"/>
  <c r="T309" i="3"/>
  <c r="T887" i="3"/>
  <c r="T820" i="3"/>
  <c r="T11" i="3"/>
  <c r="T743" i="3"/>
  <c r="T758" i="3"/>
  <c r="T31" i="3"/>
  <c r="T685" i="3"/>
  <c r="T382" i="3"/>
  <c r="T505" i="3"/>
  <c r="T862" i="3"/>
  <c r="T497" i="3"/>
  <c r="T467" i="3"/>
  <c r="T920" i="3"/>
  <c r="T921" i="3"/>
  <c r="T507" i="3"/>
  <c r="T561" i="3"/>
  <c r="T203" i="3"/>
  <c r="T135" i="3"/>
  <c r="T442" i="3"/>
  <c r="T174" i="3"/>
  <c r="T854" i="3"/>
  <c r="T25" i="3"/>
  <c r="T311" i="3"/>
  <c r="T719" i="3"/>
  <c r="T774" i="3"/>
  <c r="T434" i="3"/>
  <c r="T415" i="3"/>
  <c r="T512" i="3"/>
  <c r="T375" i="3"/>
  <c r="T371" i="3"/>
  <c r="T222" i="3"/>
  <c r="T463" i="3"/>
  <c r="T6" i="3"/>
  <c r="T494" i="3"/>
  <c r="T118" i="3"/>
  <c r="T711" i="3"/>
  <c r="T999" i="3"/>
  <c r="T82" i="3"/>
  <c r="T670" i="3"/>
  <c r="T778" i="3"/>
  <c r="T918" i="3"/>
  <c r="T137" i="3"/>
  <c r="T253" i="3"/>
  <c r="T460" i="3"/>
  <c r="T618" i="3"/>
  <c r="T690" i="3"/>
  <c r="T242" i="3"/>
  <c r="T867" i="3"/>
  <c r="T123" i="3"/>
  <c r="T295" i="3"/>
  <c r="T804" i="3"/>
  <c r="T377" i="3"/>
  <c r="T456" i="3"/>
  <c r="T340" i="3"/>
  <c r="T986" i="3"/>
  <c r="T418" i="3"/>
  <c r="T303" i="3"/>
  <c r="T55" i="3"/>
  <c r="T796" i="3"/>
  <c r="T361" i="3"/>
  <c r="T206" i="3"/>
  <c r="T20" i="3"/>
  <c r="T185" i="3"/>
  <c r="T479" i="3"/>
  <c r="T320" i="3"/>
  <c r="T829" i="3"/>
  <c r="T945" i="3"/>
  <c r="T733" i="3"/>
  <c r="T839" i="3"/>
  <c r="T934" i="3"/>
  <c r="T78" i="3"/>
  <c r="T128" i="3"/>
  <c r="T709" i="3"/>
  <c r="T590" i="3"/>
  <c r="T29" i="3"/>
  <c r="T630" i="3"/>
  <c r="T668" i="3"/>
  <c r="T401" i="3"/>
  <c r="T894" i="3"/>
  <c r="T801" i="3"/>
  <c r="T951" i="3"/>
  <c r="T492" i="3"/>
  <c r="T562" i="3"/>
  <c r="T407" i="3"/>
  <c r="T530" i="3"/>
  <c r="T793" i="3"/>
  <c r="T822" i="3"/>
  <c r="T68" i="3"/>
  <c r="T976" i="3"/>
  <c r="T939" i="3"/>
  <c r="T151" i="3"/>
  <c r="T812" i="3"/>
  <c r="T220" i="3"/>
  <c r="T409" i="3"/>
  <c r="T73" i="3"/>
  <c r="T930" i="3"/>
  <c r="T968" i="3"/>
  <c r="T834" i="3"/>
  <c r="T116" i="3"/>
  <c r="T706" i="3"/>
  <c r="T704" i="3"/>
  <c r="T23" i="3"/>
  <c r="T761" i="3"/>
  <c r="T266" i="3"/>
  <c r="T975" i="3"/>
  <c r="T35" i="3"/>
  <c r="T844" i="3"/>
  <c r="T826" i="3"/>
  <c r="T703" i="3"/>
  <c r="T865" i="3"/>
  <c r="T948" i="3"/>
  <c r="T367" i="3"/>
  <c r="T695" i="3"/>
  <c r="T883" i="3"/>
  <c r="T404" i="3"/>
  <c r="T620" i="3"/>
  <c r="T528" i="3"/>
  <c r="T437" i="3"/>
  <c r="T416" i="3"/>
  <c r="T765" i="3"/>
  <c r="T119" i="3"/>
  <c r="T574" i="3"/>
  <c r="T581" i="3"/>
  <c r="T524" i="3"/>
  <c r="T281" i="3"/>
  <c r="T62" i="3"/>
  <c r="T508" i="3"/>
  <c r="T351" i="3"/>
  <c r="T133" i="3"/>
  <c r="T105" i="3"/>
  <c r="T208" i="3"/>
  <c r="T205" i="3"/>
  <c r="T199" i="3"/>
  <c r="T972" i="3"/>
  <c r="T288" i="3"/>
  <c r="T893" i="3"/>
  <c r="T890" i="3"/>
  <c r="T4" i="3"/>
  <c r="T932" i="3"/>
  <c r="T16" i="3"/>
  <c r="T569" i="3"/>
  <c r="T544" i="3"/>
  <c r="T842" i="3"/>
  <c r="T675" i="3"/>
  <c r="T368" i="3"/>
  <c r="T345" i="3"/>
  <c r="T982" i="3"/>
  <c r="T298" i="3"/>
  <c r="T613" i="3"/>
  <c r="T879" i="3"/>
  <c r="T87" i="3"/>
  <c r="T549" i="3"/>
  <c r="T714" i="3"/>
  <c r="T40" i="3"/>
  <c r="T832" i="3"/>
  <c r="T979" i="3"/>
  <c r="T187" i="3"/>
  <c r="T65" i="3"/>
  <c r="T996" i="3"/>
  <c r="T124" i="3"/>
  <c r="T101" i="3"/>
  <c r="T877" i="3"/>
  <c r="T870" i="3"/>
  <c r="T392" i="3"/>
  <c r="T786" i="3"/>
  <c r="T72" i="3"/>
  <c r="T662" i="3"/>
  <c r="T408" i="3"/>
  <c r="T712" i="3"/>
  <c r="T701" i="3"/>
  <c r="T356" i="3"/>
  <c r="T17" i="3"/>
  <c r="T487" i="3"/>
  <c r="T261" i="3"/>
  <c r="T380" i="3"/>
  <c r="T110" i="3"/>
  <c r="T908" i="3"/>
  <c r="T849" i="3"/>
  <c r="T791" i="3"/>
  <c r="T850" i="3"/>
  <c r="T49" i="3"/>
  <c r="T538" i="3"/>
  <c r="T782" i="3"/>
  <c r="T22" i="3"/>
  <c r="T336" i="3"/>
  <c r="T898" i="3"/>
  <c r="T909" i="3"/>
  <c r="T64" i="3"/>
  <c r="T474" i="3"/>
  <c r="T654" i="3"/>
  <c r="T225" i="3"/>
  <c r="T283" i="3"/>
  <c r="T910" i="3"/>
  <c r="T431" i="3"/>
  <c r="T671" i="3"/>
  <c r="T627" i="3"/>
  <c r="T585" i="3"/>
  <c r="T817" i="3"/>
  <c r="T461" i="3"/>
  <c r="T925" i="3"/>
  <c r="T863" i="3"/>
  <c r="T785" i="3"/>
  <c r="T262" i="3"/>
  <c r="T708" i="3"/>
  <c r="T789" i="3"/>
  <c r="T995" i="3"/>
  <c r="T228" i="3"/>
  <c r="T722" i="3"/>
  <c r="T567" i="3"/>
  <c r="T167" i="3"/>
  <c r="T224" i="3"/>
  <c r="T269" i="3"/>
  <c r="T265" i="3"/>
  <c r="T721" i="3"/>
  <c r="T214" i="3"/>
  <c r="T176" i="3"/>
  <c r="T334" i="3"/>
  <c r="T141" i="3"/>
  <c r="T149" i="3"/>
  <c r="T94" i="3"/>
  <c r="T197" i="3"/>
  <c r="T373" i="3"/>
  <c r="T89" i="3"/>
  <c r="T210" i="3"/>
  <c r="T540" i="3"/>
  <c r="T727" i="3"/>
  <c r="T383" i="3"/>
  <c r="T285" i="3"/>
  <c r="T160" i="3"/>
  <c r="T628" i="3"/>
  <c r="T682" i="3"/>
  <c r="T267" i="3"/>
  <c r="T683" i="3"/>
  <c r="T229" i="3"/>
  <c r="T605" i="3"/>
  <c r="T476" i="3"/>
  <c r="T178" i="3"/>
  <c r="T903" i="3"/>
  <c r="T337" i="3"/>
  <c r="T286" i="3"/>
  <c r="T66" i="3"/>
  <c r="T312" i="3"/>
  <c r="T858" i="3"/>
  <c r="T693" i="3"/>
  <c r="T323" i="3"/>
  <c r="T965" i="3"/>
  <c r="T640" i="3"/>
  <c r="T33" i="3"/>
  <c r="T200" i="3"/>
  <c r="T625" i="3"/>
  <c r="T651" i="3"/>
  <c r="T278" i="3"/>
  <c r="T666" i="3"/>
  <c r="T646" i="3"/>
  <c r="T633" i="3"/>
  <c r="T12" i="3"/>
  <c r="T963" i="3"/>
  <c r="T943" i="3"/>
  <c r="T874" i="3"/>
  <c r="T96" i="3"/>
  <c r="T956" i="3"/>
  <c r="T601" i="3"/>
  <c r="T818" i="3"/>
  <c r="T232" i="3"/>
  <c r="T738" i="3"/>
  <c r="T52" i="3"/>
  <c r="T586" i="3"/>
  <c r="T332" i="3"/>
  <c r="T556" i="3"/>
  <c r="T649" i="3"/>
  <c r="T469" i="3"/>
  <c r="T423" i="3"/>
  <c r="T60" i="3"/>
  <c r="T813" i="3"/>
  <c r="T306" i="3"/>
  <c r="T42" i="3"/>
  <c r="T535" i="3"/>
  <c r="T157" i="3"/>
  <c r="T582" i="3"/>
  <c r="T748" i="3"/>
  <c r="T762" i="3"/>
  <c r="T144" i="3"/>
  <c r="T779" i="3"/>
  <c r="T621" i="3"/>
  <c r="T888" i="3"/>
  <c r="T398" i="3"/>
  <c r="T553" i="3"/>
  <c r="T188" i="3"/>
  <c r="T329" i="3"/>
  <c r="T353" i="3"/>
  <c r="T488" i="3"/>
  <c r="T70" i="3"/>
  <c r="T114" i="3"/>
  <c r="T959" i="3"/>
  <c r="T846" i="3"/>
  <c r="T296" i="3"/>
  <c r="T1002" i="3"/>
  <c r="T852" i="3"/>
  <c r="T247" i="3"/>
  <c r="T591" i="3"/>
  <c r="T641" i="3"/>
  <c r="T457" i="3"/>
  <c r="T767" i="3"/>
  <c r="T798" i="3"/>
  <c r="T163" i="3"/>
  <c r="T872" i="3"/>
  <c r="T27" i="3"/>
  <c r="T992" i="3"/>
  <c r="T243" i="3"/>
  <c r="T660" i="3"/>
  <c r="T634" i="3"/>
  <c r="T547" i="3"/>
  <c r="T378" i="3"/>
  <c r="T103" i="3"/>
  <c r="T814" i="3"/>
  <c r="T936" i="3"/>
  <c r="T327" i="3"/>
  <c r="T687" i="3"/>
  <c r="T290" i="3"/>
  <c r="T885" i="3"/>
  <c r="T519" i="3"/>
  <c r="T171" i="3"/>
  <c r="T521" i="3"/>
  <c r="T426" i="3"/>
  <c r="T517" i="3"/>
  <c r="T172" i="3"/>
  <c r="T911" i="3"/>
  <c r="T449" i="3"/>
  <c r="T498" i="3"/>
  <c r="T808" i="3"/>
  <c r="T385" i="3"/>
  <c r="T728" i="3"/>
  <c r="T420" i="3"/>
  <c r="T770" i="3"/>
  <c r="T899" i="3"/>
  <c r="T218" i="3"/>
  <c r="T8" i="3"/>
  <c r="T454" i="3"/>
  <c r="T602" i="3"/>
  <c r="T594" i="3"/>
  <c r="T405" i="3"/>
  <c r="T92" i="3"/>
  <c r="T393" i="3"/>
  <c r="T347" i="3"/>
  <c r="R797" i="3"/>
  <c r="R423" i="3"/>
  <c r="R27" i="3"/>
  <c r="R222" i="3"/>
  <c r="R416" i="3"/>
  <c r="R179" i="3"/>
  <c r="R369" i="3"/>
  <c r="R741" i="3"/>
  <c r="R429" i="3"/>
  <c r="R506" i="3"/>
  <c r="R720" i="3"/>
  <c r="R491" i="3"/>
  <c r="R687" i="3"/>
  <c r="R965" i="3"/>
  <c r="R676" i="3"/>
  <c r="R709" i="3"/>
  <c r="R85" i="3"/>
  <c r="R119" i="3"/>
  <c r="R458" i="3"/>
  <c r="R163" i="3"/>
  <c r="V163" i="3" s="1"/>
  <c r="R744" i="3"/>
  <c r="R677" i="3"/>
  <c r="R523" i="3"/>
  <c r="R389" i="3"/>
  <c r="R341" i="3"/>
  <c r="R468" i="3"/>
  <c r="R358" i="3"/>
  <c r="R995" i="3"/>
  <c r="R864" i="3"/>
  <c r="R549" i="3"/>
  <c r="V549" i="3" s="1"/>
  <c r="R713" i="3"/>
  <c r="R596" i="3"/>
  <c r="R77" i="3"/>
  <c r="R62" i="3"/>
  <c r="R175" i="3"/>
  <c r="R944" i="3"/>
  <c r="R540" i="3"/>
  <c r="R749" i="3"/>
  <c r="R391" i="3"/>
  <c r="C1002" i="3"/>
  <c r="C998" i="3"/>
  <c r="C994" i="3"/>
  <c r="C990" i="3"/>
  <c r="C986" i="3"/>
  <c r="C982" i="3"/>
  <c r="C978" i="3"/>
  <c r="C974" i="3"/>
  <c r="C970" i="3"/>
  <c r="C966" i="3"/>
  <c r="C962" i="3"/>
  <c r="C958" i="3"/>
  <c r="C954" i="3"/>
  <c r="C950" i="3"/>
  <c r="C946" i="3"/>
  <c r="C942" i="3"/>
  <c r="C938" i="3"/>
  <c r="C934" i="3"/>
  <c r="C930" i="3"/>
  <c r="C926" i="3"/>
  <c r="C922" i="3"/>
  <c r="C918" i="3"/>
  <c r="C914" i="3"/>
  <c r="C910" i="3"/>
  <c r="C906" i="3"/>
  <c r="C902" i="3"/>
  <c r="C898" i="3"/>
  <c r="C894" i="3"/>
  <c r="C890" i="3"/>
  <c r="C886" i="3"/>
  <c r="C882" i="3"/>
  <c r="C878" i="3"/>
  <c r="C874" i="3"/>
  <c r="C870" i="3"/>
  <c r="C866" i="3"/>
  <c r="C862" i="3"/>
  <c r="C858" i="3"/>
  <c r="C854" i="3"/>
  <c r="C850" i="3"/>
  <c r="C846" i="3"/>
  <c r="C842" i="3"/>
  <c r="C838" i="3"/>
  <c r="C834" i="3"/>
  <c r="C830" i="3"/>
  <c r="C826" i="3"/>
  <c r="C822" i="3"/>
  <c r="C818" i="3"/>
  <c r="C814" i="3"/>
  <c r="C810" i="3"/>
  <c r="C806" i="3"/>
  <c r="C802" i="3"/>
  <c r="C798" i="3"/>
  <c r="C794" i="3"/>
  <c r="C790" i="3"/>
  <c r="C786" i="3"/>
  <c r="C782" i="3"/>
  <c r="C778" i="3"/>
  <c r="C774" i="3"/>
  <c r="C770" i="3"/>
  <c r="C766" i="3"/>
  <c r="C762" i="3"/>
  <c r="C758" i="3"/>
  <c r="C754" i="3"/>
  <c r="C750" i="3"/>
  <c r="C746" i="3"/>
  <c r="C742" i="3"/>
  <c r="C738" i="3"/>
  <c r="C734" i="3"/>
  <c r="C730" i="3"/>
  <c r="C726" i="3"/>
  <c r="C722" i="3"/>
  <c r="C718" i="3"/>
  <c r="C714" i="3"/>
  <c r="C710" i="3"/>
  <c r="C706" i="3"/>
  <c r="C702" i="3"/>
  <c r="C698" i="3"/>
  <c r="C694" i="3"/>
  <c r="C690" i="3"/>
  <c r="C686" i="3"/>
  <c r="C682" i="3"/>
  <c r="C678" i="3"/>
  <c r="C674" i="3"/>
  <c r="C670" i="3"/>
  <c r="C666" i="3"/>
  <c r="B1002" i="3"/>
  <c r="B998" i="3"/>
  <c r="B994" i="3"/>
  <c r="B990" i="3"/>
  <c r="B986" i="3"/>
  <c r="B982" i="3"/>
  <c r="B978" i="3"/>
  <c r="B974" i="3"/>
  <c r="B970" i="3"/>
  <c r="B966" i="3"/>
  <c r="B962" i="3"/>
  <c r="B958" i="3"/>
  <c r="B954" i="3"/>
  <c r="B950" i="3"/>
  <c r="B946" i="3"/>
  <c r="B942" i="3"/>
  <c r="B938" i="3"/>
  <c r="B934" i="3"/>
  <c r="B930" i="3"/>
  <c r="B926" i="3"/>
  <c r="B922" i="3"/>
  <c r="B918" i="3"/>
  <c r="B914" i="3"/>
  <c r="B910" i="3"/>
  <c r="B906" i="3"/>
  <c r="B902" i="3"/>
  <c r="B898" i="3"/>
  <c r="B894" i="3"/>
  <c r="B890" i="3"/>
  <c r="B886" i="3"/>
  <c r="B882" i="3"/>
  <c r="B878" i="3"/>
  <c r="B874" i="3"/>
  <c r="B870" i="3"/>
  <c r="B866" i="3"/>
  <c r="B862" i="3"/>
  <c r="B858" i="3"/>
  <c r="B854" i="3"/>
  <c r="B850" i="3"/>
  <c r="B846" i="3"/>
  <c r="B842" i="3"/>
  <c r="B838" i="3"/>
  <c r="B834" i="3"/>
  <c r="B830" i="3"/>
  <c r="B826" i="3"/>
  <c r="B822" i="3"/>
  <c r="B818" i="3"/>
  <c r="B814" i="3"/>
  <c r="B810" i="3"/>
  <c r="B806" i="3"/>
  <c r="B802" i="3"/>
  <c r="B798" i="3"/>
  <c r="B794" i="3"/>
  <c r="B790" i="3"/>
  <c r="B786" i="3"/>
  <c r="B782" i="3"/>
  <c r="B778" i="3"/>
  <c r="B774" i="3"/>
  <c r="B770" i="3"/>
  <c r="B766" i="3"/>
  <c r="B762" i="3"/>
  <c r="B758" i="3"/>
  <c r="B754" i="3"/>
  <c r="B750" i="3"/>
  <c r="B746" i="3"/>
  <c r="B742" i="3"/>
  <c r="B738" i="3"/>
  <c r="B734" i="3"/>
  <c r="B730" i="3"/>
  <c r="B726" i="3"/>
  <c r="B722" i="3"/>
  <c r="B718" i="3"/>
  <c r="B714" i="3"/>
  <c r="B710" i="3"/>
  <c r="B706" i="3"/>
  <c r="B702" i="3"/>
  <c r="B698" i="3"/>
  <c r="B694" i="3"/>
  <c r="B690" i="3"/>
  <c r="B686" i="3"/>
  <c r="B682" i="3"/>
  <c r="B678" i="3"/>
  <c r="B674" i="3"/>
  <c r="B670" i="3"/>
  <c r="B666" i="3"/>
  <c r="B662" i="3"/>
  <c r="B658" i="3"/>
  <c r="B654" i="3"/>
  <c r="B650" i="3"/>
  <c r="B646" i="3"/>
  <c r="B642" i="3"/>
  <c r="B638" i="3"/>
  <c r="B634" i="3"/>
  <c r="B630" i="3"/>
  <c r="B626" i="3"/>
  <c r="B622" i="3"/>
  <c r="B618" i="3"/>
  <c r="B614" i="3"/>
  <c r="B610" i="3"/>
  <c r="B606" i="3"/>
  <c r="B602" i="3"/>
  <c r="B598" i="3"/>
  <c r="B594" i="3"/>
  <c r="D1001" i="3"/>
  <c r="D997" i="3"/>
  <c r="D993" i="3"/>
  <c r="D989" i="3"/>
  <c r="D985" i="3"/>
  <c r="D981" i="3"/>
  <c r="D977" i="3"/>
  <c r="D973" i="3"/>
  <c r="D969" i="3"/>
  <c r="D965" i="3"/>
  <c r="D961" i="3"/>
  <c r="D957" i="3"/>
  <c r="D953" i="3"/>
  <c r="D949" i="3"/>
  <c r="D945" i="3"/>
  <c r="D941" i="3"/>
  <c r="D937" i="3"/>
  <c r="D933" i="3"/>
  <c r="D929" i="3"/>
  <c r="D925" i="3"/>
  <c r="D921" i="3"/>
  <c r="D917" i="3"/>
  <c r="D913" i="3"/>
  <c r="D909" i="3"/>
  <c r="D905" i="3"/>
  <c r="D901" i="3"/>
  <c r="D897" i="3"/>
  <c r="D893" i="3"/>
  <c r="D889" i="3"/>
  <c r="D885" i="3"/>
  <c r="D881" i="3"/>
  <c r="D877" i="3"/>
  <c r="D873" i="3"/>
  <c r="D869" i="3"/>
  <c r="D865" i="3"/>
  <c r="D861" i="3"/>
  <c r="D857" i="3"/>
  <c r="D853" i="3"/>
  <c r="D849" i="3"/>
  <c r="D845" i="3"/>
  <c r="D841" i="3"/>
  <c r="D837" i="3"/>
  <c r="D833" i="3"/>
  <c r="D829" i="3"/>
  <c r="D825" i="3"/>
  <c r="D821" i="3"/>
  <c r="D817" i="3"/>
  <c r="D813" i="3"/>
  <c r="D809" i="3"/>
  <c r="D805" i="3"/>
  <c r="D801" i="3"/>
  <c r="D797" i="3"/>
  <c r="D793" i="3"/>
  <c r="D789" i="3"/>
  <c r="D785" i="3"/>
  <c r="D781" i="3"/>
  <c r="D777" i="3"/>
  <c r="D773" i="3"/>
  <c r="D769" i="3"/>
  <c r="D765" i="3"/>
  <c r="D761" i="3"/>
  <c r="D757" i="3"/>
  <c r="D753" i="3"/>
  <c r="D749" i="3"/>
  <c r="D745" i="3"/>
  <c r="D741" i="3"/>
  <c r="D737" i="3"/>
  <c r="D733" i="3"/>
  <c r="D729" i="3"/>
  <c r="D725" i="3"/>
  <c r="D721" i="3"/>
  <c r="D717" i="3"/>
  <c r="D713" i="3"/>
  <c r="D709" i="3"/>
  <c r="D705" i="3"/>
  <c r="D701" i="3"/>
  <c r="D697" i="3"/>
  <c r="D693" i="3"/>
  <c r="D689" i="3"/>
  <c r="D685" i="3"/>
  <c r="D681" i="3"/>
  <c r="D677" i="3"/>
  <c r="D673" i="3"/>
  <c r="D669" i="3"/>
  <c r="D665" i="3"/>
  <c r="C997" i="3"/>
  <c r="C992" i="3"/>
  <c r="C987" i="3"/>
  <c r="C981" i="3"/>
  <c r="C976" i="3"/>
  <c r="C971" i="3"/>
  <c r="C965" i="3"/>
  <c r="C960" i="3"/>
  <c r="C955" i="3"/>
  <c r="C949" i="3"/>
  <c r="C944" i="3"/>
  <c r="C939" i="3"/>
  <c r="C933" i="3"/>
  <c r="C928" i="3"/>
  <c r="C923" i="3"/>
  <c r="C917" i="3"/>
  <c r="C912" i="3"/>
  <c r="C907" i="3"/>
  <c r="C901" i="3"/>
  <c r="C896" i="3"/>
  <c r="C891" i="3"/>
  <c r="C885" i="3"/>
  <c r="C880" i="3"/>
  <c r="C875" i="3"/>
  <c r="C869" i="3"/>
  <c r="C864" i="3"/>
  <c r="C859" i="3"/>
  <c r="C853" i="3"/>
  <c r="C848" i="3"/>
  <c r="C843" i="3"/>
  <c r="C837" i="3"/>
  <c r="C832" i="3"/>
  <c r="C827" i="3"/>
  <c r="C821" i="3"/>
  <c r="C816" i="3"/>
  <c r="C811" i="3"/>
  <c r="C805" i="3"/>
  <c r="C800" i="3"/>
  <c r="C795" i="3"/>
  <c r="C789" i="3"/>
  <c r="C784" i="3"/>
  <c r="C779" i="3"/>
  <c r="C773" i="3"/>
  <c r="C768" i="3"/>
  <c r="C763" i="3"/>
  <c r="C757" i="3"/>
  <c r="C752" i="3"/>
  <c r="C747" i="3"/>
  <c r="C741" i="3"/>
  <c r="C736" i="3"/>
  <c r="C731" i="3"/>
  <c r="C725" i="3"/>
  <c r="C720" i="3"/>
  <c r="C715" i="3"/>
  <c r="C709" i="3"/>
  <c r="C704" i="3"/>
  <c r="C699" i="3"/>
  <c r="C693" i="3"/>
  <c r="C688" i="3"/>
  <c r="C683" i="3"/>
  <c r="C677" i="3"/>
  <c r="C672" i="3"/>
  <c r="C667" i="3"/>
  <c r="C662" i="3"/>
  <c r="D657" i="3"/>
  <c r="C653" i="3"/>
  <c r="B649" i="3"/>
  <c r="D644" i="3"/>
  <c r="C640" i="3"/>
  <c r="B636" i="3"/>
  <c r="D631" i="3"/>
  <c r="C627" i="3"/>
  <c r="B623" i="3"/>
  <c r="D618" i="3"/>
  <c r="C614" i="3"/>
  <c r="D609" i="3"/>
  <c r="C605" i="3"/>
  <c r="B601" i="3"/>
  <c r="D596" i="3"/>
  <c r="C592" i="3"/>
  <c r="C588" i="3"/>
  <c r="C584" i="3"/>
  <c r="C580" i="3"/>
  <c r="C576" i="3"/>
  <c r="C572" i="3"/>
  <c r="C568" i="3"/>
  <c r="C564" i="3"/>
  <c r="C560" i="3"/>
  <c r="C556" i="3"/>
  <c r="C552" i="3"/>
  <c r="C548" i="3"/>
  <c r="C544" i="3"/>
  <c r="C540" i="3"/>
  <c r="C536" i="3"/>
  <c r="C532" i="3"/>
  <c r="C528" i="3"/>
  <c r="C524" i="3"/>
  <c r="C520" i="3"/>
  <c r="C516" i="3"/>
  <c r="C512" i="3"/>
  <c r="C508" i="3"/>
  <c r="C504" i="3"/>
  <c r="C500" i="3"/>
  <c r="C496" i="3"/>
  <c r="C492" i="3"/>
  <c r="C488" i="3"/>
  <c r="C484" i="3"/>
  <c r="C480" i="3"/>
  <c r="C476" i="3"/>
  <c r="C472" i="3"/>
  <c r="C468" i="3"/>
  <c r="C464" i="3"/>
  <c r="C460" i="3"/>
  <c r="C456" i="3"/>
  <c r="C452" i="3"/>
  <c r="B997" i="3"/>
  <c r="B992" i="3"/>
  <c r="B987" i="3"/>
  <c r="B981" i="3"/>
  <c r="B976" i="3"/>
  <c r="B971" i="3"/>
  <c r="B965" i="3"/>
  <c r="B960" i="3"/>
  <c r="B955" i="3"/>
  <c r="B949" i="3"/>
  <c r="B944" i="3"/>
  <c r="B939" i="3"/>
  <c r="B933" i="3"/>
  <c r="B928" i="3"/>
  <c r="B923" i="3"/>
  <c r="B917" i="3"/>
  <c r="B912" i="3"/>
  <c r="B907" i="3"/>
  <c r="B901" i="3"/>
  <c r="B896" i="3"/>
  <c r="B891" i="3"/>
  <c r="B885" i="3"/>
  <c r="B880" i="3"/>
  <c r="B875" i="3"/>
  <c r="B869" i="3"/>
  <c r="B864" i="3"/>
  <c r="B859" i="3"/>
  <c r="B853" i="3"/>
  <c r="B848" i="3"/>
  <c r="B843" i="3"/>
  <c r="B837" i="3"/>
  <c r="B832" i="3"/>
  <c r="B827" i="3"/>
  <c r="B821" i="3"/>
  <c r="B816" i="3"/>
  <c r="B811" i="3"/>
  <c r="B805" i="3"/>
  <c r="B800" i="3"/>
  <c r="B795" i="3"/>
  <c r="B789" i="3"/>
  <c r="B784" i="3"/>
  <c r="B779" i="3"/>
  <c r="B773" i="3"/>
  <c r="B768" i="3"/>
  <c r="B763" i="3"/>
  <c r="B757" i="3"/>
  <c r="B752" i="3"/>
  <c r="B747" i="3"/>
  <c r="B741" i="3"/>
  <c r="B736" i="3"/>
  <c r="B731" i="3"/>
  <c r="B725" i="3"/>
  <c r="B720" i="3"/>
  <c r="B715" i="3"/>
  <c r="B709" i="3"/>
  <c r="B704" i="3"/>
  <c r="B699" i="3"/>
  <c r="B693" i="3"/>
  <c r="B688" i="3"/>
  <c r="B683" i="3"/>
  <c r="B677" i="3"/>
  <c r="B672" i="3"/>
  <c r="B667" i="3"/>
  <c r="D661" i="3"/>
  <c r="C657" i="3"/>
  <c r="B653" i="3"/>
  <c r="D648" i="3"/>
  <c r="C644" i="3"/>
  <c r="B640" i="3"/>
  <c r="D635" i="3"/>
  <c r="C631" i="3"/>
  <c r="B627" i="3"/>
  <c r="D622" i="3"/>
  <c r="C618" i="3"/>
  <c r="D613" i="3"/>
  <c r="C609" i="3"/>
  <c r="B605" i="3"/>
  <c r="D600" i="3"/>
  <c r="C596" i="3"/>
  <c r="B592" i="3"/>
  <c r="B588" i="3"/>
  <c r="B584" i="3"/>
  <c r="B580" i="3"/>
  <c r="B576" i="3"/>
  <c r="B572" i="3"/>
  <c r="B568" i="3"/>
  <c r="B564" i="3"/>
  <c r="B560" i="3"/>
  <c r="B556" i="3"/>
  <c r="B552" i="3"/>
  <c r="B548" i="3"/>
  <c r="B544" i="3"/>
  <c r="B540" i="3"/>
  <c r="B536" i="3"/>
  <c r="B532" i="3"/>
  <c r="B528" i="3"/>
  <c r="B524" i="3"/>
  <c r="B520" i="3"/>
  <c r="B516" i="3"/>
  <c r="B512" i="3"/>
  <c r="B508" i="3"/>
  <c r="B504" i="3"/>
  <c r="B500" i="3"/>
  <c r="B496" i="3"/>
  <c r="B492" i="3"/>
  <c r="B488" i="3"/>
  <c r="B484" i="3"/>
  <c r="B480" i="3"/>
  <c r="B476" i="3"/>
  <c r="B472" i="3"/>
  <c r="B468" i="3"/>
  <c r="B464" i="3"/>
  <c r="B460" i="3"/>
  <c r="B456" i="3"/>
  <c r="B452" i="3"/>
  <c r="B448" i="3"/>
  <c r="B444" i="3"/>
  <c r="B440" i="3"/>
  <c r="D1002" i="3"/>
  <c r="D996" i="3"/>
  <c r="D991" i="3"/>
  <c r="D986" i="3"/>
  <c r="D980" i="3"/>
  <c r="D975" i="3"/>
  <c r="D970" i="3"/>
  <c r="D964" i="3"/>
  <c r="D959" i="3"/>
  <c r="D954" i="3"/>
  <c r="D948" i="3"/>
  <c r="D943" i="3"/>
  <c r="D938" i="3"/>
  <c r="D932" i="3"/>
  <c r="D927" i="3"/>
  <c r="D922" i="3"/>
  <c r="D916" i="3"/>
  <c r="D911" i="3"/>
  <c r="D906" i="3"/>
  <c r="D900" i="3"/>
  <c r="D895" i="3"/>
  <c r="D890" i="3"/>
  <c r="D884" i="3"/>
  <c r="D879" i="3"/>
  <c r="D874" i="3"/>
  <c r="D868" i="3"/>
  <c r="D863" i="3"/>
  <c r="D858" i="3"/>
  <c r="D852" i="3"/>
  <c r="D847" i="3"/>
  <c r="D842" i="3"/>
  <c r="D836" i="3"/>
  <c r="D831" i="3"/>
  <c r="D826" i="3"/>
  <c r="D820" i="3"/>
  <c r="D815" i="3"/>
  <c r="D810" i="3"/>
  <c r="D804" i="3"/>
  <c r="D799" i="3"/>
  <c r="D794" i="3"/>
  <c r="D788" i="3"/>
  <c r="D783" i="3"/>
  <c r="D778" i="3"/>
  <c r="D772" i="3"/>
  <c r="D767" i="3"/>
  <c r="D762" i="3"/>
  <c r="D756" i="3"/>
  <c r="D751" i="3"/>
  <c r="D746" i="3"/>
  <c r="D740" i="3"/>
  <c r="D735" i="3"/>
  <c r="D730" i="3"/>
  <c r="D724" i="3"/>
  <c r="D719" i="3"/>
  <c r="D714" i="3"/>
  <c r="D708" i="3"/>
  <c r="D703" i="3"/>
  <c r="D698" i="3"/>
  <c r="D692" i="3"/>
  <c r="D687" i="3"/>
  <c r="D682" i="3"/>
  <c r="D676" i="3"/>
  <c r="D671" i="3"/>
  <c r="D666" i="3"/>
  <c r="C661" i="3"/>
  <c r="B657" i="3"/>
  <c r="D652" i="3"/>
  <c r="C648" i="3"/>
  <c r="B644" i="3"/>
  <c r="D639" i="3"/>
  <c r="C635" i="3"/>
  <c r="B631" i="3"/>
  <c r="D626" i="3"/>
  <c r="C622" i="3"/>
  <c r="D617" i="3"/>
  <c r="C613" i="3"/>
  <c r="B609" i="3"/>
  <c r="D604" i="3"/>
  <c r="C600" i="3"/>
  <c r="B596" i="3"/>
  <c r="D591" i="3"/>
  <c r="D587" i="3"/>
  <c r="D583" i="3"/>
  <c r="D579" i="3"/>
  <c r="D575" i="3"/>
  <c r="D571" i="3"/>
  <c r="D567" i="3"/>
  <c r="D563" i="3"/>
  <c r="D559" i="3"/>
  <c r="D555" i="3"/>
  <c r="D551" i="3"/>
  <c r="D547" i="3"/>
  <c r="D543" i="3"/>
  <c r="D539" i="3"/>
  <c r="D535" i="3"/>
  <c r="D531" i="3"/>
  <c r="D527" i="3"/>
  <c r="D523" i="3"/>
  <c r="D519" i="3"/>
  <c r="D515" i="3"/>
  <c r="D511" i="3"/>
  <c r="D507" i="3"/>
  <c r="D503" i="3"/>
  <c r="D499" i="3"/>
  <c r="D495" i="3"/>
  <c r="D491" i="3"/>
  <c r="D487" i="3"/>
  <c r="D483" i="3"/>
  <c r="D479" i="3"/>
  <c r="D475" i="3"/>
  <c r="D471" i="3"/>
  <c r="D467" i="3"/>
  <c r="D463" i="3"/>
  <c r="D459" i="3"/>
  <c r="D455" i="3"/>
  <c r="D451" i="3"/>
  <c r="D447" i="3"/>
  <c r="D443" i="3"/>
  <c r="D439" i="3"/>
  <c r="D6" i="3"/>
  <c r="B996" i="3"/>
  <c r="B989" i="3"/>
  <c r="B983" i="3"/>
  <c r="B975" i="3"/>
  <c r="B968" i="3"/>
  <c r="B961" i="3"/>
  <c r="B953" i="3"/>
  <c r="B947" i="3"/>
  <c r="B940" i="3"/>
  <c r="B932" i="3"/>
  <c r="B925" i="3"/>
  <c r="B919" i="3"/>
  <c r="B911" i="3"/>
  <c r="B904" i="3"/>
  <c r="B897" i="3"/>
  <c r="B889" i="3"/>
  <c r="B883" i="3"/>
  <c r="B876" i="3"/>
  <c r="B868" i="3"/>
  <c r="B861" i="3"/>
  <c r="B855" i="3"/>
  <c r="B847" i="3"/>
  <c r="B840" i="3"/>
  <c r="B833" i="3"/>
  <c r="B825" i="3"/>
  <c r="B819" i="3"/>
  <c r="B812" i="3"/>
  <c r="B804" i="3"/>
  <c r="B797" i="3"/>
  <c r="B791" i="3"/>
  <c r="B783" i="3"/>
  <c r="B776" i="3"/>
  <c r="B769" i="3"/>
  <c r="B761" i="3"/>
  <c r="B755" i="3"/>
  <c r="B748" i="3"/>
  <c r="B740" i="3"/>
  <c r="B733" i="3"/>
  <c r="B727" i="3"/>
  <c r="B719" i="3"/>
  <c r="B712" i="3"/>
  <c r="B705" i="3"/>
  <c r="B697" i="3"/>
  <c r="B691" i="3"/>
  <c r="B684" i="3"/>
  <c r="B676" i="3"/>
  <c r="B669" i="3"/>
  <c r="B663" i="3"/>
  <c r="C656" i="3"/>
  <c r="B651" i="3"/>
  <c r="C645" i="3"/>
  <c r="B639" i="3"/>
  <c r="C633" i="3"/>
  <c r="B628" i="3"/>
  <c r="C621" i="3"/>
  <c r="B616" i="3"/>
  <c r="D610" i="3"/>
  <c r="B604" i="3"/>
  <c r="D598" i="3"/>
  <c r="B593" i="3"/>
  <c r="B587" i="3"/>
  <c r="B582" i="3"/>
  <c r="B577" i="3"/>
  <c r="B571" i="3"/>
  <c r="B566" i="3"/>
  <c r="B561" i="3"/>
  <c r="B555" i="3"/>
  <c r="B550" i="3"/>
  <c r="B545" i="3"/>
  <c r="B539" i="3"/>
  <c r="B534" i="3"/>
  <c r="B529" i="3"/>
  <c r="B523" i="3"/>
  <c r="B518" i="3"/>
  <c r="B513" i="3"/>
  <c r="B507" i="3"/>
  <c r="B502" i="3"/>
  <c r="B497" i="3"/>
  <c r="B491" i="3"/>
  <c r="B486" i="3"/>
  <c r="B481" i="3"/>
  <c r="B475" i="3"/>
  <c r="B470" i="3"/>
  <c r="B465" i="3"/>
  <c r="B459" i="3"/>
  <c r="B454" i="3"/>
  <c r="B449" i="3"/>
  <c r="D995" i="3"/>
  <c r="D988" i="3"/>
  <c r="D982" i="3"/>
  <c r="D974" i="3"/>
  <c r="D967" i="3"/>
  <c r="D960" i="3"/>
  <c r="D952" i="3"/>
  <c r="D946" i="3"/>
  <c r="D939" i="3"/>
  <c r="D931" i="3"/>
  <c r="D924" i="3"/>
  <c r="D918" i="3"/>
  <c r="D910" i="3"/>
  <c r="D903" i="3"/>
  <c r="D896" i="3"/>
  <c r="D888" i="3"/>
  <c r="D882" i="3"/>
  <c r="D875" i="3"/>
  <c r="D867" i="3"/>
  <c r="D860" i="3"/>
  <c r="D854" i="3"/>
  <c r="D846" i="3"/>
  <c r="D839" i="3"/>
  <c r="D832" i="3"/>
  <c r="D824" i="3"/>
  <c r="D818" i="3"/>
  <c r="D811" i="3"/>
  <c r="D803" i="3"/>
  <c r="D796" i="3"/>
  <c r="D790" i="3"/>
  <c r="D782" i="3"/>
  <c r="D775" i="3"/>
  <c r="D768" i="3"/>
  <c r="D760" i="3"/>
  <c r="D754" i="3"/>
  <c r="D747" i="3"/>
  <c r="D739" i="3"/>
  <c r="D732" i="3"/>
  <c r="D726" i="3"/>
  <c r="D718" i="3"/>
  <c r="D711" i="3"/>
  <c r="D704" i="3"/>
  <c r="D696" i="3"/>
  <c r="D690" i="3"/>
  <c r="D683" i="3"/>
  <c r="D675" i="3"/>
  <c r="D668" i="3"/>
  <c r="D662" i="3"/>
  <c r="B656" i="3"/>
  <c r="D650" i="3"/>
  <c r="B645" i="3"/>
  <c r="D638" i="3"/>
  <c r="B633" i="3"/>
  <c r="D627" i="3"/>
  <c r="B621" i="3"/>
  <c r="D615" i="3"/>
  <c r="C610" i="3"/>
  <c r="D603" i="3"/>
  <c r="C598" i="3"/>
  <c r="D592" i="3"/>
  <c r="D586" i="3"/>
  <c r="D581" i="3"/>
  <c r="D576" i="3"/>
  <c r="D570" i="3"/>
  <c r="D565" i="3"/>
  <c r="D560" i="3"/>
  <c r="D554" i="3"/>
  <c r="D549" i="3"/>
  <c r="D544" i="3"/>
  <c r="D538" i="3"/>
  <c r="D533" i="3"/>
  <c r="D528" i="3"/>
  <c r="D522" i="3"/>
  <c r="D517" i="3"/>
  <c r="D512" i="3"/>
  <c r="D506" i="3"/>
  <c r="D501" i="3"/>
  <c r="D496" i="3"/>
  <c r="D490" i="3"/>
  <c r="D485" i="3"/>
  <c r="D480" i="3"/>
  <c r="D474" i="3"/>
  <c r="D469" i="3"/>
  <c r="D464" i="3"/>
  <c r="D458" i="3"/>
  <c r="D453" i="3"/>
  <c r="D448" i="3"/>
  <c r="C443" i="3"/>
  <c r="D438" i="3"/>
  <c r="D434" i="3"/>
  <c r="D430" i="3"/>
  <c r="D426" i="3"/>
  <c r="D422" i="3"/>
  <c r="D418" i="3"/>
  <c r="D414" i="3"/>
  <c r="D410" i="3"/>
  <c r="D406" i="3"/>
  <c r="D402" i="3"/>
  <c r="D398" i="3"/>
  <c r="D394" i="3"/>
  <c r="D390" i="3"/>
  <c r="D386" i="3"/>
  <c r="D382" i="3"/>
  <c r="D378" i="3"/>
  <c r="D374" i="3"/>
  <c r="D370" i="3"/>
  <c r="D366" i="3"/>
  <c r="D362" i="3"/>
  <c r="D358" i="3"/>
  <c r="D354" i="3"/>
  <c r="D350" i="3"/>
  <c r="D346" i="3"/>
  <c r="D342" i="3"/>
  <c r="D338" i="3"/>
  <c r="D334" i="3"/>
  <c r="D330" i="3"/>
  <c r="D326" i="3"/>
  <c r="D322" i="3"/>
  <c r="D318" i="3"/>
  <c r="D314" i="3"/>
  <c r="D310" i="3"/>
  <c r="D306" i="3"/>
  <c r="D302" i="3"/>
  <c r="D298" i="3"/>
  <c r="D294" i="3"/>
  <c r="D290" i="3"/>
  <c r="D286" i="3"/>
  <c r="D282" i="3"/>
  <c r="D278" i="3"/>
  <c r="D274" i="3"/>
  <c r="D270" i="3"/>
  <c r="D266" i="3"/>
  <c r="D262" i="3"/>
  <c r="D258" i="3"/>
  <c r="D254" i="3"/>
  <c r="D250" i="3"/>
  <c r="D246" i="3"/>
  <c r="D242" i="3"/>
  <c r="D238" i="3"/>
  <c r="D234" i="3"/>
  <c r="D230" i="3"/>
  <c r="D226" i="3"/>
  <c r="D222" i="3"/>
  <c r="D218" i="3"/>
  <c r="D214" i="3"/>
  <c r="D210" i="3"/>
  <c r="D206" i="3"/>
  <c r="D202" i="3"/>
  <c r="D198" i="3"/>
  <c r="D194" i="3"/>
  <c r="D190" i="3"/>
  <c r="D186" i="3"/>
  <c r="D182" i="3"/>
  <c r="D178" i="3"/>
  <c r="D174" i="3"/>
  <c r="D170" i="3"/>
  <c r="D166" i="3"/>
  <c r="D162" i="3"/>
  <c r="D158" i="3"/>
  <c r="D154" i="3"/>
  <c r="D150" i="3"/>
  <c r="D146" i="3"/>
  <c r="D142" i="3"/>
  <c r="D138" i="3"/>
  <c r="D134" i="3"/>
  <c r="D130" i="3"/>
  <c r="D126" i="3"/>
  <c r="D122" i="3"/>
  <c r="D118" i="3"/>
  <c r="D114" i="3"/>
  <c r="D110" i="3"/>
  <c r="D106" i="3"/>
  <c r="D102" i="3"/>
  <c r="D98" i="3"/>
  <c r="D94" i="3"/>
  <c r="D90" i="3"/>
  <c r="D86" i="3"/>
  <c r="D82" i="3"/>
  <c r="D78" i="3"/>
  <c r="D74" i="3"/>
  <c r="D70" i="3"/>
  <c r="D66" i="3"/>
  <c r="D62" i="3"/>
  <c r="D58" i="3"/>
  <c r="D54" i="3"/>
  <c r="D50" i="3"/>
  <c r="D46" i="3"/>
  <c r="D42" i="3"/>
  <c r="D38" i="3"/>
  <c r="D34" i="3"/>
  <c r="D30" i="3"/>
  <c r="D26" i="3"/>
  <c r="D22" i="3"/>
  <c r="D18" i="3"/>
  <c r="D14" i="3"/>
  <c r="D10" i="3"/>
  <c r="C6" i="3"/>
  <c r="C1001" i="3"/>
  <c r="C995" i="3"/>
  <c r="C988" i="3"/>
  <c r="C980" i="3"/>
  <c r="C973" i="3"/>
  <c r="C967" i="3"/>
  <c r="C959" i="3"/>
  <c r="C952" i="3"/>
  <c r="C945" i="3"/>
  <c r="C937" i="3"/>
  <c r="C931" i="3"/>
  <c r="C924" i="3"/>
  <c r="C916" i="3"/>
  <c r="C909" i="3"/>
  <c r="C903" i="3"/>
  <c r="C895" i="3"/>
  <c r="C888" i="3"/>
  <c r="C881" i="3"/>
  <c r="C873" i="3"/>
  <c r="C867" i="3"/>
  <c r="C860" i="3"/>
  <c r="C852" i="3"/>
  <c r="C845" i="3"/>
  <c r="C839" i="3"/>
  <c r="C831" i="3"/>
  <c r="C824" i="3"/>
  <c r="C817" i="3"/>
  <c r="C809" i="3"/>
  <c r="C803" i="3"/>
  <c r="C796" i="3"/>
  <c r="C788" i="3"/>
  <c r="C781" i="3"/>
  <c r="C775" i="3"/>
  <c r="C767" i="3"/>
  <c r="C760" i="3"/>
  <c r="C753" i="3"/>
  <c r="C745" i="3"/>
  <c r="C739" i="3"/>
  <c r="C732" i="3"/>
  <c r="C724" i="3"/>
  <c r="C717" i="3"/>
  <c r="C711" i="3"/>
  <c r="C703" i="3"/>
  <c r="C696" i="3"/>
  <c r="C689" i="3"/>
  <c r="C681" i="3"/>
  <c r="C675" i="3"/>
  <c r="C668" i="3"/>
  <c r="B661" i="3"/>
  <c r="D655" i="3"/>
  <c r="C650" i="3"/>
  <c r="D643" i="3"/>
  <c r="C638" i="3"/>
  <c r="D632" i="3"/>
  <c r="C626" i="3"/>
  <c r="D620" i="3"/>
  <c r="C615" i="3"/>
  <c r="D608" i="3"/>
  <c r="C603" i="3"/>
  <c r="D597" i="3"/>
  <c r="C591" i="3"/>
  <c r="C586" i="3"/>
  <c r="C581" i="3"/>
  <c r="C575" i="3"/>
  <c r="C570" i="3"/>
  <c r="C565" i="3"/>
  <c r="C559" i="3"/>
  <c r="C554" i="3"/>
  <c r="C549" i="3"/>
  <c r="C543" i="3"/>
  <c r="C538" i="3"/>
  <c r="C533" i="3"/>
  <c r="C527" i="3"/>
  <c r="C522" i="3"/>
  <c r="C517" i="3"/>
  <c r="C511" i="3"/>
  <c r="C506" i="3"/>
  <c r="C501" i="3"/>
  <c r="C495" i="3"/>
  <c r="C490" i="3"/>
  <c r="C485" i="3"/>
  <c r="C479" i="3"/>
  <c r="C474" i="3"/>
  <c r="C469" i="3"/>
  <c r="C463" i="3"/>
  <c r="C458" i="3"/>
  <c r="C453" i="3"/>
  <c r="C448" i="3"/>
  <c r="B443" i="3"/>
  <c r="C438" i="3"/>
  <c r="C434" i="3"/>
  <c r="C430" i="3"/>
  <c r="C426" i="3"/>
  <c r="C422" i="3"/>
  <c r="C418" i="3"/>
  <c r="C414" i="3"/>
  <c r="C410" i="3"/>
  <c r="C406" i="3"/>
  <c r="C402" i="3"/>
  <c r="C398" i="3"/>
  <c r="C394" i="3"/>
  <c r="C390" i="3"/>
  <c r="C386" i="3"/>
  <c r="C382" i="3"/>
  <c r="C378" i="3"/>
  <c r="C374" i="3"/>
  <c r="C370" i="3"/>
  <c r="C366" i="3"/>
  <c r="C362" i="3"/>
  <c r="C358" i="3"/>
  <c r="C354" i="3"/>
  <c r="C350" i="3"/>
  <c r="C346" i="3"/>
  <c r="C342" i="3"/>
  <c r="C338" i="3"/>
  <c r="C334" i="3"/>
  <c r="C330" i="3"/>
  <c r="C326" i="3"/>
  <c r="C322" i="3"/>
  <c r="C318" i="3"/>
  <c r="C314" i="3"/>
  <c r="C310" i="3"/>
  <c r="C306" i="3"/>
  <c r="C302" i="3"/>
  <c r="C298" i="3"/>
  <c r="C294" i="3"/>
  <c r="C290" i="3"/>
  <c r="C286" i="3"/>
  <c r="C282" i="3"/>
  <c r="C278" i="3"/>
  <c r="C274" i="3"/>
  <c r="C270" i="3"/>
  <c r="C266" i="3"/>
  <c r="C262" i="3"/>
  <c r="C258" i="3"/>
  <c r="C254" i="3"/>
  <c r="C250" i="3"/>
  <c r="C246" i="3"/>
  <c r="C242" i="3"/>
  <c r="C238" i="3"/>
  <c r="C234" i="3"/>
  <c r="C230" i="3"/>
  <c r="C226" i="3"/>
  <c r="C222" i="3"/>
  <c r="C218" i="3"/>
  <c r="C214" i="3"/>
  <c r="C210" i="3"/>
  <c r="C206" i="3"/>
  <c r="C202" i="3"/>
  <c r="C198" i="3"/>
  <c r="C194" i="3"/>
  <c r="C190" i="3"/>
  <c r="C186" i="3"/>
  <c r="C182" i="3"/>
  <c r="C178" i="3"/>
  <c r="C174" i="3"/>
  <c r="C170" i="3"/>
  <c r="C166" i="3"/>
  <c r="C162" i="3"/>
  <c r="C158" i="3"/>
  <c r="C154" i="3"/>
  <c r="C150" i="3"/>
  <c r="C146" i="3"/>
  <c r="C142" i="3"/>
  <c r="C138" i="3"/>
  <c r="C134" i="3"/>
  <c r="C130" i="3"/>
  <c r="C126" i="3"/>
  <c r="C122" i="3"/>
  <c r="C118" i="3"/>
  <c r="C114" i="3"/>
  <c r="C110" i="3"/>
  <c r="C106" i="3"/>
  <c r="C102" i="3"/>
  <c r="C98" i="3"/>
  <c r="C94" i="3"/>
  <c r="C90" i="3"/>
  <c r="C86" i="3"/>
  <c r="C82" i="3"/>
  <c r="C78" i="3"/>
  <c r="C74" i="3"/>
  <c r="C70" i="3"/>
  <c r="C66" i="3"/>
  <c r="C62" i="3"/>
  <c r="C58" i="3"/>
  <c r="C54" i="3"/>
  <c r="C50" i="3"/>
  <c r="C46" i="3"/>
  <c r="C42" i="3"/>
  <c r="C38" i="3"/>
  <c r="C34" i="3"/>
  <c r="C30" i="3"/>
  <c r="C26" i="3"/>
  <c r="C22" i="3"/>
  <c r="C18" i="3"/>
  <c r="C14" i="3"/>
  <c r="C10" i="3"/>
  <c r="B6" i="3"/>
  <c r="C996" i="3"/>
  <c r="C985" i="3"/>
  <c r="C977" i="3"/>
  <c r="C968" i="3"/>
  <c r="C957" i="3"/>
  <c r="C948" i="3"/>
  <c r="C940" i="3"/>
  <c r="C929" i="3"/>
  <c r="C920" i="3"/>
  <c r="C911" i="3"/>
  <c r="C900" i="3"/>
  <c r="C892" i="3"/>
  <c r="C883" i="3"/>
  <c r="C872" i="3"/>
  <c r="C863" i="3"/>
  <c r="C855" i="3"/>
  <c r="C844" i="3"/>
  <c r="C835" i="3"/>
  <c r="C825" i="3"/>
  <c r="C815" i="3"/>
  <c r="C807" i="3"/>
  <c r="C797" i="3"/>
  <c r="C787" i="3"/>
  <c r="C777" i="3"/>
  <c r="C769" i="3"/>
  <c r="C759" i="3"/>
  <c r="C749" i="3"/>
  <c r="C740" i="3"/>
  <c r="C729" i="3"/>
  <c r="C721" i="3"/>
  <c r="C712" i="3"/>
  <c r="C701" i="3"/>
  <c r="C692" i="3"/>
  <c r="C684" i="3"/>
  <c r="C673" i="3"/>
  <c r="C664" i="3"/>
  <c r="D656" i="3"/>
  <c r="B648" i="3"/>
  <c r="C641" i="3"/>
  <c r="D633" i="3"/>
  <c r="B625" i="3"/>
  <c r="C617" i="3"/>
  <c r="B611" i="3"/>
  <c r="C602" i="3"/>
  <c r="D594" i="3"/>
  <c r="C587" i="3"/>
  <c r="C579" i="3"/>
  <c r="C573" i="3"/>
  <c r="C566" i="3"/>
  <c r="C558" i="3"/>
  <c r="C551" i="3"/>
  <c r="C545" i="3"/>
  <c r="C537" i="3"/>
  <c r="C530" i="3"/>
  <c r="C523" i="3"/>
  <c r="C515" i="3"/>
  <c r="C509" i="3"/>
  <c r="C502" i="3"/>
  <c r="C494" i="3"/>
  <c r="C487" i="3"/>
  <c r="C481" i="3"/>
  <c r="C473" i="3"/>
  <c r="C466" i="3"/>
  <c r="C459" i="3"/>
  <c r="C451" i="3"/>
  <c r="D445" i="3"/>
  <c r="C440" i="3"/>
  <c r="B435" i="3"/>
  <c r="D429" i="3"/>
  <c r="B425" i="3"/>
  <c r="C420" i="3"/>
  <c r="D415" i="3"/>
  <c r="B411" i="3"/>
  <c r="D405" i="3"/>
  <c r="B401" i="3"/>
  <c r="C396" i="3"/>
  <c r="D391" i="3"/>
  <c r="B387" i="3"/>
  <c r="D381" i="3"/>
  <c r="B377" i="3"/>
  <c r="C372" i="3"/>
  <c r="D367" i="3"/>
  <c r="B363" i="3"/>
  <c r="D357" i="3"/>
  <c r="B353" i="3"/>
  <c r="C348" i="3"/>
  <c r="D343" i="3"/>
  <c r="B339" i="3"/>
  <c r="D333" i="3"/>
  <c r="B329" i="3"/>
  <c r="C324" i="3"/>
  <c r="D319" i="3"/>
  <c r="B315" i="3"/>
  <c r="D309" i="3"/>
  <c r="B305" i="3"/>
  <c r="C300" i="3"/>
  <c r="D295" i="3"/>
  <c r="B291" i="3"/>
  <c r="D285" i="3"/>
  <c r="B281" i="3"/>
  <c r="C276" i="3"/>
  <c r="D271" i="3"/>
  <c r="B267" i="3"/>
  <c r="D261" i="3"/>
  <c r="B257" i="3"/>
  <c r="C252" i="3"/>
  <c r="D247" i="3"/>
  <c r="B243" i="3"/>
  <c r="D237" i="3"/>
  <c r="B233" i="3"/>
  <c r="C228" i="3"/>
  <c r="D223" i="3"/>
  <c r="B219" i="3"/>
  <c r="D213" i="3"/>
  <c r="B209" i="3"/>
  <c r="C204" i="3"/>
  <c r="D199" i="3"/>
  <c r="B195" i="3"/>
  <c r="D189" i="3"/>
  <c r="B185" i="3"/>
  <c r="C180" i="3"/>
  <c r="D175" i="3"/>
  <c r="B171" i="3"/>
  <c r="D165" i="3"/>
  <c r="B161" i="3"/>
  <c r="C156" i="3"/>
  <c r="D151" i="3"/>
  <c r="B147" i="3"/>
  <c r="D141" i="3"/>
  <c r="B137" i="3"/>
  <c r="C132" i="3"/>
  <c r="D127" i="3"/>
  <c r="B123" i="3"/>
  <c r="D117" i="3"/>
  <c r="B113" i="3"/>
  <c r="C108" i="3"/>
  <c r="D103" i="3"/>
  <c r="B99" i="3"/>
  <c r="D93" i="3"/>
  <c r="B89" i="3"/>
  <c r="C84" i="3"/>
  <c r="D79" i="3"/>
  <c r="B995" i="3"/>
  <c r="B985" i="3"/>
  <c r="B977" i="3"/>
  <c r="B967" i="3"/>
  <c r="B957" i="3"/>
  <c r="B948" i="3"/>
  <c r="B937" i="3"/>
  <c r="B929" i="3"/>
  <c r="B920" i="3"/>
  <c r="B909" i="3"/>
  <c r="B900" i="3"/>
  <c r="B892" i="3"/>
  <c r="B881" i="3"/>
  <c r="B872" i="3"/>
  <c r="B863" i="3"/>
  <c r="B852" i="3"/>
  <c r="B844" i="3"/>
  <c r="B835" i="3"/>
  <c r="B824" i="3"/>
  <c r="B815" i="3"/>
  <c r="B807" i="3"/>
  <c r="B796" i="3"/>
  <c r="B787" i="3"/>
  <c r="B777" i="3"/>
  <c r="B767" i="3"/>
  <c r="B759" i="3"/>
  <c r="B749" i="3"/>
  <c r="B739" i="3"/>
  <c r="B729" i="3"/>
  <c r="B721" i="3"/>
  <c r="B711" i="3"/>
  <c r="B701" i="3"/>
  <c r="B692" i="3"/>
  <c r="B681" i="3"/>
  <c r="B673" i="3"/>
  <c r="B664" i="3"/>
  <c r="C655" i="3"/>
  <c r="D647" i="3"/>
  <c r="B641" i="3"/>
  <c r="C632" i="3"/>
  <c r="D624" i="3"/>
  <c r="B617" i="3"/>
  <c r="C608" i="3"/>
  <c r="D601" i="3"/>
  <c r="C594" i="3"/>
  <c r="B586" i="3"/>
  <c r="B579" i="3"/>
  <c r="B573" i="3"/>
  <c r="B565" i="3"/>
  <c r="B558" i="3"/>
  <c r="B551" i="3"/>
  <c r="B543" i="3"/>
  <c r="B537" i="3"/>
  <c r="B530" i="3"/>
  <c r="B522" i="3"/>
  <c r="B515" i="3"/>
  <c r="B509" i="3"/>
  <c r="B501" i="3"/>
  <c r="B494" i="3"/>
  <c r="B487" i="3"/>
  <c r="B479" i="3"/>
  <c r="B473" i="3"/>
  <c r="B466" i="3"/>
  <c r="B458" i="3"/>
  <c r="B451" i="3"/>
  <c r="C445" i="3"/>
  <c r="C439" i="3"/>
  <c r="B434" i="3"/>
  <c r="C429" i="3"/>
  <c r="D424" i="3"/>
  <c r="B420" i="3"/>
  <c r="C415" i="3"/>
  <c r="B410" i="3"/>
  <c r="C405" i="3"/>
  <c r="D400" i="3"/>
  <c r="B396" i="3"/>
  <c r="C391" i="3"/>
  <c r="B386" i="3"/>
  <c r="C381" i="3"/>
  <c r="D376" i="3"/>
  <c r="B372" i="3"/>
  <c r="C367" i="3"/>
  <c r="B362" i="3"/>
  <c r="C357" i="3"/>
  <c r="D352" i="3"/>
  <c r="B348" i="3"/>
  <c r="C343" i="3"/>
  <c r="B338" i="3"/>
  <c r="C333" i="3"/>
  <c r="D328" i="3"/>
  <c r="B324" i="3"/>
  <c r="C319" i="3"/>
  <c r="B314" i="3"/>
  <c r="C309" i="3"/>
  <c r="D304" i="3"/>
  <c r="B300" i="3"/>
  <c r="C295" i="3"/>
  <c r="B290" i="3"/>
  <c r="C285" i="3"/>
  <c r="D280" i="3"/>
  <c r="B276" i="3"/>
  <c r="C271" i="3"/>
  <c r="B266" i="3"/>
  <c r="C261" i="3"/>
  <c r="D256" i="3"/>
  <c r="B252" i="3"/>
  <c r="C247" i="3"/>
  <c r="B242" i="3"/>
  <c r="C237" i="3"/>
  <c r="D232" i="3"/>
  <c r="B228" i="3"/>
  <c r="C223" i="3"/>
  <c r="B218" i="3"/>
  <c r="C213" i="3"/>
  <c r="D208" i="3"/>
  <c r="B204" i="3"/>
  <c r="C199" i="3"/>
  <c r="B194" i="3"/>
  <c r="C189" i="3"/>
  <c r="D184" i="3"/>
  <c r="B180" i="3"/>
  <c r="C175" i="3"/>
  <c r="B170" i="3"/>
  <c r="C165" i="3"/>
  <c r="D160" i="3"/>
  <c r="B156" i="3"/>
  <c r="C151" i="3"/>
  <c r="B146" i="3"/>
  <c r="C141" i="3"/>
  <c r="D136" i="3"/>
  <c r="B132" i="3"/>
  <c r="C127" i="3"/>
  <c r="B122" i="3"/>
  <c r="C117" i="3"/>
  <c r="D112" i="3"/>
  <c r="B108" i="3"/>
  <c r="C103" i="3"/>
  <c r="B98" i="3"/>
  <c r="C93" i="3"/>
  <c r="D88" i="3"/>
  <c r="B84" i="3"/>
  <c r="C79" i="3"/>
  <c r="D994" i="3"/>
  <c r="B984" i="3"/>
  <c r="C972" i="3"/>
  <c r="D962" i="3"/>
  <c r="B951" i="3"/>
  <c r="D936" i="3"/>
  <c r="B927" i="3"/>
  <c r="C915" i="3"/>
  <c r="D904" i="3"/>
  <c r="B893" i="3"/>
  <c r="D880" i="3"/>
  <c r="B871" i="3"/>
  <c r="C857" i="3"/>
  <c r="D848" i="3"/>
  <c r="B836" i="3"/>
  <c r="D823" i="3"/>
  <c r="B813" i="3"/>
  <c r="C801" i="3"/>
  <c r="D791" i="3"/>
  <c r="B780" i="3"/>
  <c r="D766" i="3"/>
  <c r="B756" i="3"/>
  <c r="C744" i="3"/>
  <c r="D734" i="3"/>
  <c r="B723" i="3"/>
  <c r="D710" i="3"/>
  <c r="B700" i="3"/>
  <c r="C687" i="3"/>
  <c r="D678" i="3"/>
  <c r="B665" i="3"/>
  <c r="B655" i="3"/>
  <c r="D646" i="3"/>
  <c r="B637" i="3"/>
  <c r="D628" i="3"/>
  <c r="C619" i="3"/>
  <c r="B608" i="3"/>
  <c r="D599" i="3"/>
  <c r="C590" i="3"/>
  <c r="D582" i="3"/>
  <c r="B574" i="3"/>
  <c r="D564" i="3"/>
  <c r="B557" i="3"/>
  <c r="C547" i="3"/>
  <c r="D540" i="3"/>
  <c r="B531" i="3"/>
  <c r="D521" i="3"/>
  <c r="B514" i="3"/>
  <c r="C505" i="3"/>
  <c r="D497" i="3"/>
  <c r="B489" i="3"/>
  <c r="D478" i="3"/>
  <c r="B471" i="3"/>
  <c r="C462" i="3"/>
  <c r="D454" i="3"/>
  <c r="C446" i="3"/>
  <c r="B439" i="3"/>
  <c r="B433" i="3"/>
  <c r="D427" i="3"/>
  <c r="D421" i="3"/>
  <c r="C416" i="3"/>
  <c r="D409" i="3"/>
  <c r="C404" i="3"/>
  <c r="B399" i="3"/>
  <c r="B393" i="3"/>
  <c r="D387" i="3"/>
  <c r="B381" i="3"/>
  <c r="D375" i="3"/>
  <c r="D369" i="3"/>
  <c r="C364" i="3"/>
  <c r="B359" i="3"/>
  <c r="C352" i="3"/>
  <c r="B347" i="3"/>
  <c r="B341" i="3"/>
  <c r="D335" i="3"/>
  <c r="D329" i="3"/>
  <c r="D323" i="3"/>
  <c r="D317" i="3"/>
  <c r="C312" i="3"/>
  <c r="B307" i="3"/>
  <c r="B301" i="3"/>
  <c r="B295" i="3"/>
  <c r="B289" i="3"/>
  <c r="D283" i="3"/>
  <c r="D277" i="3"/>
  <c r="C272" i="3"/>
  <c r="D265" i="3"/>
  <c r="C260" i="3"/>
  <c r="B255" i="3"/>
  <c r="B249" i="3"/>
  <c r="D243" i="3"/>
  <c r="B237" i="3"/>
  <c r="D231" i="3"/>
  <c r="D225" i="3"/>
  <c r="C220" i="3"/>
  <c r="B215" i="3"/>
  <c r="C208" i="3"/>
  <c r="B203" i="3"/>
  <c r="B197" i="3"/>
  <c r="D191" i="3"/>
  <c r="D185" i="3"/>
  <c r="D179" i="3"/>
  <c r="D173" i="3"/>
  <c r="C168" i="3"/>
  <c r="B163" i="3"/>
  <c r="B157" i="3"/>
  <c r="B151" i="3"/>
  <c r="B145" i="3"/>
  <c r="D139" i="3"/>
  <c r="D133" i="3"/>
  <c r="C128" i="3"/>
  <c r="D121" i="3"/>
  <c r="C116" i="3"/>
  <c r="B111" i="3"/>
  <c r="B105" i="3"/>
  <c r="D99" i="3"/>
  <c r="B93" i="3"/>
  <c r="D87" i="3"/>
  <c r="D81" i="3"/>
  <c r="C76" i="3"/>
  <c r="D71" i="3"/>
  <c r="B67" i="3"/>
  <c r="D61" i="3"/>
  <c r="B57" i="3"/>
  <c r="C52" i="3"/>
  <c r="D47" i="3"/>
  <c r="B43" i="3"/>
  <c r="D37" i="3"/>
  <c r="B33" i="3"/>
  <c r="C28" i="3"/>
  <c r="D23" i="3"/>
  <c r="B19" i="3"/>
  <c r="D13" i="3"/>
  <c r="B9" i="3"/>
  <c r="B4" i="3"/>
  <c r="C993" i="3"/>
  <c r="D983" i="3"/>
  <c r="B972" i="3"/>
  <c r="C961" i="3"/>
  <c r="D950" i="3"/>
  <c r="C936" i="3"/>
  <c r="D926" i="3"/>
  <c r="B915" i="3"/>
  <c r="C904" i="3"/>
  <c r="D892" i="3"/>
  <c r="C879" i="3"/>
  <c r="D870" i="3"/>
  <c r="B857" i="3"/>
  <c r="C847" i="3"/>
  <c r="D835" i="3"/>
  <c r="C823" i="3"/>
  <c r="D812" i="3"/>
  <c r="B801" i="3"/>
  <c r="C791" i="3"/>
  <c r="D779" i="3"/>
  <c r="C765" i="3"/>
  <c r="D755" i="3"/>
  <c r="B744" i="3"/>
  <c r="C733" i="3"/>
  <c r="D722" i="3"/>
  <c r="C708" i="3"/>
  <c r="D699" i="3"/>
  <c r="B687" i="3"/>
  <c r="C676" i="3"/>
  <c r="D664" i="3"/>
  <c r="D654" i="3"/>
  <c r="C646" i="3"/>
  <c r="D636" i="3"/>
  <c r="C628" i="3"/>
  <c r="B619" i="3"/>
  <c r="D607" i="3"/>
  <c r="C599" i="3"/>
  <c r="B590" i="3"/>
  <c r="C582" i="3"/>
  <c r="D573" i="3"/>
  <c r="C563" i="3"/>
  <c r="D556" i="3"/>
  <c r="B547" i="3"/>
  <c r="C539" i="3"/>
  <c r="D530" i="3"/>
  <c r="C521" i="3"/>
  <c r="D513" i="3"/>
  <c r="B505" i="3"/>
  <c r="C497" i="3"/>
  <c r="D488" i="3"/>
  <c r="C478" i="3"/>
  <c r="D470" i="3"/>
  <c r="B462" i="3"/>
  <c r="C454" i="3"/>
  <c r="B446" i="3"/>
  <c r="B438" i="3"/>
  <c r="D432" i="3"/>
  <c r="C427" i="3"/>
  <c r="C421" i="3"/>
  <c r="B416" i="3"/>
  <c r="C409" i="3"/>
  <c r="B404" i="3"/>
  <c r="B398" i="3"/>
  <c r="D392" i="3"/>
  <c r="C387" i="3"/>
  <c r="D380" i="3"/>
  <c r="C375" i="3"/>
  <c r="C369" i="3"/>
  <c r="B364" i="3"/>
  <c r="B358" i="3"/>
  <c r="B352" i="3"/>
  <c r="B346" i="3"/>
  <c r="D340" i="3"/>
  <c r="C335" i="3"/>
  <c r="C329" i="3"/>
  <c r="C323" i="3"/>
  <c r="C317" i="3"/>
  <c r="B312" i="3"/>
  <c r="B306" i="3"/>
  <c r="D300" i="3"/>
  <c r="B294" i="3"/>
  <c r="D288" i="3"/>
  <c r="C283" i="3"/>
  <c r="C277" i="3"/>
  <c r="B272" i="3"/>
  <c r="C265" i="3"/>
  <c r="B260" i="3"/>
  <c r="B254" i="3"/>
  <c r="D248" i="3"/>
  <c r="C243" i="3"/>
  <c r="D236" i="3"/>
  <c r="C231" i="3"/>
  <c r="C225" i="3"/>
  <c r="B220" i="3"/>
  <c r="B214" i="3"/>
  <c r="B208" i="3"/>
  <c r="B202" i="3"/>
  <c r="D196" i="3"/>
  <c r="C191" i="3"/>
  <c r="C185" i="3"/>
  <c r="C179" i="3"/>
  <c r="C173" i="3"/>
  <c r="B168" i="3"/>
  <c r="B162" i="3"/>
  <c r="D156" i="3"/>
  <c r="B150" i="3"/>
  <c r="D144" i="3"/>
  <c r="C139" i="3"/>
  <c r="C133" i="3"/>
  <c r="B128" i="3"/>
  <c r="C121" i="3"/>
  <c r="B116" i="3"/>
  <c r="B110" i="3"/>
  <c r="D104" i="3"/>
  <c r="C99" i="3"/>
  <c r="D92" i="3"/>
  <c r="C87" i="3"/>
  <c r="C81" i="3"/>
  <c r="B76" i="3"/>
  <c r="C71" i="3"/>
  <c r="B66" i="3"/>
  <c r="C61" i="3"/>
  <c r="D56" i="3"/>
  <c r="B52" i="3"/>
  <c r="C47" i="3"/>
  <c r="B42" i="3"/>
  <c r="C37" i="3"/>
  <c r="D32" i="3"/>
  <c r="B28" i="3"/>
  <c r="C23" i="3"/>
  <c r="B18" i="3"/>
  <c r="C13" i="3"/>
  <c r="D8" i="3"/>
  <c r="D3" i="3"/>
  <c r="B993" i="3"/>
  <c r="C983" i="3"/>
  <c r="D971" i="3"/>
  <c r="B959" i="3"/>
  <c r="D947" i="3"/>
  <c r="B936" i="3"/>
  <c r="C925" i="3"/>
  <c r="D914" i="3"/>
  <c r="B903" i="3"/>
  <c r="D891" i="3"/>
  <c r="B879" i="3"/>
  <c r="C868" i="3"/>
  <c r="D856" i="3"/>
  <c r="B845" i="3"/>
  <c r="D834" i="3"/>
  <c r="B823" i="3"/>
  <c r="C812" i="3"/>
  <c r="D800" i="3"/>
  <c r="B788" i="3"/>
  <c r="D776" i="3"/>
  <c r="B765" i="3"/>
  <c r="C755" i="3"/>
  <c r="D743" i="3"/>
  <c r="B732" i="3"/>
  <c r="D720" i="3"/>
  <c r="B708" i="3"/>
  <c r="C697" i="3"/>
  <c r="D686" i="3"/>
  <c r="B675" i="3"/>
  <c r="D663" i="3"/>
  <c r="C654" i="3"/>
  <c r="D645" i="3"/>
  <c r="C636" i="3"/>
  <c r="D625" i="3"/>
  <c r="D616" i="3"/>
  <c r="C607" i="3"/>
  <c r="B599" i="3"/>
  <c r="D589" i="3"/>
  <c r="B581" i="3"/>
  <c r="D572" i="3"/>
  <c r="B563" i="3"/>
  <c r="C555" i="3"/>
  <c r="D546" i="3"/>
  <c r="B538" i="3"/>
  <c r="D529" i="3"/>
  <c r="B521" i="3"/>
  <c r="C513" i="3"/>
  <c r="D504" i="3"/>
  <c r="B495" i="3"/>
  <c r="D486" i="3"/>
  <c r="B478" i="3"/>
  <c r="C470" i="3"/>
  <c r="D461" i="3"/>
  <c r="B453" i="3"/>
  <c r="B445" i="3"/>
  <c r="D437" i="3"/>
  <c r="C432" i="3"/>
  <c r="B427" i="3"/>
  <c r="B421" i="3"/>
  <c r="B415" i="3"/>
  <c r="B409" i="3"/>
  <c r="D403" i="3"/>
  <c r="D397" i="3"/>
  <c r="C392" i="3"/>
  <c r="D385" i="3"/>
  <c r="C380" i="3"/>
  <c r="B375" i="3"/>
  <c r="B369" i="3"/>
  <c r="D363" i="3"/>
  <c r="B357" i="3"/>
  <c r="D351" i="3"/>
  <c r="D345" i="3"/>
  <c r="C340" i="3"/>
  <c r="B335" i="3"/>
  <c r="C328" i="3"/>
  <c r="B323" i="3"/>
  <c r="B317" i="3"/>
  <c r="D311" i="3"/>
  <c r="D305" i="3"/>
  <c r="D299" i="3"/>
  <c r="D293" i="3"/>
  <c r="C288" i="3"/>
  <c r="B283" i="3"/>
  <c r="B277" i="3"/>
  <c r="B271" i="3"/>
  <c r="B265" i="3"/>
  <c r="D259" i="3"/>
  <c r="D253" i="3"/>
  <c r="C248" i="3"/>
  <c r="D241" i="3"/>
  <c r="C236" i="3"/>
  <c r="B231" i="3"/>
  <c r="B225" i="3"/>
  <c r="D219" i="3"/>
  <c r="B213" i="3"/>
  <c r="D207" i="3"/>
  <c r="D201" i="3"/>
  <c r="C196" i="3"/>
  <c r="B191" i="3"/>
  <c r="C184" i="3"/>
  <c r="B179" i="3"/>
  <c r="B173" i="3"/>
  <c r="D167" i="3"/>
  <c r="D161" i="3"/>
  <c r="D155" i="3"/>
  <c r="D149" i="3"/>
  <c r="C144" i="3"/>
  <c r="B139" i="3"/>
  <c r="B133" i="3"/>
  <c r="B127" i="3"/>
  <c r="B121" i="3"/>
  <c r="D115" i="3"/>
  <c r="D109" i="3"/>
  <c r="C104" i="3"/>
  <c r="D97" i="3"/>
  <c r="C92" i="3"/>
  <c r="B87" i="3"/>
  <c r="B81" i="3"/>
  <c r="D75" i="3"/>
  <c r="B71" i="3"/>
  <c r="D65" i="3"/>
  <c r="B61" i="3"/>
  <c r="C56" i="3"/>
  <c r="D51" i="3"/>
  <c r="B47" i="3"/>
  <c r="D41" i="3"/>
  <c r="B37" i="3"/>
  <c r="C32" i="3"/>
  <c r="D27" i="3"/>
  <c r="B23" i="3"/>
  <c r="D17" i="3"/>
  <c r="B13" i="3"/>
  <c r="C8" i="3"/>
  <c r="C3" i="3"/>
  <c r="B991" i="3"/>
  <c r="D976" i="3"/>
  <c r="B963" i="3"/>
  <c r="D944" i="3"/>
  <c r="B931" i="3"/>
  <c r="D915" i="3"/>
  <c r="C899" i="3"/>
  <c r="D886" i="3"/>
  <c r="C871" i="3"/>
  <c r="D855" i="3"/>
  <c r="C840" i="3"/>
  <c r="D827" i="3"/>
  <c r="C808" i="3"/>
  <c r="B793" i="3"/>
  <c r="C780" i="3"/>
  <c r="B764" i="3"/>
  <c r="D748" i="3"/>
  <c r="B735" i="3"/>
  <c r="D716" i="3"/>
  <c r="B703" i="3"/>
  <c r="D688" i="3"/>
  <c r="C671" i="3"/>
  <c r="C659" i="3"/>
  <c r="B647" i="3"/>
  <c r="C634" i="3"/>
  <c r="D621" i="3"/>
  <c r="C611" i="3"/>
  <c r="D595" i="3"/>
  <c r="B585" i="3"/>
  <c r="C574" i="3"/>
  <c r="B562" i="3"/>
  <c r="D550" i="3"/>
  <c r="B541" i="3"/>
  <c r="D526" i="3"/>
  <c r="B517" i="3"/>
  <c r="D505" i="3"/>
  <c r="C493" i="3"/>
  <c r="D482" i="3"/>
  <c r="C471" i="3"/>
  <c r="D460" i="3"/>
  <c r="C449" i="3"/>
  <c r="D440" i="3"/>
  <c r="C431" i="3"/>
  <c r="D423" i="3"/>
  <c r="D416" i="3"/>
  <c r="B408" i="3"/>
  <c r="C400" i="3"/>
  <c r="C393" i="3"/>
  <c r="D384" i="3"/>
  <c r="D377" i="3"/>
  <c r="B370" i="3"/>
  <c r="C361" i="3"/>
  <c r="B355" i="3"/>
  <c r="C347" i="3"/>
  <c r="C339" i="3"/>
  <c r="D331" i="3"/>
  <c r="D324" i="3"/>
  <c r="B316" i="3"/>
  <c r="C308" i="3"/>
  <c r="C301" i="3"/>
  <c r="D292" i="3"/>
  <c r="B1001" i="3"/>
  <c r="C989" i="3"/>
  <c r="B973" i="3"/>
  <c r="D956" i="3"/>
  <c r="B943" i="3"/>
  <c r="D928" i="3"/>
  <c r="B913" i="3"/>
  <c r="D898" i="3"/>
  <c r="B884" i="3"/>
  <c r="D866" i="3"/>
  <c r="C851" i="3"/>
  <c r="D838" i="3"/>
  <c r="C820" i="3"/>
  <c r="D807" i="3"/>
  <c r="C792" i="3"/>
  <c r="B775" i="3"/>
  <c r="C761" i="3"/>
  <c r="B745" i="3"/>
  <c r="D728" i="3"/>
  <c r="B716" i="3"/>
  <c r="D700" i="3"/>
  <c r="B685" i="3"/>
  <c r="D670" i="3"/>
  <c r="D658" i="3"/>
  <c r="B643" i="3"/>
  <c r="D630" i="3"/>
  <c r="B620" i="3"/>
  <c r="D606" i="3"/>
  <c r="B595" i="3"/>
  <c r="C583" i="3"/>
  <c r="B570" i="3"/>
  <c r="C561" i="3"/>
  <c r="B549" i="3"/>
  <c r="D536" i="3"/>
  <c r="B526" i="3"/>
  <c r="D514" i="3"/>
  <c r="B503" i="3"/>
  <c r="D492" i="3"/>
  <c r="B482" i="3"/>
  <c r="D468" i="3"/>
  <c r="C457" i="3"/>
  <c r="B447" i="3"/>
  <c r="B437" i="3"/>
  <c r="B430" i="3"/>
  <c r="B423" i="3"/>
  <c r="D413" i="3"/>
  <c r="C407" i="3"/>
  <c r="D399" i="3"/>
  <c r="B391" i="3"/>
  <c r="B384" i="3"/>
  <c r="C376" i="3"/>
  <c r="C368" i="3"/>
  <c r="D360" i="3"/>
  <c r="D353" i="3"/>
  <c r="B345" i="3"/>
  <c r="C337" i="3"/>
  <c r="B331" i="3"/>
  <c r="D321" i="3"/>
  <c r="C315" i="3"/>
  <c r="D307" i="3"/>
  <c r="B299" i="3"/>
  <c r="B292" i="3"/>
  <c r="C284" i="3"/>
  <c r="D275" i="3"/>
  <c r="D268" i="3"/>
  <c r="B261" i="3"/>
  <c r="B253" i="3"/>
  <c r="C245" i="3"/>
  <c r="B239" i="3"/>
  <c r="D229" i="3"/>
  <c r="B222" i="3"/>
  <c r="B988" i="3"/>
  <c r="B969" i="3"/>
  <c r="B952" i="3"/>
  <c r="B935" i="3"/>
  <c r="B916" i="3"/>
  <c r="C897" i="3"/>
  <c r="C877" i="3"/>
  <c r="C861" i="3"/>
  <c r="C841" i="3"/>
  <c r="B828" i="3"/>
  <c r="D806" i="3"/>
  <c r="D786" i="3"/>
  <c r="C771" i="3"/>
  <c r="C751" i="3"/>
  <c r="C735" i="3"/>
  <c r="D715" i="3"/>
  <c r="D695" i="3"/>
  <c r="D679" i="3"/>
  <c r="C660" i="3"/>
  <c r="C647" i="3"/>
  <c r="C630" i="3"/>
  <c r="B615" i="3"/>
  <c r="D602" i="3"/>
  <c r="D588" i="3"/>
  <c r="D574" i="3"/>
  <c r="B559" i="3"/>
  <c r="B546" i="3"/>
  <c r="B533" i="3"/>
  <c r="B519" i="3"/>
  <c r="B506" i="3"/>
  <c r="C491" i="3"/>
  <c r="C477" i="3"/>
  <c r="C465" i="3"/>
  <c r="C450" i="3"/>
  <c r="B441" i="3"/>
  <c r="B429" i="3"/>
  <c r="D419" i="3"/>
  <c r="B412" i="3"/>
  <c r="B402" i="3"/>
  <c r="D393" i="3"/>
  <c r="D383" i="3"/>
  <c r="D373" i="3"/>
  <c r="C365" i="3"/>
  <c r="B356" i="3"/>
  <c r="D347" i="3"/>
  <c r="B337" i="3"/>
  <c r="D327" i="3"/>
  <c r="B320" i="3"/>
  <c r="B310" i="3"/>
  <c r="D301" i="3"/>
  <c r="D291" i="3"/>
  <c r="B282" i="3"/>
  <c r="B274" i="3"/>
  <c r="C267" i="3"/>
  <c r="D257" i="3"/>
  <c r="D249" i="3"/>
  <c r="D240" i="3"/>
  <c r="C233" i="3"/>
  <c r="C224" i="3"/>
  <c r="C216" i="3"/>
  <c r="C209" i="3"/>
  <c r="D200" i="3"/>
  <c r="B193" i="3"/>
  <c r="B186" i="3"/>
  <c r="C177" i="3"/>
  <c r="D169" i="3"/>
  <c r="C163" i="3"/>
  <c r="B154" i="3"/>
  <c r="D147" i="3"/>
  <c r="B140" i="3"/>
  <c r="C131" i="3"/>
  <c r="C124" i="3"/>
  <c r="D116" i="3"/>
  <c r="D108" i="3"/>
  <c r="B101" i="3"/>
  <c r="B94" i="3"/>
  <c r="C85" i="3"/>
  <c r="D77" i="3"/>
  <c r="B72" i="3"/>
  <c r="D64" i="3"/>
  <c r="B59" i="3"/>
  <c r="D52" i="3"/>
  <c r="C45" i="3"/>
  <c r="D39" i="3"/>
  <c r="C33" i="3"/>
  <c r="B26" i="3"/>
  <c r="C20" i="3"/>
  <c r="B14" i="3"/>
  <c r="C7" i="3"/>
  <c r="D987" i="3"/>
  <c r="D968" i="3"/>
  <c r="D951" i="3"/>
  <c r="D934" i="3"/>
  <c r="C913" i="3"/>
  <c r="B895" i="3"/>
  <c r="B877" i="3"/>
  <c r="B860" i="3"/>
  <c r="B841" i="3"/>
  <c r="D822" i="3"/>
  <c r="C804" i="3"/>
  <c r="C785" i="3"/>
  <c r="B771" i="3"/>
  <c r="B751" i="3"/>
  <c r="D731" i="3"/>
  <c r="C713" i="3"/>
  <c r="C695" i="3"/>
  <c r="C679" i="3"/>
  <c r="B660" i="3"/>
  <c r="C643" i="3"/>
  <c r="D629" i="3"/>
  <c r="D614" i="3"/>
  <c r="C601" i="3"/>
  <c r="D585" i="3"/>
  <c r="C571" i="3"/>
  <c r="D558" i="3"/>
  <c r="D545" i="3"/>
  <c r="D532" i="3"/>
  <c r="D518" i="3"/>
  <c r="C503" i="3"/>
  <c r="B490" i="3"/>
  <c r="B477" i="3"/>
  <c r="B463" i="3"/>
  <c r="B450" i="3"/>
  <c r="C437" i="3"/>
  <c r="D428" i="3"/>
  <c r="C419" i="3"/>
  <c r="D411" i="3"/>
  <c r="D401" i="3"/>
  <c r="B392" i="3"/>
  <c r="C383" i="3"/>
  <c r="C373" i="3"/>
  <c r="B365" i="3"/>
  <c r="D355" i="3"/>
  <c r="C345" i="3"/>
  <c r="D336" i="3"/>
  <c r="C327" i="3"/>
  <c r="B319" i="3"/>
  <c r="B309" i="3"/>
  <c r="C299" i="3"/>
  <c r="C291" i="3"/>
  <c r="D281" i="3"/>
  <c r="D273" i="3"/>
  <c r="D264" i="3"/>
  <c r="C257" i="3"/>
  <c r="C249" i="3"/>
  <c r="C240" i="3"/>
  <c r="C232" i="3"/>
  <c r="B224" i="3"/>
  <c r="B216" i="3"/>
  <c r="C207" i="3"/>
  <c r="C200" i="3"/>
  <c r="D192" i="3"/>
  <c r="B184" i="3"/>
  <c r="B177" i="3"/>
  <c r="C169" i="3"/>
  <c r="C161" i="3"/>
  <c r="D153" i="3"/>
  <c r="C147" i="3"/>
  <c r="B138" i="3"/>
  <c r="B131" i="3"/>
  <c r="B124" i="3"/>
  <c r="C115" i="3"/>
  <c r="D107" i="3"/>
  <c r="D100" i="3"/>
  <c r="B92" i="3"/>
  <c r="B85" i="3"/>
  <c r="C77" i="3"/>
  <c r="B70" i="3"/>
  <c r="C64" i="3"/>
  <c r="B58" i="3"/>
  <c r="C51" i="3"/>
  <c r="B45" i="3"/>
  <c r="C39" i="3"/>
  <c r="B32" i="3"/>
  <c r="D25" i="3"/>
  <c r="B20" i="3"/>
  <c r="D12" i="3"/>
  <c r="B7" i="3"/>
  <c r="D1000" i="3"/>
  <c r="D984" i="3"/>
  <c r="D966" i="3"/>
  <c r="C951" i="3"/>
  <c r="C932" i="3"/>
  <c r="D912" i="3"/>
  <c r="D894" i="3"/>
  <c r="D876" i="3"/>
  <c r="D859" i="3"/>
  <c r="D840" i="3"/>
  <c r="B820" i="3"/>
  <c r="B803" i="3"/>
  <c r="B785" i="3"/>
  <c r="D770" i="3"/>
  <c r="D750" i="3"/>
  <c r="C728" i="3"/>
  <c r="B713" i="3"/>
  <c r="B695" i="3"/>
  <c r="B679" i="3"/>
  <c r="D659" i="3"/>
  <c r="D642" i="3"/>
  <c r="C629" i="3"/>
  <c r="B613" i="3"/>
  <c r="B600" i="3"/>
  <c r="C585" i="3"/>
  <c r="D569" i="3"/>
  <c r="D557" i="3"/>
  <c r="D542" i="3"/>
  <c r="C531" i="3"/>
  <c r="C518" i="3"/>
  <c r="D502" i="3"/>
  <c r="D489" i="3"/>
  <c r="D476" i="3"/>
  <c r="D462" i="3"/>
  <c r="D449" i="3"/>
  <c r="D436" i="3"/>
  <c r="C428" i="3"/>
  <c r="B419" i="3"/>
  <c r="C411" i="3"/>
  <c r="C401" i="3"/>
  <c r="B390" i="3"/>
  <c r="B383" i="3"/>
  <c r="B373" i="3"/>
  <c r="D364" i="3"/>
  <c r="C355" i="3"/>
  <c r="D344" i="3"/>
  <c r="C336" i="3"/>
  <c r="B327" i="3"/>
  <c r="B318" i="3"/>
  <c r="D308" i="3"/>
  <c r="B298" i="3"/>
  <c r="D289" i="3"/>
  <c r="C281" i="3"/>
  <c r="C273" i="3"/>
  <c r="C264" i="3"/>
  <c r="C256" i="3"/>
  <c r="B248" i="3"/>
  <c r="B240" i="3"/>
  <c r="B232" i="3"/>
  <c r="B223" i="3"/>
  <c r="D215" i="3"/>
  <c r="B207" i="3"/>
  <c r="B200" i="3"/>
  <c r="C192" i="3"/>
  <c r="D183" i="3"/>
  <c r="D176" i="3"/>
  <c r="B169" i="3"/>
  <c r="C160" i="3"/>
  <c r="C153" i="3"/>
  <c r="D145" i="3"/>
  <c r="D137" i="3"/>
  <c r="B130" i="3"/>
  <c r="D123" i="3"/>
  <c r="B115" i="3"/>
  <c r="C107" i="3"/>
  <c r="C100" i="3"/>
  <c r="D91" i="3"/>
  <c r="D84" i="3"/>
  <c r="B77" i="3"/>
  <c r="D69" i="3"/>
  <c r="B64" i="3"/>
  <c r="D57" i="3"/>
  <c r="B51" i="3"/>
  <c r="D44" i="3"/>
  <c r="B39" i="3"/>
  <c r="D31" i="3"/>
  <c r="C25" i="3"/>
  <c r="D19" i="3"/>
  <c r="C12" i="3"/>
  <c r="D5" i="3"/>
  <c r="B1000" i="3"/>
  <c r="B980" i="3"/>
  <c r="B964" i="3"/>
  <c r="B945" i="3"/>
  <c r="C927" i="3"/>
  <c r="C908" i="3"/>
  <c r="C889" i="3"/>
  <c r="B873" i="3"/>
  <c r="B856" i="3"/>
  <c r="C836" i="3"/>
  <c r="C819" i="3"/>
  <c r="C799" i="3"/>
  <c r="C783" i="3"/>
  <c r="C764" i="3"/>
  <c r="D744" i="3"/>
  <c r="D727" i="3"/>
  <c r="D707" i="3"/>
  <c r="D691" i="3"/>
  <c r="D672" i="3"/>
  <c r="C658" i="3"/>
  <c r="D641" i="3"/>
  <c r="C625" i="3"/>
  <c r="C612" i="3"/>
  <c r="B597" i="3"/>
  <c r="B583" i="3"/>
  <c r="B569" i="3"/>
  <c r="B554" i="3"/>
  <c r="B542" i="3"/>
  <c r="B527" i="3"/>
  <c r="C514" i="3"/>
  <c r="C499" i="3"/>
  <c r="C486" i="3"/>
  <c r="B474" i="3"/>
  <c r="B461" i="3"/>
  <c r="D446" i="3"/>
  <c r="B436" i="3"/>
  <c r="B426" i="3"/>
  <c r="D417" i="3"/>
  <c r="C408" i="3"/>
  <c r="C399" i="3"/>
  <c r="C389" i="3"/>
  <c r="B380" i="3"/>
  <c r="D371" i="3"/>
  <c r="D361" i="3"/>
  <c r="C353" i="3"/>
  <c r="B344" i="3"/>
  <c r="B334" i="3"/>
  <c r="D325" i="3"/>
  <c r="C316" i="3"/>
  <c r="C307" i="3"/>
  <c r="C297" i="3"/>
  <c r="B288" i="3"/>
  <c r="B280" i="3"/>
  <c r="D272" i="3"/>
  <c r="D263" i="3"/>
  <c r="D255" i="3"/>
  <c r="B246" i="3"/>
  <c r="C239" i="3"/>
  <c r="C229" i="3"/>
  <c r="C221" i="3"/>
  <c r="D212" i="3"/>
  <c r="D205" i="3"/>
  <c r="B198" i="3"/>
  <c r="B190" i="3"/>
  <c r="B183" i="3"/>
  <c r="B176" i="3"/>
  <c r="C167" i="3"/>
  <c r="D159" i="3"/>
  <c r="D152" i="3"/>
  <c r="B144" i="3"/>
  <c r="C136" i="3"/>
  <c r="C129" i="3"/>
  <c r="D120" i="3"/>
  <c r="D113" i="3"/>
  <c r="B106" i="3"/>
  <c r="B979" i="3"/>
  <c r="C953" i="3"/>
  <c r="C921" i="3"/>
  <c r="B899" i="3"/>
  <c r="B867" i="3"/>
  <c r="D843" i="3"/>
  <c r="D814" i="3"/>
  <c r="D787" i="3"/>
  <c r="D759" i="3"/>
  <c r="D736" i="3"/>
  <c r="D706" i="3"/>
  <c r="B680" i="3"/>
  <c r="B652" i="3"/>
  <c r="B632" i="3"/>
  <c r="B607" i="3"/>
  <c r="B589" i="3"/>
  <c r="B567" i="3"/>
  <c r="C546" i="3"/>
  <c r="C525" i="3"/>
  <c r="C507" i="3"/>
  <c r="C483" i="3"/>
  <c r="D465" i="3"/>
  <c r="D442" i="3"/>
  <c r="B431" i="3"/>
  <c r="B414" i="3"/>
  <c r="B403" i="3"/>
  <c r="C388" i="3"/>
  <c r="B374" i="3"/>
  <c r="B360" i="3"/>
  <c r="D348" i="3"/>
  <c r="C332" i="3"/>
  <c r="C320" i="3"/>
  <c r="B304" i="3"/>
  <c r="C292" i="3"/>
  <c r="B279" i="3"/>
  <c r="D267" i="3"/>
  <c r="D252" i="3"/>
  <c r="B241" i="3"/>
  <c r="D227" i="3"/>
  <c r="D216" i="3"/>
  <c r="D204" i="3"/>
  <c r="C193" i="3"/>
  <c r="C181" i="3"/>
  <c r="C171" i="3"/>
  <c r="B158" i="3"/>
  <c r="B148" i="3"/>
  <c r="C135" i="3"/>
  <c r="D124" i="3"/>
  <c r="B112" i="3"/>
  <c r="C101" i="3"/>
  <c r="B90" i="3"/>
  <c r="C80" i="3"/>
  <c r="C72" i="3"/>
  <c r="B63" i="3"/>
  <c r="B54" i="3"/>
  <c r="D45" i="3"/>
  <c r="C36" i="3"/>
  <c r="B29" i="3"/>
  <c r="D20" i="3"/>
  <c r="C11" i="3"/>
  <c r="D920" i="3"/>
  <c r="C756" i="3"/>
  <c r="C651" i="3"/>
  <c r="D580" i="3"/>
  <c r="D524" i="3"/>
  <c r="B442" i="3"/>
  <c r="C397" i="3"/>
  <c r="C359" i="3"/>
  <c r="D315" i="3"/>
  <c r="D276" i="3"/>
  <c r="B238" i="3"/>
  <c r="C212" i="3"/>
  <c r="B189" i="3"/>
  <c r="D180" i="3"/>
  <c r="C157" i="3"/>
  <c r="D143" i="3"/>
  <c r="C120" i="3"/>
  <c r="C97" i="3"/>
  <c r="C89" i="3"/>
  <c r="B69" i="3"/>
  <c r="C53" i="3"/>
  <c r="D35" i="3"/>
  <c r="C27" i="3"/>
  <c r="B10" i="3"/>
  <c r="D972" i="3"/>
  <c r="D887" i="3"/>
  <c r="D808" i="3"/>
  <c r="B724" i="3"/>
  <c r="D649" i="3"/>
  <c r="D578" i="3"/>
  <c r="C541" i="3"/>
  <c r="D498" i="3"/>
  <c r="D441" i="3"/>
  <c r="B397" i="3"/>
  <c r="D356" i="3"/>
  <c r="B330" i="3"/>
  <c r="C287" i="3"/>
  <c r="B263" i="3"/>
  <c r="B226" i="3"/>
  <c r="C201" i="3"/>
  <c r="B166" i="3"/>
  <c r="C143" i="3"/>
  <c r="C109" i="3"/>
  <c r="C88" i="3"/>
  <c r="C60" i="3"/>
  <c r="D43" i="3"/>
  <c r="B17" i="3"/>
  <c r="B142" i="3"/>
  <c r="B34" i="3"/>
  <c r="B908" i="3"/>
  <c r="C743" i="3"/>
  <c r="C620" i="3"/>
  <c r="B535" i="3"/>
  <c r="D473" i="3"/>
  <c r="C423" i="3"/>
  <c r="B367" i="3"/>
  <c r="C325" i="3"/>
  <c r="B285" i="3"/>
  <c r="D245" i="3"/>
  <c r="B211" i="3"/>
  <c r="D187" i="3"/>
  <c r="C164" i="3"/>
  <c r="B141" i="3"/>
  <c r="B119" i="3"/>
  <c r="B96" i="3"/>
  <c r="D67" i="3"/>
  <c r="C49" i="3"/>
  <c r="C24" i="3"/>
  <c r="D7" i="3"/>
  <c r="C1000" i="3"/>
  <c r="D978" i="3"/>
  <c r="C947" i="3"/>
  <c r="B921" i="3"/>
  <c r="C893" i="3"/>
  <c r="C865" i="3"/>
  <c r="B839" i="3"/>
  <c r="C813" i="3"/>
  <c r="D784" i="3"/>
  <c r="D758" i="3"/>
  <c r="B728" i="3"/>
  <c r="C705" i="3"/>
  <c r="D674" i="3"/>
  <c r="D651" i="3"/>
  <c r="B629" i="3"/>
  <c r="C606" i="3"/>
  <c r="D584" i="3"/>
  <c r="D566" i="3"/>
  <c r="C542" i="3"/>
  <c r="B525" i="3"/>
  <c r="D500" i="3"/>
  <c r="B483" i="3"/>
  <c r="C461" i="3"/>
  <c r="C442" i="3"/>
  <c r="B428" i="3"/>
  <c r="C413" i="3"/>
  <c r="B400" i="3"/>
  <c r="B388" i="3"/>
  <c r="D372" i="3"/>
  <c r="D359" i="3"/>
  <c r="C344" i="3"/>
  <c r="B332" i="3"/>
  <c r="D316" i="3"/>
  <c r="D303" i="3"/>
  <c r="C289" i="3"/>
  <c r="B278" i="3"/>
  <c r="B264" i="3"/>
  <c r="D251" i="3"/>
  <c r="D239" i="3"/>
  <c r="C227" i="3"/>
  <c r="C215" i="3"/>
  <c r="D203" i="3"/>
  <c r="B192" i="3"/>
  <c r="B181" i="3"/>
  <c r="D168" i="3"/>
  <c r="D157" i="3"/>
  <c r="C145" i="3"/>
  <c r="B135" i="3"/>
  <c r="C123" i="3"/>
  <c r="D111" i="3"/>
  <c r="B100" i="3"/>
  <c r="D89" i="3"/>
  <c r="B80" i="3"/>
  <c r="C69" i="3"/>
  <c r="B62" i="3"/>
  <c r="D53" i="3"/>
  <c r="C44" i="3"/>
  <c r="B36" i="3"/>
  <c r="D28" i="3"/>
  <c r="C19" i="3"/>
  <c r="B11" i="3"/>
  <c r="D999" i="3"/>
  <c r="C943" i="3"/>
  <c r="B888" i="3"/>
  <c r="C833" i="3"/>
  <c r="B781" i="3"/>
  <c r="C727" i="3"/>
  <c r="B671" i="3"/>
  <c r="D605" i="3"/>
  <c r="D541" i="3"/>
  <c r="C482" i="3"/>
  <c r="D457" i="3"/>
  <c r="B413" i="3"/>
  <c r="C371" i="3"/>
  <c r="C331" i="3"/>
  <c r="D287" i="3"/>
  <c r="C251" i="3"/>
  <c r="B227" i="3"/>
  <c r="C203" i="3"/>
  <c r="B167" i="3"/>
  <c r="B134" i="3"/>
  <c r="C111" i="3"/>
  <c r="B79" i="3"/>
  <c r="D60" i="3"/>
  <c r="B44" i="3"/>
  <c r="C17" i="3"/>
  <c r="D942" i="3"/>
  <c r="D864" i="3"/>
  <c r="D780" i="3"/>
  <c r="C700" i="3"/>
  <c r="B624" i="3"/>
  <c r="C562" i="3"/>
  <c r="D481" i="3"/>
  <c r="D412" i="3"/>
  <c r="B371" i="3"/>
  <c r="D313" i="3"/>
  <c r="B251" i="3"/>
  <c r="D188" i="3"/>
  <c r="D132" i="3"/>
  <c r="B78" i="3"/>
  <c r="C35" i="3"/>
  <c r="B153" i="3"/>
  <c r="B107" i="3"/>
  <c r="C96" i="3"/>
  <c r="B86" i="3"/>
  <c r="C75" i="3"/>
  <c r="B68" i="3"/>
  <c r="D59" i="3"/>
  <c r="D49" i="3"/>
  <c r="D24" i="3"/>
  <c r="C16" i="3"/>
  <c r="B8" i="3"/>
  <c r="D992" i="3"/>
  <c r="D940" i="3"/>
  <c r="C884" i="3"/>
  <c r="D851" i="3"/>
  <c r="B829" i="3"/>
  <c r="B799" i="3"/>
  <c r="C719" i="3"/>
  <c r="C691" i="3"/>
  <c r="C665" i="3"/>
  <c r="C595" i="3"/>
  <c r="D553" i="3"/>
  <c r="B511" i="3"/>
  <c r="B455" i="3"/>
  <c r="D407" i="3"/>
  <c r="D379" i="3"/>
  <c r="C351" i="3"/>
  <c r="D312" i="3"/>
  <c r="B270" i="3"/>
  <c r="B221" i="3"/>
  <c r="B175" i="3"/>
  <c r="B129" i="3"/>
  <c r="D85" i="3"/>
  <c r="B41" i="3"/>
  <c r="C975" i="3"/>
  <c r="B865" i="3"/>
  <c r="B809" i="3"/>
  <c r="D702" i="3"/>
  <c r="C624" i="3"/>
  <c r="D562" i="3"/>
  <c r="B499" i="3"/>
  <c r="D425" i="3"/>
  <c r="C385" i="3"/>
  <c r="B343" i="3"/>
  <c r="C303" i="3"/>
  <c r="C263" i="3"/>
  <c r="C999" i="3"/>
  <c r="D919" i="3"/>
  <c r="B831" i="3"/>
  <c r="B753" i="3"/>
  <c r="C669" i="3"/>
  <c r="C604" i="3"/>
  <c r="D520" i="3"/>
  <c r="B457" i="3"/>
  <c r="C425" i="3"/>
  <c r="B385" i="3"/>
  <c r="B342" i="3"/>
  <c r="B303" i="3"/>
  <c r="C275" i="3"/>
  <c r="B236" i="3"/>
  <c r="B212" i="3"/>
  <c r="B178" i="3"/>
  <c r="C155" i="3"/>
  <c r="B120" i="3"/>
  <c r="B97" i="3"/>
  <c r="D68" i="3"/>
  <c r="B53" i="3"/>
  <c r="B27" i="3"/>
  <c r="D9" i="3"/>
  <c r="D129" i="3"/>
  <c r="C41" i="3"/>
  <c r="D963" i="3"/>
  <c r="C772" i="3"/>
  <c r="D640" i="3"/>
  <c r="D577" i="3"/>
  <c r="D494" i="3"/>
  <c r="D435" i="3"/>
  <c r="C395" i="3"/>
  <c r="B340" i="3"/>
  <c r="B297" i="3"/>
  <c r="C259" i="3"/>
  <c r="D197" i="3"/>
  <c r="C152" i="3"/>
  <c r="D105" i="3"/>
  <c r="B75" i="3"/>
  <c r="C59" i="3"/>
  <c r="D33" i="3"/>
  <c r="B16" i="3"/>
  <c r="B999" i="3"/>
  <c r="C969" i="3"/>
  <c r="C941" i="3"/>
  <c r="C919" i="3"/>
  <c r="C887" i="3"/>
  <c r="D862" i="3"/>
  <c r="D830" i="3"/>
  <c r="B808" i="3"/>
  <c r="C776" i="3"/>
  <c r="D752" i="3"/>
  <c r="D723" i="3"/>
  <c r="B696" i="3"/>
  <c r="B668" i="3"/>
  <c r="C649" i="3"/>
  <c r="D623" i="3"/>
  <c r="B603" i="3"/>
  <c r="C578" i="3"/>
  <c r="D561" i="3"/>
  <c r="D537" i="3"/>
  <c r="C519" i="3"/>
  <c r="C498" i="3"/>
  <c r="D477" i="3"/>
  <c r="D456" i="3"/>
  <c r="C441" i="3"/>
  <c r="C424" i="3"/>
  <c r="C412" i="3"/>
  <c r="D396" i="3"/>
  <c r="C384" i="3"/>
  <c r="D368" i="3"/>
  <c r="C356" i="3"/>
  <c r="D341" i="3"/>
  <c r="B328" i="3"/>
  <c r="C313" i="3"/>
  <c r="B302" i="3"/>
  <c r="B287" i="3"/>
  <c r="B275" i="3"/>
  <c r="B262" i="3"/>
  <c r="B250" i="3"/>
  <c r="D235" i="3"/>
  <c r="D224" i="3"/>
  <c r="D211" i="3"/>
  <c r="B201" i="3"/>
  <c r="C188" i="3"/>
  <c r="D177" i="3"/>
  <c r="B165" i="3"/>
  <c r="B155" i="3"/>
  <c r="B143" i="3"/>
  <c r="D131" i="3"/>
  <c r="D119" i="3"/>
  <c r="B109" i="3"/>
  <c r="D96" i="3"/>
  <c r="B88" i="3"/>
  <c r="D76" i="3"/>
  <c r="C68" i="3"/>
  <c r="B60" i="3"/>
  <c r="B50" i="3"/>
  <c r="C43" i="3"/>
  <c r="B35" i="3"/>
  <c r="B25" i="3"/>
  <c r="D16" i="3"/>
  <c r="C9" i="3"/>
  <c r="C119" i="3"/>
  <c r="B235" i="3"/>
  <c r="D998" i="3"/>
  <c r="C964" i="3"/>
  <c r="B941" i="3"/>
  <c r="D908" i="3"/>
  <c r="B887" i="3"/>
  <c r="C856" i="3"/>
  <c r="C829" i="3"/>
  <c r="D802" i="3"/>
  <c r="D774" i="3"/>
  <c r="C748" i="3"/>
  <c r="C723" i="3"/>
  <c r="D694" i="3"/>
  <c r="D667" i="3"/>
  <c r="C642" i="3"/>
  <c r="C623" i="3"/>
  <c r="C597" i="3"/>
  <c r="B578" i="3"/>
  <c r="C557" i="3"/>
  <c r="C535" i="3"/>
  <c r="D516" i="3"/>
  <c r="B498" i="3"/>
  <c r="C475" i="3"/>
  <c r="C455" i="3"/>
  <c r="C436" i="3"/>
  <c r="B424" i="3"/>
  <c r="D408" i="3"/>
  <c r="D395" i="3"/>
  <c r="B382" i="3"/>
  <c r="B368" i="3"/>
  <c r="B354" i="3"/>
  <c r="C341" i="3"/>
  <c r="B326" i="3"/>
  <c r="B313" i="3"/>
  <c r="D297" i="3"/>
  <c r="B286" i="3"/>
  <c r="B273" i="3"/>
  <c r="D260" i="3"/>
  <c r="B247" i="3"/>
  <c r="C235" i="3"/>
  <c r="D221" i="3"/>
  <c r="C211" i="3"/>
  <c r="B199" i="3"/>
  <c r="B188" i="3"/>
  <c r="C176" i="3"/>
  <c r="D164" i="3"/>
  <c r="D958" i="3"/>
  <c r="D902" i="3"/>
  <c r="D828" i="3"/>
  <c r="D764" i="3"/>
  <c r="B707" i="3"/>
  <c r="D637" i="3"/>
  <c r="D590" i="3"/>
  <c r="D534" i="3"/>
  <c r="C489" i="3"/>
  <c r="C444" i="3"/>
  <c r="B406" i="3"/>
  <c r="C377" i="3"/>
  <c r="D339" i="3"/>
  <c r="B308" i="3"/>
  <c r="C279" i="3"/>
  <c r="D244" i="3"/>
  <c r="C217" i="3"/>
  <c r="C187" i="3"/>
  <c r="B160" i="3"/>
  <c r="D135" i="3"/>
  <c r="B104" i="3"/>
  <c r="B82" i="3"/>
  <c r="C57" i="3"/>
  <c r="B40" i="3"/>
  <c r="B21" i="3"/>
  <c r="C956" i="3"/>
  <c r="C828" i="3"/>
  <c r="B689" i="3"/>
  <c r="C589" i="3"/>
  <c r="B485" i="3"/>
  <c r="C435" i="3"/>
  <c r="B376" i="3"/>
  <c r="C305" i="3"/>
  <c r="D269" i="3"/>
  <c r="B217" i="3"/>
  <c r="C159" i="3"/>
  <c r="B103" i="3"/>
  <c r="B56" i="3"/>
  <c r="D15" i="3"/>
  <c r="D296" i="3"/>
  <c r="D816" i="3"/>
  <c r="D680" i="3"/>
  <c r="C569" i="3"/>
  <c r="B432" i="3"/>
  <c r="D332" i="3"/>
  <c r="B234" i="3"/>
  <c r="C149" i="3"/>
  <c r="C73" i="3"/>
  <c r="D872" i="3"/>
  <c r="D738" i="3"/>
  <c r="C616" i="3"/>
  <c r="C467" i="3"/>
  <c r="B325" i="3"/>
  <c r="D233" i="3"/>
  <c r="B149" i="3"/>
  <c r="B49" i="3"/>
  <c r="C991" i="3"/>
  <c r="D795" i="3"/>
  <c r="C737" i="3"/>
  <c r="C567" i="3"/>
  <c r="B467" i="3"/>
  <c r="D389" i="3"/>
  <c r="C293" i="3"/>
  <c r="B205" i="3"/>
  <c r="B118" i="3"/>
  <c r="C5" i="3"/>
  <c r="B924" i="3"/>
  <c r="B737" i="3"/>
  <c r="B510" i="3"/>
  <c r="B351" i="3"/>
  <c r="B229" i="3"/>
  <c r="B117" i="3"/>
  <c r="B5" i="3"/>
  <c r="C984" i="3"/>
  <c r="D792" i="3"/>
  <c r="B717" i="3"/>
  <c r="B659" i="3"/>
  <c r="B553" i="3"/>
  <c r="B418" i="3"/>
  <c r="B321" i="3"/>
  <c r="D228" i="3"/>
  <c r="D140" i="3"/>
  <c r="C65" i="3"/>
  <c r="D4" i="3"/>
  <c r="D907" i="3"/>
  <c r="B792" i="3"/>
  <c r="D593" i="3"/>
  <c r="D450" i="3"/>
  <c r="D349" i="3"/>
  <c r="C255" i="3"/>
  <c r="D171" i="3"/>
  <c r="D83" i="3"/>
  <c r="B22" i="3"/>
  <c r="B849" i="3"/>
  <c r="C447" i="3"/>
  <c r="C219" i="3"/>
  <c r="D63" i="3"/>
  <c r="C963" i="3"/>
  <c r="D771" i="3"/>
  <c r="B591" i="3"/>
  <c r="D444" i="3"/>
  <c r="B349" i="3"/>
  <c r="D193" i="3"/>
  <c r="C63" i="3"/>
  <c r="D899" i="3"/>
  <c r="D763" i="3"/>
  <c r="C637" i="3"/>
  <c r="C534" i="3"/>
  <c r="B405" i="3"/>
  <c r="D337" i="3"/>
  <c r="C244" i="3"/>
  <c r="B187" i="3"/>
  <c r="D128" i="3"/>
  <c r="D80" i="3"/>
  <c r="B38" i="3"/>
  <c r="C526" i="3"/>
  <c r="C241" i="3"/>
  <c r="B182" i="3"/>
  <c r="D125" i="3"/>
  <c r="D73" i="3"/>
  <c r="C31" i="3"/>
  <c r="C876" i="3"/>
  <c r="D742" i="3"/>
  <c r="D619" i="3"/>
  <c r="D525" i="3"/>
  <c r="B395" i="3"/>
  <c r="C268" i="3"/>
  <c r="D181" i="3"/>
  <c r="D95" i="3"/>
  <c r="B31" i="3"/>
  <c r="B12" i="3"/>
  <c r="C935" i="3"/>
  <c r="D510" i="3"/>
  <c r="B394" i="3"/>
  <c r="B296" i="3"/>
  <c r="C205" i="3"/>
  <c r="B125" i="3"/>
  <c r="B73" i="3"/>
  <c r="D11" i="3"/>
  <c r="D930" i="3"/>
  <c r="C663" i="3"/>
  <c r="C510" i="3"/>
  <c r="C360" i="3"/>
  <c r="B259" i="3"/>
  <c r="D172" i="3"/>
  <c r="B95" i="3"/>
  <c r="D48" i="3"/>
  <c r="D990" i="3"/>
  <c r="C793" i="3"/>
  <c r="B612" i="3"/>
  <c r="D466" i="3"/>
  <c r="B389" i="3"/>
  <c r="B293" i="3"/>
  <c r="C197" i="3"/>
  <c r="C148" i="3"/>
  <c r="C67" i="3"/>
  <c r="C29" i="3"/>
  <c r="D850" i="3"/>
  <c r="D611" i="3"/>
  <c r="D509" i="3"/>
  <c r="D388" i="3"/>
  <c r="D284" i="3"/>
  <c r="B196" i="3"/>
  <c r="B91" i="3"/>
  <c r="B24" i="3"/>
  <c r="D979" i="3"/>
  <c r="C716" i="3"/>
  <c r="D552" i="3"/>
  <c r="C417" i="3"/>
  <c r="D320" i="3"/>
  <c r="D220" i="3"/>
  <c r="C140" i="3"/>
  <c r="B65" i="3"/>
  <c r="C4" i="3"/>
  <c r="C905" i="3"/>
  <c r="D712" i="3"/>
  <c r="C593" i="3"/>
  <c r="D493" i="3"/>
  <c r="B379" i="3"/>
  <c r="C311" i="3"/>
  <c r="C253" i="3"/>
  <c r="B164" i="3"/>
  <c r="C112" i="3"/>
  <c r="D40" i="3"/>
  <c r="D844" i="3"/>
  <c r="C707" i="3"/>
  <c r="D548" i="3"/>
  <c r="B407" i="3"/>
  <c r="B311" i="3"/>
  <c r="B245" i="3"/>
  <c r="D163" i="3"/>
  <c r="C105" i="3"/>
  <c r="C40" i="3"/>
  <c r="B956" i="3"/>
  <c r="D883" i="3"/>
  <c r="D819" i="3"/>
  <c r="B760" i="3"/>
  <c r="C685" i="3"/>
  <c r="B635" i="3"/>
  <c r="C577" i="3"/>
  <c r="C529" i="3"/>
  <c r="D484" i="3"/>
  <c r="D433" i="3"/>
  <c r="D404" i="3"/>
  <c r="B366" i="3"/>
  <c r="B336" i="3"/>
  <c r="C304" i="3"/>
  <c r="C269" i="3"/>
  <c r="B244" i="3"/>
  <c r="B210" i="3"/>
  <c r="C183" i="3"/>
  <c r="B159" i="3"/>
  <c r="B126" i="3"/>
  <c r="B102" i="3"/>
  <c r="B74" i="3"/>
  <c r="D55" i="3"/>
  <c r="D36" i="3"/>
  <c r="C15" i="3"/>
  <c r="D955" i="3"/>
  <c r="D878" i="3"/>
  <c r="B817" i="3"/>
  <c r="B743" i="3"/>
  <c r="D684" i="3"/>
  <c r="D634" i="3"/>
  <c r="B575" i="3"/>
  <c r="D472" i="3"/>
  <c r="C433" i="3"/>
  <c r="C403" i="3"/>
  <c r="D365" i="3"/>
  <c r="B333" i="3"/>
  <c r="B269" i="3"/>
  <c r="D209" i="3"/>
  <c r="B152" i="3"/>
  <c r="D101" i="3"/>
  <c r="C55" i="3"/>
  <c r="B15" i="3"/>
  <c r="D935" i="3"/>
  <c r="B469" i="3"/>
  <c r="C363" i="3"/>
  <c r="C296" i="3"/>
  <c r="B206" i="3"/>
  <c r="C125" i="3"/>
  <c r="B55" i="3"/>
  <c r="D798" i="3"/>
  <c r="C680" i="3"/>
  <c r="D568" i="3"/>
  <c r="D431" i="3"/>
  <c r="B361" i="3"/>
  <c r="B268" i="3"/>
  <c r="B174" i="3"/>
  <c r="C95" i="3"/>
  <c r="B30" i="3"/>
  <c r="D871" i="3"/>
  <c r="D612" i="3"/>
  <c r="B422" i="3"/>
  <c r="B322" i="3"/>
  <c r="B230" i="3"/>
  <c r="D148" i="3"/>
  <c r="D72" i="3"/>
  <c r="D29" i="3"/>
  <c r="B851" i="3"/>
  <c r="D660" i="3"/>
  <c r="C553" i="3"/>
  <c r="D420" i="3"/>
  <c r="C321" i="3"/>
  <c r="B258" i="3"/>
  <c r="C172" i="3"/>
  <c r="C91" i="3"/>
  <c r="C48" i="3"/>
  <c r="D923" i="3"/>
  <c r="D452" i="3"/>
  <c r="B350" i="3"/>
  <c r="B256" i="3"/>
  <c r="B172" i="3"/>
  <c r="B114" i="3"/>
  <c r="B48" i="3"/>
  <c r="C849" i="3"/>
  <c r="D653" i="3"/>
  <c r="D508" i="3"/>
  <c r="C379" i="3"/>
  <c r="B284" i="3"/>
  <c r="D195" i="3"/>
  <c r="C113" i="3"/>
  <c r="B46" i="3"/>
  <c r="C979" i="3"/>
  <c r="B772" i="3"/>
  <c r="C652" i="3"/>
  <c r="C550" i="3"/>
  <c r="B417" i="3"/>
  <c r="C349" i="3"/>
  <c r="C280" i="3"/>
  <c r="C195" i="3"/>
  <c r="C137" i="3"/>
  <c r="C83" i="3"/>
  <c r="D21" i="3"/>
  <c r="B905" i="3"/>
  <c r="C639" i="3"/>
  <c r="B493" i="3"/>
  <c r="B378" i="3"/>
  <c r="D279" i="3"/>
  <c r="D217" i="3"/>
  <c r="B136" i="3"/>
  <c r="B83" i="3"/>
  <c r="C21" i="3"/>
  <c r="AF1487" i="2"/>
  <c r="AF1475" i="2"/>
  <c r="AF1463" i="2"/>
  <c r="AF1451" i="2"/>
  <c r="AF1439" i="2"/>
  <c r="AF1427" i="2"/>
  <c r="AF1415" i="2"/>
  <c r="AF1403" i="2"/>
  <c r="AF1391" i="2"/>
  <c r="AF1379" i="2"/>
  <c r="AF1367" i="2"/>
  <c r="AF1355" i="2"/>
  <c r="AF1343" i="2"/>
  <c r="AF1331" i="2"/>
  <c r="AF1319" i="2"/>
  <c r="AF1307" i="2"/>
  <c r="AF1295" i="2"/>
  <c r="AF1283" i="2"/>
  <c r="AF1271" i="2"/>
  <c r="AF1259" i="2"/>
  <c r="AF1247" i="2"/>
  <c r="AF1235" i="2"/>
  <c r="AF1223" i="2"/>
  <c r="AF1211" i="2"/>
  <c r="AF1199" i="2"/>
  <c r="AF1187" i="2"/>
  <c r="AF1175" i="2"/>
  <c r="AF1163" i="2"/>
  <c r="AF1151" i="2"/>
  <c r="AF1139" i="2"/>
  <c r="AF1127" i="2"/>
  <c r="AF1115" i="2"/>
  <c r="AF1103" i="2"/>
  <c r="AF1091" i="2"/>
  <c r="AF1079" i="2"/>
  <c r="AF1067" i="2"/>
  <c r="AF1055" i="2"/>
  <c r="AF1043" i="2"/>
  <c r="AF1031" i="2"/>
  <c r="AF1019" i="2"/>
  <c r="AF1007" i="2"/>
  <c r="AF995" i="2"/>
  <c r="AF983" i="2"/>
  <c r="AF971" i="2"/>
  <c r="AF959" i="2"/>
  <c r="AF947" i="2"/>
  <c r="AF935" i="2"/>
  <c r="AF923" i="2"/>
  <c r="AF911" i="2"/>
  <c r="AF899" i="2"/>
  <c r="AF887" i="2"/>
  <c r="AF875" i="2"/>
  <c r="AF863" i="2"/>
  <c r="AF851" i="2"/>
  <c r="AF839" i="2"/>
  <c r="AF827" i="2"/>
  <c r="AF815" i="2"/>
  <c r="AF803" i="2"/>
  <c r="AF791" i="2"/>
  <c r="AF779" i="2"/>
  <c r="AF767" i="2"/>
  <c r="AF755" i="2"/>
  <c r="AF743" i="2"/>
  <c r="AF731" i="2"/>
  <c r="AF719" i="2"/>
  <c r="AF707" i="2"/>
  <c r="AF695" i="2"/>
  <c r="AF683" i="2"/>
  <c r="AF671" i="2"/>
  <c r="AF659" i="2"/>
  <c r="AF647" i="2"/>
  <c r="AF635" i="2"/>
  <c r="AF623" i="2"/>
  <c r="AF611" i="2"/>
  <c r="AF599" i="2"/>
  <c r="AF587" i="2"/>
  <c r="AF575" i="2"/>
  <c r="AF563" i="2"/>
  <c r="AF551" i="2"/>
  <c r="AF539" i="2"/>
  <c r="AF527" i="2"/>
  <c r="AF515" i="2"/>
  <c r="AF503" i="2"/>
  <c r="AF491" i="2"/>
  <c r="AF479" i="2"/>
  <c r="AF1485" i="2"/>
  <c r="AF1473" i="2"/>
  <c r="AF1461" i="2"/>
  <c r="AF1449" i="2"/>
  <c r="AF1437" i="2"/>
  <c r="AF1425" i="2"/>
  <c r="AF1413" i="2"/>
  <c r="AF1401" i="2"/>
  <c r="AF1389" i="2"/>
  <c r="AF1377" i="2"/>
  <c r="AF1365" i="2"/>
  <c r="AF1353" i="2"/>
  <c r="AF1341" i="2"/>
  <c r="AF1329" i="2"/>
  <c r="AF1317" i="2"/>
  <c r="AF1305" i="2"/>
  <c r="AF1293" i="2"/>
  <c r="AF1281" i="2"/>
  <c r="AF1269" i="2"/>
  <c r="AF1257" i="2"/>
  <c r="AF1245" i="2"/>
  <c r="AF1233" i="2"/>
  <c r="AF1221" i="2"/>
  <c r="AF1209" i="2"/>
  <c r="AF1197" i="2"/>
  <c r="AF1185" i="2"/>
  <c r="AF1173" i="2"/>
  <c r="AF1161" i="2"/>
  <c r="AF1149" i="2"/>
  <c r="AF1137" i="2"/>
  <c r="AF1125" i="2"/>
  <c r="AF1113" i="2"/>
  <c r="AF1101" i="2"/>
  <c r="AF1089" i="2"/>
  <c r="AF1077" i="2"/>
  <c r="AF1065" i="2"/>
  <c r="AF1053" i="2"/>
  <c r="AF1041" i="2"/>
  <c r="AF1029" i="2"/>
  <c r="AF1017" i="2"/>
  <c r="AF1005" i="2"/>
  <c r="AF993" i="2"/>
  <c r="AF981" i="2"/>
  <c r="AF969" i="2"/>
  <c r="AF957" i="2"/>
  <c r="AF945" i="2"/>
  <c r="AF933" i="2"/>
  <c r="AF921" i="2"/>
  <c r="AF909" i="2"/>
  <c r="AF897" i="2"/>
  <c r="AF885" i="2"/>
  <c r="AF873" i="2"/>
  <c r="AF861" i="2"/>
  <c r="AF849" i="2"/>
  <c r="AF837" i="2"/>
  <c r="AF825" i="2"/>
  <c r="AF813" i="2"/>
  <c r="AF801" i="2"/>
  <c r="AF789" i="2"/>
  <c r="AF777" i="2"/>
  <c r="AF765" i="2"/>
  <c r="AF753" i="2"/>
  <c r="AF741" i="2"/>
  <c r="AF729" i="2"/>
  <c r="AF717" i="2"/>
  <c r="AF705" i="2"/>
  <c r="AF693" i="2"/>
  <c r="AF681" i="2"/>
  <c r="AF669" i="2"/>
  <c r="AF657" i="2"/>
  <c r="AF645" i="2"/>
  <c r="AF633" i="2"/>
  <c r="AF621" i="2"/>
  <c r="AF609" i="2"/>
  <c r="AF597" i="2"/>
  <c r="AF585" i="2"/>
  <c r="AF573" i="2"/>
  <c r="AF561" i="2"/>
  <c r="AF549" i="2"/>
  <c r="AF537" i="2"/>
  <c r="AF525" i="2"/>
  <c r="AF513" i="2"/>
  <c r="AF501" i="2"/>
  <c r="AF489" i="2"/>
  <c r="AF477" i="2"/>
  <c r="AF1488" i="2"/>
  <c r="AF1472" i="2"/>
  <c r="AF1458" i="2"/>
  <c r="AF1444" i="2"/>
  <c r="AF1430" i="2"/>
  <c r="AF1416" i="2"/>
  <c r="AF1400" i="2"/>
  <c r="AF1386" i="2"/>
  <c r="AF1372" i="2"/>
  <c r="AF1358" i="2"/>
  <c r="AF1344" i="2"/>
  <c r="AF1328" i="2"/>
  <c r="AF1314" i="2"/>
  <c r="AF1300" i="2"/>
  <c r="AF1286" i="2"/>
  <c r="AF1272" i="2"/>
  <c r="AF1256" i="2"/>
  <c r="AF1242" i="2"/>
  <c r="AF1228" i="2"/>
  <c r="AF1214" i="2"/>
  <c r="AF1200" i="2"/>
  <c r="AF1184" i="2"/>
  <c r="AF1170" i="2"/>
  <c r="AF1156" i="2"/>
  <c r="AF1142" i="2"/>
  <c r="AF1128" i="2"/>
  <c r="AF1112" i="2"/>
  <c r="AF1098" i="2"/>
  <c r="AF1084" i="2"/>
  <c r="AF1070" i="2"/>
  <c r="AF1056" i="2"/>
  <c r="AF1040" i="2"/>
  <c r="AF1026" i="2"/>
  <c r="AF1012" i="2"/>
  <c r="AF998" i="2"/>
  <c r="AF984" i="2"/>
  <c r="AF968" i="2"/>
  <c r="AF954" i="2"/>
  <c r="AF940" i="2"/>
  <c r="AF926" i="2"/>
  <c r="AF912" i="2"/>
  <c r="AF896" i="2"/>
  <c r="AF882" i="2"/>
  <c r="AF868" i="2"/>
  <c r="AF854" i="2"/>
  <c r="AF840" i="2"/>
  <c r="AF824" i="2"/>
  <c r="AF810" i="2"/>
  <c r="AF796" i="2"/>
  <c r="AF782" i="2"/>
  <c r="AF768" i="2"/>
  <c r="AF752" i="2"/>
  <c r="AF738" i="2"/>
  <c r="AF724" i="2"/>
  <c r="AF710" i="2"/>
  <c r="AF696" i="2"/>
  <c r="AF680" i="2"/>
  <c r="AF666" i="2"/>
  <c r="AF652" i="2"/>
  <c r="AF638" i="2"/>
  <c r="AF624" i="2"/>
  <c r="AF608" i="2"/>
  <c r="AF594" i="2"/>
  <c r="AF580" i="2"/>
  <c r="AF566" i="2"/>
  <c r="AF552" i="2"/>
  <c r="AF536" i="2"/>
  <c r="AF522" i="2"/>
  <c r="AF508" i="2"/>
  <c r="AF494" i="2"/>
  <c r="AF480" i="2"/>
  <c r="AF466" i="2"/>
  <c r="AF454" i="2"/>
  <c r="AF442" i="2"/>
  <c r="AF430" i="2"/>
  <c r="AF418" i="2"/>
  <c r="AF406" i="2"/>
  <c r="AF394" i="2"/>
  <c r="AF382" i="2"/>
  <c r="AF370" i="2"/>
  <c r="AF358" i="2"/>
  <c r="AF346" i="2"/>
  <c r="AF334" i="2"/>
  <c r="AF322" i="2"/>
  <c r="AF310" i="2"/>
  <c r="AF1486" i="2"/>
  <c r="AF1471" i="2"/>
  <c r="AF1457" i="2"/>
  <c r="AF1443" i="2"/>
  <c r="AF1429" i="2"/>
  <c r="AF1414" i="2"/>
  <c r="AF1399" i="2"/>
  <c r="AF1385" i="2"/>
  <c r="AF1371" i="2"/>
  <c r="AF1357" i="2"/>
  <c r="AF1342" i="2"/>
  <c r="AF1327" i="2"/>
  <c r="AF1313" i="2"/>
  <c r="AF1299" i="2"/>
  <c r="AF1285" i="2"/>
  <c r="AF1270" i="2"/>
  <c r="AF1255" i="2"/>
  <c r="AF1241" i="2"/>
  <c r="AF1227" i="2"/>
  <c r="AF1213" i="2"/>
  <c r="AF1198" i="2"/>
  <c r="AF1183" i="2"/>
  <c r="AF1169" i="2"/>
  <c r="AF1155" i="2"/>
  <c r="AF1141" i="2"/>
  <c r="AF1126" i="2"/>
  <c r="AF1111" i="2"/>
  <c r="AF1097" i="2"/>
  <c r="AF1083" i="2"/>
  <c r="AF1069" i="2"/>
  <c r="AF1054" i="2"/>
  <c r="AF1039" i="2"/>
  <c r="AF1025" i="2"/>
  <c r="AF1011" i="2"/>
  <c r="AF997" i="2"/>
  <c r="AF982" i="2"/>
  <c r="AF967" i="2"/>
  <c r="AF953" i="2"/>
  <c r="AF939" i="2"/>
  <c r="AF925" i="2"/>
  <c r="AF910" i="2"/>
  <c r="AF895" i="2"/>
  <c r="AF881" i="2"/>
  <c r="AF867" i="2"/>
  <c r="AF853" i="2"/>
  <c r="AF838" i="2"/>
  <c r="AF823" i="2"/>
  <c r="AF809" i="2"/>
  <c r="AF795" i="2"/>
  <c r="AF781" i="2"/>
  <c r="AF766" i="2"/>
  <c r="AF751" i="2"/>
  <c r="AF737" i="2"/>
  <c r="AF723" i="2"/>
  <c r="AF709" i="2"/>
  <c r="AF694" i="2"/>
  <c r="AF679" i="2"/>
  <c r="AF665" i="2"/>
  <c r="AF651" i="2"/>
  <c r="AF637" i="2"/>
  <c r="AF622" i="2"/>
  <c r="AF607" i="2"/>
  <c r="AF593" i="2"/>
  <c r="AF579" i="2"/>
  <c r="AF565" i="2"/>
  <c r="AF550" i="2"/>
  <c r="AF535" i="2"/>
  <c r="AF521" i="2"/>
  <c r="AF507" i="2"/>
  <c r="AF493" i="2"/>
  <c r="AF478" i="2"/>
  <c r="AF465" i="2"/>
  <c r="AF453" i="2"/>
  <c r="AF441" i="2"/>
  <c r="AF429" i="2"/>
  <c r="AF417" i="2"/>
  <c r="AF405" i="2"/>
  <c r="AF393" i="2"/>
  <c r="AF381" i="2"/>
  <c r="AF369" i="2"/>
  <c r="AF357" i="2"/>
  <c r="AF345" i="2"/>
  <c r="AF333" i="2"/>
  <c r="AF321" i="2"/>
  <c r="AF309" i="2"/>
  <c r="AF297" i="2"/>
  <c r="AF1484" i="2"/>
  <c r="AF1470" i="2"/>
  <c r="AF1456" i="2"/>
  <c r="AF1442" i="2"/>
  <c r="AF1428" i="2"/>
  <c r="AF1412" i="2"/>
  <c r="AF1398" i="2"/>
  <c r="AF1384" i="2"/>
  <c r="AF1370" i="2"/>
  <c r="AF1356" i="2"/>
  <c r="AF1340" i="2"/>
  <c r="AF1326" i="2"/>
  <c r="AF1312" i="2"/>
  <c r="AF1298" i="2"/>
  <c r="AF1284" i="2"/>
  <c r="AF1268" i="2"/>
  <c r="AF1254" i="2"/>
  <c r="AF1240" i="2"/>
  <c r="AF1226" i="2"/>
  <c r="AF1212" i="2"/>
  <c r="AF1196" i="2"/>
  <c r="AF1182" i="2"/>
  <c r="AF1168" i="2"/>
  <c r="AF1154" i="2"/>
  <c r="AF1140" i="2"/>
  <c r="AF1124" i="2"/>
  <c r="AF1110" i="2"/>
  <c r="AF1096" i="2"/>
  <c r="AF1082" i="2"/>
  <c r="AF1068" i="2"/>
  <c r="AF1052" i="2"/>
  <c r="AF1038" i="2"/>
  <c r="AF1024" i="2"/>
  <c r="AF1010" i="2"/>
  <c r="AF996" i="2"/>
  <c r="AF980" i="2"/>
  <c r="AF966" i="2"/>
  <c r="AF952" i="2"/>
  <c r="AF938" i="2"/>
  <c r="AF924" i="2"/>
  <c r="AF908" i="2"/>
  <c r="AF894" i="2"/>
  <c r="AF880" i="2"/>
  <c r="AF866" i="2"/>
  <c r="AF852" i="2"/>
  <c r="AF836" i="2"/>
  <c r="AF822" i="2"/>
  <c r="AF808" i="2"/>
  <c r="AF794" i="2"/>
  <c r="AF780" i="2"/>
  <c r="AF764" i="2"/>
  <c r="AF750" i="2"/>
  <c r="AF736" i="2"/>
  <c r="AF722" i="2"/>
  <c r="AF708" i="2"/>
  <c r="AF692" i="2"/>
  <c r="AF678" i="2"/>
  <c r="AF664" i="2"/>
  <c r="AF650" i="2"/>
  <c r="AF636" i="2"/>
  <c r="AF620" i="2"/>
  <c r="AF606" i="2"/>
  <c r="AF592" i="2"/>
  <c r="AF578" i="2"/>
  <c r="AF564" i="2"/>
  <c r="AF548" i="2"/>
  <c r="AF534" i="2"/>
  <c r="AF520" i="2"/>
  <c r="AF506" i="2"/>
  <c r="AF492" i="2"/>
  <c r="AF476" i="2"/>
  <c r="AF464" i="2"/>
  <c r="AF452" i="2"/>
  <c r="AF440" i="2"/>
  <c r="AF428" i="2"/>
  <c r="AF416" i="2"/>
  <c r="AF404" i="2"/>
  <c r="AF392" i="2"/>
  <c r="AF380" i="2"/>
  <c r="AF368" i="2"/>
  <c r="AF356" i="2"/>
  <c r="AF344" i="2"/>
  <c r="AF332" i="2"/>
  <c r="AF320" i="2"/>
  <c r="AF308" i="2"/>
  <c r="AF1483" i="2"/>
  <c r="AF1466" i="2"/>
  <c r="AF1447" i="2"/>
  <c r="AF1426" i="2"/>
  <c r="AF1408" i="2"/>
  <c r="AF1390" i="2"/>
  <c r="AF1369" i="2"/>
  <c r="AF1350" i="2"/>
  <c r="AF1333" i="2"/>
  <c r="AF1311" i="2"/>
  <c r="AF1292" i="2"/>
  <c r="AF1275" i="2"/>
  <c r="AF1253" i="2"/>
  <c r="AF1236" i="2"/>
  <c r="AF1217" i="2"/>
  <c r="AF1195" i="2"/>
  <c r="AF1178" i="2"/>
  <c r="AF1159" i="2"/>
  <c r="AF1138" i="2"/>
  <c r="AF1120" i="2"/>
  <c r="AF1102" i="2"/>
  <c r="AF1081" i="2"/>
  <c r="AF1062" i="2"/>
  <c r="AF1045" i="2"/>
  <c r="AF1023" i="2"/>
  <c r="AF1004" i="2"/>
  <c r="AF987" i="2"/>
  <c r="AF965" i="2"/>
  <c r="AF948" i="2"/>
  <c r="AF929" i="2"/>
  <c r="AF907" i="2"/>
  <c r="AF890" i="2"/>
  <c r="AF871" i="2"/>
  <c r="AF850" i="2"/>
  <c r="AF832" i="2"/>
  <c r="AF814" i="2"/>
  <c r="AF793" i="2"/>
  <c r="AF774" i="2"/>
  <c r="AF757" i="2"/>
  <c r="AF735" i="2"/>
  <c r="AF716" i="2"/>
  <c r="AF699" i="2"/>
  <c r="AF677" i="2"/>
  <c r="AF660" i="2"/>
  <c r="AF641" i="2"/>
  <c r="AF619" i="2"/>
  <c r="AF602" i="2"/>
  <c r="AF583" i="2"/>
  <c r="AF562" i="2"/>
  <c r="AF544" i="2"/>
  <c r="AF526" i="2"/>
  <c r="AF505" i="2"/>
  <c r="AF486" i="2"/>
  <c r="AF469" i="2"/>
  <c r="AF451" i="2"/>
  <c r="AF436" i="2"/>
  <c r="AF421" i="2"/>
  <c r="AF403" i="2"/>
  <c r="AF388" i="2"/>
  <c r="AF373" i="2"/>
  <c r="AF355" i="2"/>
  <c r="AF340" i="2"/>
  <c r="AF325" i="2"/>
  <c r="AF307" i="2"/>
  <c r="AF294" i="2"/>
  <c r="AF282" i="2"/>
  <c r="AF270" i="2"/>
  <c r="AF258" i="2"/>
  <c r="AF246" i="2"/>
  <c r="AF234" i="2"/>
  <c r="AF222" i="2"/>
  <c r="AF210" i="2"/>
  <c r="AF198" i="2"/>
  <c r="AF186" i="2"/>
  <c r="AF174" i="2"/>
  <c r="AF162" i="2"/>
  <c r="AF150" i="2"/>
  <c r="AF138" i="2"/>
  <c r="AF126" i="2"/>
  <c r="AF114" i="2"/>
  <c r="AF102" i="2"/>
  <c r="AF90" i="2"/>
  <c r="AF78" i="2"/>
  <c r="AF66" i="2"/>
  <c r="AF54" i="2"/>
  <c r="AF1482" i="2"/>
  <c r="AF1465" i="2"/>
  <c r="AF1446" i="2"/>
  <c r="AF1424" i="2"/>
  <c r="AF1407" i="2"/>
  <c r="AF1388" i="2"/>
  <c r="AF1368" i="2"/>
  <c r="AF1349" i="2"/>
  <c r="AF1332" i="2"/>
  <c r="AF1310" i="2"/>
  <c r="AF1291" i="2"/>
  <c r="AF1274" i="2"/>
  <c r="AF1252" i="2"/>
  <c r="AF1234" i="2"/>
  <c r="AF1216" i="2"/>
  <c r="AF1194" i="2"/>
  <c r="AF1177" i="2"/>
  <c r="AF1158" i="2"/>
  <c r="AF1136" i="2"/>
  <c r="AF1119" i="2"/>
  <c r="AF1100" i="2"/>
  <c r="AF1080" i="2"/>
  <c r="AF1061" i="2"/>
  <c r="AF1044" i="2"/>
  <c r="AF1022" i="2"/>
  <c r="AF1003" i="2"/>
  <c r="AF986" i="2"/>
  <c r="AF964" i="2"/>
  <c r="AF946" i="2"/>
  <c r="AF928" i="2"/>
  <c r="AF906" i="2"/>
  <c r="AF889" i="2"/>
  <c r="AF870" i="2"/>
  <c r="AF848" i="2"/>
  <c r="AF831" i="2"/>
  <c r="AF812" i="2"/>
  <c r="AF792" i="2"/>
  <c r="AF773" i="2"/>
  <c r="AF756" i="2"/>
  <c r="AF734" i="2"/>
  <c r="AF715" i="2"/>
  <c r="AF698" i="2"/>
  <c r="AF676" i="2"/>
  <c r="AF658" i="2"/>
  <c r="AF640" i="2"/>
  <c r="AF618" i="2"/>
  <c r="AF601" i="2"/>
  <c r="AF582" i="2"/>
  <c r="AF560" i="2"/>
  <c r="AF543" i="2"/>
  <c r="AF524" i="2"/>
  <c r="AF504" i="2"/>
  <c r="AF485" i="2"/>
  <c r="AF468" i="2"/>
  <c r="AF450" i="2"/>
  <c r="AF435" i="2"/>
  <c r="AF420" i="2"/>
  <c r="AF402" i="2"/>
  <c r="AF387" i="2"/>
  <c r="AF372" i="2"/>
  <c r="AF354" i="2"/>
  <c r="AF339" i="2"/>
  <c r="AF324" i="2"/>
  <c r="AF306" i="2"/>
  <c r="AF293" i="2"/>
  <c r="AF281" i="2"/>
  <c r="AF269" i="2"/>
  <c r="AF257" i="2"/>
  <c r="AF245" i="2"/>
  <c r="AF233" i="2"/>
  <c r="AF221" i="2"/>
  <c r="AF209" i="2"/>
  <c r="AF197" i="2"/>
  <c r="AF185" i="2"/>
  <c r="AF173" i="2"/>
  <c r="AF161" i="2"/>
  <c r="AF149" i="2"/>
  <c r="AF137" i="2"/>
  <c r="AF125" i="2"/>
  <c r="AF113" i="2"/>
  <c r="AF101" i="2"/>
  <c r="AF89" i="2"/>
  <c r="AF77" i="2"/>
  <c r="AF65" i="2"/>
  <c r="AF53" i="2"/>
  <c r="AF41" i="2"/>
  <c r="AF1481" i="2"/>
  <c r="AF1464" i="2"/>
  <c r="AF1445" i="2"/>
  <c r="AF1423" i="2"/>
  <c r="AF1406" i="2"/>
  <c r="AF1387" i="2"/>
  <c r="AF1366" i="2"/>
  <c r="AF1348" i="2"/>
  <c r="AF1330" i="2"/>
  <c r="AF1309" i="2"/>
  <c r="AF1290" i="2"/>
  <c r="AF1273" i="2"/>
  <c r="AF1251" i="2"/>
  <c r="AF1232" i="2"/>
  <c r="AF1215" i="2"/>
  <c r="AF1193" i="2"/>
  <c r="AF1176" i="2"/>
  <c r="AF1157" i="2"/>
  <c r="AF1135" i="2"/>
  <c r="AF1118" i="2"/>
  <c r="AF1099" i="2"/>
  <c r="AF1078" i="2"/>
  <c r="AF1060" i="2"/>
  <c r="AF1042" i="2"/>
  <c r="AF1021" i="2"/>
  <c r="AF1002" i="2"/>
  <c r="AF985" i="2"/>
  <c r="AF963" i="2"/>
  <c r="AF944" i="2"/>
  <c r="AF927" i="2"/>
  <c r="AF905" i="2"/>
  <c r="AF888" i="2"/>
  <c r="AF869" i="2"/>
  <c r="AF847" i="2"/>
  <c r="AF830" i="2"/>
  <c r="AF811" i="2"/>
  <c r="AF790" i="2"/>
  <c r="AF772" i="2"/>
  <c r="AF754" i="2"/>
  <c r="AF733" i="2"/>
  <c r="AF714" i="2"/>
  <c r="AF697" i="2"/>
  <c r="AF675" i="2"/>
  <c r="AF656" i="2"/>
  <c r="AF639" i="2"/>
  <c r="AF617" i="2"/>
  <c r="AF600" i="2"/>
  <c r="AF581" i="2"/>
  <c r="AF559" i="2"/>
  <c r="AF542" i="2"/>
  <c r="AF523" i="2"/>
  <c r="AF502" i="2"/>
  <c r="AF484" i="2"/>
  <c r="AF467" i="2"/>
  <c r="AF449" i="2"/>
  <c r="AF434" i="2"/>
  <c r="AF419" i="2"/>
  <c r="AF401" i="2"/>
  <c r="AF386" i="2"/>
  <c r="AF371" i="2"/>
  <c r="AF353" i="2"/>
  <c r="AF338" i="2"/>
  <c r="AF323" i="2"/>
  <c r="AF305" i="2"/>
  <c r="AF292" i="2"/>
  <c r="AF280" i="2"/>
  <c r="AF268" i="2"/>
  <c r="AF256" i="2"/>
  <c r="AF244" i="2"/>
  <c r="AF232" i="2"/>
  <c r="AF220" i="2"/>
  <c r="AF208" i="2"/>
  <c r="AF196" i="2"/>
  <c r="AF184" i="2"/>
  <c r="AF172" i="2"/>
  <c r="AF160" i="2"/>
  <c r="AF148" i="2"/>
  <c r="AF136" i="2"/>
  <c r="AF124" i="2"/>
  <c r="AF112" i="2"/>
  <c r="AF100" i="2"/>
  <c r="AF88" i="2"/>
  <c r="AF76" i="2"/>
  <c r="AF64" i="2"/>
  <c r="AF52" i="2"/>
  <c r="AF40" i="2"/>
  <c r="AF1480" i="2"/>
  <c r="AF1455" i="2"/>
  <c r="AF1433" i="2"/>
  <c r="AF1405" i="2"/>
  <c r="AF1380" i="2"/>
  <c r="AF1354" i="2"/>
  <c r="AF1325" i="2"/>
  <c r="AF1303" i="2"/>
  <c r="AF1278" i="2"/>
  <c r="AF1250" i="2"/>
  <c r="AF1225" i="2"/>
  <c r="AF1203" i="2"/>
  <c r="AF1174" i="2"/>
  <c r="AF1148" i="2"/>
  <c r="AF1123" i="2"/>
  <c r="AF1095" i="2"/>
  <c r="AF1073" i="2"/>
  <c r="AF1048" i="2"/>
  <c r="AF1020" i="2"/>
  <c r="AF994" i="2"/>
  <c r="AF973" i="2"/>
  <c r="AF943" i="2"/>
  <c r="AF918" i="2"/>
  <c r="AF893" i="2"/>
  <c r="AF865" i="2"/>
  <c r="AF843" i="2"/>
  <c r="AF818" i="2"/>
  <c r="AF788" i="2"/>
  <c r="AF763" i="2"/>
  <c r="AF742" i="2"/>
  <c r="AF713" i="2"/>
  <c r="AF688" i="2"/>
  <c r="AF663" i="2"/>
  <c r="AF634" i="2"/>
  <c r="AF613" i="2"/>
  <c r="AF588" i="2"/>
  <c r="AF558" i="2"/>
  <c r="AF533" i="2"/>
  <c r="AF511" i="2"/>
  <c r="AF483" i="2"/>
  <c r="AF460" i="2"/>
  <c r="AF439" i="2"/>
  <c r="AF415" i="2"/>
  <c r="AF397" i="2"/>
  <c r="AF376" i="2"/>
  <c r="AF352" i="2"/>
  <c r="AF331" i="2"/>
  <c r="AF313" i="2"/>
  <c r="AF291" i="2"/>
  <c r="AF276" i="2"/>
  <c r="AF261" i="2"/>
  <c r="AF243" i="2"/>
  <c r="AF228" i="2"/>
  <c r="AF213" i="2"/>
  <c r="AF195" i="2"/>
  <c r="AF180" i="2"/>
  <c r="AF165" i="2"/>
  <c r="AF147" i="2"/>
  <c r="AF132" i="2"/>
  <c r="AF117" i="2"/>
  <c r="AF99" i="2"/>
  <c r="AF84" i="2"/>
  <c r="AF69" i="2"/>
  <c r="AF51" i="2"/>
  <c r="AF37" i="2"/>
  <c r="AF25" i="2"/>
  <c r="AF13" i="2"/>
  <c r="AF1479" i="2"/>
  <c r="AF1454" i="2"/>
  <c r="AF1432" i="2"/>
  <c r="AF1404" i="2"/>
  <c r="AF1378" i="2"/>
  <c r="AF1352" i="2"/>
  <c r="AF1324" i="2"/>
  <c r="AF1302" i="2"/>
  <c r="AF1277" i="2"/>
  <c r="AF1249" i="2"/>
  <c r="AF1224" i="2"/>
  <c r="AF1202" i="2"/>
  <c r="AF1172" i="2"/>
  <c r="AF1147" i="2"/>
  <c r="AF1122" i="2"/>
  <c r="AF1094" i="2"/>
  <c r="AF1072" i="2"/>
  <c r="AF1047" i="2"/>
  <c r="AF1018" i="2"/>
  <c r="AF992" i="2"/>
  <c r="AF972" i="2"/>
  <c r="AF942" i="2"/>
  <c r="AF917" i="2"/>
  <c r="AF892" i="2"/>
  <c r="AF864" i="2"/>
  <c r="AF842" i="2"/>
  <c r="AF817" i="2"/>
  <c r="AF787" i="2"/>
  <c r="AF762" i="2"/>
  <c r="AF740" i="2"/>
  <c r="AF712" i="2"/>
  <c r="AF687" i="2"/>
  <c r="AF662" i="2"/>
  <c r="AF632" i="2"/>
  <c r="AF612" i="2"/>
  <c r="AF586" i="2"/>
  <c r="AF557" i="2"/>
  <c r="AF532" i="2"/>
  <c r="AF510" i="2"/>
  <c r="AF482" i="2"/>
  <c r="AF459" i="2"/>
  <c r="AF438" i="2"/>
  <c r="AF414" i="2"/>
  <c r="AF396" i="2"/>
  <c r="AF375" i="2"/>
  <c r="AF351" i="2"/>
  <c r="AF330" i="2"/>
  <c r="AF312" i="2"/>
  <c r="AF290" i="2"/>
  <c r="AF275" i="2"/>
  <c r="AF260" i="2"/>
  <c r="AF242" i="2"/>
  <c r="AF227" i="2"/>
  <c r="AF212" i="2"/>
  <c r="AF194" i="2"/>
  <c r="AF179" i="2"/>
  <c r="AF164" i="2"/>
  <c r="AF146" i="2"/>
  <c r="AF131" i="2"/>
  <c r="AF116" i="2"/>
  <c r="AF98" i="2"/>
  <c r="AF83" i="2"/>
  <c r="AF68" i="2"/>
  <c r="AF50" i="2"/>
  <c r="AF36" i="2"/>
  <c r="AF24" i="2"/>
  <c r="AF12" i="2"/>
  <c r="AF1478" i="2"/>
  <c r="AF1453" i="2"/>
  <c r="AF1431" i="2"/>
  <c r="AF1402" i="2"/>
  <c r="AF1376" i="2"/>
  <c r="AF1351" i="2"/>
  <c r="AF1323" i="2"/>
  <c r="AF1301" i="2"/>
  <c r="AF1276" i="2"/>
  <c r="AF1248" i="2"/>
  <c r="AF1222" i="2"/>
  <c r="AF1201" i="2"/>
  <c r="AF1171" i="2"/>
  <c r="AF1146" i="2"/>
  <c r="AF1121" i="2"/>
  <c r="AF1093" i="2"/>
  <c r="AF1071" i="2"/>
  <c r="AF1046" i="2"/>
  <c r="AF1016" i="2"/>
  <c r="AF991" i="2"/>
  <c r="AF970" i="2"/>
  <c r="AF941" i="2"/>
  <c r="AF916" i="2"/>
  <c r="AF891" i="2"/>
  <c r="AF862" i="2"/>
  <c r="AF841" i="2"/>
  <c r="AF816" i="2"/>
  <c r="AF786" i="2"/>
  <c r="AF761" i="2"/>
  <c r="AF739" i="2"/>
  <c r="AF711" i="2"/>
  <c r="AF686" i="2"/>
  <c r="AF661" i="2"/>
  <c r="AF631" i="2"/>
  <c r="AF610" i="2"/>
  <c r="AF584" i="2"/>
  <c r="AF556" i="2"/>
  <c r="AF531" i="2"/>
  <c r="AF509" i="2"/>
  <c r="AF481" i="2"/>
  <c r="AF458" i="2"/>
  <c r="AF437" i="2"/>
  <c r="AF413" i="2"/>
  <c r="AF395" i="2"/>
  <c r="AF374" i="2"/>
  <c r="AF350" i="2"/>
  <c r="AF329" i="2"/>
  <c r="AF311" i="2"/>
  <c r="AF289" i="2"/>
  <c r="AF274" i="2"/>
  <c r="AF259" i="2"/>
  <c r="AF241" i="2"/>
  <c r="AF226" i="2"/>
  <c r="AF211" i="2"/>
  <c r="AF193" i="2"/>
  <c r="AF178" i="2"/>
  <c r="AF163" i="2"/>
  <c r="AF145" i="2"/>
  <c r="AF130" i="2"/>
  <c r="AF115" i="2"/>
  <c r="AF97" i="2"/>
  <c r="AF82" i="2"/>
  <c r="AF67" i="2"/>
  <c r="AF49" i="2"/>
  <c r="AF35" i="2"/>
  <c r="AF23" i="2"/>
  <c r="AF11" i="2"/>
  <c r="AF1477" i="2"/>
  <c r="AF1441" i="2"/>
  <c r="AF1411" i="2"/>
  <c r="AF1375" i="2"/>
  <c r="AF1339" i="2"/>
  <c r="AF1308" i="2"/>
  <c r="AF1267" i="2"/>
  <c r="AF1239" i="2"/>
  <c r="AF1206" i="2"/>
  <c r="AF1167" i="2"/>
  <c r="AF1134" i="2"/>
  <c r="AF1106" i="2"/>
  <c r="AF1066" i="2"/>
  <c r="AF1034" i="2"/>
  <c r="AF1001" i="2"/>
  <c r="AF962" i="2"/>
  <c r="AF932" i="2"/>
  <c r="AF901" i="2"/>
  <c r="AF860" i="2"/>
  <c r="AF829" i="2"/>
  <c r="AF799" i="2"/>
  <c r="AF760" i="2"/>
  <c r="AF727" i="2"/>
  <c r="AF691" i="2"/>
  <c r="AF655" i="2"/>
  <c r="AF627" i="2"/>
  <c r="AF591" i="2"/>
  <c r="AF555" i="2"/>
  <c r="AF519" i="2"/>
  <c r="AF490" i="2"/>
  <c r="AF457" i="2"/>
  <c r="AF427" i="2"/>
  <c r="AF400" i="2"/>
  <c r="AF367" i="2"/>
  <c r="AF343" i="2"/>
  <c r="AF316" i="2"/>
  <c r="AF288" i="2"/>
  <c r="AF267" i="2"/>
  <c r="AF249" i="2"/>
  <c r="AF225" i="2"/>
  <c r="AF204" i="2"/>
  <c r="AF183" i="2"/>
  <c r="AF159" i="2"/>
  <c r="AF141" i="2"/>
  <c r="AF120" i="2"/>
  <c r="AF96" i="2"/>
  <c r="AF75" i="2"/>
  <c r="AF57" i="2"/>
  <c r="AF34" i="2"/>
  <c r="AF19" i="2"/>
  <c r="AF4" i="2"/>
  <c r="AF1476" i="2"/>
  <c r="AF1440" i="2"/>
  <c r="AF1410" i="2"/>
  <c r="AF1374" i="2"/>
  <c r="AF1338" i="2"/>
  <c r="AF1306" i="2"/>
  <c r="AF1266" i="2"/>
  <c r="AF1238" i="2"/>
  <c r="AF1205" i="2"/>
  <c r="AF1166" i="2"/>
  <c r="AF1133" i="2"/>
  <c r="AF1105" i="2"/>
  <c r="AF1064" i="2"/>
  <c r="AF1033" i="2"/>
  <c r="AF1000" i="2"/>
  <c r="AF961" i="2"/>
  <c r="AF931" i="2"/>
  <c r="AF900" i="2"/>
  <c r="AF859" i="2"/>
  <c r="AF828" i="2"/>
  <c r="AF798" i="2"/>
  <c r="AF759" i="2"/>
  <c r="AF726" i="2"/>
  <c r="AF690" i="2"/>
  <c r="AF654" i="2"/>
  <c r="AF626" i="2"/>
  <c r="AF590" i="2"/>
  <c r="AF554" i="2"/>
  <c r="AF518" i="2"/>
  <c r="AF488" i="2"/>
  <c r="AF456" i="2"/>
  <c r="AF426" i="2"/>
  <c r="AF399" i="2"/>
  <c r="AF366" i="2"/>
  <c r="AF342" i="2"/>
  <c r="AF315" i="2"/>
  <c r="AF287" i="2"/>
  <c r="AF266" i="2"/>
  <c r="AF248" i="2"/>
  <c r="AF224" i="2"/>
  <c r="AF203" i="2"/>
  <c r="AF182" i="2"/>
  <c r="AF158" i="2"/>
  <c r="AF140" i="2"/>
  <c r="AF119" i="2"/>
  <c r="AF95" i="2"/>
  <c r="AF74" i="2"/>
  <c r="AF56" i="2"/>
  <c r="AF33" i="2"/>
  <c r="AF18" i="2"/>
  <c r="AF3" i="2"/>
  <c r="AG3" i="2" s="1"/>
  <c r="AH3" i="2" s="1"/>
  <c r="AF1474" i="2"/>
  <c r="AF1438" i="2"/>
  <c r="AF1409" i="2"/>
  <c r="AF1373" i="2"/>
  <c r="AF1337" i="2"/>
  <c r="AF1304" i="2"/>
  <c r="AF1265" i="2"/>
  <c r="AF1237" i="2"/>
  <c r="AF1204" i="2"/>
  <c r="AF1165" i="2"/>
  <c r="AF1132" i="2"/>
  <c r="AF1104" i="2"/>
  <c r="AF1063" i="2"/>
  <c r="AF1032" i="2"/>
  <c r="AF999" i="2"/>
  <c r="AF960" i="2"/>
  <c r="AF930" i="2"/>
  <c r="AF898" i="2"/>
  <c r="AF858" i="2"/>
  <c r="AF826" i="2"/>
  <c r="AF797" i="2"/>
  <c r="AF758" i="2"/>
  <c r="AF725" i="2"/>
  <c r="AF689" i="2"/>
  <c r="AF653" i="2"/>
  <c r="AF625" i="2"/>
  <c r="AF589" i="2"/>
  <c r="AF553" i="2"/>
  <c r="AF517" i="2"/>
  <c r="AF487" i="2"/>
  <c r="AF455" i="2"/>
  <c r="AF425" i="2"/>
  <c r="AF398" i="2"/>
  <c r="AF365" i="2"/>
  <c r="AF341" i="2"/>
  <c r="AF314" i="2"/>
  <c r="AF286" i="2"/>
  <c r="AF265" i="2"/>
  <c r="AF247" i="2"/>
  <c r="AF223" i="2"/>
  <c r="AF202" i="2"/>
  <c r="AF181" i="2"/>
  <c r="AF157" i="2"/>
  <c r="AF139" i="2"/>
  <c r="AF118" i="2"/>
  <c r="AF94" i="2"/>
  <c r="AF73" i="2"/>
  <c r="AF55" i="2"/>
  <c r="AF32" i="2"/>
  <c r="AF17" i="2"/>
  <c r="AF1469" i="2"/>
  <c r="AF1422" i="2"/>
  <c r="AF1383" i="2"/>
  <c r="AF1336" i="2"/>
  <c r="AF1289" i="2"/>
  <c r="AF1246" i="2"/>
  <c r="AF1192" i="2"/>
  <c r="AF1153" i="2"/>
  <c r="AF1109" i="2"/>
  <c r="AF1059" i="2"/>
  <c r="AF1015" i="2"/>
  <c r="AF976" i="2"/>
  <c r="AF922" i="2"/>
  <c r="AF879" i="2"/>
  <c r="AF835" i="2"/>
  <c r="AF785" i="2"/>
  <c r="AF746" i="2"/>
  <c r="AF702" i="2"/>
  <c r="AF649" i="2"/>
  <c r="AF605" i="2"/>
  <c r="AF569" i="2"/>
  <c r="AF516" i="2"/>
  <c r="AF472" i="2"/>
  <c r="AF433" i="2"/>
  <c r="AF391" i="2"/>
  <c r="AF361" i="2"/>
  <c r="AF319" i="2"/>
  <c r="AF285" i="2"/>
  <c r="AF255" i="2"/>
  <c r="AF231" i="2"/>
  <c r="AF201" i="2"/>
  <c r="AF171" i="2"/>
  <c r="AF144" i="2"/>
  <c r="AF111" i="2"/>
  <c r="AF87" i="2"/>
  <c r="AF60" i="2"/>
  <c r="AF31" i="2"/>
  <c r="AF10" i="2"/>
  <c r="AF1468" i="2"/>
  <c r="AF1421" i="2"/>
  <c r="AF1382" i="2"/>
  <c r="AF1335" i="2"/>
  <c r="AF1288" i="2"/>
  <c r="AF1244" i="2"/>
  <c r="AF1191" i="2"/>
  <c r="AF1152" i="2"/>
  <c r="AF1108" i="2"/>
  <c r="AF1058" i="2"/>
  <c r="AF1014" i="2"/>
  <c r="AF975" i="2"/>
  <c r="AF920" i="2"/>
  <c r="AF878" i="2"/>
  <c r="AF834" i="2"/>
  <c r="AF784" i="2"/>
  <c r="AF745" i="2"/>
  <c r="AF701" i="2"/>
  <c r="AF648" i="2"/>
  <c r="AF604" i="2"/>
  <c r="AF568" i="2"/>
  <c r="AF514" i="2"/>
  <c r="AF471" i="2"/>
  <c r="AF432" i="2"/>
  <c r="AF390" i="2"/>
  <c r="AF360" i="2"/>
  <c r="AF318" i="2"/>
  <c r="AF284" i="2"/>
  <c r="AF254" i="2"/>
  <c r="AF230" i="2"/>
  <c r="AF200" i="2"/>
  <c r="AF170" i="2"/>
  <c r="AF143" i="2"/>
  <c r="AF110" i="2"/>
  <c r="AF86" i="2"/>
  <c r="AF59" i="2"/>
  <c r="AF30" i="2"/>
  <c r="AF9" i="2"/>
  <c r="AF1467" i="2"/>
  <c r="AF1420" i="2"/>
  <c r="AF1381" i="2"/>
  <c r="AF1334" i="2"/>
  <c r="AF1287" i="2"/>
  <c r="AF1243" i="2"/>
  <c r="AF1190" i="2"/>
  <c r="AF1150" i="2"/>
  <c r="AF1107" i="2"/>
  <c r="AF1057" i="2"/>
  <c r="AF1013" i="2"/>
  <c r="AF974" i="2"/>
  <c r="AF919" i="2"/>
  <c r="AF877" i="2"/>
  <c r="AF833" i="2"/>
  <c r="AF783" i="2"/>
  <c r="AF744" i="2"/>
  <c r="AF700" i="2"/>
  <c r="AF646" i="2"/>
  <c r="AF603" i="2"/>
  <c r="AF567" i="2"/>
  <c r="AF512" i="2"/>
  <c r="AF470" i="2"/>
  <c r="AF431" i="2"/>
  <c r="AF389" i="2"/>
  <c r="AF359" i="2"/>
  <c r="AF317" i="2"/>
  <c r="AF283" i="2"/>
  <c r="AF253" i="2"/>
  <c r="AF229" i="2"/>
  <c r="AF199" i="2"/>
  <c r="AF169" i="2"/>
  <c r="AF142" i="2"/>
  <c r="AF109" i="2"/>
  <c r="AF85" i="2"/>
  <c r="AF58" i="2"/>
  <c r="AF29" i="2"/>
  <c r="AF8" i="2"/>
  <c r="AF1462" i="2"/>
  <c r="AF1397" i="2"/>
  <c r="AF1347" i="2"/>
  <c r="AF1282" i="2"/>
  <c r="AF1220" i="2"/>
  <c r="AF1164" i="2"/>
  <c r="AF1092" i="2"/>
  <c r="AF1037" i="2"/>
  <c r="AF979" i="2"/>
  <c r="AF915" i="2"/>
  <c r="AF857" i="2"/>
  <c r="AF804" i="2"/>
  <c r="AF732" i="2"/>
  <c r="AF674" i="2"/>
  <c r="AF616" i="2"/>
  <c r="AF547" i="2"/>
  <c r="AF497" i="2"/>
  <c r="AF445" i="2"/>
  <c r="AF385" i="2"/>
  <c r="AF337" i="2"/>
  <c r="AF298" i="2"/>
  <c r="AF252" i="2"/>
  <c r="AF216" i="2"/>
  <c r="AF177" i="2"/>
  <c r="AF135" i="2"/>
  <c r="AF105" i="2"/>
  <c r="AF63" i="2"/>
  <c r="AF28" i="2"/>
  <c r="AF1460" i="2"/>
  <c r="AF1396" i="2"/>
  <c r="AF1346" i="2"/>
  <c r="AF1280" i="2"/>
  <c r="AF1219" i="2"/>
  <c r="AF1162" i="2"/>
  <c r="AF1090" i="2"/>
  <c r="AF1036" i="2"/>
  <c r="AF978" i="2"/>
  <c r="AF914" i="2"/>
  <c r="AF856" i="2"/>
  <c r="AF802" i="2"/>
  <c r="AF730" i="2"/>
  <c r="AF673" i="2"/>
  <c r="AF615" i="2"/>
  <c r="AF546" i="2"/>
  <c r="AF496" i="2"/>
  <c r="AF444" i="2"/>
  <c r="AF384" i="2"/>
  <c r="AF336" i="2"/>
  <c r="AF296" i="2"/>
  <c r="AF251" i="2"/>
  <c r="AF215" i="2"/>
  <c r="AF176" i="2"/>
  <c r="AF134" i="2"/>
  <c r="AF104" i="2"/>
  <c r="AF62" i="2"/>
  <c r="AF27" i="2"/>
  <c r="AF1459" i="2"/>
  <c r="AF1395" i="2"/>
  <c r="AF1345" i="2"/>
  <c r="AF1279" i="2"/>
  <c r="AF1218" i="2"/>
  <c r="AF1160" i="2"/>
  <c r="AF1088" i="2"/>
  <c r="AF1035" i="2"/>
  <c r="AF977" i="2"/>
  <c r="AF913" i="2"/>
  <c r="AF855" i="2"/>
  <c r="AF800" i="2"/>
  <c r="AF728" i="2"/>
  <c r="AF672" i="2"/>
  <c r="AF614" i="2"/>
  <c r="AF545" i="2"/>
  <c r="AF495" i="2"/>
  <c r="AF443" i="2"/>
  <c r="AF383" i="2"/>
  <c r="AF335" i="2"/>
  <c r="AF295" i="2"/>
  <c r="AF250" i="2"/>
  <c r="AF214" i="2"/>
  <c r="AF175" i="2"/>
  <c r="AF133" i="2"/>
  <c r="AF103" i="2"/>
  <c r="AF61" i="2"/>
  <c r="AF26" i="2"/>
  <c r="AF1452" i="2"/>
  <c r="AF1364" i="2"/>
  <c r="AF1297" i="2"/>
  <c r="AF1210" i="2"/>
  <c r="AF1131" i="2"/>
  <c r="AF1051" i="2"/>
  <c r="AF958" i="2"/>
  <c r="AF886" i="2"/>
  <c r="AF807" i="2"/>
  <c r="AF721" i="2"/>
  <c r="AF644" i="2"/>
  <c r="AF572" i="2"/>
  <c r="AF475" i="2"/>
  <c r="AF412" i="2"/>
  <c r="AF349" i="2"/>
  <c r="AF279" i="2"/>
  <c r="AF237" i="2"/>
  <c r="AF189" i="2"/>
  <c r="AF129" i="2"/>
  <c r="AF81" i="2"/>
  <c r="AF42" i="2"/>
  <c r="AF1450" i="2"/>
  <c r="AF1363" i="2"/>
  <c r="AF1296" i="2"/>
  <c r="AF1208" i="2"/>
  <c r="AF1130" i="2"/>
  <c r="AF1050" i="2"/>
  <c r="AF956" i="2"/>
  <c r="AF884" i="2"/>
  <c r="AF806" i="2"/>
  <c r="AF720" i="2"/>
  <c r="AF643" i="2"/>
  <c r="AF571" i="2"/>
  <c r="AF474" i="2"/>
  <c r="AF411" i="2"/>
  <c r="AF348" i="2"/>
  <c r="AF278" i="2"/>
  <c r="AF236" i="2"/>
  <c r="AF188" i="2"/>
  <c r="AF128" i="2"/>
  <c r="AF80" i="2"/>
  <c r="AF39" i="2"/>
  <c r="AF1448" i="2"/>
  <c r="AF1362" i="2"/>
  <c r="AF1294" i="2"/>
  <c r="AF1207" i="2"/>
  <c r="AF1129" i="2"/>
  <c r="AF1049" i="2"/>
  <c r="AF955" i="2"/>
  <c r="AF883" i="2"/>
  <c r="AF805" i="2"/>
  <c r="AF718" i="2"/>
  <c r="AF642" i="2"/>
  <c r="AF570" i="2"/>
  <c r="AF473" i="2"/>
  <c r="AF410" i="2"/>
  <c r="AF347" i="2"/>
  <c r="AF277" i="2"/>
  <c r="AF235" i="2"/>
  <c r="AF187" i="2"/>
  <c r="AF127" i="2"/>
  <c r="AF79" i="2"/>
  <c r="AF38" i="2"/>
  <c r="AF1435" i="2"/>
  <c r="AF1360" i="2"/>
  <c r="AF1263" i="2"/>
  <c r="AF1188" i="2"/>
  <c r="AF1116" i="2"/>
  <c r="AF1028" i="2"/>
  <c r="AF950" i="2"/>
  <c r="AF874" i="2"/>
  <c r="AF776" i="2"/>
  <c r="AF704" i="2"/>
  <c r="AF629" i="2"/>
  <c r="AF540" i="2"/>
  <c r="AF462" i="2"/>
  <c r="AF408" i="2"/>
  <c r="AF327" i="2"/>
  <c r="AF272" i="2"/>
  <c r="AF218" i="2"/>
  <c r="AF167" i="2"/>
  <c r="AF122" i="2"/>
  <c r="AF71" i="2"/>
  <c r="AF21" i="2"/>
  <c r="AF1436" i="2"/>
  <c r="AF1320" i="2"/>
  <c r="AF1189" i="2"/>
  <c r="AF1085" i="2"/>
  <c r="AF951" i="2"/>
  <c r="AF844" i="2"/>
  <c r="AF706" i="2"/>
  <c r="AF595" i="2"/>
  <c r="AF463" i="2"/>
  <c r="AF377" i="2"/>
  <c r="AF273" i="2"/>
  <c r="AF205" i="2"/>
  <c r="AF123" i="2"/>
  <c r="AF46" i="2"/>
  <c r="AF1434" i="2"/>
  <c r="AF1318" i="2"/>
  <c r="AF1186" i="2"/>
  <c r="AF1076" i="2"/>
  <c r="AF949" i="2"/>
  <c r="AF821" i="2"/>
  <c r="AF703" i="2"/>
  <c r="AF577" i="2"/>
  <c r="AF461" i="2"/>
  <c r="AF364" i="2"/>
  <c r="AF271" i="2"/>
  <c r="AF192" i="2"/>
  <c r="AF121" i="2"/>
  <c r="AF45" i="2"/>
  <c r="AF1419" i="2"/>
  <c r="AF1316" i="2"/>
  <c r="AF1181" i="2"/>
  <c r="AF1075" i="2"/>
  <c r="AF937" i="2"/>
  <c r="AF820" i="2"/>
  <c r="AF685" i="2"/>
  <c r="AF1418" i="2"/>
  <c r="AF1315" i="2"/>
  <c r="AF1180" i="2"/>
  <c r="AF1074" i="2"/>
  <c r="AF936" i="2"/>
  <c r="AF819" i="2"/>
  <c r="AF684" i="2"/>
  <c r="AF574" i="2"/>
  <c r="AF447" i="2"/>
  <c r="AF362" i="2"/>
  <c r="AF263" i="2"/>
  <c r="AF190" i="2"/>
  <c r="AF107" i="2"/>
  <c r="AF43" i="2"/>
  <c r="AF1417" i="2"/>
  <c r="AF1258" i="2"/>
  <c r="AF1030" i="2"/>
  <c r="AF876" i="2"/>
  <c r="AF682" i="2"/>
  <c r="AF529" i="2"/>
  <c r="AF379" i="2"/>
  <c r="AF262" i="2"/>
  <c r="AF155" i="2"/>
  <c r="AF48" i="2"/>
  <c r="AF1394" i="2"/>
  <c r="AF1231" i="2"/>
  <c r="AF1027" i="2"/>
  <c r="AF872" i="2"/>
  <c r="AF670" i="2"/>
  <c r="AF528" i="2"/>
  <c r="AF378" i="2"/>
  <c r="AF240" i="2"/>
  <c r="AF154" i="2"/>
  <c r="AF47" i="2"/>
  <c r="AF1392" i="2"/>
  <c r="AF845" i="2"/>
  <c r="AF667" i="2"/>
  <c r="AF499" i="2"/>
  <c r="AF328" i="2"/>
  <c r="AF238" i="2"/>
  <c r="AF152" i="2"/>
  <c r="AF22" i="2"/>
  <c r="AF1393" i="2"/>
  <c r="AF1230" i="2"/>
  <c r="AF1009" i="2"/>
  <c r="AF846" i="2"/>
  <c r="AF668" i="2"/>
  <c r="AF500" i="2"/>
  <c r="AF363" i="2"/>
  <c r="AF239" i="2"/>
  <c r="AF153" i="2"/>
  <c r="AF44" i="2"/>
  <c r="AF1229" i="2"/>
  <c r="AF1361" i="2"/>
  <c r="AF1179" i="2"/>
  <c r="AF1006" i="2"/>
  <c r="AF778" i="2"/>
  <c r="AF630" i="2"/>
  <c r="AF498" i="2"/>
  <c r="AF326" i="2"/>
  <c r="AF219" i="2"/>
  <c r="AF151" i="2"/>
  <c r="AF20" i="2"/>
  <c r="AF1359" i="2"/>
  <c r="AF1087" i="2"/>
  <c r="AF770" i="2"/>
  <c r="AF448" i="2"/>
  <c r="AF299" i="2"/>
  <c r="AF92" i="2"/>
  <c r="AF1321" i="2"/>
  <c r="AF1264" i="2"/>
  <c r="AF423" i="2"/>
  <c r="AF70" i="2"/>
  <c r="AF1260" i="2"/>
  <c r="AF1322" i="2"/>
  <c r="AF1086" i="2"/>
  <c r="AF769" i="2"/>
  <c r="AF446" i="2"/>
  <c r="AF264" i="2"/>
  <c r="AF91" i="2"/>
  <c r="AF1008" i="2"/>
  <c r="AF749" i="2"/>
  <c r="AF424" i="2"/>
  <c r="AF217" i="2"/>
  <c r="AF72" i="2"/>
  <c r="AF748" i="2"/>
  <c r="AF407" i="2"/>
  <c r="AF168" i="2"/>
  <c r="AF14" i="2"/>
  <c r="AF990" i="2"/>
  <c r="AF207" i="2"/>
  <c r="AF934" i="2"/>
  <c r="AF1262" i="2"/>
  <c r="AF989" i="2"/>
  <c r="AF747" i="2"/>
  <c r="AF422" i="2"/>
  <c r="AF206" i="2"/>
  <c r="AF16" i="2"/>
  <c r="AF598" i="2"/>
  <c r="AF1261" i="2"/>
  <c r="AF988" i="2"/>
  <c r="AF628" i="2"/>
  <c r="AF409" i="2"/>
  <c r="AF191" i="2"/>
  <c r="AF15" i="2"/>
  <c r="AF1145" i="2"/>
  <c r="AF541" i="2"/>
  <c r="AF93" i="2"/>
  <c r="AF303" i="2"/>
  <c r="AF156" i="2"/>
  <c r="AF1144" i="2"/>
  <c r="AF538" i="2"/>
  <c r="AF7" i="2"/>
  <c r="AF1114" i="2"/>
  <c r="AF302" i="2"/>
  <c r="AF301" i="2"/>
  <c r="AF300" i="2"/>
  <c r="AF775" i="2"/>
  <c r="AF108" i="2"/>
  <c r="AF106" i="2"/>
  <c r="AF1143" i="2"/>
  <c r="AF530" i="2"/>
  <c r="AF6" i="2"/>
  <c r="AF1117" i="2"/>
  <c r="AF304" i="2"/>
  <c r="AF5" i="2"/>
  <c r="AF904" i="2"/>
  <c r="AF903" i="2"/>
  <c r="AF902" i="2"/>
  <c r="AF166" i="2"/>
  <c r="AF771" i="2"/>
  <c r="AF596" i="2"/>
  <c r="AF576" i="2"/>
  <c r="U14" i="2"/>
  <c r="V301" i="3" l="1"/>
  <c r="U790" i="3"/>
  <c r="U751" i="3"/>
  <c r="V421" i="3"/>
  <c r="U756" i="3"/>
  <c r="V934" i="3"/>
  <c r="U547" i="3"/>
  <c r="V61" i="3"/>
  <c r="V264" i="3"/>
  <c r="Y264" i="3" s="1"/>
  <c r="V29" i="3"/>
  <c r="Y29" i="3" s="1"/>
  <c r="U282" i="3"/>
  <c r="V696" i="3"/>
  <c r="U424" i="3"/>
  <c r="V115" i="3"/>
  <c r="U429" i="3"/>
  <c r="U836" i="3"/>
  <c r="V219" i="3"/>
  <c r="U235" i="3"/>
  <c r="V526" i="3"/>
  <c r="Y526" i="3" s="1"/>
  <c r="V489" i="3"/>
  <c r="Y489" i="3" s="1"/>
  <c r="U411" i="3"/>
  <c r="V216" i="3"/>
  <c r="Y216" i="3" s="1"/>
  <c r="U113" i="3"/>
  <c r="V134" i="3"/>
  <c r="V806" i="3"/>
  <c r="V964" i="3"/>
  <c r="V775" i="3"/>
  <c r="Y775" i="3" s="1"/>
  <c r="V755" i="3"/>
  <c r="Y755" i="3" s="1"/>
  <c r="V317" i="3"/>
  <c r="V268" i="3"/>
  <c r="V569" i="3"/>
  <c r="U243" i="3"/>
  <c r="U259" i="3"/>
  <c r="V42" i="3"/>
  <c r="V382" i="3"/>
  <c r="V88" i="3"/>
  <c r="V995" i="3"/>
  <c r="V453" i="3"/>
  <c r="U557" i="3"/>
  <c r="Y557" i="3" s="1"/>
  <c r="V276" i="3"/>
  <c r="V803" i="3"/>
  <c r="V444" i="3"/>
  <c r="V872" i="3"/>
  <c r="V403" i="3"/>
  <c r="V668" i="3"/>
  <c r="V55" i="3"/>
  <c r="M4" i="5" a="1"/>
  <c r="M4" i="5" s="1"/>
  <c r="V451" i="3"/>
  <c r="V125" i="3"/>
  <c r="V13" i="3"/>
  <c r="Y13" i="3" s="1"/>
  <c r="V598" i="3"/>
  <c r="V624" i="3"/>
  <c r="V892" i="3"/>
  <c r="Y892" i="3" s="1"/>
  <c r="V700" i="3"/>
  <c r="Y700" i="3" s="1"/>
  <c r="V707" i="3"/>
  <c r="V662" i="3"/>
  <c r="U607" i="3"/>
  <c r="Y607" i="3" s="1"/>
  <c r="V762" i="3"/>
  <c r="Y762" i="3" s="1"/>
  <c r="U288" i="3"/>
  <c r="V410" i="3"/>
  <c r="Y410" i="3" s="1"/>
  <c r="U421" i="3"/>
  <c r="U431" i="3"/>
  <c r="Y431" i="3" s="1"/>
  <c r="V310" i="3"/>
  <c r="Y310" i="3" s="1"/>
  <c r="V883" i="3"/>
  <c r="Y883" i="3" s="1"/>
  <c r="V904" i="3"/>
  <c r="Y904" i="3" s="1"/>
  <c r="V355" i="3"/>
  <c r="Y355" i="3" s="1"/>
  <c r="V579" i="3"/>
  <c r="V718" i="3"/>
  <c r="V234" i="3"/>
  <c r="U643" i="3"/>
  <c r="V348" i="3"/>
  <c r="U373" i="3"/>
  <c r="V870" i="3"/>
  <c r="U980" i="3"/>
  <c r="U979" i="3"/>
  <c r="V679" i="3"/>
  <c r="Y679" i="3" s="1"/>
  <c r="V633" i="3"/>
  <c r="Y633" i="3" s="1"/>
  <c r="V704" i="3"/>
  <c r="V782" i="3"/>
  <c r="U544" i="3"/>
  <c r="V907" i="3"/>
  <c r="Y907" i="3" s="1"/>
  <c r="U314" i="3"/>
  <c r="U154" i="3"/>
  <c r="V170" i="3"/>
  <c r="V659" i="3"/>
  <c r="V564" i="3"/>
  <c r="V22" i="3"/>
  <c r="V145" i="3"/>
  <c r="U305" i="3"/>
  <c r="V612" i="3"/>
  <c r="V789" i="3"/>
  <c r="U555" i="3"/>
  <c r="U211" i="3"/>
  <c r="V895" i="3"/>
  <c r="Y895" i="3" s="1"/>
  <c r="V647" i="3"/>
  <c r="Y647" i="3" s="1"/>
  <c r="V146" i="3"/>
  <c r="Y146" i="3" s="1"/>
  <c r="V820" i="3"/>
  <c r="U472" i="3"/>
  <c r="V632" i="3"/>
  <c r="Y632" i="3" s="1"/>
  <c r="V19" i="3"/>
  <c r="V248" i="3"/>
  <c r="Y248" i="3" s="1"/>
  <c r="V751" i="3"/>
  <c r="V747" i="3"/>
  <c r="U694" i="3"/>
  <c r="V974" i="3"/>
  <c r="Y974" i="3" s="1"/>
  <c r="U737" i="3"/>
  <c r="U219" i="3"/>
  <c r="U86" i="3"/>
  <c r="U103" i="3"/>
  <c r="U64" i="3"/>
  <c r="U25" i="3"/>
  <c r="U176" i="3"/>
  <c r="V209" i="3"/>
  <c r="V49" i="3"/>
  <c r="V717" i="3"/>
  <c r="V899" i="3"/>
  <c r="Y899" i="3" s="1"/>
  <c r="V845" i="3"/>
  <c r="Y845" i="3" s="1"/>
  <c r="V74" i="3"/>
  <c r="Y74" i="3" s="1"/>
  <c r="V99" i="3"/>
  <c r="V414" i="3"/>
  <c r="V91" i="3"/>
  <c r="V950" i="3"/>
  <c r="Y950" i="3" s="1"/>
  <c r="V517" i="3"/>
  <c r="Y517" i="3" s="1"/>
  <c r="U935" i="3"/>
  <c r="V80" i="3"/>
  <c r="V819" i="3"/>
  <c r="V471" i="3"/>
  <c r="Y471" i="3" s="1"/>
  <c r="U702" i="3"/>
  <c r="U604" i="3"/>
  <c r="U514" i="3"/>
  <c r="V420" i="3"/>
  <c r="V902" i="3"/>
  <c r="Y902" i="3" s="1"/>
  <c r="V956" i="3"/>
  <c r="U807" i="3"/>
  <c r="U966" i="3"/>
  <c r="U97" i="3"/>
  <c r="V955" i="3"/>
  <c r="V204" i="3"/>
  <c r="V455" i="3"/>
  <c r="V639" i="3"/>
  <c r="V957" i="3"/>
  <c r="Y957" i="3" s="1"/>
  <c r="V213" i="3"/>
  <c r="U142" i="3"/>
  <c r="U143" i="3"/>
  <c r="U254" i="3"/>
  <c r="U538" i="3"/>
  <c r="Y538" i="3" s="1"/>
  <c r="V523" i="3"/>
  <c r="Y523" i="3" s="1"/>
  <c r="U428" i="3"/>
  <c r="V909" i="3"/>
  <c r="Y909" i="3" s="1"/>
  <c r="V139" i="3"/>
  <c r="U797" i="3"/>
  <c r="V558" i="3"/>
  <c r="V352" i="3"/>
  <c r="Y352" i="3" s="1"/>
  <c r="U562" i="3"/>
  <c r="U92" i="3"/>
  <c r="V508" i="3"/>
  <c r="Y508" i="3" s="1"/>
  <c r="V842" i="3"/>
  <c r="V779" i="3"/>
  <c r="V237" i="3"/>
  <c r="Y237" i="3" s="1"/>
  <c r="V604" i="3"/>
  <c r="V404" i="3"/>
  <c r="Y404" i="3" s="1"/>
  <c r="V915" i="3"/>
  <c r="V331" i="3"/>
  <c r="V570" i="3"/>
  <c r="Y570" i="3" s="1"/>
  <c r="V594" i="3"/>
  <c r="Y594" i="3" s="1"/>
  <c r="V760" i="3"/>
  <c r="V767" i="3"/>
  <c r="V644" i="3"/>
  <c r="U20" i="3"/>
  <c r="V165" i="3"/>
  <c r="V599" i="3"/>
  <c r="Y599" i="3" s="1"/>
  <c r="V321" i="3"/>
  <c r="V706" i="3"/>
  <c r="V126" i="3"/>
  <c r="Y126" i="3" s="1"/>
  <c r="U971" i="3"/>
  <c r="U45" i="3"/>
  <c r="Y45" i="3" s="1"/>
  <c r="U519" i="3"/>
  <c r="U317" i="3"/>
  <c r="U710" i="3"/>
  <c r="U365" i="3"/>
  <c r="U54" i="3"/>
  <c r="V315" i="3"/>
  <c r="V637" i="3"/>
  <c r="V875" i="3"/>
  <c r="V386" i="3"/>
  <c r="V894" i="3"/>
  <c r="V195" i="3"/>
  <c r="V131" i="3"/>
  <c r="V545" i="3"/>
  <c r="V515" i="3"/>
  <c r="V432" i="3"/>
  <c r="V231" i="3"/>
  <c r="V247" i="3"/>
  <c r="V656" i="3"/>
  <c r="V748" i="3"/>
  <c r="V795" i="3"/>
  <c r="V797" i="3"/>
  <c r="V663" i="3"/>
  <c r="V449" i="3"/>
  <c r="Y449" i="3" s="1"/>
  <c r="U819" i="3"/>
  <c r="U380" i="3"/>
  <c r="V167" i="3"/>
  <c r="U887" i="3"/>
  <c r="Y887" i="3" s="1"/>
  <c r="V917" i="3"/>
  <c r="V884" i="3"/>
  <c r="V214" i="3"/>
  <c r="U138" i="3"/>
  <c r="U792" i="3"/>
  <c r="U468" i="3"/>
  <c r="U195" i="3"/>
  <c r="V496" i="3"/>
  <c r="V856" i="3"/>
  <c r="Y856" i="3" s="1"/>
  <c r="V383" i="3"/>
  <c r="Y383" i="3" s="1"/>
  <c r="V980" i="3"/>
  <c r="V308" i="3"/>
  <c r="V578" i="3"/>
  <c r="Y578" i="3" s="1"/>
  <c r="V258" i="3"/>
  <c r="Y258" i="3" s="1"/>
  <c r="V960" i="3"/>
  <c r="V584" i="3"/>
  <c r="V783" i="3"/>
  <c r="V728" i="3"/>
  <c r="U140" i="3"/>
  <c r="V439" i="3"/>
  <c r="V241" i="3"/>
  <c r="V882" i="3"/>
  <c r="Y882" i="3" s="1"/>
  <c r="V255" i="3"/>
  <c r="V877" i="3"/>
  <c r="Y877" i="3" s="1"/>
  <c r="V138" i="3"/>
  <c r="V878" i="3"/>
  <c r="V661" i="3"/>
  <c r="Y661" i="3" s="1"/>
  <c r="U488" i="3"/>
  <c r="V776" i="3"/>
  <c r="U460" i="3"/>
  <c r="U316" i="3"/>
  <c r="U159" i="3"/>
  <c r="V108" i="3"/>
  <c r="Y108" i="3" s="1"/>
  <c r="V256" i="3"/>
  <c r="U857" i="3"/>
  <c r="V41" i="3"/>
  <c r="Y41" i="3" s="1"/>
  <c r="U984" i="3"/>
  <c r="U423" i="3"/>
  <c r="U70" i="3"/>
  <c r="Y70" i="3" s="1"/>
  <c r="V561" i="3"/>
  <c r="Y561" i="3" s="1"/>
  <c r="V299" i="3"/>
  <c r="V591" i="3"/>
  <c r="Y591" i="3" s="1"/>
  <c r="V792" i="3"/>
  <c r="V620" i="3"/>
  <c r="V993" i="3"/>
  <c r="V834" i="3"/>
  <c r="U847" i="3"/>
  <c r="U874" i="3"/>
  <c r="V111" i="3"/>
  <c r="U19" i="3"/>
  <c r="V897" i="3"/>
  <c r="V112" i="3"/>
  <c r="V84" i="3"/>
  <c r="V338" i="3"/>
  <c r="V473" i="3"/>
  <c r="Y473" i="3" s="1"/>
  <c r="V329" i="3"/>
  <c r="Y329" i="3" s="1"/>
  <c r="V238" i="3"/>
  <c r="V890" i="3"/>
  <c r="V893" i="3"/>
  <c r="Y893" i="3" s="1"/>
  <c r="U170" i="3"/>
  <c r="V305" i="3"/>
  <c r="V729" i="3"/>
  <c r="V304" i="3"/>
  <c r="Y304" i="3" s="1"/>
  <c r="V208" i="3"/>
  <c r="Y208" i="3" s="1"/>
  <c r="V119" i="3"/>
  <c r="U362" i="3"/>
  <c r="V102" i="3"/>
  <c r="V864" i="3"/>
  <c r="Y864" i="3" s="1"/>
  <c r="V416" i="3"/>
  <c r="V257" i="3"/>
  <c r="Y257" i="3" s="1"/>
  <c r="V958" i="3"/>
  <c r="V531" i="3"/>
  <c r="V463" i="3"/>
  <c r="V603" i="3"/>
  <c r="V823" i="3"/>
  <c r="Y823" i="3" s="1"/>
  <c r="V774" i="3"/>
  <c r="Y774" i="3" s="1"/>
  <c r="V166" i="3"/>
  <c r="Y166" i="3" s="1"/>
  <c r="V128" i="3"/>
  <c r="V746" i="3"/>
  <c r="V796" i="3"/>
  <c r="V320" i="3"/>
  <c r="U687" i="3"/>
  <c r="V824" i="3"/>
  <c r="Y824" i="3" s="1"/>
  <c r="U528" i="3"/>
  <c r="U477" i="3"/>
  <c r="U852" i="3"/>
  <c r="V885" i="3"/>
  <c r="V749" i="3"/>
  <c r="V965" i="3"/>
  <c r="U573" i="3"/>
  <c r="U848" i="3"/>
  <c r="V860" i="3"/>
  <c r="U340" i="3"/>
  <c r="V500" i="3"/>
  <c r="U267" i="3"/>
  <c r="U994" i="3"/>
  <c r="U199" i="3"/>
  <c r="Y199" i="3" s="1"/>
  <c r="U100" i="3"/>
  <c r="U234" i="3"/>
  <c r="V606" i="3"/>
  <c r="Y606" i="3" s="1"/>
  <c r="V362" i="3"/>
  <c r="V397" i="3"/>
  <c r="Y397" i="3" s="1"/>
  <c r="V520" i="3"/>
  <c r="V686" i="3"/>
  <c r="Y686" i="3" s="1"/>
  <c r="V307" i="3"/>
  <c r="V364" i="3"/>
  <c r="V968" i="3"/>
  <c r="V626" i="3"/>
  <c r="Y626" i="3" s="1"/>
  <c r="V674" i="3"/>
  <c r="V671" i="3"/>
  <c r="Y671" i="3" s="1"/>
  <c r="V488" i="3"/>
  <c r="V228" i="3"/>
  <c r="Y228" i="3" s="1"/>
  <c r="V978" i="3"/>
  <c r="V428" i="3"/>
  <c r="V210" i="3"/>
  <c r="V52" i="3"/>
  <c r="Y52" i="3" s="1"/>
  <c r="V57" i="3"/>
  <c r="Y57" i="3" s="1"/>
  <c r="V350" i="3"/>
  <c r="V925" i="3"/>
  <c r="Y925" i="3" s="1"/>
  <c r="U94" i="3"/>
  <c r="V800" i="3"/>
  <c r="V18" i="3"/>
  <c r="V85" i="3"/>
  <c r="V708" i="3"/>
  <c r="Y708" i="3" s="1"/>
  <c r="V443" i="3"/>
  <c r="V44" i="3"/>
  <c r="Y44" i="3" s="1"/>
  <c r="V709" i="3"/>
  <c r="V379" i="3"/>
  <c r="U712" i="3"/>
  <c r="Y712" i="3" s="1"/>
  <c r="V341" i="3"/>
  <c r="V495" i="3"/>
  <c r="V625" i="3"/>
  <c r="Y625" i="3" s="1"/>
  <c r="U873" i="3"/>
  <c r="V157" i="3"/>
  <c r="V944" i="3"/>
  <c r="U382" i="3"/>
  <c r="U112" i="3"/>
  <c r="U351" i="3"/>
  <c r="U4" i="3"/>
  <c r="U766" i="3"/>
  <c r="Y766" i="3" s="1"/>
  <c r="U6" i="3"/>
  <c r="U185" i="3"/>
  <c r="V141" i="3"/>
  <c r="Y141" i="3" s="1"/>
  <c r="V189" i="3"/>
  <c r="U981" i="3"/>
  <c r="V756" i="3"/>
  <c r="U531" i="3"/>
  <c r="U114" i="3"/>
  <c r="U563" i="3"/>
  <c r="U434" i="3"/>
  <c r="U194" i="3"/>
  <c r="U125" i="3"/>
  <c r="U407" i="3"/>
  <c r="V780" i="3"/>
  <c r="V130" i="3"/>
  <c r="Y130" i="3" s="1"/>
  <c r="V618" i="3"/>
  <c r="V667" i="3"/>
  <c r="Y667" i="3" s="1"/>
  <c r="V39" i="3"/>
  <c r="V928" i="3"/>
  <c r="Y928" i="3" s="1"/>
  <c r="V733" i="3"/>
  <c r="Y733" i="3" s="1"/>
  <c r="V254" i="3"/>
  <c r="V266" i="3"/>
  <c r="V278" i="3"/>
  <c r="V425" i="3"/>
  <c r="V852" i="3"/>
  <c r="V536" i="3"/>
  <c r="Y536" i="3" s="1"/>
  <c r="V631" i="3"/>
  <c r="U859" i="3"/>
  <c r="U590" i="3"/>
  <c r="Y590" i="3" s="1"/>
  <c r="U33" i="3"/>
  <c r="V853" i="3"/>
  <c r="V349" i="3"/>
  <c r="Y349" i="3" s="1"/>
  <c r="U954" i="3"/>
  <c r="V259" i="3"/>
  <c r="V435" i="3"/>
  <c r="V703" i="3"/>
  <c r="U558" i="3"/>
  <c r="U160" i="3"/>
  <c r="U271" i="3"/>
  <c r="U374" i="3"/>
  <c r="V922" i="3"/>
  <c r="Y922" i="3" s="1"/>
  <c r="V440" i="3"/>
  <c r="Y440" i="3" s="1"/>
  <c r="V156" i="3"/>
  <c r="Y156" i="3" s="1"/>
  <c r="V961" i="3"/>
  <c r="Y961" i="3" s="1"/>
  <c r="V849" i="3"/>
  <c r="Y849" i="3" s="1"/>
  <c r="V652" i="3"/>
  <c r="Y652" i="3" s="1"/>
  <c r="V655" i="3"/>
  <c r="V415" i="3"/>
  <c r="V669" i="3"/>
  <c r="Y669" i="3" s="1"/>
  <c r="V825" i="3"/>
  <c r="V600" i="3"/>
  <c r="Y600" i="3" s="1"/>
  <c r="V235" i="3"/>
  <c r="V282" i="3"/>
  <c r="V229" i="3"/>
  <c r="V552" i="3"/>
  <c r="Y552" i="3" s="1"/>
  <c r="V48" i="3"/>
  <c r="V279" i="3"/>
  <c r="Y279" i="3" s="1"/>
  <c r="V482" i="3"/>
  <c r="Y482" i="3" s="1"/>
  <c r="V835" i="3"/>
  <c r="V514" i="3"/>
  <c r="U336" i="3"/>
  <c r="V10" i="3"/>
  <c r="V179" i="3"/>
  <c r="V724" i="3"/>
  <c r="U798" i="3"/>
  <c r="V240" i="3"/>
  <c r="Y240" i="3" s="1"/>
  <c r="V396" i="3"/>
  <c r="Y396" i="3" s="1"/>
  <c r="U196" i="3"/>
  <c r="U997" i="3"/>
  <c r="Y997" i="3" s="1"/>
  <c r="V330" i="3"/>
  <c r="V753" i="3"/>
  <c r="Y753" i="3" s="1"/>
  <c r="U730" i="3"/>
  <c r="V946" i="3"/>
  <c r="Y946" i="3" s="1"/>
  <c r="V357" i="3"/>
  <c r="V14" i="3"/>
  <c r="V981" i="3"/>
  <c r="V168" i="3"/>
  <c r="V411" i="3"/>
  <c r="V772" i="3"/>
  <c r="Y772" i="3" s="1"/>
  <c r="V918" i="3"/>
  <c r="Y918" i="3" s="1"/>
  <c r="V460" i="3"/>
  <c r="V36" i="3"/>
  <c r="Y36" i="3" s="1"/>
  <c r="U825" i="3"/>
  <c r="U668" i="3"/>
  <c r="V801" i="3"/>
  <c r="V67" i="3"/>
  <c r="Y67" i="3" s="1"/>
  <c r="U493" i="3"/>
  <c r="U822" i="3"/>
  <c r="V933" i="3"/>
  <c r="V393" i="3"/>
  <c r="V296" i="3"/>
  <c r="V898" i="3"/>
  <c r="Y898" i="3" s="1"/>
  <c r="V621" i="3"/>
  <c r="Y621" i="3" s="1"/>
  <c r="V480" i="3"/>
  <c r="V830" i="3"/>
  <c r="V949" i="3"/>
  <c r="Y949" i="3" s="1"/>
  <c r="V513" i="3"/>
  <c r="Y513" i="3" s="1"/>
  <c r="V360" i="3"/>
  <c r="Y360" i="3" s="1"/>
  <c r="V844" i="3"/>
  <c r="Y844" i="3" s="1"/>
  <c r="V828" i="3"/>
  <c r="V202" i="3"/>
  <c r="V58" i="3"/>
  <c r="V122" i="3"/>
  <c r="V973" i="3"/>
  <c r="Y973" i="3" s="1"/>
  <c r="U655" i="3"/>
  <c r="V848" i="3"/>
  <c r="V888" i="3"/>
  <c r="V458" i="3"/>
  <c r="Y458" i="3" s="1"/>
  <c r="U439" i="3"/>
  <c r="U903" i="3"/>
  <c r="U364" i="3"/>
  <c r="U363" i="3"/>
  <c r="U506" i="3"/>
  <c r="U507" i="3"/>
  <c r="U862" i="3"/>
  <c r="U863" i="3"/>
  <c r="U398" i="3"/>
  <c r="U162" i="3"/>
  <c r="Y162" i="3" s="1"/>
  <c r="U161" i="3"/>
  <c r="U180" i="3"/>
  <c r="U179" i="3"/>
  <c r="V233" i="3"/>
  <c r="V232" i="3"/>
  <c r="V793" i="3"/>
  <c r="V794" i="3"/>
  <c r="V521" i="3"/>
  <c r="V522" i="3"/>
  <c r="U76" i="3"/>
  <c r="U837" i="3"/>
  <c r="U218" i="3"/>
  <c r="U217" i="3"/>
  <c r="U470" i="3"/>
  <c r="U469" i="3"/>
  <c r="U660" i="3"/>
  <c r="U659" i="3"/>
  <c r="V543" i="3"/>
  <c r="V345" i="3"/>
  <c r="Y345" i="3" s="1"/>
  <c r="V486" i="3"/>
  <c r="Y486" i="3" s="1"/>
  <c r="U120" i="3"/>
  <c r="V155" i="3"/>
  <c r="V300" i="3"/>
  <c r="U639" i="3"/>
  <c r="U620" i="3"/>
  <c r="U809" i="3"/>
  <c r="U77" i="3"/>
  <c r="V982" i="3"/>
  <c r="U255" i="3"/>
  <c r="U256" i="3"/>
  <c r="U71" i="3"/>
  <c r="U830" i="3"/>
  <c r="U293" i="3"/>
  <c r="U804" i="3"/>
  <c r="U885" i="3"/>
  <c r="U387" i="3"/>
  <c r="U386" i="3"/>
  <c r="V616" i="3"/>
  <c r="Y616" i="3" s="1"/>
  <c r="V617" i="3"/>
  <c r="V318" i="3"/>
  <c r="V319" i="3"/>
  <c r="Y319" i="3" s="1"/>
  <c r="V722" i="3"/>
  <c r="V723" i="3"/>
  <c r="V388" i="3"/>
  <c r="U921" i="3"/>
  <c r="V303" i="3"/>
  <c r="Y303" i="3" s="1"/>
  <c r="V537" i="3"/>
  <c r="Y537" i="3" s="1"/>
  <c r="V1000" i="3"/>
  <c r="Y1000" i="3" s="1"/>
  <c r="V375" i="3"/>
  <c r="Y375" i="3" s="1"/>
  <c r="U969" i="3"/>
  <c r="U968" i="3"/>
  <c r="U521" i="3"/>
  <c r="U522" i="3"/>
  <c r="U664" i="3"/>
  <c r="U776" i="3"/>
  <c r="U777" i="3"/>
  <c r="Y777" i="3" s="1"/>
  <c r="U914" i="3"/>
  <c r="U915" i="3"/>
  <c r="V689" i="3"/>
  <c r="Y689" i="3" s="1"/>
  <c r="V690" i="3"/>
  <c r="Y690" i="3" s="1"/>
  <c r="V402" i="3"/>
  <c r="V401" i="3"/>
  <c r="Y401" i="3" s="1"/>
  <c r="V693" i="3"/>
  <c r="V692" i="3"/>
  <c r="V193" i="3"/>
  <c r="V194" i="3"/>
  <c r="V839" i="3"/>
  <c r="V670" i="3"/>
  <c r="Y670" i="3" s="1"/>
  <c r="U709" i="3"/>
  <c r="U662" i="3"/>
  <c r="V929" i="3"/>
  <c r="U34" i="3"/>
  <c r="Y34" i="3" s="1"/>
  <c r="U61" i="3"/>
  <c r="U190" i="3"/>
  <c r="U189" i="3"/>
  <c r="U568" i="3"/>
  <c r="V312" i="3"/>
  <c r="V311" i="3"/>
  <c r="U840" i="3"/>
  <c r="U491" i="3"/>
  <c r="U490" i="3"/>
  <c r="V962" i="3"/>
  <c r="Y962" i="3" s="1"/>
  <c r="U354" i="3"/>
  <c r="Y354" i="3" s="1"/>
  <c r="U353" i="3"/>
  <c r="Y353" i="3" s="1"/>
  <c r="U542" i="3"/>
  <c r="U565" i="3"/>
  <c r="U566" i="3"/>
  <c r="U800" i="3"/>
  <c r="U801" i="3"/>
  <c r="V346" i="3"/>
  <c r="Y346" i="3" s="1"/>
  <c r="V494" i="3"/>
  <c r="V681" i="3"/>
  <c r="V183" i="3"/>
  <c r="Y183" i="3" s="1"/>
  <c r="V182" i="3"/>
  <c r="V510" i="3"/>
  <c r="V627" i="3"/>
  <c r="V572" i="3"/>
  <c r="Y572" i="3" s="1"/>
  <c r="U102" i="3"/>
  <c r="U344" i="3"/>
  <c r="U452" i="3"/>
  <c r="U841" i="3"/>
  <c r="V786" i="3"/>
  <c r="Y786" i="3" s="1"/>
  <c r="U725" i="3"/>
  <c r="U188" i="3"/>
  <c r="V827" i="3"/>
  <c r="Y827" i="3" s="1"/>
  <c r="V826" i="3"/>
  <c r="Y826" i="3" s="1"/>
  <c r="U104" i="3"/>
  <c r="U89" i="3"/>
  <c r="U49" i="3"/>
  <c r="U724" i="3"/>
  <c r="U967" i="3"/>
  <c r="U406" i="3"/>
  <c r="U628" i="3"/>
  <c r="U681" i="3"/>
  <c r="U261" i="3"/>
  <c r="U260" i="3"/>
  <c r="V935" i="3"/>
  <c r="U350" i="3"/>
  <c r="V913" i="3"/>
  <c r="Y913" i="3" s="1"/>
  <c r="V530" i="3"/>
  <c r="Y530" i="3" s="1"/>
  <c r="U732" i="3"/>
  <c r="U569" i="3"/>
  <c r="U313" i="3"/>
  <c r="Y313" i="3" s="1"/>
  <c r="U598" i="3"/>
  <c r="U46" i="3"/>
  <c r="U425" i="3"/>
  <c r="U212" i="3"/>
  <c r="U525" i="3"/>
  <c r="U524" i="3"/>
  <c r="U90" i="3"/>
  <c r="V336" i="3"/>
  <c r="V337" i="3"/>
  <c r="V184" i="3"/>
  <c r="Y184" i="3" s="1"/>
  <c r="V418" i="3"/>
  <c r="V158" i="3"/>
  <c r="V376" i="3"/>
  <c r="Y376" i="3" s="1"/>
  <c r="V850" i="3"/>
  <c r="V446" i="3"/>
  <c r="V641" i="3"/>
  <c r="V288" i="3"/>
  <c r="V675" i="3"/>
  <c r="Y675" i="3" s="1"/>
  <c r="U122" i="3"/>
  <c r="U466" i="3"/>
  <c r="Y466" i="3" s="1"/>
  <c r="U453" i="3"/>
  <c r="U838" i="3"/>
  <c r="U759" i="3"/>
  <c r="U889" i="3"/>
  <c r="U586" i="3"/>
  <c r="V181" i="3"/>
  <c r="Y181" i="3" s="1"/>
  <c r="V808" i="3"/>
  <c r="V287" i="3"/>
  <c r="V516" i="3"/>
  <c r="V363" i="3"/>
  <c r="U53" i="3"/>
  <c r="V324" i="3"/>
  <c r="V601" i="3"/>
  <c r="Y601" i="3" s="1"/>
  <c r="V833" i="3"/>
  <c r="U210" i="3"/>
  <c r="U881" i="3"/>
  <c r="U880" i="3"/>
  <c r="U543" i="3"/>
  <c r="V736" i="3"/>
  <c r="Y736" i="3" s="1"/>
  <c r="V937" i="3"/>
  <c r="Y937" i="3" s="1"/>
  <c r="V938" i="3"/>
  <c r="V816" i="3"/>
  <c r="V38" i="3"/>
  <c r="V539" i="3"/>
  <c r="Y539" i="3" s="1"/>
  <c r="V687" i="3"/>
  <c r="V970" i="3"/>
  <c r="V673" i="3"/>
  <c r="V672" i="3"/>
  <c r="U481" i="3"/>
  <c r="U480" i="3"/>
  <c r="U270" i="3"/>
  <c r="U381" i="3"/>
  <c r="U15" i="3"/>
  <c r="V272" i="3"/>
  <c r="Y272" i="3" s="1"/>
  <c r="U820" i="3"/>
  <c r="V280" i="3"/>
  <c r="Y280" i="3" s="1"/>
  <c r="V372" i="3"/>
  <c r="U200" i="3"/>
  <c r="U791" i="3"/>
  <c r="U765" i="3"/>
  <c r="U26" i="3"/>
  <c r="Y26" i="3" s="1"/>
  <c r="U144" i="3"/>
  <c r="Y144" i="3" s="1"/>
  <c r="U781" i="3"/>
  <c r="U535" i="3"/>
  <c r="Y535" i="3" s="1"/>
  <c r="U796" i="3"/>
  <c r="U385" i="3"/>
  <c r="U384" i="3"/>
  <c r="V153" i="3"/>
  <c r="Y153" i="3" s="1"/>
  <c r="V912" i="3"/>
  <c r="Y912" i="3" s="1"/>
  <c r="V874" i="3"/>
  <c r="V172" i="3"/>
  <c r="V333" i="3"/>
  <c r="V23" i="3"/>
  <c r="Y23" i="3" s="1"/>
  <c r="V230" i="3"/>
  <c r="Y230" i="3" s="1"/>
  <c r="V947" i="3"/>
  <c r="V398" i="3"/>
  <c r="V244" i="3"/>
  <c r="V790" i="3"/>
  <c r="Y790" i="3" s="1"/>
  <c r="V542" i="3"/>
  <c r="V20" i="3"/>
  <c r="V295" i="3"/>
  <c r="V840" i="3"/>
  <c r="V136" i="3"/>
  <c r="Y136" i="3" s="1"/>
  <c r="V861" i="3"/>
  <c r="V838" i="3"/>
  <c r="V868" i="3"/>
  <c r="Y868" i="3" s="1"/>
  <c r="V389" i="3"/>
  <c r="V491" i="3"/>
  <c r="U462" i="3"/>
  <c r="V923" i="3"/>
  <c r="V43" i="3"/>
  <c r="Y43" i="3" s="1"/>
  <c r="V152" i="3"/>
  <c r="Y152" i="3" s="1"/>
  <c r="V429" i="3"/>
  <c r="U379" i="3"/>
  <c r="U430" i="3"/>
  <c r="U204" i="3"/>
  <c r="U367" i="3"/>
  <c r="U731" i="3"/>
  <c r="U80" i="3"/>
  <c r="U546" i="3"/>
  <c r="V334" i="3"/>
  <c r="Y334" i="3" s="1"/>
  <c r="V802" i="3"/>
  <c r="V275" i="3"/>
  <c r="V987" i="3"/>
  <c r="Y987" i="3" s="1"/>
  <c r="V529" i="3"/>
  <c r="Y529" i="3" s="1"/>
  <c r="V560" i="3"/>
  <c r="Y560" i="3" s="1"/>
  <c r="V211" i="3"/>
  <c r="U608" i="3"/>
  <c r="Y608" i="3" s="1"/>
  <c r="U65" i="3"/>
  <c r="U443" i="3"/>
  <c r="U717" i="3"/>
  <c r="V135" i="3"/>
  <c r="V150" i="3"/>
  <c r="Y150" i="3" s="1"/>
  <c r="U870" i="3"/>
  <c r="U37" i="3"/>
  <c r="Y37" i="3" s="1"/>
  <c r="U584" i="3"/>
  <c r="U556" i="3"/>
  <c r="Y556" i="3" s="1"/>
  <c r="V855" i="3"/>
  <c r="V284" i="3"/>
  <c r="V225" i="3"/>
  <c r="V314" i="3"/>
  <c r="V979" i="3"/>
  <c r="V371" i="3"/>
  <c r="Y371" i="3" s="1"/>
  <c r="V778" i="3"/>
  <c r="Y778" i="3" s="1"/>
  <c r="V985" i="3"/>
  <c r="V147" i="3"/>
  <c r="V821" i="3"/>
  <c r="V963" i="3"/>
  <c r="Y963" i="3" s="1"/>
  <c r="V740" i="3"/>
  <c r="V274" i="3"/>
  <c r="V596" i="3"/>
  <c r="Y596" i="3" s="1"/>
  <c r="V741" i="3"/>
  <c r="Y741" i="3" s="1"/>
  <c r="U865" i="3"/>
  <c r="V553" i="3"/>
  <c r="Y553" i="3" s="1"/>
  <c r="U745" i="3"/>
  <c r="U719" i="3"/>
  <c r="U265" i="3"/>
  <c r="U147" i="3"/>
  <c r="U992" i="3"/>
  <c r="U943" i="3"/>
  <c r="U619" i="3"/>
  <c r="U779" i="3"/>
  <c r="U492" i="3"/>
  <c r="V298" i="3"/>
  <c r="Y298" i="3" s="1"/>
  <c r="V253" i="3"/>
  <c r="Y253" i="3" s="1"/>
  <c r="V73" i="3"/>
  <c r="V90" i="3"/>
  <c r="V224" i="3"/>
  <c r="Y224" i="3" s="1"/>
  <c r="V682" i="3"/>
  <c r="V361" i="3"/>
  <c r="Y361" i="3" s="1"/>
  <c r="V863" i="3"/>
  <c r="V422" i="3"/>
  <c r="V648" i="3"/>
  <c r="Y648" i="3" s="1"/>
  <c r="U59" i="3"/>
  <c r="U58" i="3"/>
  <c r="V630" i="3"/>
  <c r="V493" i="3"/>
  <c r="U91" i="3"/>
  <c r="V104" i="3"/>
  <c r="U301" i="3"/>
  <c r="U982" i="3"/>
  <c r="V30" i="3"/>
  <c r="V31" i="3"/>
  <c r="V132" i="3"/>
  <c r="V133" i="3"/>
  <c r="V702" i="3"/>
  <c r="V701" i="3"/>
  <c r="Y701" i="3" s="1"/>
  <c r="V113" i="3"/>
  <c r="V114" i="3"/>
  <c r="V9" i="3"/>
  <c r="V8" i="3"/>
  <c r="V920" i="3"/>
  <c r="Y920" i="3" s="1"/>
  <c r="V1001" i="3"/>
  <c r="Y1001" i="3" s="1"/>
  <c r="V1002" i="3"/>
  <c r="Y1002" i="3" s="1"/>
  <c r="V954" i="3"/>
  <c r="U617" i="3"/>
  <c r="U618" i="3"/>
  <c r="U202" i="3"/>
  <c r="U201" i="3"/>
  <c r="U241" i="3"/>
  <c r="U242" i="3"/>
  <c r="Y242" i="3" s="1"/>
  <c r="V694" i="3"/>
  <c r="V695" i="3"/>
  <c r="Y695" i="3" s="1"/>
  <c r="U816" i="3"/>
  <c r="U815" i="3"/>
  <c r="U174" i="3"/>
  <c r="U175" i="3"/>
  <c r="V15" i="3"/>
  <c r="U455" i="3"/>
  <c r="U456" i="3"/>
  <c r="V53" i="3"/>
  <c r="V54" i="3"/>
  <c r="V71" i="3"/>
  <c r="V72" i="3"/>
  <c r="U996" i="3"/>
  <c r="U995" i="3"/>
  <c r="U706" i="3"/>
  <c r="U707" i="3"/>
  <c r="U82" i="3"/>
  <c r="U81" i="3"/>
  <c r="U940" i="3"/>
  <c r="U941" i="3"/>
  <c r="U747" i="3"/>
  <c r="Y747" i="3" s="1"/>
  <c r="U746" i="3"/>
  <c r="U215" i="3"/>
  <c r="U214" i="3"/>
  <c r="V178" i="3"/>
  <c r="V177" i="3"/>
  <c r="Y177" i="3" s="1"/>
  <c r="V149" i="3"/>
  <c r="Y149" i="3" s="1"/>
  <c r="V148" i="3"/>
  <c r="Y148" i="3" s="1"/>
  <c r="U50" i="3"/>
  <c r="V771" i="3"/>
  <c r="Y771" i="3" s="1"/>
  <c r="U831" i="3"/>
  <c r="V79" i="3"/>
  <c r="V880" i="3"/>
  <c r="V881" i="3"/>
  <c r="V512" i="3"/>
  <c r="Y512" i="3" s="1"/>
  <c r="V110" i="3"/>
  <c r="V109" i="3"/>
  <c r="Y109" i="3" s="1"/>
  <c r="V384" i="3"/>
  <c r="V385" i="3"/>
  <c r="V222" i="3"/>
  <c r="Y222" i="3" s="1"/>
  <c r="V622" i="3"/>
  <c r="Y622" i="3" s="1"/>
  <c r="V374" i="3"/>
  <c r="V373" i="3"/>
  <c r="U441" i="3"/>
  <c r="U442" i="3"/>
  <c r="U673" i="3"/>
  <c r="U674" i="3"/>
  <c r="U168" i="3"/>
  <c r="U167" i="3"/>
  <c r="U5" i="3"/>
  <c r="V991" i="3"/>
  <c r="V992" i="3"/>
  <c r="U891" i="3"/>
  <c r="U890" i="3"/>
  <c r="U357" i="3"/>
  <c r="U356" i="3"/>
  <c r="U30" i="3"/>
  <c r="U31" i="3"/>
  <c r="U642" i="3"/>
  <c r="U641" i="3"/>
  <c r="U324" i="3"/>
  <c r="U323" i="3"/>
  <c r="V262" i="3"/>
  <c r="Y262" i="3" s="1"/>
  <c r="V263" i="3"/>
  <c r="V640" i="3"/>
  <c r="Y640" i="3" s="1"/>
  <c r="U193" i="3"/>
  <c r="U93" i="3"/>
  <c r="V589" i="3"/>
  <c r="Y589" i="3" s="1"/>
  <c r="V588" i="3"/>
  <c r="Y588" i="3" s="1"/>
  <c r="U805" i="3"/>
  <c r="U916" i="3"/>
  <c r="U917" i="3"/>
  <c r="V951" i="3"/>
  <c r="V24" i="3"/>
  <c r="Y24" i="3" s="1"/>
  <c r="V25" i="3"/>
  <c r="V94" i="3"/>
  <c r="U959" i="3"/>
  <c r="U697" i="3"/>
  <c r="U696" i="3"/>
  <c r="V518" i="3"/>
  <c r="Y518" i="3" s="1"/>
  <c r="V143" i="3"/>
  <c r="V142" i="3"/>
  <c r="V365" i="3"/>
  <c r="V366" i="3"/>
  <c r="U72" i="3"/>
  <c r="U73" i="3"/>
  <c r="U978" i="3"/>
  <c r="V394" i="3"/>
  <c r="V781" i="3"/>
  <c r="V83" i="3"/>
  <c r="U182" i="3"/>
  <c r="V129" i="3"/>
  <c r="Y129" i="3" s="1"/>
  <c r="U372" i="3"/>
  <c r="V107" i="3"/>
  <c r="U597" i="3"/>
  <c r="V347" i="3"/>
  <c r="V544" i="3"/>
  <c r="U527" i="3"/>
  <c r="U682" i="3"/>
  <c r="U300" i="3"/>
  <c r="U299" i="3"/>
  <c r="U894" i="3"/>
  <c r="V196" i="3"/>
  <c r="V340" i="3"/>
  <c r="V339" i="3"/>
  <c r="V602" i="3"/>
  <c r="U793" i="3"/>
  <c r="U427" i="3"/>
  <c r="U426" i="3"/>
  <c r="U307" i="3"/>
  <c r="U308" i="3"/>
  <c r="V175" i="3"/>
  <c r="V879" i="3"/>
  <c r="Y879" i="3" s="1"/>
  <c r="V737" i="3"/>
  <c r="U475" i="3"/>
  <c r="U484" i="3"/>
  <c r="U783" i="3"/>
  <c r="V555" i="3"/>
  <c r="V381" i="3"/>
  <c r="V660" i="3"/>
  <c r="U884" i="3"/>
  <c r="U145" i="3"/>
  <c r="V642" i="3"/>
  <c r="V807" i="3"/>
  <c r="Y807" i="3" s="1"/>
  <c r="V16" i="3"/>
  <c r="U624" i="3"/>
  <c r="U571" i="3"/>
  <c r="U42" i="3"/>
  <c r="V969" i="3"/>
  <c r="U186" i="3"/>
  <c r="U245" i="3"/>
  <c r="U244" i="3"/>
  <c r="U810" i="3"/>
  <c r="U576" i="3"/>
  <c r="U213" i="3"/>
  <c r="V628" i="3"/>
  <c r="V941" i="3"/>
  <c r="V940" i="3"/>
  <c r="V983" i="3"/>
  <c r="Y983" i="3" s="1"/>
  <c r="V975" i="3"/>
  <c r="V470" i="3"/>
  <c r="V769" i="3"/>
  <c r="V368" i="3"/>
  <c r="V169" i="3"/>
  <c r="Y169" i="3" s="1"/>
  <c r="V829" i="3"/>
  <c r="U828" i="3"/>
  <c r="U250" i="3"/>
  <c r="U251" i="3"/>
  <c r="V217" i="3"/>
  <c r="V218" i="3"/>
  <c r="U78" i="3"/>
  <c r="U209" i="3"/>
  <c r="U447" i="3"/>
  <c r="U446" i="3"/>
  <c r="U359" i="3"/>
  <c r="U358" i="3"/>
  <c r="V787" i="3"/>
  <c r="V653" i="3"/>
  <c r="Y653" i="3" s="1"/>
  <c r="V654" i="3"/>
  <c r="Y654" i="3" s="1"/>
  <c r="V976" i="3"/>
  <c r="V876" i="3"/>
  <c r="V905" i="3"/>
  <c r="U172" i="3"/>
  <c r="U171" i="3"/>
  <c r="V843" i="3"/>
  <c r="U496" i="3"/>
  <c r="U321" i="3"/>
  <c r="U320" i="3"/>
  <c r="U497" i="3"/>
  <c r="U10" i="3"/>
  <c r="U11" i="3"/>
  <c r="U134" i="3"/>
  <c r="U135" i="3"/>
  <c r="V7" i="3"/>
  <c r="V732" i="3"/>
  <c r="V731" i="3"/>
  <c r="V123" i="3"/>
  <c r="V757" i="3"/>
  <c r="V243" i="3"/>
  <c r="V124" i="3"/>
  <c r="V540" i="3"/>
  <c r="Y540" i="3" s="1"/>
  <c r="U613" i="3"/>
  <c r="U637" i="3"/>
  <c r="U634" i="3"/>
  <c r="U435" i="3"/>
  <c r="U414" i="3"/>
  <c r="U294" i="3"/>
  <c r="U735" i="3"/>
  <c r="Y735" i="3" s="1"/>
  <c r="U734" i="3"/>
  <c r="Y734" i="3" s="1"/>
  <c r="V121" i="3"/>
  <c r="U115" i="3"/>
  <c r="U683" i="3"/>
  <c r="U611" i="3"/>
  <c r="U612" i="3"/>
  <c r="U331" i="3"/>
  <c r="U750" i="3"/>
  <c r="U767" i="3"/>
  <c r="U408" i="3"/>
  <c r="U110" i="3"/>
  <c r="U463" i="3"/>
  <c r="U16" i="3"/>
  <c r="U582" i="3"/>
  <c r="U583" i="3"/>
  <c r="U225" i="3"/>
  <c r="V433" i="3"/>
  <c r="V92" i="3"/>
  <c r="V140" i="3"/>
  <c r="V407" i="3"/>
  <c r="V206" i="3"/>
  <c r="V691" i="3"/>
  <c r="V185" i="3"/>
  <c r="V871" i="3"/>
  <c r="V190" i="3"/>
  <c r="V66" i="3"/>
  <c r="V65" i="3"/>
  <c r="V186" i="3"/>
  <c r="V903" i="3"/>
  <c r="V64" i="3"/>
  <c r="U394" i="3"/>
  <c r="U393" i="3"/>
  <c r="V959" i="3"/>
  <c r="V239" i="3"/>
  <c r="Y239" i="3" s="1"/>
  <c r="U592" i="3"/>
  <c r="U236" i="3"/>
  <c r="U137" i="3"/>
  <c r="U833" i="3"/>
  <c r="U580" i="3"/>
  <c r="U579" i="3"/>
  <c r="V293" i="3"/>
  <c r="V483" i="3"/>
  <c r="Y483" i="3" s="1"/>
  <c r="U83" i="3"/>
  <c r="U84" i="3"/>
  <c r="U9" i="3"/>
  <c r="U8" i="3"/>
  <c r="U420" i="3"/>
  <c r="U347" i="3"/>
  <c r="U348" i="3"/>
  <c r="U498" i="3"/>
  <c r="Y498" i="3" s="1"/>
  <c r="V246" i="3"/>
  <c r="Y246" i="3" s="1"/>
  <c r="U274" i="3"/>
  <c r="U415" i="3"/>
  <c r="U644" i="3"/>
  <c r="U445" i="3"/>
  <c r="U444" i="3"/>
  <c r="U930" i="3"/>
  <c r="U799" i="3"/>
  <c r="Y799" i="3" s="1"/>
  <c r="U813" i="3"/>
  <c r="U693" i="3"/>
  <c r="U788" i="3"/>
  <c r="U789" i="3"/>
  <c r="V81" i="3"/>
  <c r="V6" i="3"/>
  <c r="V5" i="3"/>
  <c r="V51" i="3"/>
  <c r="Y51" i="3" s="1"/>
  <c r="V857" i="3"/>
  <c r="V988" i="3"/>
  <c r="Y988" i="3" s="1"/>
  <c r="V989" i="3"/>
  <c r="V395" i="3"/>
  <c r="Y395" i="3" s="1"/>
  <c r="V924" i="3"/>
  <c r="Y924" i="3" s="1"/>
  <c r="V869" i="3"/>
  <c r="Y869" i="3" s="1"/>
  <c r="V77" i="3"/>
  <c r="V744" i="3"/>
  <c r="V908" i="3"/>
  <c r="Y908" i="3" s="1"/>
  <c r="U960" i="3"/>
  <c r="U18" i="3"/>
  <c r="U326" i="3"/>
  <c r="U551" i="3"/>
  <c r="V273" i="3"/>
  <c r="Y273" i="3" s="1"/>
  <c r="U247" i="3"/>
  <c r="U422" i="3"/>
  <c r="V137" i="3"/>
  <c r="U910" i="3"/>
  <c r="V391" i="3"/>
  <c r="Y391" i="3" s="1"/>
  <c r="V358" i="3"/>
  <c r="V27" i="3"/>
  <c r="U266" i="3"/>
  <c r="V664" i="3"/>
  <c r="V69" i="3"/>
  <c r="Y69" i="3" s="1"/>
  <c r="V68" i="3"/>
  <c r="Y68" i="3" s="1"/>
  <c r="V813" i="3"/>
  <c r="V812" i="3"/>
  <c r="V387" i="3"/>
  <c r="V59" i="3"/>
  <c r="U341" i="3"/>
  <c r="U835" i="3"/>
  <c r="U378" i="3"/>
  <c r="U723" i="3"/>
  <c r="U722" i="3"/>
  <c r="U277" i="3"/>
  <c r="U276" i="3"/>
  <c r="U233" i="3"/>
  <c r="U829" i="3"/>
  <c r="V450" i="3"/>
  <c r="V580" i="3"/>
  <c r="V930" i="3"/>
  <c r="V836" i="3"/>
  <c r="V116" i="3"/>
  <c r="Y116" i="3" s="1"/>
  <c r="V805" i="3"/>
  <c r="V914" i="3"/>
  <c r="V203" i="3"/>
  <c r="Y203" i="3" s="1"/>
  <c r="V87" i="3"/>
  <c r="V454" i="3"/>
  <c r="U834" i="3"/>
  <c r="V327" i="3"/>
  <c r="U876" i="3"/>
  <c r="U875" i="3"/>
  <c r="Y875" i="3" s="1"/>
  <c r="U111" i="3"/>
  <c r="V11" i="3"/>
  <c r="V322" i="3"/>
  <c r="Y322" i="3" s="1"/>
  <c r="U232" i="3"/>
  <c r="U133" i="3"/>
  <c r="U132" i="3"/>
  <c r="V822" i="3"/>
  <c r="U871" i="3"/>
  <c r="U818" i="3"/>
  <c r="U377" i="3"/>
  <c r="U743" i="3"/>
  <c r="U990" i="3"/>
  <c r="Y990" i="3" s="1"/>
  <c r="U965" i="3"/>
  <c r="V452" i="3"/>
  <c r="V427" i="3"/>
  <c r="V715" i="3"/>
  <c r="Y715" i="3" s="1"/>
  <c r="V485" i="3"/>
  <c r="Y485" i="3" s="1"/>
  <c r="V484" i="3"/>
  <c r="V841" i="3"/>
  <c r="V759" i="3"/>
  <c r="V635" i="3"/>
  <c r="V685" i="3"/>
  <c r="Y685" i="3" s="1"/>
  <c r="V465" i="3"/>
  <c r="Y465" i="3" s="1"/>
  <c r="V525" i="3"/>
  <c r="V817" i="3"/>
  <c r="Y817" i="3" s="1"/>
  <c r="V889" i="3"/>
  <c r="V468" i="3"/>
  <c r="V297" i="3"/>
  <c r="Y297" i="3" s="1"/>
  <c r="V559" i="3"/>
  <c r="V986" i="3"/>
  <c r="U231" i="3"/>
  <c r="U337" i="3"/>
  <c r="V713" i="3"/>
  <c r="V369" i="3"/>
  <c r="U821" i="3"/>
  <c r="U770" i="3"/>
  <c r="U603" i="3"/>
  <c r="V788" i="3"/>
  <c r="V873" i="3"/>
  <c r="V250" i="3"/>
  <c r="U509" i="3"/>
  <c r="U803" i="3"/>
  <c r="V62" i="3"/>
  <c r="Y62" i="3" s="1"/>
  <c r="V678" i="3"/>
  <c r="Y678" i="3" s="1"/>
  <c r="U105" i="3"/>
  <c r="Y105" i="3" s="1"/>
  <c r="U14" i="3"/>
  <c r="U929" i="3"/>
  <c r="U63" i="3"/>
  <c r="V551" i="3"/>
  <c r="U192" i="3"/>
  <c r="U165" i="3"/>
  <c r="U672" i="3"/>
  <c r="Y672" i="3" s="1"/>
  <c r="V457" i="3"/>
  <c r="Y457" i="3" s="1"/>
  <c r="V456" i="3"/>
  <c r="V378" i="3"/>
  <c r="U782" i="3"/>
  <c r="U897" i="3"/>
  <c r="U559" i="3"/>
  <c r="V309" i="3"/>
  <c r="Y309" i="3" s="1"/>
  <c r="V283" i="3"/>
  <c r="V581" i="3"/>
  <c r="Y581" i="3" s="1"/>
  <c r="U991" i="3"/>
  <c r="U906" i="3"/>
  <c r="V215" i="3"/>
  <c r="U178" i="3"/>
  <c r="U79" i="3"/>
  <c r="U773" i="3"/>
  <c r="U87" i="3"/>
  <c r="U663" i="3"/>
  <c r="U339" i="3"/>
  <c r="U938" i="3"/>
  <c r="V400" i="3"/>
  <c r="Y400" i="3" s="1"/>
  <c r="V650" i="3"/>
  <c r="V291" i="3"/>
  <c r="Y291" i="3" s="1"/>
  <c r="V554" i="3"/>
  <c r="Y554" i="3" s="1"/>
  <c r="V281" i="3"/>
  <c r="V623" i="3"/>
  <c r="Y623" i="3" s="1"/>
  <c r="V809" i="3"/>
  <c r="V171" i="3"/>
  <c r="V441" i="3"/>
  <c r="V154" i="3"/>
  <c r="V615" i="3"/>
  <c r="Y615" i="3" s="1"/>
  <c r="V285" i="3"/>
  <c r="Y285" i="3" s="1"/>
  <c r="V220" i="3"/>
  <c r="Y220" i="3" s="1"/>
  <c r="V461" i="3"/>
  <c r="Y461" i="3" s="1"/>
  <c r="U757" i="3"/>
  <c r="U499" i="3"/>
  <c r="Y499" i="3" s="1"/>
  <c r="U713" i="3"/>
  <c r="U769" i="3"/>
  <c r="U768" i="3"/>
  <c r="V768" i="3"/>
  <c r="V676" i="3"/>
  <c r="Y676" i="3" s="1"/>
  <c r="V705" i="3"/>
  <c r="Y705" i="3" s="1"/>
  <c r="V605" i="3"/>
  <c r="U839" i="3"/>
  <c r="V236" i="3"/>
  <c r="U711" i="3"/>
  <c r="Y711" i="3" s="1"/>
  <c r="V971" i="3"/>
  <c r="V972" i="3"/>
  <c r="Y972" i="3" s="1"/>
  <c r="V159" i="3"/>
  <c r="V859" i="3"/>
  <c r="V858" i="3"/>
  <c r="Y858" i="3" s="1"/>
  <c r="U332" i="3"/>
  <c r="U333" i="3"/>
  <c r="V614" i="3"/>
  <c r="Y614" i="3" s="1"/>
  <c r="V613" i="3"/>
  <c r="U714" i="3"/>
  <c r="V201" i="3"/>
  <c r="V200" i="3"/>
  <c r="V866" i="3"/>
  <c r="Y866" i="3" s="1"/>
  <c r="V867" i="3"/>
  <c r="Y867" i="3" s="1"/>
  <c r="U39" i="3"/>
  <c r="U38" i="3"/>
  <c r="V377" i="3"/>
  <c r="U467" i="3"/>
  <c r="Y467" i="3" s="1"/>
  <c r="U450" i="3"/>
  <c r="U842" i="3"/>
  <c r="Y842" i="3" s="1"/>
  <c r="U843" i="3"/>
  <c r="U850" i="3"/>
  <c r="U851" i="3"/>
  <c r="U964" i="3"/>
  <c r="U268" i="3"/>
  <c r="U269" i="3"/>
  <c r="U860" i="3"/>
  <c r="U948" i="3"/>
  <c r="U947" i="3"/>
  <c r="U403" i="3"/>
  <c r="U402" i="3"/>
  <c r="V191" i="3"/>
  <c r="Y191" i="3" s="1"/>
  <c r="V192" i="3"/>
  <c r="V332" i="3"/>
  <c r="V447" i="3"/>
  <c r="V448" i="3"/>
  <c r="Y448" i="3" s="1"/>
  <c r="V270" i="3"/>
  <c r="V271" i="3"/>
  <c r="V474" i="3"/>
  <c r="Y474" i="3" s="1"/>
  <c r="V475" i="3"/>
  <c r="V502" i="3"/>
  <c r="V503" i="3"/>
  <c r="V576" i="3"/>
  <c r="V577" i="3"/>
  <c r="Y577" i="3" s="1"/>
  <c r="V562" i="3"/>
  <c r="V563" i="3"/>
  <c r="V343" i="3"/>
  <c r="U911" i="3"/>
  <c r="V497" i="3"/>
  <c r="V426" i="3"/>
  <c r="V252" i="3"/>
  <c r="Y252" i="3" s="1"/>
  <c r="U651" i="3"/>
  <c r="U289" i="3"/>
  <c r="U861" i="3"/>
  <c r="V758" i="3"/>
  <c r="U587" i="3"/>
  <c r="V445" i="3"/>
  <c r="V197" i="3"/>
  <c r="Y197" i="3" s="1"/>
  <c r="U878" i="3"/>
  <c r="V697" i="3"/>
  <c r="U666" i="3"/>
  <c r="U665" i="3"/>
  <c r="U986" i="3"/>
  <c r="U985" i="3"/>
  <c r="U975" i="3"/>
  <c r="U976" i="3"/>
  <c r="V948" i="3"/>
  <c r="V761" i="3"/>
  <c r="U752" i="3"/>
  <c r="V76" i="3"/>
  <c r="Y76" i="3" s="1"/>
  <c r="V75" i="3"/>
  <c r="U296" i="3"/>
  <c r="U295" i="3"/>
  <c r="V743" i="3"/>
  <c r="U760" i="3"/>
  <c r="U761" i="3"/>
  <c r="U416" i="3"/>
  <c r="U131" i="3"/>
  <c r="U275" i="3"/>
  <c r="U318" i="3"/>
  <c r="U48" i="3"/>
  <c r="U47" i="3"/>
  <c r="V479" i="3"/>
  <c r="Y479" i="3" s="1"/>
  <c r="V478" i="3"/>
  <c r="Y478" i="3" s="1"/>
  <c r="V547" i="3"/>
  <c r="V548" i="3"/>
  <c r="V831" i="3"/>
  <c r="V832" i="3"/>
  <c r="Y832" i="3" s="1"/>
  <c r="V916" i="3"/>
  <c r="V645" i="3"/>
  <c r="V646" i="3"/>
  <c r="V725" i="3"/>
  <c r="V173" i="3"/>
  <c r="Y173" i="3" s="1"/>
  <c r="V160" i="3"/>
  <c r="V901" i="3"/>
  <c r="Y901" i="3" s="1"/>
  <c r="V900" i="3"/>
  <c r="U691" i="3"/>
  <c r="U692" i="3"/>
  <c r="U646" i="3"/>
  <c r="U645" i="3"/>
  <c r="U107" i="3"/>
  <c r="U311" i="3"/>
  <c r="U366" i="3"/>
  <c r="U808" i="3"/>
  <c r="V638" i="3"/>
  <c r="Y638" i="3" s="1"/>
  <c r="V267" i="3"/>
  <c r="V249" i="3"/>
  <c r="Y249" i="3" s="1"/>
  <c r="V207" i="3"/>
  <c r="Y207" i="3" s="1"/>
  <c r="V636" i="3"/>
  <c r="Y636" i="3" s="1"/>
  <c r="V719" i="3"/>
  <c r="V791" i="3"/>
  <c r="V367" i="3"/>
  <c r="U718" i="3"/>
  <c r="U635" i="3"/>
  <c r="U155" i="3"/>
  <c r="V984" i="3"/>
  <c r="V629" i="3"/>
  <c r="Y629" i="3" s="1"/>
  <c r="U740" i="3"/>
  <c r="V328" i="3"/>
  <c r="U888" i="3"/>
  <c r="V464" i="3"/>
  <c r="Y464" i="3" s="1"/>
  <c r="V657" i="3"/>
  <c r="V658" i="3"/>
  <c r="Y658" i="3" s="1"/>
  <c r="U802" i="3"/>
  <c r="U727" i="3"/>
  <c r="U726" i="3"/>
  <c r="U158" i="3"/>
  <c r="U157" i="3"/>
  <c r="U549" i="3"/>
  <c r="Y549" i="3" s="1"/>
  <c r="U548" i="3"/>
  <c r="U649" i="3"/>
  <c r="U650" i="3"/>
  <c r="V698" i="3"/>
  <c r="Y698" i="3" s="1"/>
  <c r="V699" i="3"/>
  <c r="V325" i="3"/>
  <c r="Y325" i="3" s="1"/>
  <c r="V326" i="3"/>
  <c r="U951" i="3"/>
  <c r="U952" i="3"/>
  <c r="U95" i="3"/>
  <c r="U96" i="3"/>
  <c r="Y96" i="3" s="1"/>
  <c r="U388" i="3"/>
  <c r="U389" i="3"/>
  <c r="U795" i="3"/>
  <c r="Y795" i="3" s="1"/>
  <c r="U794" i="3"/>
  <c r="U703" i="3"/>
  <c r="U704" i="3"/>
  <c r="U532" i="3"/>
  <c r="U533" i="3"/>
  <c r="U855" i="3"/>
  <c r="U854" i="3"/>
  <c r="Y854" i="3" s="1"/>
  <c r="U283" i="3"/>
  <c r="U284" i="3"/>
  <c r="V952" i="3"/>
  <c r="V413" i="3"/>
  <c r="V412" i="3"/>
  <c r="V477" i="3"/>
  <c r="V476" i="3"/>
  <c r="Y476" i="3" s="1"/>
  <c r="V532" i="3"/>
  <c r="V533" i="3"/>
  <c r="V289" i="3"/>
  <c r="V290" i="3"/>
  <c r="Y290" i="3" s="1"/>
  <c r="V911" i="3"/>
  <c r="V910" i="3"/>
  <c r="V408" i="3"/>
  <c r="V409" i="3"/>
  <c r="Y409" i="3" s="1"/>
  <c r="V609" i="3"/>
  <c r="Y609" i="3" s="1"/>
  <c r="V610" i="3"/>
  <c r="Y610" i="3" s="1"/>
  <c r="V587" i="3"/>
  <c r="V586" i="3"/>
  <c r="V649" i="3"/>
  <c r="V251" i="3"/>
  <c r="U436" i="3"/>
  <c r="Y436" i="3" s="1"/>
  <c r="U437" i="3"/>
  <c r="Y437" i="3" s="1"/>
  <c r="U454" i="3"/>
  <c r="U575" i="3"/>
  <c r="U905" i="3"/>
  <c r="U970" i="3"/>
  <c r="V765" i="3"/>
  <c r="V764" i="3"/>
  <c r="Y764" i="3" s="1"/>
  <c r="V316" i="3"/>
  <c r="V462" i="3"/>
  <c r="U958" i="3"/>
  <c r="U263" i="3"/>
  <c r="U121" i="3"/>
  <c r="U432" i="3"/>
  <c r="U433" i="3"/>
  <c r="V519" i="3"/>
  <c r="V571" i="3"/>
  <c r="U315" i="3"/>
  <c r="Y315" i="3" s="1"/>
  <c r="U545" i="3"/>
  <c r="U510" i="3"/>
  <c r="U977" i="3"/>
  <c r="U516" i="3"/>
  <c r="V773" i="3"/>
  <c r="V574" i="3"/>
  <c r="Y574" i="3" s="1"/>
  <c r="V575" i="3"/>
  <c r="U630" i="3"/>
  <c r="U631" i="3"/>
  <c r="U955" i="3"/>
  <c r="U956" i="3"/>
  <c r="Y956" i="3" s="1"/>
  <c r="V528" i="3"/>
  <c r="V527" i="3"/>
  <c r="U418" i="3"/>
  <c r="U417" i="3"/>
  <c r="U368" i="3"/>
  <c r="U369" i="3"/>
  <c r="V785" i="3"/>
  <c r="Y785" i="3" s="1"/>
  <c r="V784" i="3"/>
  <c r="Y784" i="3" s="1"/>
  <c r="V100" i="3"/>
  <c r="V101" i="3"/>
  <c r="V583" i="3"/>
  <c r="V582" i="3"/>
  <c r="U748" i="3"/>
  <c r="U749" i="3"/>
  <c r="U945" i="3"/>
  <c r="U944" i="3"/>
  <c r="U124" i="3"/>
  <c r="U123" i="3"/>
  <c r="U22" i="3"/>
  <c r="U21" i="3"/>
  <c r="U989" i="3"/>
  <c r="U656" i="3"/>
  <c r="U657" i="3"/>
  <c r="U494" i="3"/>
  <c r="V811" i="3"/>
  <c r="V810" i="3"/>
  <c r="V943" i="3"/>
  <c r="V942" i="3"/>
  <c r="Y942" i="3" s="1"/>
  <c r="V188" i="3"/>
  <c r="V187" i="3"/>
  <c r="V846" i="3"/>
  <c r="Y846" i="3" s="1"/>
  <c r="V847" i="3"/>
  <c r="V98" i="3"/>
  <c r="V97" i="3"/>
  <c r="V593" i="3"/>
  <c r="Y593" i="3" s="1"/>
  <c r="V592" i="3"/>
  <c r="V565" i="3"/>
  <c r="V566" i="3"/>
  <c r="V95" i="3"/>
  <c r="V260" i="3"/>
  <c r="V261" i="3"/>
  <c r="V770" i="3"/>
  <c r="V221" i="3"/>
  <c r="Y221" i="3" s="1"/>
  <c r="U758" i="3"/>
  <c r="U399" i="3"/>
  <c r="V406" i="3"/>
  <c r="U287" i="3"/>
  <c r="Y287" i="3" s="1"/>
  <c r="U684" i="3"/>
  <c r="Y684" i="3" s="1"/>
  <c r="U292" i="3"/>
  <c r="V127" i="3"/>
  <c r="Y127" i="3" s="1"/>
  <c r="V634" i="3"/>
  <c r="V481" i="3"/>
  <c r="V716" i="3"/>
  <c r="Y716" i="3" s="1"/>
  <c r="U814" i="3"/>
  <c r="Y814" i="3" s="1"/>
  <c r="U853" i="3"/>
  <c r="U66" i="3"/>
  <c r="U931" i="3"/>
  <c r="Y931" i="3" s="1"/>
  <c r="U500" i="3"/>
  <c r="V33" i="3"/>
  <c r="V21" i="3"/>
  <c r="U998" i="3"/>
  <c r="Y998" i="3" s="1"/>
  <c r="U502" i="3"/>
  <c r="V269" i="3"/>
  <c r="U503" i="3"/>
  <c r="U75" i="3"/>
  <c r="V405" i="3"/>
  <c r="Y405" i="3" s="1"/>
  <c r="U720" i="3"/>
  <c r="U343" i="3"/>
  <c r="U342" i="3"/>
  <c r="U780" i="3"/>
  <c r="U412" i="3"/>
  <c r="U413" i="3"/>
  <c r="U541" i="3"/>
  <c r="V815" i="3"/>
  <c r="V12" i="3"/>
  <c r="Y12" i="3" s="1"/>
  <c r="V977" i="3"/>
  <c r="V754" i="3"/>
  <c r="Y754" i="3" s="1"/>
  <c r="V921" i="3"/>
  <c r="V399" i="3"/>
  <c r="V643" i="3"/>
  <c r="U101" i="3"/>
  <c r="V423" i="3"/>
  <c r="V205" i="3"/>
  <c r="V619" i="3"/>
  <c r="V568" i="3"/>
  <c r="U55" i="3"/>
  <c r="U88" i="3"/>
  <c r="V472" i="3"/>
  <c r="U229" i="3"/>
  <c r="V117" i="3"/>
  <c r="Y117" i="3" s="1"/>
  <c r="U939" i="3"/>
  <c r="Y939" i="3" s="1"/>
  <c r="V226" i="3"/>
  <c r="Y226" i="3" s="1"/>
  <c r="U806" i="3"/>
  <c r="U128" i="3"/>
  <c r="U602" i="3"/>
  <c r="V380" i="3"/>
  <c r="V356" i="3"/>
  <c r="U728" i="3"/>
  <c r="U729" i="3"/>
  <c r="V323" i="3"/>
  <c r="V161" i="3"/>
  <c r="Y161" i="3" s="1"/>
  <c r="V752" i="3"/>
  <c r="V999" i="3"/>
  <c r="Y999" i="3" s="1"/>
  <c r="U119" i="3"/>
  <c r="U99" i="3"/>
  <c r="U327" i="3"/>
  <c r="U328" i="3"/>
  <c r="U520" i="3"/>
  <c r="U993" i="3"/>
  <c r="U872" i="3"/>
  <c r="V891" i="3"/>
  <c r="V546" i="3"/>
  <c r="V306" i="3"/>
  <c r="Y306" i="3" s="1"/>
  <c r="V4" i="3"/>
  <c r="V967" i="3"/>
  <c r="V585" i="3"/>
  <c r="V487" i="3"/>
  <c r="Y487" i="3" s="1"/>
  <c r="V56" i="3"/>
  <c r="Y56" i="3" s="1"/>
  <c r="V50" i="3"/>
  <c r="V720" i="3"/>
  <c r="V896" i="3"/>
  <c r="Y896" i="3" s="1"/>
  <c r="V292" i="3"/>
  <c r="V651" i="3"/>
  <c r="V89" i="3"/>
  <c r="Y89" i="3" s="1"/>
  <c r="V227" i="3"/>
  <c r="Y227" i="3" s="1"/>
  <c r="U106" i="3"/>
  <c r="Y106" i="3" s="1"/>
  <c r="U699" i="3"/>
  <c r="V730" i="3"/>
  <c r="U900" i="3"/>
  <c r="U605" i="3"/>
  <c r="U564" i="3"/>
  <c r="U744" i="3"/>
  <c r="V818" i="3"/>
  <c r="U7" i="3"/>
  <c r="U205" i="3"/>
  <c r="U206" i="3"/>
  <c r="U811" i="3"/>
  <c r="V726" i="3"/>
  <c r="V953" i="3"/>
  <c r="Y953" i="3" s="1"/>
  <c r="V595" i="3"/>
  <c r="Y595" i="3" s="1"/>
  <c r="V245" i="3"/>
  <c r="V344" i="3"/>
  <c r="V851" i="3"/>
  <c r="V335" i="3"/>
  <c r="Y335" i="3" s="1"/>
  <c r="V40" i="3"/>
  <c r="Y40" i="3" s="1"/>
  <c r="V501" i="3"/>
  <c r="Y501" i="3" s="1"/>
  <c r="V665" i="3"/>
  <c r="U238" i="3"/>
  <c r="U278" i="3"/>
  <c r="Y278" i="3" s="1"/>
  <c r="U27" i="3"/>
  <c r="V683" i="3"/>
  <c r="U585" i="3"/>
  <c r="V151" i="3"/>
  <c r="Y151" i="3" s="1"/>
  <c r="U98" i="3"/>
  <c r="U721" i="3"/>
  <c r="U85" i="3"/>
  <c r="U338" i="3"/>
  <c r="U312" i="3"/>
  <c r="U933" i="3"/>
  <c r="U934" i="3"/>
  <c r="U923" i="3"/>
  <c r="V666" i="3"/>
  <c r="V265" i="3"/>
  <c r="V277" i="3"/>
  <c r="V763" i="3"/>
  <c r="Y763" i="3" s="1"/>
  <c r="V302" i="3"/>
  <c r="Y302" i="3" s="1"/>
  <c r="V490" i="3"/>
  <c r="V212" i="3"/>
  <c r="V294" i="3"/>
  <c r="V837" i="3"/>
  <c r="V611" i="3"/>
  <c r="V727" i="3"/>
  <c r="V60" i="3"/>
  <c r="Y60" i="3" s="1"/>
  <c r="U787" i="3"/>
  <c r="U812" i="3"/>
  <c r="V434" i="3"/>
  <c r="U515" i="3"/>
  <c r="Y515" i="3" s="1"/>
  <c r="V442" i="3"/>
  <c r="U451" i="3"/>
  <c r="Y451" i="3" s="1"/>
  <c r="V47" i="3"/>
  <c r="V46" i="3"/>
  <c r="V82" i="3"/>
  <c r="V103" i="3"/>
  <c r="U187" i="3"/>
  <c r="V351" i="3"/>
  <c r="U495" i="3"/>
  <c r="U330" i="3"/>
  <c r="U627" i="3"/>
  <c r="V93" i="3"/>
  <c r="V511" i="3"/>
  <c r="Y511" i="3" s="1"/>
  <c r="V174" i="3"/>
  <c r="V680" i="3"/>
  <c r="Y680" i="3" s="1"/>
  <c r="V509" i="3"/>
  <c r="V419" i="3"/>
  <c r="Y419" i="3" s="1"/>
  <c r="V862" i="3"/>
  <c r="V994" i="3"/>
  <c r="U281" i="3"/>
  <c r="V573" i="3"/>
  <c r="V286" i="3"/>
  <c r="Y286" i="3" s="1"/>
  <c r="V506" i="3"/>
  <c r="V804" i="3"/>
  <c r="U886" i="3"/>
  <c r="Y886" i="3" s="1"/>
  <c r="V906" i="3"/>
  <c r="U139" i="3"/>
  <c r="Y534" i="3"/>
  <c r="Y919" i="3"/>
  <c r="Y936" i="3"/>
  <c r="Y738" i="3"/>
  <c r="Y926" i="3"/>
  <c r="Y17" i="3"/>
  <c r="Y198" i="3"/>
  <c r="Y438" i="3"/>
  <c r="V966" i="3"/>
  <c r="V710" i="3"/>
  <c r="Y739" i="3"/>
  <c r="Y32" i="3"/>
  <c r="V359" i="3"/>
  <c r="V342" i="3"/>
  <c r="V541" i="3"/>
  <c r="V798" i="3"/>
  <c r="V417" i="3"/>
  <c r="V524" i="3"/>
  <c r="Y35" i="3"/>
  <c r="V721" i="3"/>
  <c r="V63" i="3"/>
  <c r="Y932" i="3"/>
  <c r="V390" i="3"/>
  <c r="Y390" i="3" s="1"/>
  <c r="Y504" i="3"/>
  <c r="V424" i="3"/>
  <c r="Y567" i="3"/>
  <c r="V714" i="3"/>
  <c r="V164" i="3"/>
  <c r="Y164" i="3" s="1"/>
  <c r="V392" i="3"/>
  <c r="Y392" i="3" s="1"/>
  <c r="V370" i="3"/>
  <c r="Y370" i="3" s="1"/>
  <c r="V945" i="3"/>
  <c r="V597" i="3"/>
  <c r="V120" i="3"/>
  <c r="Y163" i="3"/>
  <c r="Y118" i="3"/>
  <c r="Y927" i="3"/>
  <c r="V78" i="3"/>
  <c r="V688" i="3"/>
  <c r="Y688" i="3" s="1"/>
  <c r="V742" i="3"/>
  <c r="Y742" i="3" s="1"/>
  <c r="V745" i="3"/>
  <c r="V180" i="3"/>
  <c r="V865" i="3"/>
  <c r="V996" i="3"/>
  <c r="V469" i="3"/>
  <c r="V677" i="3"/>
  <c r="Y677" i="3" s="1"/>
  <c r="V86" i="3"/>
  <c r="V459" i="3"/>
  <c r="Y459" i="3" s="1"/>
  <c r="V507" i="3"/>
  <c r="V430" i="3"/>
  <c r="V750" i="3"/>
  <c r="V550" i="3"/>
  <c r="Y550" i="3" s="1"/>
  <c r="Y505" i="3"/>
  <c r="V28" i="3"/>
  <c r="Y28" i="3" s="1"/>
  <c r="V492" i="3"/>
  <c r="V176" i="3"/>
  <c r="V223" i="3"/>
  <c r="Y223" i="3" s="1"/>
  <c r="Y301" i="3" l="1"/>
  <c r="Y421" i="3"/>
  <c r="Y569" i="3"/>
  <c r="Y751" i="3"/>
  <c r="Y255" i="3"/>
  <c r="Y756" i="3"/>
  <c r="Y644" i="3"/>
  <c r="Y934" i="3"/>
  <c r="Y547" i="3"/>
  <c r="Y61" i="3"/>
  <c r="Y422" i="3"/>
  <c r="Y115" i="3"/>
  <c r="Y805" i="3"/>
  <c r="Y268" i="3"/>
  <c r="Y282" i="3"/>
  <c r="Y876" i="3"/>
  <c r="Y311" i="3"/>
  <c r="Y433" i="3"/>
  <c r="Y429" i="3"/>
  <c r="Y696" i="3"/>
  <c r="Y424" i="3"/>
  <c r="Y821" i="3"/>
  <c r="Y49" i="3"/>
  <c r="Y411" i="3"/>
  <c r="Y836" i="3"/>
  <c r="Y134" i="3"/>
  <c r="Y219" i="3"/>
  <c r="Y88" i="3"/>
  <c r="Y243" i="3"/>
  <c r="Y235" i="3"/>
  <c r="Y624" i="3"/>
  <c r="Y113" i="3"/>
  <c r="Y964" i="3"/>
  <c r="Y453" i="3"/>
  <c r="Y382" i="3"/>
  <c r="Y403" i="3"/>
  <c r="Y42" i="3"/>
  <c r="Y806" i="3"/>
  <c r="Y317" i="3"/>
  <c r="Y259" i="3"/>
  <c r="Y872" i="3"/>
  <c r="Y444" i="3"/>
  <c r="Y276" i="3"/>
  <c r="Y995" i="3"/>
  <c r="Y803" i="3"/>
  <c r="Y598" i="3"/>
  <c r="Y668" i="3"/>
  <c r="O4" i="5" a="1"/>
  <c r="O4" i="5" s="1"/>
  <c r="Y55" i="3"/>
  <c r="N4" i="5" a="1"/>
  <c r="N4" i="5" s="1"/>
  <c r="Y125" i="3"/>
  <c r="Y707" i="3"/>
  <c r="Y295" i="3"/>
  <c r="Y732" i="3"/>
  <c r="Y984" i="3"/>
  <c r="Y288" i="3"/>
  <c r="Y579" i="3"/>
  <c r="Y730" i="3"/>
  <c r="Y439" i="3"/>
  <c r="Y682" i="3"/>
  <c r="Y804" i="3"/>
  <c r="Y22" i="3"/>
  <c r="Y965" i="3"/>
  <c r="Y362" i="3"/>
  <c r="Y460" i="3"/>
  <c r="Y662" i="3"/>
  <c r="Y718" i="3"/>
  <c r="Y837" i="3"/>
  <c r="Y97" i="3"/>
  <c r="Y93" i="3"/>
  <c r="Y900" i="3"/>
  <c r="Y266" i="3"/>
  <c r="Y443" i="3"/>
  <c r="Y434" i="3"/>
  <c r="Y119" i="3"/>
  <c r="Y343" i="3"/>
  <c r="Y66" i="3"/>
  <c r="Y121" i="3"/>
  <c r="Y533" i="3"/>
  <c r="Y769" i="3"/>
  <c r="Y321" i="3"/>
  <c r="Y215" i="3"/>
  <c r="Y604" i="3"/>
  <c r="Y234" i="3"/>
  <c r="Y491" i="3"/>
  <c r="Y603" i="3"/>
  <c r="Y627" i="3"/>
  <c r="Y643" i="3"/>
  <c r="Y475" i="3"/>
  <c r="Y133" i="3"/>
  <c r="Y481" i="3"/>
  <c r="Y825" i="3"/>
  <c r="Y330" i="3"/>
  <c r="Y831" i="3"/>
  <c r="Y746" i="3"/>
  <c r="Y204" i="3"/>
  <c r="Y819" i="3"/>
  <c r="Y573" i="3"/>
  <c r="Y4" i="3"/>
  <c r="Y704" i="3"/>
  <c r="Y468" i="3"/>
  <c r="Y835" i="3"/>
  <c r="Y788" i="3"/>
  <c r="Y348" i="3"/>
  <c r="Y447" i="3"/>
  <c r="Y783" i="3"/>
  <c r="Y210" i="3"/>
  <c r="Y102" i="3"/>
  <c r="Y195" i="3"/>
  <c r="Y797" i="3"/>
  <c r="Y373" i="3"/>
  <c r="Y455" i="3"/>
  <c r="Y655" i="3"/>
  <c r="Y792" i="3"/>
  <c r="Y428" i="3"/>
  <c r="Y870" i="3"/>
  <c r="Y618" i="3"/>
  <c r="Y170" i="3"/>
  <c r="Y420" i="3"/>
  <c r="Y544" i="3"/>
  <c r="Y245" i="3"/>
  <c r="Y399" i="3"/>
  <c r="Y630" i="3"/>
  <c r="Y855" i="3"/>
  <c r="Y107" i="3"/>
  <c r="Y975" i="3"/>
  <c r="Y289" i="3"/>
  <c r="Y79" i="3"/>
  <c r="Y986" i="3"/>
  <c r="Y484" i="3"/>
  <c r="Y274" i="3"/>
  <c r="Y225" i="3"/>
  <c r="Y358" i="3"/>
  <c r="Y660" i="3"/>
  <c r="Y110" i="3"/>
  <c r="Y979" i="3"/>
  <c r="Y480" i="3"/>
  <c r="Y659" i="3"/>
  <c r="Y364" i="3"/>
  <c r="Y980" i="3"/>
  <c r="Y888" i="3"/>
  <c r="Y338" i="3"/>
  <c r="Y48" i="3"/>
  <c r="Y935" i="3"/>
  <c r="Y709" i="3"/>
  <c r="Y139" i="3"/>
  <c r="Y663" i="3"/>
  <c r="Y140" i="3"/>
  <c r="Y978" i="3"/>
  <c r="Y706" i="3"/>
  <c r="Y830" i="3"/>
  <c r="Y176" i="3"/>
  <c r="Y564" i="3"/>
  <c r="Y955" i="3"/>
  <c r="Y782" i="3"/>
  <c r="Y612" i="3"/>
  <c r="Y145" i="3"/>
  <c r="Y776" i="3"/>
  <c r="Y305" i="3"/>
  <c r="Y996" i="3"/>
  <c r="Y314" i="3"/>
  <c r="Y316" i="3"/>
  <c r="Y78" i="3"/>
  <c r="Y563" i="3"/>
  <c r="Y299" i="3"/>
  <c r="Y954" i="3"/>
  <c r="Y294" i="3"/>
  <c r="Y748" i="3"/>
  <c r="Y970" i="3"/>
  <c r="Y84" i="3"/>
  <c r="Y154" i="3"/>
  <c r="Y551" i="3"/>
  <c r="Y19" i="3"/>
  <c r="Y884" i="3"/>
  <c r="Y254" i="3"/>
  <c r="Y231" i="3"/>
  <c r="Y168" i="3"/>
  <c r="Y880" i="3"/>
  <c r="Y897" i="3"/>
  <c r="Y33" i="3"/>
  <c r="Y99" i="3"/>
  <c r="Y432" i="3"/>
  <c r="Y917" i="3"/>
  <c r="Y91" i="3"/>
  <c r="Y543" i="3"/>
  <c r="Y585" i="3"/>
  <c r="Y847" i="3"/>
  <c r="Y365" i="3"/>
  <c r="Y800" i="3"/>
  <c r="Y558" i="3"/>
  <c r="Y86" i="3"/>
  <c r="Y137" i="3"/>
  <c r="Y372" i="3"/>
  <c r="Y143" i="3"/>
  <c r="Y211" i="3"/>
  <c r="Y172" i="3"/>
  <c r="Y514" i="3"/>
  <c r="Y351" i="3"/>
  <c r="Y703" i="3"/>
  <c r="Y971" i="3"/>
  <c r="Y757" i="3"/>
  <c r="Y463" i="3"/>
  <c r="Y209" i="3"/>
  <c r="Y202" i="3"/>
  <c r="Y379" i="3"/>
  <c r="Y386" i="3"/>
  <c r="Y620" i="3"/>
  <c r="Y414" i="3"/>
  <c r="Y737" i="3"/>
  <c r="Y507" i="3"/>
  <c r="Y111" i="3"/>
  <c r="Y196" i="3"/>
  <c r="Y112" i="3"/>
  <c r="Y138" i="3"/>
  <c r="Y779" i="3"/>
  <c r="Y103" i="3"/>
  <c r="Y729" i="3"/>
  <c r="Y878" i="3"/>
  <c r="Y20" i="3"/>
  <c r="Y728" i="3"/>
  <c r="Y247" i="3"/>
  <c r="Y820" i="3"/>
  <c r="Y64" i="3"/>
  <c r="Y423" i="3"/>
  <c r="Y717" i="3"/>
  <c r="Y80" i="3"/>
  <c r="Y960" i="3"/>
  <c r="Y6" i="3"/>
  <c r="Y320" i="3"/>
  <c r="Y427" i="3"/>
  <c r="Y347" i="3"/>
  <c r="Y641" i="3"/>
  <c r="Y214" i="3"/>
  <c r="Y694" i="3"/>
  <c r="Y731" i="3"/>
  <c r="Y801" i="3"/>
  <c r="Y522" i="3"/>
  <c r="Y724" i="3"/>
  <c r="Y859" i="3"/>
  <c r="Y416" i="3"/>
  <c r="Y758" i="3"/>
  <c r="Y802" i="3"/>
  <c r="Y985" i="3"/>
  <c r="Y114" i="3"/>
  <c r="Y452" i="3"/>
  <c r="Y25" i="3"/>
  <c r="Y860" i="3"/>
  <c r="Y159" i="3"/>
  <c r="Y789" i="3"/>
  <c r="Y833" i="3"/>
  <c r="Y496" i="3"/>
  <c r="Y555" i="3"/>
  <c r="Y54" i="3"/>
  <c r="Y241" i="3"/>
  <c r="Y889" i="3"/>
  <c r="Y693" i="3"/>
  <c r="Y903" i="3"/>
  <c r="Y357" i="3"/>
  <c r="Y185" i="3"/>
  <c r="Y341" i="3"/>
  <c r="Y687" i="3"/>
  <c r="Y165" i="3"/>
  <c r="Y969" i="3"/>
  <c r="Y702" i="3"/>
  <c r="Y472" i="3"/>
  <c r="Y639" i="3"/>
  <c r="Y232" i="3"/>
  <c r="Y186" i="3"/>
  <c r="Y916" i="3"/>
  <c r="Y142" i="3"/>
  <c r="Y881" i="3"/>
  <c r="Y968" i="3"/>
  <c r="Y966" i="3"/>
  <c r="Y200" i="3"/>
  <c r="Y180" i="3"/>
  <c r="Y120" i="3"/>
  <c r="Y894" i="3"/>
  <c r="Y584" i="3"/>
  <c r="Y65" i="3"/>
  <c r="Y791" i="3"/>
  <c r="Y545" i="3"/>
  <c r="Y767" i="3"/>
  <c r="Y217" i="3"/>
  <c r="Y915" i="3"/>
  <c r="Y760" i="3"/>
  <c r="Y562" i="3"/>
  <c r="Y637" i="3"/>
  <c r="Y308" i="3"/>
  <c r="Y991" i="3"/>
  <c r="Y462" i="3"/>
  <c r="Y519" i="3"/>
  <c r="Y402" i="3"/>
  <c r="Y441" i="3"/>
  <c r="Y87" i="3"/>
  <c r="Y92" i="3"/>
  <c r="Y5" i="3"/>
  <c r="Y993" i="3"/>
  <c r="Y147" i="3"/>
  <c r="Y710" i="3"/>
  <c r="Y380" i="3"/>
  <c r="Y331" i="3"/>
  <c r="Y11" i="3"/>
  <c r="Y213" i="3"/>
  <c r="Y796" i="3"/>
  <c r="Y656" i="3"/>
  <c r="Y131" i="3"/>
  <c r="Y167" i="3"/>
  <c r="Y865" i="3"/>
  <c r="Y124" i="3"/>
  <c r="Y874" i="3"/>
  <c r="Y967" i="3"/>
  <c r="Y430" i="3"/>
  <c r="Y238" i="3"/>
  <c r="Y848" i="3"/>
  <c r="Y189" i="3"/>
  <c r="Y190" i="3"/>
  <c r="Y905" i="3"/>
  <c r="Y890" i="3"/>
  <c r="Y495" i="3"/>
  <c r="Y958" i="3"/>
  <c r="Y809" i="3"/>
  <c r="Y749" i="3"/>
  <c r="Y413" i="3"/>
  <c r="Y47" i="3"/>
  <c r="Y175" i="3"/>
  <c r="Y542" i="3"/>
  <c r="Y575" i="3"/>
  <c r="Y646" i="3"/>
  <c r="Y333" i="3"/>
  <c r="Y73" i="3"/>
  <c r="Y381" i="3"/>
  <c r="Y840" i="3"/>
  <c r="Y71" i="3"/>
  <c r="Y852" i="3"/>
  <c r="Y367" i="3"/>
  <c r="Y493" i="3"/>
  <c r="Y834" i="3"/>
  <c r="Y233" i="3"/>
  <c r="Y857" i="3"/>
  <c r="Y394" i="3"/>
  <c r="Y250" i="3"/>
  <c r="Y642" i="3"/>
  <c r="Y982" i="3"/>
  <c r="Y265" i="3"/>
  <c r="Y244" i="3"/>
  <c r="Y521" i="3"/>
  <c r="Y531" i="3"/>
  <c r="Y944" i="3"/>
  <c r="Y488" i="3"/>
  <c r="Y906" i="3"/>
  <c r="Y328" i="3"/>
  <c r="Y602" i="3"/>
  <c r="Y412" i="3"/>
  <c r="Y583" i="3"/>
  <c r="Y910" i="3"/>
  <c r="Y283" i="3"/>
  <c r="Y158" i="3"/>
  <c r="Y366" i="3"/>
  <c r="Y948" i="3"/>
  <c r="Y337" i="3"/>
  <c r="Y759" i="3"/>
  <c r="Y871" i="3"/>
  <c r="Y326" i="3"/>
  <c r="Y10" i="3"/>
  <c r="Y828" i="3"/>
  <c r="Y307" i="3"/>
  <c r="Y442" i="3"/>
  <c r="Y98" i="3"/>
  <c r="Y344" i="3"/>
  <c r="Y128" i="3"/>
  <c r="Y780" i="3"/>
  <c r="Y500" i="3"/>
  <c r="Y406" i="3"/>
  <c r="Y631" i="3"/>
  <c r="Y726" i="3"/>
  <c r="Y645" i="3"/>
  <c r="Y861" i="3"/>
  <c r="Y768" i="3"/>
  <c r="Y171" i="3"/>
  <c r="Y378" i="3"/>
  <c r="Y841" i="3"/>
  <c r="Y822" i="3"/>
  <c r="Y277" i="3"/>
  <c r="Y415" i="3"/>
  <c r="Y72" i="3"/>
  <c r="Y446" i="3"/>
  <c r="Y425" i="3"/>
  <c r="Y194" i="3"/>
  <c r="Y256" i="3"/>
  <c r="Y981" i="3"/>
  <c r="Y873" i="3"/>
  <c r="Y674" i="3"/>
  <c r="Y18" i="3"/>
  <c r="Y100" i="3"/>
  <c r="Y853" i="3"/>
  <c r="Y58" i="3"/>
  <c r="Y673" i="3"/>
  <c r="Y470" i="3"/>
  <c r="Y75" i="3"/>
  <c r="Y838" i="3"/>
  <c r="Y39" i="3"/>
  <c r="Y271" i="3"/>
  <c r="Y77" i="3"/>
  <c r="Y342" i="3"/>
  <c r="Y281" i="3"/>
  <c r="Y229" i="3"/>
  <c r="Y586" i="3"/>
  <c r="Y798" i="3"/>
  <c r="Y994" i="3"/>
  <c r="Y187" i="3"/>
  <c r="Y477" i="3"/>
  <c r="Y296" i="3"/>
  <c r="Y454" i="3"/>
  <c r="Y681" i="3"/>
  <c r="Y664" i="3"/>
  <c r="Y951" i="3"/>
  <c r="Y947" i="3"/>
  <c r="Y722" i="3"/>
  <c r="Y27" i="3"/>
  <c r="Y179" i="3"/>
  <c r="Y933" i="3"/>
  <c r="Y312" i="3"/>
  <c r="Y502" i="3"/>
  <c r="Y566" i="3"/>
  <c r="Y765" i="3"/>
  <c r="Y359" i="3"/>
  <c r="Y46" i="3"/>
  <c r="Y568" i="3"/>
  <c r="Y565" i="3"/>
  <c r="Y811" i="3"/>
  <c r="Y340" i="3"/>
  <c r="Y389" i="3"/>
  <c r="Y548" i="3"/>
  <c r="Y740" i="3"/>
  <c r="Y267" i="3"/>
  <c r="Y160" i="3"/>
  <c r="Y850" i="3"/>
  <c r="Y525" i="3"/>
  <c r="Y387" i="3"/>
  <c r="Y8" i="3"/>
  <c r="Y691" i="3"/>
  <c r="Y218" i="3"/>
  <c r="Y940" i="3"/>
  <c r="Y193" i="3"/>
  <c r="Y374" i="3"/>
  <c r="Y81" i="3"/>
  <c r="Y15" i="3"/>
  <c r="Y617" i="3"/>
  <c r="Y132" i="3"/>
  <c r="Y336" i="3"/>
  <c r="Y104" i="3"/>
  <c r="Y510" i="3"/>
  <c r="Y885" i="3"/>
  <c r="Y528" i="3"/>
  <c r="Y388" i="3"/>
  <c r="Y752" i="3"/>
  <c r="Y192" i="3"/>
  <c r="Y843" i="3"/>
  <c r="Y839" i="3"/>
  <c r="Y938" i="3"/>
  <c r="Y930" i="3"/>
  <c r="Y9" i="3"/>
  <c r="Y435" i="3"/>
  <c r="Y135" i="3"/>
  <c r="Y941" i="3"/>
  <c r="Y16" i="3"/>
  <c r="Y781" i="3"/>
  <c r="Y50" i="3"/>
  <c r="Y31" i="3"/>
  <c r="Y38" i="3"/>
  <c r="Y53" i="3"/>
  <c r="Y122" i="3"/>
  <c r="Y90" i="3"/>
  <c r="Y350" i="3"/>
  <c r="Y182" i="3"/>
  <c r="Y155" i="3"/>
  <c r="Y398" i="3"/>
  <c r="Y469" i="3"/>
  <c r="Y212" i="3"/>
  <c r="Y85" i="3"/>
  <c r="Y744" i="3"/>
  <c r="Y720" i="3"/>
  <c r="Y520" i="3"/>
  <c r="Y619" i="3"/>
  <c r="Y21" i="3"/>
  <c r="Y592" i="3"/>
  <c r="Y494" i="3"/>
  <c r="Y582" i="3"/>
  <c r="Y571" i="3"/>
  <c r="Y284" i="3"/>
  <c r="Y157" i="3"/>
  <c r="Y808" i="3"/>
  <c r="Y725" i="3"/>
  <c r="Y318" i="3"/>
  <c r="Y761" i="3"/>
  <c r="Y605" i="3"/>
  <c r="Y339" i="3"/>
  <c r="Y559" i="3"/>
  <c r="Y14" i="3"/>
  <c r="Y829" i="3"/>
  <c r="Y813" i="3"/>
  <c r="Y393" i="3"/>
  <c r="Y407" i="3"/>
  <c r="Y634" i="3"/>
  <c r="Y976" i="3"/>
  <c r="Y251" i="3"/>
  <c r="Y628" i="3"/>
  <c r="Y94" i="3"/>
  <c r="Y174" i="3"/>
  <c r="Y30" i="3"/>
  <c r="Y385" i="3"/>
  <c r="Y363" i="3"/>
  <c r="Y921" i="3"/>
  <c r="Y863" i="3"/>
  <c r="Y101" i="3"/>
  <c r="Y506" i="3"/>
  <c r="Y914" i="3"/>
  <c r="Y723" i="3"/>
  <c r="Y793" i="3"/>
  <c r="Y683" i="3"/>
  <c r="Y178" i="3"/>
  <c r="Y492" i="3"/>
  <c r="Y787" i="3"/>
  <c r="Y123" i="3"/>
  <c r="Y719" i="3"/>
  <c r="Y692" i="3"/>
  <c r="Y665" i="3"/>
  <c r="Y269" i="3"/>
  <c r="Y713" i="3"/>
  <c r="Y745" i="3"/>
  <c r="Y923" i="3"/>
  <c r="Y546" i="3"/>
  <c r="Y260" i="3"/>
  <c r="Y977" i="3"/>
  <c r="Y794" i="3"/>
  <c r="Y650" i="3"/>
  <c r="Y456" i="3"/>
  <c r="Y59" i="3"/>
  <c r="Y7" i="3"/>
  <c r="Y929" i="3"/>
  <c r="Y300" i="3"/>
  <c r="Y992" i="3"/>
  <c r="Y524" i="3"/>
  <c r="Y490" i="3"/>
  <c r="Y275" i="3"/>
  <c r="Y818" i="3"/>
  <c r="Y635" i="3"/>
  <c r="Y576" i="3"/>
  <c r="Y384" i="3"/>
  <c r="Y816" i="3"/>
  <c r="Y714" i="3"/>
  <c r="Y293" i="3"/>
  <c r="Y324" i="3"/>
  <c r="Y721" i="3"/>
  <c r="Y261" i="3"/>
  <c r="Y188" i="3"/>
  <c r="Y516" i="3"/>
  <c r="Y270" i="3"/>
  <c r="Y862" i="3"/>
  <c r="Y943" i="3"/>
  <c r="Y418" i="3"/>
  <c r="Y201" i="3"/>
  <c r="Y959" i="3"/>
  <c r="Y408" i="3"/>
  <c r="Y450" i="3"/>
  <c r="Y445" i="3"/>
  <c r="Y83" i="3"/>
  <c r="Y327" i="3"/>
  <c r="Y952" i="3"/>
  <c r="Y613" i="3"/>
  <c r="Y527" i="3"/>
  <c r="Y989" i="3"/>
  <c r="Y810" i="3"/>
  <c r="Y812" i="3"/>
  <c r="Y263" i="3"/>
  <c r="Y580" i="3"/>
  <c r="Y369" i="3"/>
  <c r="Y63" i="3"/>
  <c r="Y332" i="3"/>
  <c r="Y206" i="3"/>
  <c r="Y323" i="3"/>
  <c r="Y770" i="3"/>
  <c r="Y773" i="3"/>
  <c r="Y699" i="3"/>
  <c r="Y657" i="3"/>
  <c r="Y82" i="3"/>
  <c r="Y292" i="3"/>
  <c r="Y587" i="3"/>
  <c r="Y697" i="3"/>
  <c r="Y911" i="3"/>
  <c r="Y597" i="3"/>
  <c r="Y509" i="3"/>
  <c r="Y356" i="3"/>
  <c r="Y815" i="3"/>
  <c r="Y95" i="3"/>
  <c r="Y649" i="3"/>
  <c r="Y851" i="3"/>
  <c r="Y236" i="3"/>
  <c r="Y377" i="3"/>
  <c r="Y750" i="3"/>
  <c r="Y727" i="3"/>
  <c r="Y532" i="3"/>
  <c r="Y743" i="3"/>
  <c r="Y426" i="3"/>
  <c r="Y611" i="3"/>
  <c r="Y205" i="3"/>
  <c r="Y651" i="3"/>
  <c r="Y891" i="3"/>
  <c r="Y503" i="3"/>
  <c r="Y368" i="3"/>
  <c r="Y666" i="3"/>
  <c r="Y497" i="3"/>
  <c r="Y945" i="3"/>
  <c r="Y417" i="3"/>
  <c r="Y541" i="3"/>
  <c r="B15" i="10" l="1"/>
  <c r="Z4" i="3" a="1"/>
  <c r="Z4" i="3" s="1"/>
  <c r="AC2" i="3"/>
  <c r="C1104" i="5" l="1"/>
  <c r="C198" i="5"/>
  <c r="C1417" i="5"/>
  <c r="C578" i="5"/>
  <c r="C177" i="5"/>
  <c r="C720" i="5"/>
  <c r="C1241" i="5"/>
  <c r="C594" i="5"/>
  <c r="C1481" i="5"/>
  <c r="C3" i="5"/>
  <c r="C1179" i="5"/>
  <c r="C183" i="5"/>
  <c r="C1385" i="5"/>
  <c r="C309" i="5"/>
  <c r="C1431" i="5"/>
  <c r="C6" i="5"/>
  <c r="C342" i="5"/>
  <c r="C782" i="5"/>
  <c r="C726" i="5"/>
  <c r="C826" i="5"/>
  <c r="C1157" i="5"/>
  <c r="C1258" i="5"/>
  <c r="C1456" i="5"/>
  <c r="C1316" i="5"/>
  <c r="C319" i="5"/>
  <c r="C714" i="5"/>
  <c r="C967" i="5"/>
  <c r="C816" i="5"/>
  <c r="C299" i="5"/>
  <c r="C1327" i="5"/>
  <c r="C882" i="5"/>
  <c r="C625" i="5"/>
  <c r="C1031" i="5"/>
  <c r="C321" i="5"/>
  <c r="C1390" i="5"/>
  <c r="C118" i="5"/>
  <c r="C130" i="5"/>
  <c r="C340" i="5"/>
  <c r="C691" i="5"/>
  <c r="C8" i="5"/>
  <c r="C503" i="5"/>
  <c r="C10" i="5"/>
  <c r="C472" i="5"/>
  <c r="C375" i="5"/>
  <c r="C1350" i="5"/>
  <c r="C1276" i="5"/>
  <c r="C418" i="5"/>
  <c r="C140" i="5"/>
  <c r="C1325" i="5"/>
  <c r="C1330" i="5"/>
  <c r="C419" i="5"/>
  <c r="C13" i="5"/>
  <c r="C1277" i="5"/>
  <c r="C150" i="5"/>
  <c r="C1024" i="5"/>
  <c r="C406" i="5"/>
  <c r="C565" i="5"/>
  <c r="C844" i="5"/>
  <c r="C349" i="5"/>
  <c r="C12" i="5"/>
  <c r="C954" i="5"/>
  <c r="C968" i="5"/>
  <c r="C452" i="5"/>
  <c r="C942" i="5"/>
  <c r="C649" i="5"/>
  <c r="C330" i="5"/>
  <c r="C259" i="5"/>
  <c r="C102" i="5"/>
  <c r="C1419" i="5"/>
  <c r="C1442" i="5"/>
  <c r="C203" i="5"/>
  <c r="C1338" i="5"/>
  <c r="C1095" i="5"/>
  <c r="C911" i="5"/>
  <c r="C360" i="5"/>
  <c r="C1358" i="5"/>
  <c r="C879" i="5"/>
  <c r="C817" i="5"/>
  <c r="C713" i="5"/>
  <c r="C138" i="5"/>
  <c r="C743" i="5"/>
  <c r="C55" i="5"/>
  <c r="C43" i="5"/>
  <c r="C445" i="5"/>
  <c r="C695" i="5"/>
  <c r="C876" i="5"/>
  <c r="C808" i="5"/>
  <c r="C482" i="5"/>
  <c r="C647" i="5"/>
  <c r="C1311" i="5"/>
  <c r="C246" i="5"/>
  <c r="C69" i="5"/>
  <c r="C1267" i="5"/>
  <c r="C110" i="5"/>
  <c r="C1260" i="5"/>
  <c r="C812" i="5"/>
  <c r="C891" i="5"/>
  <c r="C1368" i="5"/>
  <c r="C463" i="5"/>
  <c r="C786" i="5"/>
  <c r="C29" i="5"/>
  <c r="C134" i="5"/>
  <c r="C778" i="5"/>
  <c r="C165" i="5"/>
  <c r="C62" i="5"/>
  <c r="C298" i="5"/>
  <c r="C1253" i="5"/>
  <c r="C718" i="5"/>
  <c r="C1028" i="5"/>
  <c r="C925" i="5"/>
  <c r="C965" i="5"/>
  <c r="C1383" i="5"/>
  <c r="C693" i="5"/>
  <c r="C919" i="5"/>
  <c r="C290" i="5"/>
  <c r="C439" i="5"/>
  <c r="C1239" i="5"/>
  <c r="C411" i="5"/>
  <c r="C795" i="5"/>
  <c r="C1220" i="5"/>
  <c r="C1377" i="5"/>
  <c r="C525" i="5"/>
  <c r="C1430" i="5"/>
  <c r="C1142" i="5"/>
  <c r="C736" i="5"/>
  <c r="C524" i="5"/>
  <c r="C1121" i="5"/>
  <c r="C1025" i="5"/>
  <c r="C1017" i="5"/>
  <c r="C251" i="5"/>
  <c r="C1296" i="5"/>
  <c r="C899" i="5"/>
  <c r="C192" i="5"/>
  <c r="C1124" i="5"/>
  <c r="C675" i="5"/>
  <c r="C1282" i="5"/>
  <c r="C347" i="5"/>
  <c r="C1126" i="5"/>
  <c r="C528" i="5"/>
  <c r="C1043" i="5"/>
  <c r="C103" i="5"/>
  <c r="C107" i="5"/>
  <c r="C346" i="5"/>
  <c r="C562" i="5"/>
  <c r="C1229" i="5"/>
  <c r="C999" i="5"/>
  <c r="C823" i="5"/>
  <c r="C1473" i="5"/>
  <c r="C32" i="5"/>
  <c r="C1244" i="5"/>
  <c r="C1254" i="5"/>
  <c r="C824" i="5"/>
  <c r="C977" i="5"/>
  <c r="C1169" i="5"/>
  <c r="C313" i="5"/>
  <c r="C171" i="5"/>
  <c r="C224" i="5"/>
  <c r="C1256" i="5"/>
  <c r="C555" i="5"/>
  <c r="C1167" i="5"/>
  <c r="C294" i="5"/>
  <c r="C1341" i="5"/>
  <c r="C181" i="5"/>
  <c r="C1381" i="5"/>
  <c r="C302" i="5"/>
  <c r="C1067" i="5"/>
  <c r="C113" i="5"/>
  <c r="C407" i="5"/>
  <c r="C1379" i="5"/>
  <c r="C127" i="5"/>
  <c r="C1016" i="5"/>
  <c r="C300" i="5"/>
  <c r="C758" i="5"/>
  <c r="C1237" i="5"/>
  <c r="C589" i="5"/>
  <c r="C996" i="5"/>
  <c r="C863" i="5"/>
  <c r="C153" i="5"/>
  <c r="C260" i="5"/>
  <c r="C412" i="5"/>
  <c r="C48" i="5"/>
  <c r="C47" i="5"/>
  <c r="C1251" i="5"/>
  <c r="C414" i="5"/>
  <c r="C250" i="5"/>
  <c r="C1408" i="5"/>
  <c r="C1438" i="5"/>
  <c r="C1447" i="5"/>
  <c r="C379" i="5"/>
  <c r="C1314" i="5"/>
  <c r="C345" i="5"/>
  <c r="C455" i="5"/>
  <c r="C1233" i="5"/>
  <c r="C897" i="5"/>
  <c r="C612" i="5"/>
  <c r="C549" i="5"/>
  <c r="C768" i="5"/>
  <c r="C1088" i="5"/>
  <c r="C219" i="5"/>
  <c r="C642" i="5"/>
  <c r="C202" i="5"/>
  <c r="C570" i="5"/>
  <c r="C864" i="5"/>
  <c r="C692" i="5"/>
  <c r="C541" i="5"/>
  <c r="C106" i="5"/>
  <c r="C1297" i="5"/>
  <c r="C611" i="5"/>
  <c r="C1092" i="5"/>
  <c r="C1284" i="5"/>
  <c r="C800" i="5"/>
  <c r="C1193" i="5"/>
  <c r="C257" i="5"/>
  <c r="C122" i="5"/>
  <c r="C1056" i="5"/>
  <c r="C180" i="5"/>
  <c r="C471" i="5"/>
  <c r="C1315" i="5"/>
  <c r="C973" i="5"/>
  <c r="C413" i="5"/>
  <c r="C1272" i="5"/>
  <c r="C369" i="5"/>
  <c r="C1345" i="5"/>
  <c r="C365" i="5"/>
  <c r="C27" i="5"/>
  <c r="C937" i="5"/>
  <c r="C233" i="5"/>
  <c r="C1478" i="5"/>
  <c r="C1162" i="5"/>
  <c r="C1362" i="5"/>
  <c r="C1337" i="5"/>
  <c r="C373" i="5"/>
  <c r="C139" i="5"/>
  <c r="C1131" i="5"/>
  <c r="C1459" i="5"/>
  <c r="C1161" i="5"/>
  <c r="C883" i="5"/>
  <c r="C688" i="5"/>
  <c r="C984" i="5"/>
  <c r="C1312" i="5"/>
  <c r="C957" i="5"/>
  <c r="C596" i="5"/>
  <c r="C1038" i="5"/>
  <c r="C1119" i="5"/>
  <c r="C902" i="5"/>
  <c r="C1326" i="5"/>
  <c r="C464" i="5"/>
  <c r="C1366" i="5"/>
  <c r="C39" i="5"/>
  <c r="C443" i="5"/>
  <c r="C204" i="5"/>
  <c r="C850" i="5"/>
  <c r="C263" i="5"/>
  <c r="C1008" i="5"/>
  <c r="C270" i="5"/>
  <c r="C1395" i="5"/>
  <c r="C334" i="5"/>
  <c r="C978" i="5"/>
  <c r="C1048" i="5"/>
  <c r="C730" i="5"/>
  <c r="C382" i="5"/>
  <c r="C1339" i="5"/>
  <c r="C268" i="5"/>
  <c r="C1057" i="5"/>
  <c r="C362" i="5"/>
  <c r="C1078" i="5"/>
  <c r="C1114" i="5"/>
  <c r="C338" i="5"/>
  <c r="C73" i="5"/>
  <c r="C356" i="5"/>
  <c r="C1446" i="5"/>
  <c r="C842" i="5"/>
  <c r="C77" i="5"/>
  <c r="C322" i="5"/>
  <c r="C189" i="5"/>
  <c r="C1183" i="5"/>
  <c r="C781" i="5"/>
  <c r="C456" i="5"/>
  <c r="C1146" i="5"/>
  <c r="C93" i="5"/>
  <c r="C205" i="5"/>
  <c r="C1440" i="5"/>
  <c r="C1238" i="5"/>
  <c r="C1353" i="5"/>
  <c r="C766" i="5"/>
  <c r="C631" i="5"/>
  <c r="C420" i="5"/>
  <c r="C86" i="5"/>
  <c r="C1270" i="5"/>
  <c r="C1106" i="5"/>
  <c r="C20" i="5"/>
  <c r="C668" i="5"/>
  <c r="C569" i="5"/>
  <c r="C1402" i="5"/>
  <c r="C475" i="5"/>
  <c r="C271" i="5"/>
  <c r="C431" i="5"/>
  <c r="C750" i="5"/>
  <c r="C304" i="5"/>
  <c r="C1448" i="5"/>
  <c r="C461" i="5"/>
  <c r="C752" i="5"/>
  <c r="C333" i="5"/>
  <c r="C1357" i="5"/>
  <c r="C424" i="5"/>
  <c r="C663" i="5"/>
  <c r="C545" i="5"/>
  <c r="C465" i="5"/>
  <c r="C702" i="5"/>
  <c r="C1029" i="5"/>
  <c r="C1046" i="5"/>
  <c r="C574" i="5"/>
  <c r="C1242" i="5"/>
  <c r="C1202" i="5"/>
  <c r="C400" i="5"/>
  <c r="C1455" i="5"/>
  <c r="C1439" i="5"/>
  <c r="C433" i="5"/>
  <c r="C733" i="5"/>
  <c r="C1376" i="5"/>
  <c r="C1375" i="5"/>
  <c r="C241" i="5"/>
  <c r="C777" i="5"/>
  <c r="C1081" i="5"/>
  <c r="C1467" i="5"/>
  <c r="C466" i="5"/>
  <c r="C885" i="5"/>
  <c r="C1135" i="5"/>
  <c r="C56" i="5"/>
  <c r="C163" i="5"/>
  <c r="C477" i="5"/>
  <c r="C516" i="5"/>
  <c r="C804" i="5"/>
  <c r="C710" i="5"/>
  <c r="C701" i="5"/>
  <c r="C724" i="5"/>
  <c r="C889" i="5"/>
  <c r="C1013" i="5"/>
  <c r="C1318" i="5"/>
  <c r="C561" i="5"/>
  <c r="C52" i="5"/>
  <c r="C504" i="5"/>
  <c r="C660" i="5"/>
  <c r="C512" i="5"/>
  <c r="C719" i="5"/>
  <c r="C142" i="5"/>
  <c r="C670" i="5"/>
  <c r="C566" i="5"/>
  <c r="C326" i="5"/>
  <c r="C894" i="5"/>
  <c r="C1066" i="5"/>
  <c r="C305" i="5"/>
  <c r="C383" i="5"/>
  <c r="C402" i="5"/>
  <c r="C79" i="5"/>
  <c r="C753" i="5"/>
  <c r="C449" i="5"/>
  <c r="C470" i="5"/>
  <c r="C497" i="5"/>
  <c r="C1250" i="5"/>
  <c r="C529" i="5"/>
  <c r="C172" i="5"/>
  <c r="C922" i="5"/>
  <c r="C351" i="5"/>
  <c r="C1420" i="5"/>
  <c r="C818" i="5"/>
  <c r="C1039" i="5"/>
  <c r="C336" i="5"/>
  <c r="C559" i="5"/>
  <c r="C935" i="5"/>
  <c r="C669" i="5"/>
  <c r="C767" i="5"/>
  <c r="C1047" i="5"/>
  <c r="C1170" i="5"/>
  <c r="C1194" i="5"/>
  <c r="C1468" i="5"/>
  <c r="C194" i="5"/>
  <c r="C793" i="5"/>
  <c r="C434" i="5"/>
  <c r="C1080" i="5"/>
  <c r="C852" i="5"/>
  <c r="C315" i="5"/>
  <c r="C167" i="5"/>
  <c r="C1449" i="5"/>
  <c r="C588" i="5"/>
  <c r="C1109" i="5"/>
  <c r="C479" i="5"/>
  <c r="C636" i="5"/>
  <c r="C790" i="5"/>
  <c r="C1401" i="5"/>
  <c r="C1217" i="5"/>
  <c r="C929" i="5"/>
  <c r="C1476" i="5"/>
  <c r="C1462" i="5"/>
  <c r="C1020" i="5"/>
  <c r="C303" i="5"/>
  <c r="C117" i="5"/>
  <c r="C376" i="5"/>
  <c r="C822" i="5"/>
  <c r="C535" i="5"/>
  <c r="C148" i="5"/>
  <c r="C1434" i="5"/>
  <c r="C1165" i="5"/>
  <c r="C1255" i="5"/>
  <c r="C1335" i="5"/>
  <c r="C811" i="5"/>
  <c r="C1139" i="5"/>
  <c r="C1015" i="5"/>
  <c r="C1151" i="5"/>
  <c r="C530" i="5"/>
  <c r="C1163" i="5"/>
  <c r="C1465" i="5"/>
  <c r="C207" i="5"/>
  <c r="C905" i="5"/>
  <c r="C1023" i="5"/>
  <c r="C906" i="5"/>
  <c r="C1224" i="5"/>
  <c r="C948" i="5"/>
  <c r="C700" i="5"/>
  <c r="C523" i="5"/>
  <c r="C72" i="5"/>
  <c r="C227" i="5"/>
  <c r="C1428" i="5"/>
  <c r="C843" i="5"/>
  <c r="C1259" i="5"/>
  <c r="C1030" i="5"/>
  <c r="C223" i="5"/>
  <c r="C1036" i="5"/>
  <c r="C1141" i="5"/>
  <c r="C1230" i="5"/>
  <c r="C481" i="5"/>
  <c r="C986" i="5"/>
  <c r="C1014" i="5"/>
  <c r="C38" i="5"/>
  <c r="C403" i="5"/>
  <c r="C329" i="5"/>
  <c r="C998" i="5"/>
  <c r="C1283" i="5"/>
  <c r="C606" i="5"/>
  <c r="C364" i="5"/>
  <c r="C543" i="5"/>
  <c r="C1112" i="5"/>
  <c r="C603" i="5"/>
  <c r="C1134" i="5"/>
  <c r="C511" i="5"/>
  <c r="C206" i="5"/>
  <c r="C708" i="5"/>
  <c r="C185" i="5"/>
  <c r="C912" i="5"/>
  <c r="C904" i="5"/>
  <c r="C859" i="5"/>
  <c r="C1423" i="5"/>
  <c r="C141" i="5"/>
  <c r="C1346" i="5"/>
  <c r="C84" i="5"/>
  <c r="C1380" i="5"/>
  <c r="C1382" i="5"/>
  <c r="C112" i="5"/>
  <c r="C1472" i="5"/>
  <c r="C1185" i="5"/>
  <c r="C645" i="5"/>
  <c r="C507" i="5"/>
  <c r="C1232" i="5"/>
  <c r="C391" i="5"/>
  <c r="C1273" i="5"/>
  <c r="C1098" i="5"/>
  <c r="C604" i="5"/>
  <c r="C85" i="5"/>
  <c r="C1085" i="5"/>
  <c r="C728" i="5"/>
  <c r="C208" i="5"/>
  <c r="C1410" i="5"/>
  <c r="C1182" i="5"/>
  <c r="C673" i="5"/>
  <c r="C173" i="5"/>
  <c r="C115" i="5"/>
  <c r="C361" i="5"/>
  <c r="C821" i="5"/>
  <c r="C699" i="5"/>
  <c r="C644" i="5"/>
  <c r="C624" i="5"/>
  <c r="C170" i="5"/>
  <c r="C1042" i="5"/>
  <c r="C151" i="5"/>
  <c r="C156" i="5"/>
  <c r="C399" i="5"/>
  <c r="C1405" i="5"/>
  <c r="C923" i="5"/>
  <c r="C654" i="5"/>
  <c r="C42" i="5"/>
  <c r="C831" i="5"/>
  <c r="C520" i="5"/>
  <c r="C833" i="5"/>
  <c r="C784" i="5"/>
  <c r="C339" i="5"/>
  <c r="C152" i="5"/>
  <c r="C1035" i="5"/>
  <c r="C28" i="5"/>
  <c r="C870" i="5"/>
  <c r="C592" i="5"/>
  <c r="C50" i="5"/>
  <c r="C903" i="5"/>
  <c r="C881" i="5"/>
  <c r="C1123" i="5"/>
  <c r="C1000" i="5"/>
  <c r="C990" i="5"/>
  <c r="C1195" i="5"/>
  <c r="C972" i="5"/>
  <c r="C22" i="5"/>
  <c r="C425" i="5"/>
  <c r="C421" i="5"/>
  <c r="C803" i="5"/>
  <c r="C244" i="5"/>
  <c r="C694" i="5"/>
  <c r="C650" i="5"/>
  <c r="C476" i="5"/>
  <c r="C1149" i="5"/>
  <c r="C1090" i="5"/>
  <c r="C266" i="5"/>
  <c r="C234" i="5"/>
  <c r="C269" i="5"/>
  <c r="C34" i="5"/>
  <c r="C1033" i="5"/>
  <c r="C149" i="5"/>
  <c r="C674" i="5"/>
  <c r="C1223" i="5"/>
  <c r="C590" i="5"/>
  <c r="C1418" i="5"/>
  <c r="C980" i="5"/>
  <c r="C388" i="5"/>
  <c r="C95" i="5"/>
  <c r="C291" i="5"/>
  <c r="C539" i="5"/>
  <c r="C1453" i="5"/>
  <c r="C602" i="5"/>
  <c r="C898" i="5"/>
  <c r="C228" i="5"/>
  <c r="C887" i="5"/>
  <c r="C546" i="5"/>
  <c r="C284" i="5"/>
  <c r="C1291" i="5"/>
  <c r="C1108" i="5"/>
  <c r="C677" i="5"/>
  <c r="C629" i="5"/>
  <c r="C264" i="5"/>
  <c r="C1292" i="5"/>
  <c r="C325" i="5"/>
  <c r="C384" i="5"/>
  <c r="C1181" i="5"/>
  <c r="C448" i="5"/>
  <c r="C1071" i="5"/>
  <c r="C1086" i="5"/>
  <c r="C787" i="5"/>
  <c r="C678" i="5"/>
  <c r="C480" i="5"/>
  <c r="C884" i="5"/>
  <c r="C643" i="5"/>
  <c r="C1100" i="5"/>
  <c r="C262" i="5"/>
  <c r="C533" i="5"/>
  <c r="C1130" i="5"/>
  <c r="C848" i="5"/>
  <c r="C274" i="5"/>
  <c r="C955" i="5"/>
  <c r="C1160" i="5"/>
  <c r="C1177" i="5"/>
  <c r="C1298" i="5"/>
  <c r="C934" i="5"/>
  <c r="C519" i="5"/>
  <c r="C1097" i="5"/>
  <c r="C1050" i="5"/>
  <c r="C661" i="5"/>
  <c r="C1378" i="5"/>
  <c r="C92" i="5"/>
  <c r="C1404" i="5"/>
  <c r="C166" i="5"/>
  <c r="C1107" i="5"/>
  <c r="C641" i="5"/>
  <c r="C947" i="5"/>
  <c r="C436" i="5"/>
  <c r="C868" i="5"/>
  <c r="C1113" i="5"/>
  <c r="C353" i="5"/>
  <c r="C1052" i="5"/>
  <c r="C1128" i="5"/>
  <c r="C1394" i="5"/>
  <c r="C499" i="5"/>
  <c r="C21" i="5"/>
  <c r="C1140" i="5"/>
  <c r="C254" i="5"/>
  <c r="C1192" i="5"/>
  <c r="C1152" i="5"/>
  <c r="C316" i="5"/>
  <c r="C573" i="5"/>
  <c r="C337" i="5"/>
  <c r="C982" i="5"/>
  <c r="C285" i="5"/>
  <c r="C1032" i="5"/>
  <c r="C829" i="5"/>
  <c r="C104" i="5"/>
  <c r="C175" i="5"/>
  <c r="C938" i="5"/>
  <c r="C960" i="5"/>
  <c r="C1328" i="5"/>
  <c r="C377" i="5"/>
  <c r="C1340" i="5"/>
  <c r="C81" i="5"/>
  <c r="C278" i="5"/>
  <c r="C697" i="5"/>
  <c r="C1399" i="5"/>
  <c r="C1065" i="5"/>
  <c r="C63" i="5"/>
  <c r="C200" i="5"/>
  <c r="C550" i="5"/>
  <c r="C1396" i="5"/>
  <c r="C37" i="5"/>
  <c r="C1471" i="5"/>
  <c r="C1265" i="5"/>
  <c r="C1445" i="5"/>
  <c r="C635" i="5"/>
  <c r="C1436" i="5"/>
  <c r="C44" i="5"/>
  <c r="C155" i="5"/>
  <c r="C1266" i="5"/>
  <c r="C169" i="5"/>
  <c r="C1009" i="5"/>
  <c r="C467" i="5"/>
  <c r="C949" i="5"/>
  <c r="C168" i="5"/>
  <c r="C985" i="5"/>
  <c r="C1360" i="5"/>
  <c r="C521" i="5"/>
  <c r="C474" i="5"/>
  <c r="C1245" i="5"/>
  <c r="C1300" i="5"/>
  <c r="C841" i="5"/>
  <c r="C446" i="5"/>
  <c r="C483" i="5"/>
  <c r="C896" i="5"/>
  <c r="C518" i="5"/>
  <c r="C802" i="5"/>
  <c r="C99" i="5"/>
  <c r="C381" i="5"/>
  <c r="C218" i="5"/>
  <c r="C739" i="5"/>
  <c r="C581" i="5"/>
  <c r="C213" i="5"/>
  <c r="C686" i="5"/>
  <c r="C348" i="5"/>
  <c r="C1257" i="5"/>
  <c r="C1083" i="5"/>
  <c r="C1344" i="5"/>
  <c r="C556" i="5"/>
  <c r="C26" i="5"/>
  <c r="C1356" i="5"/>
  <c r="C1397" i="5"/>
  <c r="C462" i="5"/>
  <c r="C1231" i="5"/>
  <c r="C1228" i="5"/>
  <c r="C429" i="5"/>
  <c r="C932" i="5"/>
  <c r="C1059" i="5"/>
  <c r="C358" i="5"/>
  <c r="C385" i="5"/>
  <c r="C82" i="5"/>
  <c r="C1236" i="5"/>
  <c r="C1214" i="5"/>
  <c r="C1011" i="5"/>
  <c r="C890" i="5"/>
  <c r="C698" i="5"/>
  <c r="C1091" i="5"/>
  <c r="C1354" i="5"/>
  <c r="C952" i="5"/>
  <c r="C367" i="5"/>
  <c r="C242" i="5"/>
  <c r="C888" i="5"/>
  <c r="C796" i="5"/>
  <c r="C593" i="5"/>
  <c r="C355" i="5"/>
  <c r="C623" i="5"/>
  <c r="C679" i="5"/>
  <c r="C921" i="5"/>
  <c r="C401" i="5"/>
  <c r="C423" i="5"/>
  <c r="C4" i="5"/>
  <c r="C747" i="5"/>
  <c r="C14" i="5"/>
  <c r="C775" i="5"/>
  <c r="C1184" i="5"/>
  <c r="C237" i="5"/>
  <c r="C23" i="5"/>
  <c r="C1281" i="5"/>
  <c r="C1469" i="5"/>
  <c r="C547" i="5"/>
  <c r="C779" i="5"/>
  <c r="C405" i="5"/>
  <c r="C558" i="5"/>
  <c r="C161" i="5"/>
  <c r="C87" i="5"/>
  <c r="C820" i="5"/>
  <c r="C537" i="5"/>
  <c r="C900" i="5"/>
  <c r="C94" i="5"/>
  <c r="C1425" i="5"/>
  <c r="C582" i="5"/>
  <c r="C1246" i="5"/>
  <c r="C572" i="5"/>
  <c r="C49" i="5"/>
  <c r="C567" i="5"/>
  <c r="C563" i="5"/>
  <c r="C809" i="5"/>
  <c r="C1422" i="5"/>
  <c r="C1060" i="5"/>
  <c r="C184" i="5"/>
  <c r="C458" i="5"/>
  <c r="C396" i="5"/>
  <c r="C1034" i="5"/>
  <c r="C1127" i="5"/>
  <c r="C1485" i="5"/>
  <c r="C757" i="5"/>
  <c r="C306" i="5"/>
  <c r="C1190" i="5"/>
  <c r="C312" i="5"/>
  <c r="C311" i="5"/>
  <c r="C571" i="5"/>
  <c r="C1079" i="5"/>
  <c r="C716" i="5"/>
  <c r="C1132" i="5"/>
  <c r="C748" i="5"/>
  <c r="C1084" i="5"/>
  <c r="C295" i="5"/>
  <c r="C216" i="5"/>
  <c r="C209" i="5"/>
  <c r="C1286" i="5"/>
  <c r="C1018" i="5"/>
  <c r="C1219" i="5"/>
  <c r="C235" i="5"/>
  <c r="C245" i="5"/>
  <c r="C19" i="5"/>
  <c r="C723" i="5"/>
  <c r="C963" i="5"/>
  <c r="C15" i="5"/>
  <c r="C568" i="5"/>
  <c r="C190" i="5"/>
  <c r="C1200" i="5"/>
  <c r="C273" i="5"/>
  <c r="C944" i="5"/>
  <c r="C799" i="5"/>
  <c r="C1321" i="5"/>
  <c r="C248" i="5"/>
  <c r="C1103" i="5"/>
  <c r="C440" i="5"/>
  <c r="C176" i="5"/>
  <c r="C1388" i="5"/>
  <c r="C1235" i="5"/>
  <c r="C880" i="5"/>
  <c r="C164" i="5"/>
  <c r="C1136" i="5"/>
  <c r="C761" i="5"/>
  <c r="C1187" i="5"/>
  <c r="C664" i="5"/>
  <c r="C1483" i="5"/>
  <c r="C564" i="5"/>
  <c r="C236" i="5"/>
  <c r="C68" i="5"/>
  <c r="C639" i="5"/>
  <c r="C1218" i="5"/>
  <c r="C975" i="5"/>
  <c r="C41" i="5"/>
  <c r="C432" i="5"/>
  <c r="C732" i="5"/>
  <c r="C620" i="5"/>
  <c r="C292" i="5"/>
  <c r="C869" i="5"/>
  <c r="C109" i="5"/>
  <c r="C1051" i="5"/>
  <c r="C983" i="5"/>
  <c r="C225" i="5"/>
  <c r="C1479" i="5"/>
  <c r="C877" i="5"/>
  <c r="C408" i="5"/>
  <c r="C974" i="5"/>
  <c r="C646" i="5"/>
  <c r="C1400" i="5"/>
  <c r="C9" i="5"/>
  <c r="C1424" i="5"/>
  <c r="C473" i="5"/>
  <c r="C1460" i="5"/>
  <c r="C746" i="5"/>
  <c r="C632" i="5"/>
  <c r="C910" i="5"/>
  <c r="C1412" i="5"/>
  <c r="C1421" i="5"/>
  <c r="C819" i="5"/>
  <c r="C1336" i="5"/>
  <c r="C801" i="5"/>
  <c r="C704" i="5"/>
  <c r="C684" i="5"/>
  <c r="C506" i="5"/>
  <c r="C469" i="5"/>
  <c r="C1290" i="5"/>
  <c r="C158" i="5"/>
  <c r="C745" i="5"/>
  <c r="C1304" i="5"/>
  <c r="C553" i="5"/>
  <c r="C751" i="5"/>
  <c r="C501" i="5"/>
  <c r="C914" i="5"/>
  <c r="C217" i="5"/>
  <c r="C681" i="5"/>
  <c r="C359" i="5"/>
  <c r="C157" i="5"/>
  <c r="C1484" i="5"/>
  <c r="C485" i="5"/>
  <c r="C74" i="5"/>
  <c r="C187" i="5"/>
  <c r="C988" i="5"/>
  <c r="C810" i="5"/>
  <c r="C1288" i="5"/>
  <c r="C591" i="5"/>
  <c r="C101" i="5"/>
  <c r="C908" i="5"/>
  <c r="C1427" i="5"/>
  <c r="C1234" i="5"/>
  <c r="C281" i="5"/>
  <c r="C1063" i="5"/>
  <c r="C335" i="5"/>
  <c r="C488" i="5"/>
  <c r="C275" i="5"/>
  <c r="C453" i="5"/>
  <c r="C1188" i="5"/>
  <c r="C261" i="5"/>
  <c r="C927" i="5"/>
  <c r="C711" i="5"/>
  <c r="C1222" i="5"/>
  <c r="C1391" i="5"/>
  <c r="C128" i="5"/>
  <c r="C1120" i="5"/>
  <c r="C276" i="5"/>
  <c r="C1372" i="5"/>
  <c r="C651" i="5"/>
  <c r="C40" i="5"/>
  <c r="C1118" i="5"/>
  <c r="C744" i="5"/>
  <c r="C310" i="5"/>
  <c r="C866" i="5"/>
  <c r="C756" i="5"/>
  <c r="C1125" i="5"/>
  <c r="C633" i="5"/>
  <c r="C933" i="5"/>
  <c r="C78" i="5"/>
  <c r="C143" i="5"/>
  <c r="C314" i="5"/>
  <c r="C1302" i="5"/>
  <c r="C738" i="5"/>
  <c r="C1466" i="5"/>
  <c r="C1406" i="5"/>
  <c r="C397" i="5"/>
  <c r="C862" i="5"/>
  <c r="C940" i="5"/>
  <c r="C764" i="5"/>
  <c r="C601" i="5"/>
  <c r="C232" i="5"/>
  <c r="C1437" i="5"/>
  <c r="C705" i="5"/>
  <c r="C1343" i="5"/>
  <c r="C853" i="5"/>
  <c r="C289" i="5"/>
  <c r="C845" i="5"/>
  <c r="C878" i="5"/>
  <c r="C783" i="5"/>
  <c r="C1116" i="5"/>
  <c r="C58" i="5"/>
  <c r="C774" i="5"/>
  <c r="C1309" i="5"/>
  <c r="C989" i="5"/>
  <c r="C220" i="5"/>
  <c r="C121" i="5"/>
  <c r="C1068" i="5"/>
  <c r="C46" i="5"/>
  <c r="C196" i="5"/>
  <c r="C789" i="5"/>
  <c r="C613" i="5"/>
  <c r="C513" i="5"/>
  <c r="C267" i="5"/>
  <c r="C707" i="5"/>
  <c r="C1324" i="5"/>
  <c r="C682" i="5"/>
  <c r="C776" i="5"/>
  <c r="C253" i="5"/>
  <c r="C873" i="5"/>
  <c r="C120" i="5"/>
  <c r="C1213" i="5"/>
  <c r="C66" i="5"/>
  <c r="C1147" i="5"/>
  <c r="C7" i="5"/>
  <c r="C1212" i="5"/>
  <c r="C1275" i="5"/>
  <c r="C350" i="5"/>
  <c r="C1129" i="5"/>
  <c r="C59" i="5"/>
  <c r="C780" i="5"/>
  <c r="C619" i="5"/>
  <c r="C328" i="5"/>
  <c r="C1373" i="5"/>
  <c r="C981" i="5"/>
  <c r="C1271" i="5"/>
  <c r="C293" i="5"/>
  <c r="C970" i="5"/>
  <c r="C1426" i="5"/>
  <c r="C964" i="5"/>
  <c r="C554" i="5"/>
  <c r="C835" i="5"/>
  <c r="C638" i="5"/>
  <c r="C771" i="5"/>
  <c r="C136" i="5"/>
  <c r="C1334" i="5"/>
  <c r="C243" i="5"/>
  <c r="C655" i="5"/>
  <c r="C178" i="5"/>
  <c r="C671" i="5"/>
  <c r="C837" i="5"/>
  <c r="C1306" i="5"/>
  <c r="C936" i="5"/>
  <c r="C214" i="5"/>
  <c r="C1101" i="5"/>
  <c r="C450" i="5"/>
  <c r="C586" i="5"/>
  <c r="C622" i="5"/>
  <c r="C1110" i="5"/>
  <c r="C1403" i="5"/>
  <c r="C441" i="5"/>
  <c r="C1216" i="5"/>
  <c r="C614" i="5"/>
  <c r="C1262" i="5"/>
  <c r="C1143" i="5"/>
  <c r="C108" i="5"/>
  <c r="C791" i="5"/>
  <c r="C1096" i="5"/>
  <c r="C618" i="5"/>
  <c r="C727" i="5"/>
  <c r="C834" i="5"/>
  <c r="C478" i="5"/>
  <c r="C1159" i="5"/>
  <c r="C598" i="5"/>
  <c r="C814" i="5"/>
  <c r="C460" i="5"/>
  <c r="C247" i="5"/>
  <c r="C1268" i="5"/>
  <c r="C1153" i="5"/>
  <c r="C160" i="5"/>
  <c r="C856" i="5"/>
  <c r="C861" i="5"/>
  <c r="C696" i="5"/>
  <c r="C1269" i="5"/>
  <c r="C807" i="5"/>
  <c r="C1191" i="5"/>
  <c r="C341" i="5"/>
  <c r="C17" i="5"/>
  <c r="C186" i="5"/>
  <c r="C652" i="5"/>
  <c r="C1389" i="5"/>
  <c r="C1041" i="5"/>
  <c r="C18" i="5"/>
  <c r="C1287" i="5"/>
  <c r="C653" i="5"/>
  <c r="C392" i="5"/>
  <c r="C83" i="5"/>
  <c r="C395" i="5"/>
  <c r="C1364" i="5"/>
  <c r="C987" i="5"/>
  <c r="C657" i="5"/>
  <c r="C394" i="5"/>
  <c r="C484" i="5"/>
  <c r="C215" i="5"/>
  <c r="C1452" i="5"/>
  <c r="C1055" i="5"/>
  <c r="C415" i="5"/>
  <c r="C126" i="5"/>
  <c r="C1044" i="5"/>
  <c r="C1211" i="5"/>
  <c r="C1155" i="5"/>
  <c r="C24" i="5"/>
  <c r="C144" i="5"/>
  <c r="C608" i="5"/>
  <c r="C491" i="5"/>
  <c r="C30" i="5"/>
  <c r="C805" i="5"/>
  <c r="C1154" i="5"/>
  <c r="C961" i="5"/>
  <c r="C1027" i="5"/>
  <c r="C672" i="5"/>
  <c r="C272" i="5"/>
  <c r="C729" i="5"/>
  <c r="C769" i="5"/>
  <c r="C1004" i="5"/>
  <c r="C785" i="5"/>
  <c r="C1413" i="5"/>
  <c r="C734" i="5"/>
  <c r="C956" i="5"/>
  <c r="C197" i="5"/>
  <c r="C851" i="5"/>
  <c r="C946" i="5"/>
  <c r="C615" i="5"/>
  <c r="C1166" i="5"/>
  <c r="C858" i="5"/>
  <c r="C1279" i="5"/>
  <c r="C1369" i="5"/>
  <c r="C1133" i="5"/>
  <c r="C1115" i="5"/>
  <c r="C357" i="5"/>
  <c r="C527" i="5"/>
  <c r="C665" i="5"/>
  <c r="C846" i="5"/>
  <c r="C792" i="5"/>
  <c r="C70" i="5"/>
  <c r="C871" i="5"/>
  <c r="C258" i="5"/>
  <c r="C1176" i="5"/>
  <c r="C454" i="5"/>
  <c r="C634" i="5"/>
  <c r="C1199" i="5"/>
  <c r="C249" i="5"/>
  <c r="C945" i="5"/>
  <c r="C280" i="5"/>
  <c r="C35" i="5"/>
  <c r="C1303" i="5"/>
  <c r="C1171" i="5"/>
  <c r="C599" i="5"/>
  <c r="C794" i="5"/>
  <c r="C147" i="5"/>
  <c r="C1186" i="5"/>
  <c r="C252" i="5"/>
  <c r="C286" i="5"/>
  <c r="C832" i="5"/>
  <c r="C371" i="5"/>
  <c r="C1433" i="5"/>
  <c r="C918" i="5"/>
  <c r="C1332" i="5"/>
  <c r="C548" i="5"/>
  <c r="C865" i="5"/>
  <c r="C1221" i="5"/>
  <c r="C916" i="5"/>
  <c r="C1435" i="5"/>
  <c r="C492" i="5"/>
  <c r="C1053" i="5"/>
  <c r="C500" i="5"/>
  <c r="C447" i="5"/>
  <c r="C1323" i="5"/>
  <c r="C1361" i="5"/>
  <c r="C438" i="5"/>
  <c r="C430" i="5"/>
  <c r="C1062" i="5"/>
  <c r="C542" i="5"/>
  <c r="C1072" i="5"/>
  <c r="C762" i="5"/>
  <c r="C950" i="5"/>
  <c r="C1227" i="5"/>
  <c r="C1075" i="5"/>
  <c r="C1208" i="5"/>
  <c r="C1310" i="5"/>
  <c r="C1347" i="5"/>
  <c r="C1174" i="5"/>
  <c r="C368" i="5"/>
  <c r="C1049" i="5"/>
  <c r="C712" i="5"/>
  <c r="C1070" i="5"/>
  <c r="C683" i="5"/>
  <c r="C1003" i="5"/>
  <c r="C740" i="5"/>
  <c r="C1443" i="5"/>
  <c r="C116" i="5"/>
  <c r="C709" i="5"/>
  <c r="C991" i="5"/>
  <c r="C628" i="5"/>
  <c r="C129" i="5"/>
  <c r="C1429" i="5"/>
  <c r="C1416" i="5"/>
  <c r="C806" i="5"/>
  <c r="C490" i="5"/>
  <c r="C255" i="5"/>
  <c r="C119" i="5"/>
  <c r="C1295" i="5"/>
  <c r="C1045" i="5"/>
  <c r="C64" i="5"/>
  <c r="C717" i="5"/>
  <c r="C901" i="5"/>
  <c r="C1094" i="5"/>
  <c r="C953" i="5"/>
  <c r="C210" i="5"/>
  <c r="C815" i="5"/>
  <c r="C201" i="5"/>
  <c r="C1363" i="5"/>
  <c r="C1198" i="5"/>
  <c r="C45" i="5"/>
  <c r="C676" i="5"/>
  <c r="C600" i="5"/>
  <c r="C1285" i="5"/>
  <c r="C1209" i="5"/>
  <c r="C1398" i="5"/>
  <c r="C1482" i="5"/>
  <c r="C1105" i="5"/>
  <c r="C1058" i="5"/>
  <c r="C437" i="5"/>
  <c r="C552" i="5"/>
  <c r="C417" i="5"/>
  <c r="C386" i="5"/>
  <c r="C798" i="5"/>
  <c r="C540" i="5"/>
  <c r="C1082" i="5"/>
  <c r="C1099" i="5"/>
  <c r="C427" i="5"/>
  <c r="C60" i="5"/>
  <c r="C575" i="5"/>
  <c r="C1137" i="5"/>
  <c r="C146" i="5"/>
  <c r="C1261" i="5"/>
  <c r="C690" i="5"/>
  <c r="C666" i="5"/>
  <c r="C486" i="5"/>
  <c r="C131" i="5"/>
  <c r="C797" i="5"/>
  <c r="C331" i="5"/>
  <c r="C731" i="5"/>
  <c r="C1370" i="5"/>
  <c r="C53" i="5"/>
  <c r="C1293" i="5"/>
  <c r="C1374" i="5"/>
  <c r="C840" i="5"/>
  <c r="C502" i="5"/>
  <c r="C1201" i="5"/>
  <c r="C703" i="5"/>
  <c r="C1203" i="5"/>
  <c r="C828" i="5"/>
  <c r="C1305" i="5"/>
  <c r="C283" i="5"/>
  <c r="C193" i="5"/>
  <c r="C332" i="5"/>
  <c r="C1074" i="5"/>
  <c r="C123" i="5"/>
  <c r="C16" i="5"/>
  <c r="C534" i="5"/>
  <c r="C1278" i="5"/>
  <c r="C31" i="5"/>
  <c r="C389" i="5"/>
  <c r="C288" i="5"/>
  <c r="C1415" i="5"/>
  <c r="C943" i="5"/>
  <c r="C510" i="5"/>
  <c r="C343" i="5"/>
  <c r="C994" i="5"/>
  <c r="C931" i="5"/>
  <c r="C532" i="5"/>
  <c r="C88" i="5"/>
  <c r="C1054" i="5"/>
  <c r="C1274" i="5"/>
  <c r="C174" i="5"/>
  <c r="C265" i="5"/>
  <c r="C154" i="5"/>
  <c r="C1252" i="5"/>
  <c r="C930" i="5"/>
  <c r="C941" i="5"/>
  <c r="C509" i="5"/>
  <c r="C318" i="5"/>
  <c r="C1263" i="5"/>
  <c r="C860" i="5"/>
  <c r="C1021" i="5"/>
  <c r="C1386" i="5"/>
  <c r="C57" i="5"/>
  <c r="C928" i="5"/>
  <c r="C1026" i="5"/>
  <c r="C1196" i="5"/>
  <c r="C67" i="5"/>
  <c r="C1475" i="5"/>
  <c r="C1111" i="5"/>
  <c r="C979" i="5"/>
  <c r="C722" i="5"/>
  <c r="C387" i="5"/>
  <c r="C759" i="5"/>
  <c r="C538" i="5"/>
  <c r="C444" i="5"/>
  <c r="C1367" i="5"/>
  <c r="C404" i="5"/>
  <c r="C179" i="5"/>
  <c r="C1089" i="5"/>
  <c r="C1355" i="5"/>
  <c r="C380" i="5"/>
  <c r="C256" i="5"/>
  <c r="C662" i="5"/>
  <c r="C969" i="5"/>
  <c r="C926" i="5"/>
  <c r="C813" i="5"/>
  <c r="C159" i="5"/>
  <c r="C287" i="5"/>
  <c r="C1122" i="5"/>
  <c r="C442" i="5"/>
  <c r="C211" i="5"/>
  <c r="C111" i="5"/>
  <c r="C742" i="5"/>
  <c r="C426" i="5"/>
  <c r="C551" i="5"/>
  <c r="C1010" i="5"/>
  <c r="C323" i="5"/>
  <c r="C763" i="5"/>
  <c r="C609" i="5"/>
  <c r="C1463" i="5"/>
  <c r="C25" i="5"/>
  <c r="C317" i="5"/>
  <c r="C760" i="5"/>
  <c r="C1205" i="5"/>
  <c r="C1451" i="5"/>
  <c r="C1022" i="5"/>
  <c r="C1172" i="5"/>
  <c r="C1450" i="5"/>
  <c r="C297" i="5"/>
  <c r="C1189" i="5"/>
  <c r="C410" i="5"/>
  <c r="C1352" i="5"/>
  <c r="C100" i="5"/>
  <c r="C584" i="5"/>
  <c r="C378" i="5"/>
  <c r="C422" i="5"/>
  <c r="C1458" i="5"/>
  <c r="C1019" i="5"/>
  <c r="C352" i="5"/>
  <c r="C1264" i="5"/>
  <c r="C1488" i="5"/>
  <c r="C451" i="5"/>
  <c r="C279" i="5"/>
  <c r="C517" i="5"/>
  <c r="C390" i="5"/>
  <c r="C580" i="5"/>
  <c r="C1215" i="5"/>
  <c r="C1225" i="5"/>
  <c r="C221" i="5"/>
  <c r="C836" i="5"/>
  <c r="C715" i="5"/>
  <c r="C1064" i="5"/>
  <c r="C1322" i="5"/>
  <c r="C1144" i="5"/>
  <c r="C1487" i="5"/>
  <c r="C98" i="5"/>
  <c r="C993" i="5"/>
  <c r="C1145" i="5"/>
  <c r="C1040" i="5"/>
  <c r="C966" i="5"/>
  <c r="C468" i="5"/>
  <c r="C680" i="5"/>
  <c r="C428" i="5"/>
  <c r="C1348" i="5"/>
  <c r="C1331" i="5"/>
  <c r="C939" i="5"/>
  <c r="C749" i="5"/>
  <c r="C895" i="5"/>
  <c r="C162" i="5"/>
  <c r="C526" i="5"/>
  <c r="C1180" i="5"/>
  <c r="C913" i="5"/>
  <c r="C995" i="5"/>
  <c r="C1178" i="5"/>
  <c r="C788" i="5"/>
  <c r="C90" i="5"/>
  <c r="C324" i="5"/>
  <c r="C579" i="5"/>
  <c r="C1150" i="5"/>
  <c r="C825" i="5"/>
  <c r="C830" i="5"/>
  <c r="C393" i="5"/>
  <c r="C1204" i="5"/>
  <c r="C951" i="5"/>
  <c r="C1387" i="5"/>
  <c r="C1313" i="5"/>
  <c r="C282" i="5"/>
  <c r="C1351" i="5"/>
  <c r="C544" i="5"/>
  <c r="C721" i="5"/>
  <c r="C1006" i="5"/>
  <c r="C976" i="5"/>
  <c r="C307" i="5"/>
  <c r="C1444" i="5"/>
  <c r="C765" i="5"/>
  <c r="C1280" i="5"/>
  <c r="C1289" i="5"/>
  <c r="C508" i="5"/>
  <c r="C616" i="5"/>
  <c r="C226" i="5"/>
  <c r="C735" i="5"/>
  <c r="C1061" i="5"/>
  <c r="C585" i="5"/>
  <c r="C576" i="5"/>
  <c r="C230" i="5"/>
  <c r="C195" i="5"/>
  <c r="C1012" i="5"/>
  <c r="C239" i="5"/>
  <c r="C1477" i="5"/>
  <c r="C105" i="5"/>
  <c r="C199" i="5"/>
  <c r="C1294" i="5"/>
  <c r="C772" i="5"/>
  <c r="C238" i="5"/>
  <c r="C91" i="5"/>
  <c r="C1249" i="5"/>
  <c r="C917" i="5"/>
  <c r="C231" i="5"/>
  <c r="C773" i="5"/>
  <c r="C36" i="5"/>
  <c r="C962" i="5"/>
  <c r="C1148" i="5"/>
  <c r="C667" i="5"/>
  <c r="C1001" i="5"/>
  <c r="C839" i="5"/>
  <c r="C96" i="5"/>
  <c r="C133" i="5"/>
  <c r="C125" i="5"/>
  <c r="C875" i="5"/>
  <c r="C222" i="5"/>
  <c r="C1002" i="5"/>
  <c r="C374" i="5"/>
  <c r="C893" i="5"/>
  <c r="C89" i="5"/>
  <c r="C1117" i="5"/>
  <c r="C1342" i="5"/>
  <c r="C689" i="5"/>
  <c r="C1102" i="5"/>
  <c r="C560" i="5"/>
  <c r="C80" i="5"/>
  <c r="C124" i="5"/>
  <c r="C1393" i="5"/>
  <c r="C1077" i="5"/>
  <c r="C1069" i="5"/>
  <c r="C1206" i="5"/>
  <c r="C1409" i="5"/>
  <c r="C354" i="5"/>
  <c r="C188" i="5"/>
  <c r="C496" i="5"/>
  <c r="C531" i="5"/>
  <c r="C637" i="5"/>
  <c r="C725" i="5"/>
  <c r="C685" i="5"/>
  <c r="C1474" i="5"/>
  <c r="C583" i="5"/>
  <c r="C1007" i="5"/>
  <c r="C308" i="5"/>
  <c r="C137" i="5"/>
  <c r="C229" i="5"/>
  <c r="C515" i="5"/>
  <c r="C54" i="5"/>
  <c r="C522" i="5"/>
  <c r="C1359" i="5"/>
  <c r="C610" i="5"/>
  <c r="C435" i="5"/>
  <c r="C1197" i="5"/>
  <c r="C182" i="5"/>
  <c r="C1301" i="5"/>
  <c r="C1093" i="5"/>
  <c r="C630" i="5"/>
  <c r="C11" i="5"/>
  <c r="C737" i="5"/>
  <c r="C71" i="5"/>
  <c r="C909" i="5"/>
  <c r="C754" i="5"/>
  <c r="C75" i="5"/>
  <c r="C487" i="5"/>
  <c r="C240" i="5"/>
  <c r="C398" i="5"/>
  <c r="C1037" i="5"/>
  <c r="C838" i="5"/>
  <c r="C5" i="5"/>
  <c r="C489" i="5"/>
  <c r="C605" i="5"/>
  <c r="C301" i="5"/>
  <c r="C65" i="5"/>
  <c r="C1349" i="5"/>
  <c r="C296" i="5"/>
  <c r="C1168" i="5"/>
  <c r="C1307" i="5"/>
  <c r="C61" i="5"/>
  <c r="C626" i="5"/>
  <c r="C741" i="5"/>
  <c r="C327" i="5"/>
  <c r="C97" i="5"/>
  <c r="C1407" i="5"/>
  <c r="C320" i="5"/>
  <c r="C1210" i="5"/>
  <c r="C1319" i="5"/>
  <c r="C915" i="5"/>
  <c r="C920" i="5"/>
  <c r="C363" i="5"/>
  <c r="C498" i="5"/>
  <c r="C114" i="5"/>
  <c r="C505" i="5"/>
  <c r="C1299" i="5"/>
  <c r="C971" i="5"/>
  <c r="C191" i="5"/>
  <c r="C76" i="5"/>
  <c r="C1005" i="5"/>
  <c r="C1411" i="5"/>
  <c r="C847" i="5"/>
  <c r="C1173" i="5"/>
  <c r="C621" i="5"/>
  <c r="C587" i="5"/>
  <c r="C1454" i="5"/>
  <c r="C495" i="5"/>
  <c r="C958" i="5"/>
  <c r="C372" i="5"/>
  <c r="C849" i="5"/>
  <c r="C212" i="5"/>
  <c r="C1175" i="5"/>
  <c r="C627" i="5"/>
  <c r="C857" i="5"/>
  <c r="C687" i="5"/>
  <c r="C514" i="5"/>
  <c r="C135" i="5"/>
  <c r="C1461" i="5"/>
  <c r="C51" i="5"/>
  <c r="C1138" i="5"/>
  <c r="C536" i="5"/>
  <c r="C1164" i="5"/>
  <c r="C344" i="5"/>
  <c r="C1457" i="5"/>
  <c r="C1486" i="5"/>
  <c r="C1320" i="5"/>
  <c r="C886" i="5"/>
  <c r="C597" i="5"/>
  <c r="C706" i="5"/>
  <c r="C416" i="5"/>
  <c r="C659" i="5"/>
  <c r="C1365" i="5"/>
  <c r="C1076" i="5"/>
  <c r="C1226" i="5"/>
  <c r="C1384" i="5"/>
  <c r="C959" i="5"/>
  <c r="C1248" i="5"/>
  <c r="C1308" i="5"/>
  <c r="C459" i="5"/>
  <c r="C855" i="5"/>
  <c r="C366" i="5"/>
  <c r="C874" i="5"/>
  <c r="C1329" i="5"/>
  <c r="C1480" i="5"/>
  <c r="C607" i="5"/>
  <c r="C1156" i="5"/>
  <c r="C595" i="5"/>
  <c r="C409" i="5"/>
  <c r="C1432" i="5"/>
  <c r="C892" i="5"/>
  <c r="C1317" i="5"/>
  <c r="C132" i="5"/>
  <c r="C277" i="5"/>
  <c r="C867" i="5"/>
  <c r="C1414" i="5"/>
  <c r="C1243" i="5"/>
  <c r="C1087" i="5"/>
  <c r="C1073" i="5"/>
  <c r="C617" i="5"/>
  <c r="C577" i="5"/>
  <c r="C33" i="5"/>
  <c r="C494" i="5"/>
  <c r="C924" i="5"/>
  <c r="C457" i="5"/>
  <c r="C770" i="5"/>
  <c r="C1207" i="5"/>
  <c r="C992" i="5"/>
  <c r="C872" i="5"/>
  <c r="C557" i="5"/>
  <c r="C640" i="5"/>
  <c r="C907" i="5"/>
  <c r="C1371" i="5"/>
  <c r="C827" i="5"/>
  <c r="C1441" i="5"/>
  <c r="C1470" i="5"/>
  <c r="C1240" i="5"/>
  <c r="C755" i="5"/>
  <c r="C1464" i="5"/>
  <c r="C656" i="5"/>
  <c r="C145" i="5"/>
  <c r="C1333" i="5"/>
  <c r="C997" i="5"/>
  <c r="C854" i="5"/>
  <c r="C648" i="5"/>
  <c r="C1158" i="5"/>
  <c r="C658" i="5"/>
  <c r="C493" i="5"/>
  <c r="C370" i="5"/>
  <c r="C1247" i="5"/>
  <c r="C1392" i="5"/>
  <c r="D3" i="5" l="1"/>
  <c r="E3" i="5" l="1"/>
  <c r="I4" i="5"/>
  <c r="I7" i="5"/>
  <c r="I6" i="5"/>
  <c r="I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<sst xmlns="http://schemas.openxmlformats.org/spreadsheetml/2006/main" count="195" uniqueCount="121">
  <si>
    <t>Date</t>
  </si>
  <si>
    <t>ICICIGI</t>
  </si>
  <si>
    <t>GICRE</t>
  </si>
  <si>
    <t>NIACL</t>
  </si>
  <si>
    <t>Standalone VaR</t>
  </si>
  <si>
    <t>Weight ICICI</t>
  </si>
  <si>
    <t>Weight GIC</t>
  </si>
  <si>
    <t>Weight New India</t>
  </si>
  <si>
    <t>Total Weight</t>
  </si>
  <si>
    <t>Metric</t>
  </si>
  <si>
    <t>Daily Mean Return</t>
  </si>
  <si>
    <t>Daily Volatility</t>
  </si>
  <si>
    <t>Annualized Return</t>
  </si>
  <si>
    <t>Annualized Volatility</t>
  </si>
  <si>
    <t>ICICI Lombard</t>
  </si>
  <si>
    <t>GIC Re</t>
  </si>
  <si>
    <t>New India Assurance</t>
  </si>
  <si>
    <t>Worst Day Loss (Min)</t>
  </si>
  <si>
    <t>Skewness</t>
  </si>
  <si>
    <t>Summary Statistics</t>
  </si>
  <si>
    <t>Covariance Matrix</t>
  </si>
  <si>
    <t>Correlation Matrix</t>
  </si>
  <si>
    <t>Portfolio Variance (Daily)</t>
  </si>
  <si>
    <t>Portfolio StDev (Annulaise)</t>
  </si>
  <si>
    <t>Annualize volatility</t>
  </si>
  <si>
    <t>Inverse volatility</t>
  </si>
  <si>
    <t>Total score</t>
  </si>
  <si>
    <t>Final Weight</t>
  </si>
  <si>
    <t>Mean Variance Optimiser (The Challenger)</t>
  </si>
  <si>
    <t>Heuristic Allocation (Risk)</t>
  </si>
  <si>
    <t>Portfolio Return</t>
  </si>
  <si>
    <t>Optimized Portfolio Return</t>
  </si>
  <si>
    <t>Optimized Portfolio VaR</t>
  </si>
  <si>
    <t>Optimized Daily Mean</t>
  </si>
  <si>
    <t>Optimized Daily StDev</t>
  </si>
  <si>
    <t>Cholesky Decomposition</t>
  </si>
  <si>
    <t>Uncorrelated Randoms Variables</t>
  </si>
  <si>
    <t>w1</t>
  </si>
  <si>
    <t>w2</t>
  </si>
  <si>
    <t>w3</t>
  </si>
  <si>
    <t>Simulator</t>
  </si>
  <si>
    <t>Volatility</t>
  </si>
  <si>
    <t>Drift</t>
  </si>
  <si>
    <t xml:space="preserve">S0 (As on </t>
  </si>
  <si>
    <t>Weight</t>
  </si>
  <si>
    <t>Simulated Price</t>
  </si>
  <si>
    <t>Simulated Returns</t>
  </si>
  <si>
    <t>VaR</t>
  </si>
  <si>
    <t>Correlated Random Variable</t>
  </si>
  <si>
    <t>Breach Check</t>
  </si>
  <si>
    <t>Total Breaches</t>
  </si>
  <si>
    <t>Breach Zone</t>
  </si>
  <si>
    <t>Future Predictionn (Expected Shortfall)</t>
  </si>
  <si>
    <t>Simulated Return</t>
  </si>
  <si>
    <t>Hypothetical P&amp;L</t>
  </si>
  <si>
    <t>ES (Avg Worst Case)</t>
  </si>
  <si>
    <t>ES (Cash Loss)</t>
  </si>
  <si>
    <t>Reality Check (Backtesting)</t>
  </si>
  <si>
    <t>Simulated Porfolio Return</t>
  </si>
  <si>
    <t>Calculated VaR</t>
  </si>
  <si>
    <t>Value</t>
  </si>
  <si>
    <t>Sorted Return</t>
  </si>
  <si>
    <t>Individual TVaR (ES)</t>
  </si>
  <si>
    <t>ICICIGI Risk</t>
  </si>
  <si>
    <t>GICRE Risk</t>
  </si>
  <si>
    <t>NIACL Risk</t>
  </si>
  <si>
    <t>Company</t>
  </si>
  <si>
    <t>Current Solvency (Real World)</t>
  </si>
  <si>
    <t>Weight Contributiion</t>
  </si>
  <si>
    <t>New India</t>
  </si>
  <si>
    <t xml:space="preserve">Portfolio </t>
  </si>
  <si>
    <t>SOLVENCY CHECK</t>
  </si>
  <si>
    <t>Target Solvency Multiplier</t>
  </si>
  <si>
    <t>Available Reserve Calculation:</t>
  </si>
  <si>
    <t>Scenario Name</t>
  </si>
  <si>
    <t>ICICI Mean</t>
  </si>
  <si>
    <t>ICICI Vol</t>
  </si>
  <si>
    <t>Base Case</t>
  </si>
  <si>
    <t>High CAT Loss</t>
  </si>
  <si>
    <t>Regulatory Shift</t>
  </si>
  <si>
    <t>GIC Re Mean</t>
  </si>
  <si>
    <t>GIC Re Vol</t>
  </si>
  <si>
    <t>NIACL Mean</t>
  </si>
  <si>
    <t>NIACL Vol</t>
  </si>
  <si>
    <t>Scenario Selector</t>
  </si>
  <si>
    <t>Active Simulation Inputs</t>
  </si>
  <si>
    <t>ICICI</t>
  </si>
  <si>
    <t>GIC Mean</t>
  </si>
  <si>
    <t>GIC Vol</t>
  </si>
  <si>
    <t>Siulation Returns</t>
  </si>
  <si>
    <t>GIC</t>
  </si>
  <si>
    <t>Stress Test Parameters</t>
  </si>
  <si>
    <t>Dynamic Portfolio Return</t>
  </si>
  <si>
    <t>Stressed Capital Requirement</t>
  </si>
  <si>
    <t>Solvency Rate (Current)</t>
  </si>
  <si>
    <t>2026 STRATEGIC CAPITAL &amp; RISK MONITOR</t>
  </si>
  <si>
    <t>SOLVENCY STATUS</t>
  </si>
  <si>
    <t>Required Capital (Stress Loss):</t>
  </si>
  <si>
    <t>Available Reserves:</t>
  </si>
  <si>
    <t>Coverage Ratio:</t>
  </si>
  <si>
    <t>STATUS:</t>
  </si>
  <si>
    <t>SAFE</t>
  </si>
  <si>
    <t>STRESS TEST SCENARIOS (TVaR IMPACT)</t>
  </si>
  <si>
    <t>Scenario</t>
  </si>
  <si>
    <t>TVaR Result</t>
  </si>
  <si>
    <t>Verdict</t>
  </si>
  <si>
    <t>Opportunity</t>
  </si>
  <si>
    <t>Baseline</t>
  </si>
  <si>
    <t>Critical Stress</t>
  </si>
  <si>
    <t>KEY METRICS</t>
  </si>
  <si>
    <t>99% VaR</t>
  </si>
  <si>
    <t>Tail Risk (TVaR)</t>
  </si>
  <si>
    <t>Portfolio Volatility</t>
  </si>
  <si>
    <t>Diversification Benefit</t>
  </si>
  <si>
    <t>Model Validation</t>
  </si>
  <si>
    <t>Passed</t>
  </si>
  <si>
    <t>Green Zone (Basel III Complient)</t>
  </si>
  <si>
    <t>MANAGEMENT COMMENTARY &amp; RISK OUTLOOK</t>
  </si>
  <si>
    <t xml:space="preserve">Conclusion: Based on a stochastic simulation of 1,000 market scenarios, the portfolio demonstrates robust solvency under normal and favorable operating conditions. The diversified allocation between private sector efficiency (ICICI) and public sector stability (NIACL) effectively buffers daily volatility, maintaining a Solvency Ratio well above the regulatory minimum of 1.5x. </t>
  </si>
  <si>
    <t xml:space="preserve">Stress Test Warning: However, the model flags a specific sensitivity to Global Catastrophic (CAT) Events. In the 'High CAT Loss' scenario, the portfolio's Expected Tail Loss (TVaR) deteriorates to ~4.09%, driven by GIC Re's exposure to reinsurance claims. </t>
  </si>
  <si>
    <t>Recommendation: While the current status is SAFE, it is recommended to maintain the computed Capital Reserve of ₹19.5 Lakhs. This surplus capital serves as a critical shock absorber.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</si>
</sst>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00"/>
    <numFmt numFmtId="166" formatCode="0.000"/>
    <numFmt numFmtId="168" formatCode="&quot;₹&quot;\ #,##0;\(&quot;₹&quot;\ \-#,##0\)"/>
    <numFmt numFmtId="169" formatCode="&quot;₹&quot;\ #,##0;\(&quot;₹&quot;\ #,##0\)"/>
    <numFmt numFmtId="170" formatCode="&quot;₹&quot;\ #,##0.00"/>
  </numFmts>
  <fonts count="5" x14ac:knownFonts="1">
    <font>
      <sz val="11"/>
      <color theme="1"/>
      <name val="Calibri"/>
      <family val="2"/>
      <scheme val="minor"/>
    </font>
    <font>
      <b/>
      <sz val="11"/>
      <color theme="1"/>
      <name val="Calibri"/>
      <family val="2"/>
      <scheme val="minor"/>
    </font>
    <font>
      <i/>
      <sz val="11"/>
      <color theme="1"/>
      <name val="Calibri"/>
      <family val="2"/>
      <scheme val="minor"/>
    </font>
    <font>
      <sz val="11"/>
      <color theme="0"/>
      <name val="Calibri"/>
      <family val="2"/>
      <scheme val="minor"/>
    </font>
    <font>
      <b/>
      <sz val="11"/>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rgb="FF92D050"/>
        <bgColor indexed="64"/>
      </patternFill>
    </fill>
  </fills>
  <borders count="22">
    <border>
      <left/>
      <right/>
      <top/>
      <bottom/>
      <diagonal/>
    </border>
    <border>
      <left/>
      <right/>
      <top/>
      <bottom style="medium">
        <color indexed="64"/>
      </bottom>
      <diagonal/>
    </border>
    <border>
      <left/>
      <right/>
      <top style="medium">
        <color indexed="64"/>
      </top>
      <bottom style="thin">
        <color indexed="64"/>
      </bottom>
      <diagonal/>
    </border>
    <border>
      <left style="medium">
        <color theme="0"/>
      </left>
      <right style="medium">
        <color theme="0"/>
      </right>
      <top style="medium">
        <color theme="0"/>
      </top>
      <bottom style="medium">
        <color theme="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ashed">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s>
  <cellStyleXfs count="1">
    <xf numFmtId="0" fontId="0" fillId="0" borderId="0"/>
  </cellStyleXfs>
  <cellXfs count="61">
    <xf numFmtId="0" fontId="0" fillId="0" borderId="0" xfId="0"/>
    <xf numFmtId="0" fontId="1" fillId="0" borderId="0" xfId="0" applyFont="1" applyAlignment="1">
      <alignment horizontal="center"/>
    </xf>
    <xf numFmtId="164" fontId="0" fillId="0" borderId="0" xfId="0" applyNumberFormat="1"/>
    <xf numFmtId="14" fontId="0" fillId="0" borderId="0" xfId="0" applyNumberFormat="1"/>
    <xf numFmtId="165" fontId="0" fillId="0" borderId="0" xfId="0" applyNumberFormat="1"/>
    <xf numFmtId="166" fontId="0" fillId="0" borderId="0" xfId="0" applyNumberFormat="1"/>
    <xf numFmtId="2" fontId="0" fillId="0" borderId="0" xfId="0" applyNumberFormat="1"/>
    <xf numFmtId="0" fontId="0" fillId="0" borderId="1" xfId="0" applyBorder="1"/>
    <xf numFmtId="0" fontId="2" fillId="0" borderId="2" xfId="0" applyFont="1" applyBorder="1" applyAlignment="1">
      <alignment horizontal="center"/>
    </xf>
    <xf numFmtId="0" fontId="2" fillId="0" borderId="0" xfId="0" applyFont="1" applyAlignment="1">
      <alignment horizontal="center"/>
    </xf>
    <xf numFmtId="0" fontId="0" fillId="0" borderId="0" xfId="0" applyAlignment="1">
      <alignment horizontal="center"/>
    </xf>
    <xf numFmtId="9" fontId="0" fillId="0" borderId="0" xfId="0" applyNumberFormat="1"/>
    <xf numFmtId="10" fontId="0" fillId="0" borderId="0" xfId="0" applyNumberFormat="1"/>
    <xf numFmtId="168" fontId="0" fillId="0" borderId="0" xfId="0" applyNumberFormat="1"/>
    <xf numFmtId="169" fontId="0" fillId="0" borderId="0" xfId="0" applyNumberFormat="1"/>
    <xf numFmtId="0" fontId="0" fillId="2" borderId="3" xfId="0" applyFill="1" applyBorder="1"/>
    <xf numFmtId="0" fontId="1" fillId="0" borderId="0" xfId="0" applyFont="1"/>
    <xf numFmtId="0" fontId="1" fillId="0" borderId="0" xfId="0" applyFont="1" applyAlignment="1">
      <alignment horizontal="left"/>
    </xf>
    <xf numFmtId="0" fontId="4" fillId="2" borderId="0" xfId="0" applyFont="1" applyFill="1" applyAlignment="1">
      <alignment horizontal="center"/>
    </xf>
    <xf numFmtId="0" fontId="0" fillId="0" borderId="0" xfId="0" applyAlignment="1">
      <alignment horizontal="right"/>
    </xf>
    <xf numFmtId="0" fontId="0" fillId="0" borderId="2" xfId="0" applyBorder="1"/>
    <xf numFmtId="0" fontId="0" fillId="0" borderId="8" xfId="0" applyBorder="1"/>
    <xf numFmtId="0" fontId="0" fillId="0" borderId="7" xfId="0" applyBorder="1"/>
    <xf numFmtId="0" fontId="0" fillId="0" borderId="10" xfId="0" applyBorder="1"/>
    <xf numFmtId="0" fontId="0" fillId="0" borderId="11" xfId="0" applyBorder="1"/>
    <xf numFmtId="10" fontId="1" fillId="0" borderId="0" xfId="0" applyNumberFormat="1" applyFont="1"/>
    <xf numFmtId="0" fontId="4" fillId="4" borderId="0" xfId="0" applyFont="1" applyFill="1"/>
    <xf numFmtId="0" fontId="4" fillId="4" borderId="0" xfId="0" applyFont="1" applyFill="1" applyAlignment="1">
      <alignment horizontal="center"/>
    </xf>
    <xf numFmtId="0" fontId="0" fillId="0" borderId="1" xfId="0" applyBorder="1" applyAlignment="1">
      <alignment horizontal="center"/>
    </xf>
    <xf numFmtId="0" fontId="0" fillId="0" borderId="0" xfId="0" applyAlignment="1">
      <alignment horizontal="center"/>
    </xf>
    <xf numFmtId="0" fontId="4" fillId="4" borderId="0" xfId="0" applyFont="1" applyFill="1" applyAlignment="1">
      <alignment horizontal="center"/>
    </xf>
    <xf numFmtId="0" fontId="3" fillId="4" borderId="0" xfId="0" applyFont="1" applyFill="1" applyAlignment="1">
      <alignment horizontal="center"/>
    </xf>
    <xf numFmtId="0" fontId="3" fillId="4" borderId="0" xfId="0" applyFont="1" applyFill="1"/>
    <xf numFmtId="0" fontId="1" fillId="0" borderId="0" xfId="0" applyFont="1" applyBorder="1"/>
    <xf numFmtId="9" fontId="0" fillId="0" borderId="0" xfId="0" applyNumberFormat="1" applyBorder="1"/>
    <xf numFmtId="0" fontId="0" fillId="0" borderId="0" xfId="0" applyBorder="1"/>
    <xf numFmtId="9" fontId="1" fillId="0" borderId="0" xfId="0" applyNumberFormat="1" applyFont="1" applyBorder="1"/>
    <xf numFmtId="170" fontId="0" fillId="0" borderId="0" xfId="0" applyNumberFormat="1"/>
    <xf numFmtId="0" fontId="4" fillId="4" borderId="4" xfId="0" applyFont="1" applyFill="1" applyBorder="1" applyAlignment="1">
      <alignment horizontal="center"/>
    </xf>
    <xf numFmtId="0" fontId="4" fillId="4" borderId="5" xfId="0" applyFont="1" applyFill="1" applyBorder="1" applyAlignment="1">
      <alignment horizontal="center"/>
    </xf>
    <xf numFmtId="0" fontId="1" fillId="0" borderId="12" xfId="0" applyFont="1" applyBorder="1"/>
    <xf numFmtId="9" fontId="0" fillId="0" borderId="12" xfId="0" applyNumberFormat="1" applyBorder="1"/>
    <xf numFmtId="0" fontId="0" fillId="0" borderId="12" xfId="0" applyBorder="1"/>
    <xf numFmtId="0" fontId="4" fillId="3" borderId="0" xfId="0" applyFont="1" applyFill="1" applyAlignment="1">
      <alignment horizontal="center"/>
    </xf>
    <xf numFmtId="0" fontId="0" fillId="0" borderId="13" xfId="0" applyBorder="1"/>
    <xf numFmtId="169" fontId="0" fillId="0" borderId="14" xfId="0" applyNumberFormat="1" applyBorder="1"/>
    <xf numFmtId="0" fontId="0" fillId="0" borderId="14" xfId="0" applyBorder="1"/>
    <xf numFmtId="0" fontId="0" fillId="0" borderId="15" xfId="0" applyBorder="1"/>
    <xf numFmtId="0" fontId="0" fillId="5" borderId="16" xfId="0" applyFill="1" applyBorder="1" applyAlignment="1">
      <alignment horizontal="center"/>
    </xf>
    <xf numFmtId="0" fontId="0" fillId="0" borderId="18" xfId="0" applyBorder="1"/>
    <xf numFmtId="0" fontId="1" fillId="0" borderId="17" xfId="0" applyFont="1" applyBorder="1"/>
    <xf numFmtId="0" fontId="0" fillId="0" borderId="19" xfId="0" applyBorder="1"/>
    <xf numFmtId="0" fontId="0" fillId="0" borderId="20" xfId="0" applyBorder="1"/>
    <xf numFmtId="10" fontId="0" fillId="0" borderId="21" xfId="0" applyNumberFormat="1" applyBorder="1"/>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0" xfId="0" applyBorder="1" applyAlignment="1">
      <alignment wrapText="1"/>
    </xf>
    <xf numFmtId="0" fontId="0" fillId="0" borderId="8" xfId="0" applyBorder="1" applyAlignment="1">
      <alignment wrapText="1"/>
    </xf>
    <xf numFmtId="0" fontId="0" fillId="0" borderId="9"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Hitorical_Sim!$B$1</c:f>
              <c:strCache>
                <c:ptCount val="1"/>
                <c:pt idx="0">
                  <c:v>ICICIGI</c:v>
                </c:pt>
              </c:strCache>
            </c:strRef>
          </c:tx>
          <c:spPr>
            <a:ln w="28575" cap="rnd">
              <a:solidFill>
                <a:schemeClr val="accent1"/>
              </a:solidFill>
              <a:round/>
            </a:ln>
            <a:effectLst/>
          </c:spPr>
          <c:marker>
            <c:symbol val="none"/>
          </c:marker>
          <c:cat>
            <c:numRef>
              <c:f>Hitorical_Sim!$A$2:$A$1487</c:f>
              <c:numCache>
                <c:formatCode>m/d/yyyy</c:formatCode>
                <c:ptCount val="1486"/>
                <c:pt idx="0">
                  <c:v>43832</c:v>
                </c:pt>
                <c:pt idx="1">
                  <c:v>43833</c:v>
                </c:pt>
                <c:pt idx="2">
                  <c:v>43836</c:v>
                </c:pt>
                <c:pt idx="3">
                  <c:v>43837</c:v>
                </c:pt>
                <c:pt idx="4">
                  <c:v>43838</c:v>
                </c:pt>
                <c:pt idx="5">
                  <c:v>43839</c:v>
                </c:pt>
                <c:pt idx="6">
                  <c:v>43840</c:v>
                </c:pt>
                <c:pt idx="7">
                  <c:v>43843</c:v>
                </c:pt>
                <c:pt idx="8">
                  <c:v>43844</c:v>
                </c:pt>
                <c:pt idx="9">
                  <c:v>43845</c:v>
                </c:pt>
                <c:pt idx="10">
                  <c:v>43846</c:v>
                </c:pt>
                <c:pt idx="11">
                  <c:v>43847</c:v>
                </c:pt>
                <c:pt idx="12">
                  <c:v>43850</c:v>
                </c:pt>
                <c:pt idx="13">
                  <c:v>43851</c:v>
                </c:pt>
                <c:pt idx="14">
                  <c:v>43852</c:v>
                </c:pt>
                <c:pt idx="15">
                  <c:v>43853</c:v>
                </c:pt>
                <c:pt idx="16">
                  <c:v>43854</c:v>
                </c:pt>
                <c:pt idx="17">
                  <c:v>43857</c:v>
                </c:pt>
                <c:pt idx="18">
                  <c:v>43858</c:v>
                </c:pt>
                <c:pt idx="19">
                  <c:v>43859</c:v>
                </c:pt>
                <c:pt idx="20">
                  <c:v>43860</c:v>
                </c:pt>
                <c:pt idx="21">
                  <c:v>43861</c:v>
                </c:pt>
                <c:pt idx="22">
                  <c:v>43864</c:v>
                </c:pt>
                <c:pt idx="23">
                  <c:v>43865</c:v>
                </c:pt>
                <c:pt idx="24">
                  <c:v>43866</c:v>
                </c:pt>
                <c:pt idx="25">
                  <c:v>43867</c:v>
                </c:pt>
                <c:pt idx="26">
                  <c:v>43868</c:v>
                </c:pt>
                <c:pt idx="27">
                  <c:v>43871</c:v>
                </c:pt>
                <c:pt idx="28">
                  <c:v>43872</c:v>
                </c:pt>
                <c:pt idx="29">
                  <c:v>43873</c:v>
                </c:pt>
                <c:pt idx="30">
                  <c:v>43874</c:v>
                </c:pt>
                <c:pt idx="31">
                  <c:v>43875</c:v>
                </c:pt>
                <c:pt idx="32">
                  <c:v>43878</c:v>
                </c:pt>
                <c:pt idx="33">
                  <c:v>43879</c:v>
                </c:pt>
                <c:pt idx="34">
                  <c:v>43880</c:v>
                </c:pt>
                <c:pt idx="35">
                  <c:v>43881</c:v>
                </c:pt>
                <c:pt idx="36">
                  <c:v>43885</c:v>
                </c:pt>
                <c:pt idx="37">
                  <c:v>43886</c:v>
                </c:pt>
                <c:pt idx="38">
                  <c:v>43887</c:v>
                </c:pt>
                <c:pt idx="39">
                  <c:v>43888</c:v>
                </c:pt>
                <c:pt idx="40">
                  <c:v>43889</c:v>
                </c:pt>
                <c:pt idx="41">
                  <c:v>43892</c:v>
                </c:pt>
                <c:pt idx="42">
                  <c:v>43893</c:v>
                </c:pt>
                <c:pt idx="43">
                  <c:v>43894</c:v>
                </c:pt>
                <c:pt idx="44">
                  <c:v>43895</c:v>
                </c:pt>
                <c:pt idx="45">
                  <c:v>43896</c:v>
                </c:pt>
                <c:pt idx="46">
                  <c:v>43899</c:v>
                </c:pt>
                <c:pt idx="47">
                  <c:v>43901</c:v>
                </c:pt>
                <c:pt idx="48">
                  <c:v>43902</c:v>
                </c:pt>
                <c:pt idx="49">
                  <c:v>43903</c:v>
                </c:pt>
                <c:pt idx="50">
                  <c:v>43906</c:v>
                </c:pt>
                <c:pt idx="51">
                  <c:v>43907</c:v>
                </c:pt>
                <c:pt idx="52">
                  <c:v>43908</c:v>
                </c:pt>
                <c:pt idx="53">
                  <c:v>43909</c:v>
                </c:pt>
                <c:pt idx="54">
                  <c:v>43910</c:v>
                </c:pt>
                <c:pt idx="55">
                  <c:v>43913</c:v>
                </c:pt>
                <c:pt idx="56">
                  <c:v>43914</c:v>
                </c:pt>
                <c:pt idx="57">
                  <c:v>43915</c:v>
                </c:pt>
                <c:pt idx="58">
                  <c:v>43916</c:v>
                </c:pt>
                <c:pt idx="59">
                  <c:v>43917</c:v>
                </c:pt>
                <c:pt idx="60">
                  <c:v>43920</c:v>
                </c:pt>
                <c:pt idx="61">
                  <c:v>43921</c:v>
                </c:pt>
                <c:pt idx="62">
                  <c:v>43922</c:v>
                </c:pt>
                <c:pt idx="63">
                  <c:v>43924</c:v>
                </c:pt>
                <c:pt idx="64">
                  <c:v>43928</c:v>
                </c:pt>
                <c:pt idx="65">
                  <c:v>43929</c:v>
                </c:pt>
                <c:pt idx="66">
                  <c:v>43930</c:v>
                </c:pt>
                <c:pt idx="67">
                  <c:v>43934</c:v>
                </c:pt>
                <c:pt idx="68">
                  <c:v>43936</c:v>
                </c:pt>
                <c:pt idx="69">
                  <c:v>43937</c:v>
                </c:pt>
                <c:pt idx="70">
                  <c:v>43938</c:v>
                </c:pt>
                <c:pt idx="71">
                  <c:v>43941</c:v>
                </c:pt>
                <c:pt idx="72">
                  <c:v>43942</c:v>
                </c:pt>
                <c:pt idx="73">
                  <c:v>43943</c:v>
                </c:pt>
                <c:pt idx="74">
                  <c:v>43944</c:v>
                </c:pt>
                <c:pt idx="75">
                  <c:v>43945</c:v>
                </c:pt>
                <c:pt idx="76">
                  <c:v>43948</c:v>
                </c:pt>
                <c:pt idx="77">
                  <c:v>43949</c:v>
                </c:pt>
                <c:pt idx="78">
                  <c:v>43950</c:v>
                </c:pt>
                <c:pt idx="79">
                  <c:v>43951</c:v>
                </c:pt>
                <c:pt idx="80">
                  <c:v>43955</c:v>
                </c:pt>
                <c:pt idx="81">
                  <c:v>43956</c:v>
                </c:pt>
                <c:pt idx="82">
                  <c:v>43957</c:v>
                </c:pt>
                <c:pt idx="83">
                  <c:v>43958</c:v>
                </c:pt>
                <c:pt idx="84">
                  <c:v>43959</c:v>
                </c:pt>
                <c:pt idx="85">
                  <c:v>43962</c:v>
                </c:pt>
                <c:pt idx="86">
                  <c:v>43963</c:v>
                </c:pt>
                <c:pt idx="87">
                  <c:v>43964</c:v>
                </c:pt>
                <c:pt idx="88">
                  <c:v>43965</c:v>
                </c:pt>
                <c:pt idx="89">
                  <c:v>43966</c:v>
                </c:pt>
                <c:pt idx="90">
                  <c:v>43969</c:v>
                </c:pt>
                <c:pt idx="91">
                  <c:v>43970</c:v>
                </c:pt>
                <c:pt idx="92">
                  <c:v>43971</c:v>
                </c:pt>
                <c:pt idx="93">
                  <c:v>43972</c:v>
                </c:pt>
                <c:pt idx="94">
                  <c:v>43973</c:v>
                </c:pt>
                <c:pt idx="95">
                  <c:v>43977</c:v>
                </c:pt>
                <c:pt idx="96">
                  <c:v>43978</c:v>
                </c:pt>
                <c:pt idx="97">
                  <c:v>43979</c:v>
                </c:pt>
                <c:pt idx="98">
                  <c:v>43980</c:v>
                </c:pt>
                <c:pt idx="99">
                  <c:v>43983</c:v>
                </c:pt>
                <c:pt idx="100">
                  <c:v>43984</c:v>
                </c:pt>
                <c:pt idx="101">
                  <c:v>43985</c:v>
                </c:pt>
                <c:pt idx="102">
                  <c:v>43986</c:v>
                </c:pt>
                <c:pt idx="103">
                  <c:v>43987</c:v>
                </c:pt>
                <c:pt idx="104">
                  <c:v>43990</c:v>
                </c:pt>
                <c:pt idx="105">
                  <c:v>43991</c:v>
                </c:pt>
                <c:pt idx="106">
                  <c:v>43992</c:v>
                </c:pt>
                <c:pt idx="107">
                  <c:v>43993</c:v>
                </c:pt>
                <c:pt idx="108">
                  <c:v>43994</c:v>
                </c:pt>
                <c:pt idx="109">
                  <c:v>43997</c:v>
                </c:pt>
                <c:pt idx="110">
                  <c:v>43998</c:v>
                </c:pt>
                <c:pt idx="111">
                  <c:v>43999</c:v>
                </c:pt>
                <c:pt idx="112">
                  <c:v>44000</c:v>
                </c:pt>
                <c:pt idx="113">
                  <c:v>44001</c:v>
                </c:pt>
                <c:pt idx="114">
                  <c:v>44004</c:v>
                </c:pt>
                <c:pt idx="115">
                  <c:v>44005</c:v>
                </c:pt>
                <c:pt idx="116">
                  <c:v>44006</c:v>
                </c:pt>
                <c:pt idx="117">
                  <c:v>44007</c:v>
                </c:pt>
                <c:pt idx="118">
                  <c:v>44008</c:v>
                </c:pt>
                <c:pt idx="119">
                  <c:v>44011</c:v>
                </c:pt>
                <c:pt idx="120">
                  <c:v>44012</c:v>
                </c:pt>
                <c:pt idx="121">
                  <c:v>44013</c:v>
                </c:pt>
                <c:pt idx="122">
                  <c:v>44014</c:v>
                </c:pt>
                <c:pt idx="123">
                  <c:v>44015</c:v>
                </c:pt>
                <c:pt idx="124">
                  <c:v>44018</c:v>
                </c:pt>
                <c:pt idx="125">
                  <c:v>44019</c:v>
                </c:pt>
                <c:pt idx="126">
                  <c:v>44020</c:v>
                </c:pt>
                <c:pt idx="127">
                  <c:v>44021</c:v>
                </c:pt>
                <c:pt idx="128">
                  <c:v>44022</c:v>
                </c:pt>
                <c:pt idx="129">
                  <c:v>44025</c:v>
                </c:pt>
                <c:pt idx="130">
                  <c:v>44026</c:v>
                </c:pt>
                <c:pt idx="131">
                  <c:v>44027</c:v>
                </c:pt>
                <c:pt idx="132">
                  <c:v>44028</c:v>
                </c:pt>
                <c:pt idx="133">
                  <c:v>44029</c:v>
                </c:pt>
                <c:pt idx="134">
                  <c:v>44032</c:v>
                </c:pt>
                <c:pt idx="135">
                  <c:v>44033</c:v>
                </c:pt>
                <c:pt idx="136">
                  <c:v>44034</c:v>
                </c:pt>
                <c:pt idx="137">
                  <c:v>44035</c:v>
                </c:pt>
                <c:pt idx="138">
                  <c:v>44036</c:v>
                </c:pt>
                <c:pt idx="139">
                  <c:v>44039</c:v>
                </c:pt>
                <c:pt idx="140">
                  <c:v>44040</c:v>
                </c:pt>
                <c:pt idx="141">
                  <c:v>44041</c:v>
                </c:pt>
                <c:pt idx="142">
                  <c:v>44042</c:v>
                </c:pt>
                <c:pt idx="143">
                  <c:v>44043</c:v>
                </c:pt>
                <c:pt idx="144">
                  <c:v>44046</c:v>
                </c:pt>
                <c:pt idx="145">
                  <c:v>44047</c:v>
                </c:pt>
                <c:pt idx="146">
                  <c:v>44048</c:v>
                </c:pt>
                <c:pt idx="147">
                  <c:v>44049</c:v>
                </c:pt>
                <c:pt idx="148">
                  <c:v>44050</c:v>
                </c:pt>
                <c:pt idx="149">
                  <c:v>44053</c:v>
                </c:pt>
                <c:pt idx="150">
                  <c:v>44054</c:v>
                </c:pt>
                <c:pt idx="151">
                  <c:v>44055</c:v>
                </c:pt>
                <c:pt idx="152">
                  <c:v>44056</c:v>
                </c:pt>
                <c:pt idx="153">
                  <c:v>44057</c:v>
                </c:pt>
                <c:pt idx="154">
                  <c:v>44060</c:v>
                </c:pt>
                <c:pt idx="155">
                  <c:v>44061</c:v>
                </c:pt>
                <c:pt idx="156">
                  <c:v>44062</c:v>
                </c:pt>
                <c:pt idx="157">
                  <c:v>44063</c:v>
                </c:pt>
                <c:pt idx="158">
                  <c:v>44064</c:v>
                </c:pt>
                <c:pt idx="159">
                  <c:v>44067</c:v>
                </c:pt>
                <c:pt idx="160">
                  <c:v>44068</c:v>
                </c:pt>
                <c:pt idx="161">
                  <c:v>44069</c:v>
                </c:pt>
                <c:pt idx="162">
                  <c:v>44070</c:v>
                </c:pt>
                <c:pt idx="163">
                  <c:v>44071</c:v>
                </c:pt>
                <c:pt idx="164">
                  <c:v>44074</c:v>
                </c:pt>
                <c:pt idx="165">
                  <c:v>44075</c:v>
                </c:pt>
                <c:pt idx="166">
                  <c:v>44076</c:v>
                </c:pt>
                <c:pt idx="167">
                  <c:v>44077</c:v>
                </c:pt>
                <c:pt idx="168">
                  <c:v>44078</c:v>
                </c:pt>
                <c:pt idx="169">
                  <c:v>44081</c:v>
                </c:pt>
                <c:pt idx="170">
                  <c:v>44082</c:v>
                </c:pt>
                <c:pt idx="171">
                  <c:v>44083</c:v>
                </c:pt>
                <c:pt idx="172">
                  <c:v>44084</c:v>
                </c:pt>
                <c:pt idx="173">
                  <c:v>44085</c:v>
                </c:pt>
                <c:pt idx="174">
                  <c:v>44088</c:v>
                </c:pt>
                <c:pt idx="175">
                  <c:v>44089</c:v>
                </c:pt>
                <c:pt idx="176">
                  <c:v>44090</c:v>
                </c:pt>
                <c:pt idx="177">
                  <c:v>44091</c:v>
                </c:pt>
                <c:pt idx="178">
                  <c:v>44092</c:v>
                </c:pt>
                <c:pt idx="179">
                  <c:v>44095</c:v>
                </c:pt>
                <c:pt idx="180">
                  <c:v>44096</c:v>
                </c:pt>
                <c:pt idx="181">
                  <c:v>44097</c:v>
                </c:pt>
                <c:pt idx="182">
                  <c:v>44098</c:v>
                </c:pt>
                <c:pt idx="183">
                  <c:v>44099</c:v>
                </c:pt>
                <c:pt idx="184">
                  <c:v>44102</c:v>
                </c:pt>
                <c:pt idx="185">
                  <c:v>44103</c:v>
                </c:pt>
                <c:pt idx="186">
                  <c:v>44104</c:v>
                </c:pt>
                <c:pt idx="187">
                  <c:v>44105</c:v>
                </c:pt>
                <c:pt idx="188">
                  <c:v>44109</c:v>
                </c:pt>
                <c:pt idx="189">
                  <c:v>44110</c:v>
                </c:pt>
                <c:pt idx="190">
                  <c:v>44111</c:v>
                </c:pt>
                <c:pt idx="191">
                  <c:v>44112</c:v>
                </c:pt>
                <c:pt idx="192">
                  <c:v>44113</c:v>
                </c:pt>
                <c:pt idx="193">
                  <c:v>44116</c:v>
                </c:pt>
                <c:pt idx="194">
                  <c:v>44117</c:v>
                </c:pt>
                <c:pt idx="195">
                  <c:v>44118</c:v>
                </c:pt>
                <c:pt idx="196">
                  <c:v>44119</c:v>
                </c:pt>
                <c:pt idx="197">
                  <c:v>44120</c:v>
                </c:pt>
                <c:pt idx="198">
                  <c:v>44123</c:v>
                </c:pt>
                <c:pt idx="199">
                  <c:v>44124</c:v>
                </c:pt>
                <c:pt idx="200">
                  <c:v>44125</c:v>
                </c:pt>
                <c:pt idx="201">
                  <c:v>44126</c:v>
                </c:pt>
                <c:pt idx="202">
                  <c:v>44127</c:v>
                </c:pt>
                <c:pt idx="203">
                  <c:v>44130</c:v>
                </c:pt>
                <c:pt idx="204">
                  <c:v>44131</c:v>
                </c:pt>
                <c:pt idx="205">
                  <c:v>44132</c:v>
                </c:pt>
                <c:pt idx="206">
                  <c:v>44133</c:v>
                </c:pt>
                <c:pt idx="207">
                  <c:v>44134</c:v>
                </c:pt>
                <c:pt idx="208">
                  <c:v>44137</c:v>
                </c:pt>
                <c:pt idx="209">
                  <c:v>44138</c:v>
                </c:pt>
                <c:pt idx="210">
                  <c:v>44139</c:v>
                </c:pt>
                <c:pt idx="211">
                  <c:v>44140</c:v>
                </c:pt>
                <c:pt idx="212">
                  <c:v>44141</c:v>
                </c:pt>
                <c:pt idx="213">
                  <c:v>44144</c:v>
                </c:pt>
                <c:pt idx="214">
                  <c:v>44145</c:v>
                </c:pt>
                <c:pt idx="215">
                  <c:v>44146</c:v>
                </c:pt>
                <c:pt idx="216">
                  <c:v>44147</c:v>
                </c:pt>
                <c:pt idx="217">
                  <c:v>44148</c:v>
                </c:pt>
                <c:pt idx="218">
                  <c:v>44149</c:v>
                </c:pt>
                <c:pt idx="219">
                  <c:v>44152</c:v>
                </c:pt>
                <c:pt idx="220">
                  <c:v>44153</c:v>
                </c:pt>
                <c:pt idx="221">
                  <c:v>44154</c:v>
                </c:pt>
                <c:pt idx="222">
                  <c:v>44155</c:v>
                </c:pt>
                <c:pt idx="223">
                  <c:v>44158</c:v>
                </c:pt>
                <c:pt idx="224">
                  <c:v>44159</c:v>
                </c:pt>
                <c:pt idx="225">
                  <c:v>44160</c:v>
                </c:pt>
                <c:pt idx="226">
                  <c:v>44161</c:v>
                </c:pt>
                <c:pt idx="227">
                  <c:v>44162</c:v>
                </c:pt>
                <c:pt idx="228">
                  <c:v>44166</c:v>
                </c:pt>
                <c:pt idx="229">
                  <c:v>44167</c:v>
                </c:pt>
                <c:pt idx="230">
                  <c:v>44168</c:v>
                </c:pt>
                <c:pt idx="231">
                  <c:v>44169</c:v>
                </c:pt>
                <c:pt idx="232">
                  <c:v>44172</c:v>
                </c:pt>
                <c:pt idx="233">
                  <c:v>44173</c:v>
                </c:pt>
                <c:pt idx="234">
                  <c:v>44174</c:v>
                </c:pt>
                <c:pt idx="235">
                  <c:v>44175</c:v>
                </c:pt>
                <c:pt idx="236">
                  <c:v>44176</c:v>
                </c:pt>
                <c:pt idx="237">
                  <c:v>44179</c:v>
                </c:pt>
                <c:pt idx="238">
                  <c:v>44180</c:v>
                </c:pt>
                <c:pt idx="239">
                  <c:v>44181</c:v>
                </c:pt>
                <c:pt idx="240">
                  <c:v>44182</c:v>
                </c:pt>
                <c:pt idx="241">
                  <c:v>44183</c:v>
                </c:pt>
                <c:pt idx="242">
                  <c:v>44186</c:v>
                </c:pt>
                <c:pt idx="243">
                  <c:v>44187</c:v>
                </c:pt>
                <c:pt idx="244">
                  <c:v>44188</c:v>
                </c:pt>
                <c:pt idx="245">
                  <c:v>44189</c:v>
                </c:pt>
                <c:pt idx="246">
                  <c:v>44193</c:v>
                </c:pt>
                <c:pt idx="247">
                  <c:v>44194</c:v>
                </c:pt>
                <c:pt idx="248">
                  <c:v>44195</c:v>
                </c:pt>
                <c:pt idx="249">
                  <c:v>44196</c:v>
                </c:pt>
                <c:pt idx="250">
                  <c:v>44197</c:v>
                </c:pt>
                <c:pt idx="251">
                  <c:v>44200</c:v>
                </c:pt>
                <c:pt idx="252">
                  <c:v>44201</c:v>
                </c:pt>
                <c:pt idx="253">
                  <c:v>44202</c:v>
                </c:pt>
                <c:pt idx="254">
                  <c:v>44203</c:v>
                </c:pt>
                <c:pt idx="255">
                  <c:v>44204</c:v>
                </c:pt>
                <c:pt idx="256">
                  <c:v>44207</c:v>
                </c:pt>
                <c:pt idx="257">
                  <c:v>44208</c:v>
                </c:pt>
                <c:pt idx="258">
                  <c:v>44209</c:v>
                </c:pt>
                <c:pt idx="259">
                  <c:v>44210</c:v>
                </c:pt>
                <c:pt idx="260">
                  <c:v>44211</c:v>
                </c:pt>
                <c:pt idx="261">
                  <c:v>44214</c:v>
                </c:pt>
                <c:pt idx="262">
                  <c:v>44215</c:v>
                </c:pt>
                <c:pt idx="263">
                  <c:v>44216</c:v>
                </c:pt>
                <c:pt idx="264">
                  <c:v>44217</c:v>
                </c:pt>
                <c:pt idx="265">
                  <c:v>44218</c:v>
                </c:pt>
                <c:pt idx="266">
                  <c:v>44221</c:v>
                </c:pt>
                <c:pt idx="267">
                  <c:v>44223</c:v>
                </c:pt>
                <c:pt idx="268">
                  <c:v>44224</c:v>
                </c:pt>
                <c:pt idx="269">
                  <c:v>44225</c:v>
                </c:pt>
                <c:pt idx="270">
                  <c:v>44228</c:v>
                </c:pt>
                <c:pt idx="271">
                  <c:v>44229</c:v>
                </c:pt>
                <c:pt idx="272">
                  <c:v>44230</c:v>
                </c:pt>
                <c:pt idx="273">
                  <c:v>44231</c:v>
                </c:pt>
                <c:pt idx="274">
                  <c:v>44232</c:v>
                </c:pt>
                <c:pt idx="275">
                  <c:v>44235</c:v>
                </c:pt>
                <c:pt idx="276">
                  <c:v>44236</c:v>
                </c:pt>
                <c:pt idx="277">
                  <c:v>44237</c:v>
                </c:pt>
                <c:pt idx="278">
                  <c:v>44238</c:v>
                </c:pt>
                <c:pt idx="279">
                  <c:v>44239</c:v>
                </c:pt>
                <c:pt idx="280">
                  <c:v>44242</c:v>
                </c:pt>
                <c:pt idx="281">
                  <c:v>44243</c:v>
                </c:pt>
                <c:pt idx="282">
                  <c:v>44244</c:v>
                </c:pt>
                <c:pt idx="283">
                  <c:v>44245</c:v>
                </c:pt>
                <c:pt idx="284">
                  <c:v>44246</c:v>
                </c:pt>
                <c:pt idx="285">
                  <c:v>44249</c:v>
                </c:pt>
                <c:pt idx="286">
                  <c:v>44250</c:v>
                </c:pt>
                <c:pt idx="287">
                  <c:v>44251</c:v>
                </c:pt>
                <c:pt idx="288">
                  <c:v>44252</c:v>
                </c:pt>
                <c:pt idx="289">
                  <c:v>44253</c:v>
                </c:pt>
                <c:pt idx="290">
                  <c:v>44256</c:v>
                </c:pt>
                <c:pt idx="291">
                  <c:v>44257</c:v>
                </c:pt>
                <c:pt idx="292">
                  <c:v>44258</c:v>
                </c:pt>
                <c:pt idx="293">
                  <c:v>44259</c:v>
                </c:pt>
                <c:pt idx="294">
                  <c:v>44260</c:v>
                </c:pt>
                <c:pt idx="295">
                  <c:v>44263</c:v>
                </c:pt>
                <c:pt idx="296">
                  <c:v>44264</c:v>
                </c:pt>
                <c:pt idx="297">
                  <c:v>44265</c:v>
                </c:pt>
                <c:pt idx="298">
                  <c:v>44267</c:v>
                </c:pt>
                <c:pt idx="299">
                  <c:v>44270</c:v>
                </c:pt>
                <c:pt idx="300">
                  <c:v>44271</c:v>
                </c:pt>
                <c:pt idx="301">
                  <c:v>44272</c:v>
                </c:pt>
                <c:pt idx="302">
                  <c:v>44273</c:v>
                </c:pt>
                <c:pt idx="303">
                  <c:v>44274</c:v>
                </c:pt>
                <c:pt idx="304">
                  <c:v>44277</c:v>
                </c:pt>
                <c:pt idx="305">
                  <c:v>44278</c:v>
                </c:pt>
                <c:pt idx="306">
                  <c:v>44279</c:v>
                </c:pt>
                <c:pt idx="307">
                  <c:v>44280</c:v>
                </c:pt>
                <c:pt idx="308">
                  <c:v>44281</c:v>
                </c:pt>
                <c:pt idx="309">
                  <c:v>44285</c:v>
                </c:pt>
                <c:pt idx="310">
                  <c:v>44286</c:v>
                </c:pt>
                <c:pt idx="311">
                  <c:v>44287</c:v>
                </c:pt>
                <c:pt idx="312">
                  <c:v>44291</c:v>
                </c:pt>
                <c:pt idx="313">
                  <c:v>44292</c:v>
                </c:pt>
                <c:pt idx="314">
                  <c:v>44293</c:v>
                </c:pt>
                <c:pt idx="315">
                  <c:v>44294</c:v>
                </c:pt>
                <c:pt idx="316">
                  <c:v>44295</c:v>
                </c:pt>
                <c:pt idx="317">
                  <c:v>44298</c:v>
                </c:pt>
                <c:pt idx="318">
                  <c:v>44299</c:v>
                </c:pt>
                <c:pt idx="319">
                  <c:v>44301</c:v>
                </c:pt>
                <c:pt idx="320">
                  <c:v>44302</c:v>
                </c:pt>
                <c:pt idx="321">
                  <c:v>44305</c:v>
                </c:pt>
                <c:pt idx="322">
                  <c:v>44306</c:v>
                </c:pt>
                <c:pt idx="323">
                  <c:v>44308</c:v>
                </c:pt>
                <c:pt idx="324">
                  <c:v>44309</c:v>
                </c:pt>
                <c:pt idx="325">
                  <c:v>44312</c:v>
                </c:pt>
                <c:pt idx="326">
                  <c:v>44313</c:v>
                </c:pt>
                <c:pt idx="327">
                  <c:v>44314</c:v>
                </c:pt>
                <c:pt idx="328">
                  <c:v>44315</c:v>
                </c:pt>
                <c:pt idx="329">
                  <c:v>44316</c:v>
                </c:pt>
                <c:pt idx="330">
                  <c:v>44319</c:v>
                </c:pt>
                <c:pt idx="331">
                  <c:v>44320</c:v>
                </c:pt>
                <c:pt idx="332">
                  <c:v>44321</c:v>
                </c:pt>
                <c:pt idx="333">
                  <c:v>44322</c:v>
                </c:pt>
                <c:pt idx="334">
                  <c:v>44323</c:v>
                </c:pt>
                <c:pt idx="335">
                  <c:v>44326</c:v>
                </c:pt>
                <c:pt idx="336">
                  <c:v>44327</c:v>
                </c:pt>
                <c:pt idx="337">
                  <c:v>44328</c:v>
                </c:pt>
                <c:pt idx="338">
                  <c:v>44330</c:v>
                </c:pt>
                <c:pt idx="339">
                  <c:v>44333</c:v>
                </c:pt>
                <c:pt idx="340">
                  <c:v>44334</c:v>
                </c:pt>
                <c:pt idx="341">
                  <c:v>44335</c:v>
                </c:pt>
                <c:pt idx="342">
                  <c:v>44336</c:v>
                </c:pt>
                <c:pt idx="343">
                  <c:v>44337</c:v>
                </c:pt>
                <c:pt idx="344">
                  <c:v>44340</c:v>
                </c:pt>
                <c:pt idx="345">
                  <c:v>44341</c:v>
                </c:pt>
                <c:pt idx="346">
                  <c:v>44342</c:v>
                </c:pt>
                <c:pt idx="347">
                  <c:v>44343</c:v>
                </c:pt>
                <c:pt idx="348">
                  <c:v>44344</c:v>
                </c:pt>
                <c:pt idx="349">
                  <c:v>44347</c:v>
                </c:pt>
                <c:pt idx="350">
                  <c:v>44348</c:v>
                </c:pt>
                <c:pt idx="351">
                  <c:v>44349</c:v>
                </c:pt>
                <c:pt idx="352">
                  <c:v>44350</c:v>
                </c:pt>
                <c:pt idx="353">
                  <c:v>44351</c:v>
                </c:pt>
                <c:pt idx="354">
                  <c:v>44354</c:v>
                </c:pt>
                <c:pt idx="355">
                  <c:v>44355</c:v>
                </c:pt>
                <c:pt idx="356">
                  <c:v>44356</c:v>
                </c:pt>
                <c:pt idx="357">
                  <c:v>44357</c:v>
                </c:pt>
                <c:pt idx="358">
                  <c:v>44358</c:v>
                </c:pt>
                <c:pt idx="359">
                  <c:v>44361</c:v>
                </c:pt>
                <c:pt idx="360">
                  <c:v>44362</c:v>
                </c:pt>
                <c:pt idx="361">
                  <c:v>44363</c:v>
                </c:pt>
                <c:pt idx="362">
                  <c:v>44364</c:v>
                </c:pt>
                <c:pt idx="363">
                  <c:v>44365</c:v>
                </c:pt>
                <c:pt idx="364">
                  <c:v>44368</c:v>
                </c:pt>
                <c:pt idx="365">
                  <c:v>44369</c:v>
                </c:pt>
                <c:pt idx="366">
                  <c:v>44370</c:v>
                </c:pt>
                <c:pt idx="367">
                  <c:v>44371</c:v>
                </c:pt>
                <c:pt idx="368">
                  <c:v>44372</c:v>
                </c:pt>
                <c:pt idx="369">
                  <c:v>44375</c:v>
                </c:pt>
                <c:pt idx="370">
                  <c:v>44376</c:v>
                </c:pt>
                <c:pt idx="371">
                  <c:v>44377</c:v>
                </c:pt>
                <c:pt idx="372">
                  <c:v>44378</c:v>
                </c:pt>
                <c:pt idx="373">
                  <c:v>44379</c:v>
                </c:pt>
                <c:pt idx="374">
                  <c:v>44382</c:v>
                </c:pt>
                <c:pt idx="375">
                  <c:v>44383</c:v>
                </c:pt>
                <c:pt idx="376">
                  <c:v>44384</c:v>
                </c:pt>
                <c:pt idx="377">
                  <c:v>44385</c:v>
                </c:pt>
                <c:pt idx="378">
                  <c:v>44386</c:v>
                </c:pt>
                <c:pt idx="379">
                  <c:v>44389</c:v>
                </c:pt>
                <c:pt idx="380">
                  <c:v>44390</c:v>
                </c:pt>
                <c:pt idx="381">
                  <c:v>44391</c:v>
                </c:pt>
                <c:pt idx="382">
                  <c:v>44392</c:v>
                </c:pt>
                <c:pt idx="383">
                  <c:v>44393</c:v>
                </c:pt>
                <c:pt idx="384">
                  <c:v>44396</c:v>
                </c:pt>
                <c:pt idx="385">
                  <c:v>44397</c:v>
                </c:pt>
                <c:pt idx="386">
                  <c:v>44399</c:v>
                </c:pt>
                <c:pt idx="387">
                  <c:v>44400</c:v>
                </c:pt>
                <c:pt idx="388">
                  <c:v>44403</c:v>
                </c:pt>
                <c:pt idx="389">
                  <c:v>44404</c:v>
                </c:pt>
                <c:pt idx="390">
                  <c:v>44405</c:v>
                </c:pt>
                <c:pt idx="391">
                  <c:v>44406</c:v>
                </c:pt>
                <c:pt idx="392">
                  <c:v>44407</c:v>
                </c:pt>
                <c:pt idx="393">
                  <c:v>44410</c:v>
                </c:pt>
                <c:pt idx="394">
                  <c:v>44411</c:v>
                </c:pt>
                <c:pt idx="395">
                  <c:v>44412</c:v>
                </c:pt>
                <c:pt idx="396">
                  <c:v>44413</c:v>
                </c:pt>
                <c:pt idx="397">
                  <c:v>44414</c:v>
                </c:pt>
                <c:pt idx="398">
                  <c:v>44417</c:v>
                </c:pt>
                <c:pt idx="399">
                  <c:v>44418</c:v>
                </c:pt>
                <c:pt idx="400">
                  <c:v>44419</c:v>
                </c:pt>
                <c:pt idx="401">
                  <c:v>44420</c:v>
                </c:pt>
                <c:pt idx="402">
                  <c:v>44421</c:v>
                </c:pt>
                <c:pt idx="403">
                  <c:v>44424</c:v>
                </c:pt>
                <c:pt idx="404">
                  <c:v>44425</c:v>
                </c:pt>
                <c:pt idx="405">
                  <c:v>44426</c:v>
                </c:pt>
                <c:pt idx="406">
                  <c:v>44428</c:v>
                </c:pt>
                <c:pt idx="407">
                  <c:v>44431</c:v>
                </c:pt>
                <c:pt idx="408">
                  <c:v>44432</c:v>
                </c:pt>
                <c:pt idx="409">
                  <c:v>44433</c:v>
                </c:pt>
                <c:pt idx="410">
                  <c:v>44434</c:v>
                </c:pt>
                <c:pt idx="411">
                  <c:v>44435</c:v>
                </c:pt>
                <c:pt idx="412">
                  <c:v>44438</c:v>
                </c:pt>
                <c:pt idx="413">
                  <c:v>44439</c:v>
                </c:pt>
                <c:pt idx="414">
                  <c:v>44440</c:v>
                </c:pt>
                <c:pt idx="415">
                  <c:v>44441</c:v>
                </c:pt>
                <c:pt idx="416">
                  <c:v>44442</c:v>
                </c:pt>
                <c:pt idx="417">
                  <c:v>44445</c:v>
                </c:pt>
                <c:pt idx="418">
                  <c:v>44446</c:v>
                </c:pt>
                <c:pt idx="419">
                  <c:v>44447</c:v>
                </c:pt>
                <c:pt idx="420">
                  <c:v>44448</c:v>
                </c:pt>
                <c:pt idx="421">
                  <c:v>44452</c:v>
                </c:pt>
                <c:pt idx="422">
                  <c:v>44453</c:v>
                </c:pt>
                <c:pt idx="423">
                  <c:v>44454</c:v>
                </c:pt>
                <c:pt idx="424">
                  <c:v>44455</c:v>
                </c:pt>
                <c:pt idx="425">
                  <c:v>44456</c:v>
                </c:pt>
                <c:pt idx="426">
                  <c:v>44459</c:v>
                </c:pt>
                <c:pt idx="427">
                  <c:v>44460</c:v>
                </c:pt>
                <c:pt idx="428">
                  <c:v>44461</c:v>
                </c:pt>
                <c:pt idx="429">
                  <c:v>44462</c:v>
                </c:pt>
                <c:pt idx="430">
                  <c:v>44463</c:v>
                </c:pt>
                <c:pt idx="431">
                  <c:v>44466</c:v>
                </c:pt>
                <c:pt idx="432">
                  <c:v>44467</c:v>
                </c:pt>
                <c:pt idx="433">
                  <c:v>44468</c:v>
                </c:pt>
                <c:pt idx="434">
                  <c:v>44469</c:v>
                </c:pt>
                <c:pt idx="435">
                  <c:v>44470</c:v>
                </c:pt>
                <c:pt idx="436">
                  <c:v>44473</c:v>
                </c:pt>
                <c:pt idx="437">
                  <c:v>44474</c:v>
                </c:pt>
                <c:pt idx="438">
                  <c:v>44475</c:v>
                </c:pt>
                <c:pt idx="439">
                  <c:v>44476</c:v>
                </c:pt>
                <c:pt idx="440">
                  <c:v>44477</c:v>
                </c:pt>
                <c:pt idx="441">
                  <c:v>44480</c:v>
                </c:pt>
                <c:pt idx="442">
                  <c:v>44481</c:v>
                </c:pt>
                <c:pt idx="443">
                  <c:v>44482</c:v>
                </c:pt>
                <c:pt idx="444">
                  <c:v>44483</c:v>
                </c:pt>
                <c:pt idx="445">
                  <c:v>44487</c:v>
                </c:pt>
                <c:pt idx="446">
                  <c:v>44488</c:v>
                </c:pt>
                <c:pt idx="447">
                  <c:v>44489</c:v>
                </c:pt>
                <c:pt idx="448">
                  <c:v>44490</c:v>
                </c:pt>
                <c:pt idx="449">
                  <c:v>44491</c:v>
                </c:pt>
                <c:pt idx="450">
                  <c:v>44494</c:v>
                </c:pt>
                <c:pt idx="451">
                  <c:v>44495</c:v>
                </c:pt>
                <c:pt idx="452">
                  <c:v>44496</c:v>
                </c:pt>
                <c:pt idx="453">
                  <c:v>44497</c:v>
                </c:pt>
                <c:pt idx="454">
                  <c:v>44498</c:v>
                </c:pt>
                <c:pt idx="455">
                  <c:v>44501</c:v>
                </c:pt>
                <c:pt idx="456">
                  <c:v>44502</c:v>
                </c:pt>
                <c:pt idx="457">
                  <c:v>44503</c:v>
                </c:pt>
                <c:pt idx="458">
                  <c:v>44504</c:v>
                </c:pt>
                <c:pt idx="459">
                  <c:v>44508</c:v>
                </c:pt>
                <c:pt idx="460">
                  <c:v>44509</c:v>
                </c:pt>
                <c:pt idx="461">
                  <c:v>44510</c:v>
                </c:pt>
                <c:pt idx="462">
                  <c:v>44511</c:v>
                </c:pt>
                <c:pt idx="463">
                  <c:v>44512</c:v>
                </c:pt>
                <c:pt idx="464">
                  <c:v>44515</c:v>
                </c:pt>
                <c:pt idx="465">
                  <c:v>44516</c:v>
                </c:pt>
                <c:pt idx="466">
                  <c:v>44517</c:v>
                </c:pt>
                <c:pt idx="467">
                  <c:v>44518</c:v>
                </c:pt>
                <c:pt idx="468">
                  <c:v>44522</c:v>
                </c:pt>
                <c:pt idx="469">
                  <c:v>44523</c:v>
                </c:pt>
                <c:pt idx="470">
                  <c:v>44524</c:v>
                </c:pt>
                <c:pt idx="471">
                  <c:v>44525</c:v>
                </c:pt>
                <c:pt idx="472">
                  <c:v>44526</c:v>
                </c:pt>
                <c:pt idx="473">
                  <c:v>44529</c:v>
                </c:pt>
                <c:pt idx="474">
                  <c:v>44530</c:v>
                </c:pt>
                <c:pt idx="475">
                  <c:v>44531</c:v>
                </c:pt>
                <c:pt idx="476">
                  <c:v>44532</c:v>
                </c:pt>
                <c:pt idx="477">
                  <c:v>44533</c:v>
                </c:pt>
                <c:pt idx="478">
                  <c:v>44536</c:v>
                </c:pt>
                <c:pt idx="479">
                  <c:v>44537</c:v>
                </c:pt>
                <c:pt idx="480">
                  <c:v>44538</c:v>
                </c:pt>
                <c:pt idx="481">
                  <c:v>44539</c:v>
                </c:pt>
                <c:pt idx="482">
                  <c:v>44540</c:v>
                </c:pt>
                <c:pt idx="483">
                  <c:v>44543</c:v>
                </c:pt>
                <c:pt idx="484">
                  <c:v>44544</c:v>
                </c:pt>
                <c:pt idx="485">
                  <c:v>44545</c:v>
                </c:pt>
                <c:pt idx="486">
                  <c:v>44546</c:v>
                </c:pt>
                <c:pt idx="487">
                  <c:v>44547</c:v>
                </c:pt>
                <c:pt idx="488">
                  <c:v>44550</c:v>
                </c:pt>
                <c:pt idx="489">
                  <c:v>44551</c:v>
                </c:pt>
                <c:pt idx="490">
                  <c:v>44552</c:v>
                </c:pt>
                <c:pt idx="491">
                  <c:v>44553</c:v>
                </c:pt>
                <c:pt idx="492">
                  <c:v>44554</c:v>
                </c:pt>
                <c:pt idx="493">
                  <c:v>44557</c:v>
                </c:pt>
                <c:pt idx="494">
                  <c:v>44558</c:v>
                </c:pt>
                <c:pt idx="495">
                  <c:v>44559</c:v>
                </c:pt>
                <c:pt idx="496">
                  <c:v>44560</c:v>
                </c:pt>
                <c:pt idx="497">
                  <c:v>44561</c:v>
                </c:pt>
                <c:pt idx="498">
                  <c:v>44564</c:v>
                </c:pt>
                <c:pt idx="499">
                  <c:v>44565</c:v>
                </c:pt>
                <c:pt idx="500">
                  <c:v>44566</c:v>
                </c:pt>
                <c:pt idx="501">
                  <c:v>44567</c:v>
                </c:pt>
                <c:pt idx="502">
                  <c:v>44568</c:v>
                </c:pt>
                <c:pt idx="503">
                  <c:v>44571</c:v>
                </c:pt>
                <c:pt idx="504">
                  <c:v>44572</c:v>
                </c:pt>
                <c:pt idx="505">
                  <c:v>44573</c:v>
                </c:pt>
                <c:pt idx="506">
                  <c:v>44574</c:v>
                </c:pt>
                <c:pt idx="507">
                  <c:v>44575</c:v>
                </c:pt>
                <c:pt idx="508">
                  <c:v>44578</c:v>
                </c:pt>
                <c:pt idx="509">
                  <c:v>44579</c:v>
                </c:pt>
                <c:pt idx="510">
                  <c:v>44580</c:v>
                </c:pt>
                <c:pt idx="511">
                  <c:v>44581</c:v>
                </c:pt>
                <c:pt idx="512">
                  <c:v>44582</c:v>
                </c:pt>
                <c:pt idx="513">
                  <c:v>44585</c:v>
                </c:pt>
                <c:pt idx="514">
                  <c:v>44586</c:v>
                </c:pt>
                <c:pt idx="515">
                  <c:v>44588</c:v>
                </c:pt>
                <c:pt idx="516">
                  <c:v>44589</c:v>
                </c:pt>
                <c:pt idx="517">
                  <c:v>44592</c:v>
                </c:pt>
                <c:pt idx="518">
                  <c:v>44593</c:v>
                </c:pt>
                <c:pt idx="519">
                  <c:v>44594</c:v>
                </c:pt>
                <c:pt idx="520">
                  <c:v>44595</c:v>
                </c:pt>
                <c:pt idx="521">
                  <c:v>44596</c:v>
                </c:pt>
                <c:pt idx="522">
                  <c:v>44599</c:v>
                </c:pt>
                <c:pt idx="523">
                  <c:v>44600</c:v>
                </c:pt>
                <c:pt idx="524">
                  <c:v>44601</c:v>
                </c:pt>
                <c:pt idx="525">
                  <c:v>44602</c:v>
                </c:pt>
                <c:pt idx="526">
                  <c:v>44603</c:v>
                </c:pt>
                <c:pt idx="527">
                  <c:v>44606</c:v>
                </c:pt>
                <c:pt idx="528">
                  <c:v>44607</c:v>
                </c:pt>
                <c:pt idx="529">
                  <c:v>44608</c:v>
                </c:pt>
                <c:pt idx="530">
                  <c:v>44609</c:v>
                </c:pt>
                <c:pt idx="531">
                  <c:v>44610</c:v>
                </c:pt>
                <c:pt idx="532">
                  <c:v>44613</c:v>
                </c:pt>
                <c:pt idx="533">
                  <c:v>44614</c:v>
                </c:pt>
                <c:pt idx="534">
                  <c:v>44615</c:v>
                </c:pt>
                <c:pt idx="535">
                  <c:v>44616</c:v>
                </c:pt>
                <c:pt idx="536">
                  <c:v>44617</c:v>
                </c:pt>
                <c:pt idx="537">
                  <c:v>44620</c:v>
                </c:pt>
                <c:pt idx="538">
                  <c:v>44622</c:v>
                </c:pt>
                <c:pt idx="539">
                  <c:v>44623</c:v>
                </c:pt>
                <c:pt idx="540">
                  <c:v>44624</c:v>
                </c:pt>
                <c:pt idx="541">
                  <c:v>44627</c:v>
                </c:pt>
                <c:pt idx="542">
                  <c:v>44628</c:v>
                </c:pt>
                <c:pt idx="543">
                  <c:v>44629</c:v>
                </c:pt>
                <c:pt idx="544">
                  <c:v>44630</c:v>
                </c:pt>
                <c:pt idx="545">
                  <c:v>44631</c:v>
                </c:pt>
                <c:pt idx="546">
                  <c:v>44634</c:v>
                </c:pt>
                <c:pt idx="547">
                  <c:v>44635</c:v>
                </c:pt>
                <c:pt idx="548">
                  <c:v>44636</c:v>
                </c:pt>
                <c:pt idx="549">
                  <c:v>44637</c:v>
                </c:pt>
                <c:pt idx="550">
                  <c:v>44641</c:v>
                </c:pt>
                <c:pt idx="551">
                  <c:v>44642</c:v>
                </c:pt>
                <c:pt idx="552">
                  <c:v>44643</c:v>
                </c:pt>
                <c:pt idx="553">
                  <c:v>44644</c:v>
                </c:pt>
                <c:pt idx="554">
                  <c:v>44645</c:v>
                </c:pt>
                <c:pt idx="555">
                  <c:v>44648</c:v>
                </c:pt>
                <c:pt idx="556">
                  <c:v>44649</c:v>
                </c:pt>
                <c:pt idx="557">
                  <c:v>44650</c:v>
                </c:pt>
                <c:pt idx="558">
                  <c:v>44651</c:v>
                </c:pt>
                <c:pt idx="559">
                  <c:v>44652</c:v>
                </c:pt>
                <c:pt idx="560">
                  <c:v>44655</c:v>
                </c:pt>
                <c:pt idx="561">
                  <c:v>44656</c:v>
                </c:pt>
                <c:pt idx="562">
                  <c:v>44657</c:v>
                </c:pt>
                <c:pt idx="563">
                  <c:v>44658</c:v>
                </c:pt>
                <c:pt idx="564">
                  <c:v>44659</c:v>
                </c:pt>
                <c:pt idx="565">
                  <c:v>44662</c:v>
                </c:pt>
                <c:pt idx="566">
                  <c:v>44663</c:v>
                </c:pt>
                <c:pt idx="567">
                  <c:v>44664</c:v>
                </c:pt>
                <c:pt idx="568">
                  <c:v>44669</c:v>
                </c:pt>
                <c:pt idx="569">
                  <c:v>44670</c:v>
                </c:pt>
                <c:pt idx="570">
                  <c:v>44671</c:v>
                </c:pt>
                <c:pt idx="571">
                  <c:v>44672</c:v>
                </c:pt>
                <c:pt idx="572">
                  <c:v>44673</c:v>
                </c:pt>
                <c:pt idx="573">
                  <c:v>44676</c:v>
                </c:pt>
                <c:pt idx="574">
                  <c:v>44677</c:v>
                </c:pt>
                <c:pt idx="575">
                  <c:v>44678</c:v>
                </c:pt>
                <c:pt idx="576">
                  <c:v>44679</c:v>
                </c:pt>
                <c:pt idx="577">
                  <c:v>44680</c:v>
                </c:pt>
                <c:pt idx="578">
                  <c:v>44683</c:v>
                </c:pt>
                <c:pt idx="579">
                  <c:v>44685</c:v>
                </c:pt>
                <c:pt idx="580">
                  <c:v>44686</c:v>
                </c:pt>
                <c:pt idx="581">
                  <c:v>44687</c:v>
                </c:pt>
                <c:pt idx="582">
                  <c:v>44690</c:v>
                </c:pt>
                <c:pt idx="583">
                  <c:v>44691</c:v>
                </c:pt>
                <c:pt idx="584">
                  <c:v>44692</c:v>
                </c:pt>
                <c:pt idx="585">
                  <c:v>44693</c:v>
                </c:pt>
                <c:pt idx="586">
                  <c:v>44694</c:v>
                </c:pt>
                <c:pt idx="587">
                  <c:v>44697</c:v>
                </c:pt>
                <c:pt idx="588">
                  <c:v>44698</c:v>
                </c:pt>
                <c:pt idx="589">
                  <c:v>44699</c:v>
                </c:pt>
                <c:pt idx="590">
                  <c:v>44700</c:v>
                </c:pt>
                <c:pt idx="591">
                  <c:v>44701</c:v>
                </c:pt>
                <c:pt idx="592">
                  <c:v>44704</c:v>
                </c:pt>
                <c:pt idx="593">
                  <c:v>44705</c:v>
                </c:pt>
                <c:pt idx="594">
                  <c:v>44706</c:v>
                </c:pt>
                <c:pt idx="595">
                  <c:v>44707</c:v>
                </c:pt>
                <c:pt idx="596">
                  <c:v>44708</c:v>
                </c:pt>
                <c:pt idx="597">
                  <c:v>44711</c:v>
                </c:pt>
                <c:pt idx="598">
                  <c:v>44712</c:v>
                </c:pt>
                <c:pt idx="599">
                  <c:v>44713</c:v>
                </c:pt>
                <c:pt idx="600">
                  <c:v>44714</c:v>
                </c:pt>
                <c:pt idx="601">
                  <c:v>44715</c:v>
                </c:pt>
                <c:pt idx="602">
                  <c:v>44718</c:v>
                </c:pt>
                <c:pt idx="603">
                  <c:v>44719</c:v>
                </c:pt>
                <c:pt idx="604">
                  <c:v>44720</c:v>
                </c:pt>
                <c:pt idx="605">
                  <c:v>44721</c:v>
                </c:pt>
                <c:pt idx="606">
                  <c:v>44722</c:v>
                </c:pt>
                <c:pt idx="607">
                  <c:v>44725</c:v>
                </c:pt>
                <c:pt idx="608">
                  <c:v>44726</c:v>
                </c:pt>
                <c:pt idx="609">
                  <c:v>44727</c:v>
                </c:pt>
                <c:pt idx="610">
                  <c:v>44728</c:v>
                </c:pt>
                <c:pt idx="611">
                  <c:v>44729</c:v>
                </c:pt>
                <c:pt idx="612">
                  <c:v>44732</c:v>
                </c:pt>
                <c:pt idx="613">
                  <c:v>44733</c:v>
                </c:pt>
                <c:pt idx="614">
                  <c:v>44734</c:v>
                </c:pt>
                <c:pt idx="615">
                  <c:v>44735</c:v>
                </c:pt>
                <c:pt idx="616">
                  <c:v>44736</c:v>
                </c:pt>
                <c:pt idx="617">
                  <c:v>44739</c:v>
                </c:pt>
                <c:pt idx="618">
                  <c:v>44740</c:v>
                </c:pt>
                <c:pt idx="619">
                  <c:v>44741</c:v>
                </c:pt>
                <c:pt idx="620">
                  <c:v>44742</c:v>
                </c:pt>
                <c:pt idx="621">
                  <c:v>44743</c:v>
                </c:pt>
                <c:pt idx="622">
                  <c:v>44746</c:v>
                </c:pt>
                <c:pt idx="623">
                  <c:v>44747</c:v>
                </c:pt>
                <c:pt idx="624">
                  <c:v>44748</c:v>
                </c:pt>
                <c:pt idx="625">
                  <c:v>44749</c:v>
                </c:pt>
                <c:pt idx="626">
                  <c:v>44750</c:v>
                </c:pt>
                <c:pt idx="627">
                  <c:v>44753</c:v>
                </c:pt>
                <c:pt idx="628">
                  <c:v>44754</c:v>
                </c:pt>
                <c:pt idx="629">
                  <c:v>44755</c:v>
                </c:pt>
                <c:pt idx="630">
                  <c:v>44756</c:v>
                </c:pt>
                <c:pt idx="631">
                  <c:v>44757</c:v>
                </c:pt>
                <c:pt idx="632">
                  <c:v>44760</c:v>
                </c:pt>
                <c:pt idx="633">
                  <c:v>44761</c:v>
                </c:pt>
                <c:pt idx="634">
                  <c:v>44762</c:v>
                </c:pt>
                <c:pt idx="635">
                  <c:v>44763</c:v>
                </c:pt>
                <c:pt idx="636">
                  <c:v>44764</c:v>
                </c:pt>
                <c:pt idx="637">
                  <c:v>44767</c:v>
                </c:pt>
                <c:pt idx="638">
                  <c:v>44768</c:v>
                </c:pt>
                <c:pt idx="639">
                  <c:v>44769</c:v>
                </c:pt>
                <c:pt idx="640">
                  <c:v>44770</c:v>
                </c:pt>
                <c:pt idx="641">
                  <c:v>44771</c:v>
                </c:pt>
                <c:pt idx="642">
                  <c:v>44774</c:v>
                </c:pt>
                <c:pt idx="643">
                  <c:v>44775</c:v>
                </c:pt>
                <c:pt idx="644">
                  <c:v>44776</c:v>
                </c:pt>
                <c:pt idx="645">
                  <c:v>44777</c:v>
                </c:pt>
                <c:pt idx="646">
                  <c:v>44778</c:v>
                </c:pt>
                <c:pt idx="647">
                  <c:v>44781</c:v>
                </c:pt>
                <c:pt idx="648">
                  <c:v>44783</c:v>
                </c:pt>
                <c:pt idx="649">
                  <c:v>44784</c:v>
                </c:pt>
                <c:pt idx="650">
                  <c:v>44785</c:v>
                </c:pt>
                <c:pt idx="651">
                  <c:v>44789</c:v>
                </c:pt>
                <c:pt idx="652">
                  <c:v>44790</c:v>
                </c:pt>
                <c:pt idx="653">
                  <c:v>44791</c:v>
                </c:pt>
                <c:pt idx="654">
                  <c:v>44792</c:v>
                </c:pt>
                <c:pt idx="655">
                  <c:v>44795</c:v>
                </c:pt>
                <c:pt idx="656">
                  <c:v>44796</c:v>
                </c:pt>
                <c:pt idx="657">
                  <c:v>44797</c:v>
                </c:pt>
                <c:pt idx="658">
                  <c:v>44798</c:v>
                </c:pt>
                <c:pt idx="659">
                  <c:v>44799</c:v>
                </c:pt>
                <c:pt idx="660">
                  <c:v>44802</c:v>
                </c:pt>
                <c:pt idx="661">
                  <c:v>44803</c:v>
                </c:pt>
                <c:pt idx="662">
                  <c:v>44805</c:v>
                </c:pt>
                <c:pt idx="663">
                  <c:v>44806</c:v>
                </c:pt>
                <c:pt idx="664">
                  <c:v>44809</c:v>
                </c:pt>
                <c:pt idx="665">
                  <c:v>44810</c:v>
                </c:pt>
                <c:pt idx="666">
                  <c:v>44811</c:v>
                </c:pt>
                <c:pt idx="667">
                  <c:v>44812</c:v>
                </c:pt>
                <c:pt idx="668">
                  <c:v>44813</c:v>
                </c:pt>
                <c:pt idx="669">
                  <c:v>44816</c:v>
                </c:pt>
                <c:pt idx="670">
                  <c:v>44817</c:v>
                </c:pt>
                <c:pt idx="671">
                  <c:v>44818</c:v>
                </c:pt>
                <c:pt idx="672">
                  <c:v>44819</c:v>
                </c:pt>
                <c:pt idx="673">
                  <c:v>44820</c:v>
                </c:pt>
                <c:pt idx="674">
                  <c:v>44823</c:v>
                </c:pt>
                <c:pt idx="675">
                  <c:v>44824</c:v>
                </c:pt>
                <c:pt idx="676">
                  <c:v>44825</c:v>
                </c:pt>
                <c:pt idx="677">
                  <c:v>44826</c:v>
                </c:pt>
                <c:pt idx="678">
                  <c:v>44827</c:v>
                </c:pt>
                <c:pt idx="679">
                  <c:v>44830</c:v>
                </c:pt>
                <c:pt idx="680">
                  <c:v>44831</c:v>
                </c:pt>
                <c:pt idx="681">
                  <c:v>44832</c:v>
                </c:pt>
                <c:pt idx="682">
                  <c:v>44833</c:v>
                </c:pt>
                <c:pt idx="683">
                  <c:v>44834</c:v>
                </c:pt>
                <c:pt idx="684">
                  <c:v>44837</c:v>
                </c:pt>
                <c:pt idx="685">
                  <c:v>44838</c:v>
                </c:pt>
                <c:pt idx="686">
                  <c:v>44840</c:v>
                </c:pt>
                <c:pt idx="687">
                  <c:v>44841</c:v>
                </c:pt>
                <c:pt idx="688">
                  <c:v>44844</c:v>
                </c:pt>
                <c:pt idx="689">
                  <c:v>44845</c:v>
                </c:pt>
                <c:pt idx="690">
                  <c:v>44846</c:v>
                </c:pt>
                <c:pt idx="691">
                  <c:v>44847</c:v>
                </c:pt>
                <c:pt idx="692">
                  <c:v>44848</c:v>
                </c:pt>
                <c:pt idx="693">
                  <c:v>44851</c:v>
                </c:pt>
                <c:pt idx="694">
                  <c:v>44852</c:v>
                </c:pt>
                <c:pt idx="695">
                  <c:v>44853</c:v>
                </c:pt>
                <c:pt idx="696">
                  <c:v>44854</c:v>
                </c:pt>
                <c:pt idx="697">
                  <c:v>44855</c:v>
                </c:pt>
                <c:pt idx="698">
                  <c:v>44858</c:v>
                </c:pt>
                <c:pt idx="699">
                  <c:v>44859</c:v>
                </c:pt>
                <c:pt idx="700">
                  <c:v>44861</c:v>
                </c:pt>
                <c:pt idx="701">
                  <c:v>44862</c:v>
                </c:pt>
                <c:pt idx="702">
                  <c:v>44865</c:v>
                </c:pt>
                <c:pt idx="703">
                  <c:v>44866</c:v>
                </c:pt>
                <c:pt idx="704">
                  <c:v>44867</c:v>
                </c:pt>
                <c:pt idx="705">
                  <c:v>44868</c:v>
                </c:pt>
                <c:pt idx="706">
                  <c:v>44869</c:v>
                </c:pt>
                <c:pt idx="707">
                  <c:v>44872</c:v>
                </c:pt>
                <c:pt idx="708">
                  <c:v>44874</c:v>
                </c:pt>
                <c:pt idx="709">
                  <c:v>44875</c:v>
                </c:pt>
                <c:pt idx="710">
                  <c:v>44876</c:v>
                </c:pt>
                <c:pt idx="711">
                  <c:v>44879</c:v>
                </c:pt>
                <c:pt idx="712">
                  <c:v>44880</c:v>
                </c:pt>
                <c:pt idx="713">
                  <c:v>44881</c:v>
                </c:pt>
                <c:pt idx="714">
                  <c:v>44882</c:v>
                </c:pt>
                <c:pt idx="715">
                  <c:v>44883</c:v>
                </c:pt>
                <c:pt idx="716">
                  <c:v>44886</c:v>
                </c:pt>
                <c:pt idx="717">
                  <c:v>44887</c:v>
                </c:pt>
                <c:pt idx="718">
                  <c:v>44888</c:v>
                </c:pt>
                <c:pt idx="719">
                  <c:v>44889</c:v>
                </c:pt>
                <c:pt idx="720">
                  <c:v>44890</c:v>
                </c:pt>
                <c:pt idx="721">
                  <c:v>44893</c:v>
                </c:pt>
                <c:pt idx="722">
                  <c:v>44894</c:v>
                </c:pt>
                <c:pt idx="723">
                  <c:v>44895</c:v>
                </c:pt>
                <c:pt idx="724">
                  <c:v>44896</c:v>
                </c:pt>
                <c:pt idx="725">
                  <c:v>44897</c:v>
                </c:pt>
                <c:pt idx="726">
                  <c:v>44900</c:v>
                </c:pt>
                <c:pt idx="727">
                  <c:v>44901</c:v>
                </c:pt>
                <c:pt idx="728">
                  <c:v>44902</c:v>
                </c:pt>
                <c:pt idx="729">
                  <c:v>44903</c:v>
                </c:pt>
                <c:pt idx="730">
                  <c:v>44904</c:v>
                </c:pt>
                <c:pt idx="731">
                  <c:v>44907</c:v>
                </c:pt>
                <c:pt idx="732">
                  <c:v>44908</c:v>
                </c:pt>
                <c:pt idx="733">
                  <c:v>44909</c:v>
                </c:pt>
                <c:pt idx="734">
                  <c:v>44910</c:v>
                </c:pt>
                <c:pt idx="735">
                  <c:v>44911</c:v>
                </c:pt>
                <c:pt idx="736">
                  <c:v>44914</c:v>
                </c:pt>
                <c:pt idx="737">
                  <c:v>44915</c:v>
                </c:pt>
                <c:pt idx="738">
                  <c:v>44916</c:v>
                </c:pt>
                <c:pt idx="739">
                  <c:v>44917</c:v>
                </c:pt>
                <c:pt idx="740">
                  <c:v>44918</c:v>
                </c:pt>
                <c:pt idx="741">
                  <c:v>44921</c:v>
                </c:pt>
                <c:pt idx="742">
                  <c:v>44922</c:v>
                </c:pt>
                <c:pt idx="743">
                  <c:v>44923</c:v>
                </c:pt>
                <c:pt idx="744">
                  <c:v>44924</c:v>
                </c:pt>
                <c:pt idx="745">
                  <c:v>44925</c:v>
                </c:pt>
                <c:pt idx="746">
                  <c:v>44928</c:v>
                </c:pt>
                <c:pt idx="747">
                  <c:v>44929</c:v>
                </c:pt>
                <c:pt idx="748">
                  <c:v>44930</c:v>
                </c:pt>
                <c:pt idx="749">
                  <c:v>44931</c:v>
                </c:pt>
                <c:pt idx="750">
                  <c:v>44932</c:v>
                </c:pt>
                <c:pt idx="751">
                  <c:v>44935</c:v>
                </c:pt>
                <c:pt idx="752">
                  <c:v>44936</c:v>
                </c:pt>
                <c:pt idx="753">
                  <c:v>44937</c:v>
                </c:pt>
                <c:pt idx="754">
                  <c:v>44938</c:v>
                </c:pt>
                <c:pt idx="755">
                  <c:v>44939</c:v>
                </c:pt>
                <c:pt idx="756">
                  <c:v>44942</c:v>
                </c:pt>
                <c:pt idx="757">
                  <c:v>44943</c:v>
                </c:pt>
                <c:pt idx="758">
                  <c:v>44944</c:v>
                </c:pt>
                <c:pt idx="759">
                  <c:v>44945</c:v>
                </c:pt>
                <c:pt idx="760">
                  <c:v>44946</c:v>
                </c:pt>
                <c:pt idx="761">
                  <c:v>44949</c:v>
                </c:pt>
                <c:pt idx="762">
                  <c:v>44950</c:v>
                </c:pt>
                <c:pt idx="763">
                  <c:v>44951</c:v>
                </c:pt>
                <c:pt idx="764">
                  <c:v>44953</c:v>
                </c:pt>
                <c:pt idx="765">
                  <c:v>44956</c:v>
                </c:pt>
                <c:pt idx="766">
                  <c:v>44957</c:v>
                </c:pt>
                <c:pt idx="767">
                  <c:v>44958</c:v>
                </c:pt>
                <c:pt idx="768">
                  <c:v>44959</c:v>
                </c:pt>
                <c:pt idx="769">
                  <c:v>44960</c:v>
                </c:pt>
                <c:pt idx="770">
                  <c:v>44963</c:v>
                </c:pt>
                <c:pt idx="771">
                  <c:v>44964</c:v>
                </c:pt>
                <c:pt idx="772">
                  <c:v>44965</c:v>
                </c:pt>
                <c:pt idx="773">
                  <c:v>44966</c:v>
                </c:pt>
                <c:pt idx="774">
                  <c:v>44967</c:v>
                </c:pt>
                <c:pt idx="775">
                  <c:v>44970</c:v>
                </c:pt>
                <c:pt idx="776">
                  <c:v>44971</c:v>
                </c:pt>
                <c:pt idx="777">
                  <c:v>44972</c:v>
                </c:pt>
                <c:pt idx="778">
                  <c:v>44973</c:v>
                </c:pt>
                <c:pt idx="779">
                  <c:v>44974</c:v>
                </c:pt>
                <c:pt idx="780">
                  <c:v>44977</c:v>
                </c:pt>
                <c:pt idx="781">
                  <c:v>44978</c:v>
                </c:pt>
                <c:pt idx="782">
                  <c:v>44979</c:v>
                </c:pt>
                <c:pt idx="783">
                  <c:v>44980</c:v>
                </c:pt>
                <c:pt idx="784">
                  <c:v>44981</c:v>
                </c:pt>
                <c:pt idx="785">
                  <c:v>44984</c:v>
                </c:pt>
                <c:pt idx="786">
                  <c:v>44985</c:v>
                </c:pt>
                <c:pt idx="787">
                  <c:v>44986</c:v>
                </c:pt>
                <c:pt idx="788">
                  <c:v>44987</c:v>
                </c:pt>
                <c:pt idx="789">
                  <c:v>44988</c:v>
                </c:pt>
                <c:pt idx="790">
                  <c:v>44991</c:v>
                </c:pt>
                <c:pt idx="791">
                  <c:v>44993</c:v>
                </c:pt>
                <c:pt idx="792">
                  <c:v>44994</c:v>
                </c:pt>
                <c:pt idx="793">
                  <c:v>44995</c:v>
                </c:pt>
                <c:pt idx="794">
                  <c:v>44998</c:v>
                </c:pt>
                <c:pt idx="795">
                  <c:v>44999</c:v>
                </c:pt>
                <c:pt idx="796">
                  <c:v>45000</c:v>
                </c:pt>
                <c:pt idx="797">
                  <c:v>45001</c:v>
                </c:pt>
                <c:pt idx="798">
                  <c:v>45002</c:v>
                </c:pt>
                <c:pt idx="799">
                  <c:v>45005</c:v>
                </c:pt>
                <c:pt idx="800">
                  <c:v>45006</c:v>
                </c:pt>
                <c:pt idx="801">
                  <c:v>45007</c:v>
                </c:pt>
                <c:pt idx="802">
                  <c:v>45008</c:v>
                </c:pt>
                <c:pt idx="803">
                  <c:v>45009</c:v>
                </c:pt>
                <c:pt idx="804">
                  <c:v>45012</c:v>
                </c:pt>
                <c:pt idx="805">
                  <c:v>45013</c:v>
                </c:pt>
                <c:pt idx="806">
                  <c:v>45014</c:v>
                </c:pt>
                <c:pt idx="807">
                  <c:v>45016</c:v>
                </c:pt>
                <c:pt idx="808">
                  <c:v>45019</c:v>
                </c:pt>
                <c:pt idx="809">
                  <c:v>45021</c:v>
                </c:pt>
                <c:pt idx="810">
                  <c:v>45022</c:v>
                </c:pt>
                <c:pt idx="811">
                  <c:v>45026</c:v>
                </c:pt>
                <c:pt idx="812">
                  <c:v>45027</c:v>
                </c:pt>
                <c:pt idx="813">
                  <c:v>45028</c:v>
                </c:pt>
                <c:pt idx="814">
                  <c:v>45029</c:v>
                </c:pt>
                <c:pt idx="815">
                  <c:v>45033</c:v>
                </c:pt>
                <c:pt idx="816">
                  <c:v>45034</c:v>
                </c:pt>
                <c:pt idx="817">
                  <c:v>45035</c:v>
                </c:pt>
                <c:pt idx="818">
                  <c:v>45036</c:v>
                </c:pt>
                <c:pt idx="819">
                  <c:v>45037</c:v>
                </c:pt>
                <c:pt idx="820">
                  <c:v>45040</c:v>
                </c:pt>
                <c:pt idx="821">
                  <c:v>45041</c:v>
                </c:pt>
                <c:pt idx="822">
                  <c:v>45042</c:v>
                </c:pt>
                <c:pt idx="823">
                  <c:v>45043</c:v>
                </c:pt>
                <c:pt idx="824">
                  <c:v>45044</c:v>
                </c:pt>
                <c:pt idx="825">
                  <c:v>45048</c:v>
                </c:pt>
                <c:pt idx="826">
                  <c:v>45049</c:v>
                </c:pt>
                <c:pt idx="827">
                  <c:v>45050</c:v>
                </c:pt>
                <c:pt idx="828">
                  <c:v>45051</c:v>
                </c:pt>
                <c:pt idx="829">
                  <c:v>45054</c:v>
                </c:pt>
                <c:pt idx="830">
                  <c:v>45055</c:v>
                </c:pt>
                <c:pt idx="831">
                  <c:v>45056</c:v>
                </c:pt>
                <c:pt idx="832">
                  <c:v>45057</c:v>
                </c:pt>
                <c:pt idx="833">
                  <c:v>45058</c:v>
                </c:pt>
                <c:pt idx="834">
                  <c:v>45061</c:v>
                </c:pt>
                <c:pt idx="835">
                  <c:v>45062</c:v>
                </c:pt>
                <c:pt idx="836">
                  <c:v>45063</c:v>
                </c:pt>
                <c:pt idx="837">
                  <c:v>45064</c:v>
                </c:pt>
                <c:pt idx="838">
                  <c:v>45065</c:v>
                </c:pt>
                <c:pt idx="839">
                  <c:v>45068</c:v>
                </c:pt>
                <c:pt idx="840">
                  <c:v>45069</c:v>
                </c:pt>
                <c:pt idx="841">
                  <c:v>45070</c:v>
                </c:pt>
                <c:pt idx="842">
                  <c:v>45071</c:v>
                </c:pt>
                <c:pt idx="843">
                  <c:v>45072</c:v>
                </c:pt>
                <c:pt idx="844">
                  <c:v>45075</c:v>
                </c:pt>
                <c:pt idx="845">
                  <c:v>45076</c:v>
                </c:pt>
                <c:pt idx="846">
                  <c:v>45077</c:v>
                </c:pt>
                <c:pt idx="847">
                  <c:v>45078</c:v>
                </c:pt>
                <c:pt idx="848">
                  <c:v>45079</c:v>
                </c:pt>
                <c:pt idx="849">
                  <c:v>45082</c:v>
                </c:pt>
                <c:pt idx="850">
                  <c:v>45083</c:v>
                </c:pt>
                <c:pt idx="851">
                  <c:v>45084</c:v>
                </c:pt>
                <c:pt idx="852">
                  <c:v>45085</c:v>
                </c:pt>
                <c:pt idx="853">
                  <c:v>45086</c:v>
                </c:pt>
                <c:pt idx="854">
                  <c:v>45089</c:v>
                </c:pt>
                <c:pt idx="855">
                  <c:v>45090</c:v>
                </c:pt>
                <c:pt idx="856">
                  <c:v>45091</c:v>
                </c:pt>
                <c:pt idx="857">
                  <c:v>45092</c:v>
                </c:pt>
                <c:pt idx="858">
                  <c:v>45093</c:v>
                </c:pt>
                <c:pt idx="859">
                  <c:v>45096</c:v>
                </c:pt>
                <c:pt idx="860">
                  <c:v>45097</c:v>
                </c:pt>
                <c:pt idx="861">
                  <c:v>45098</c:v>
                </c:pt>
                <c:pt idx="862">
                  <c:v>45099</c:v>
                </c:pt>
                <c:pt idx="863">
                  <c:v>45100</c:v>
                </c:pt>
                <c:pt idx="864">
                  <c:v>45103</c:v>
                </c:pt>
                <c:pt idx="865">
                  <c:v>45104</c:v>
                </c:pt>
                <c:pt idx="866">
                  <c:v>45105</c:v>
                </c:pt>
                <c:pt idx="867">
                  <c:v>45107</c:v>
                </c:pt>
                <c:pt idx="868">
                  <c:v>45110</c:v>
                </c:pt>
                <c:pt idx="869">
                  <c:v>45111</c:v>
                </c:pt>
                <c:pt idx="870">
                  <c:v>45112</c:v>
                </c:pt>
                <c:pt idx="871">
                  <c:v>45113</c:v>
                </c:pt>
                <c:pt idx="872">
                  <c:v>45114</c:v>
                </c:pt>
                <c:pt idx="873">
                  <c:v>45117</c:v>
                </c:pt>
                <c:pt idx="874">
                  <c:v>45118</c:v>
                </c:pt>
                <c:pt idx="875">
                  <c:v>45119</c:v>
                </c:pt>
                <c:pt idx="876">
                  <c:v>45120</c:v>
                </c:pt>
                <c:pt idx="877">
                  <c:v>45121</c:v>
                </c:pt>
                <c:pt idx="878">
                  <c:v>45124</c:v>
                </c:pt>
                <c:pt idx="879">
                  <c:v>45125</c:v>
                </c:pt>
                <c:pt idx="880">
                  <c:v>45126</c:v>
                </c:pt>
                <c:pt idx="881">
                  <c:v>45127</c:v>
                </c:pt>
                <c:pt idx="882">
                  <c:v>45128</c:v>
                </c:pt>
                <c:pt idx="883">
                  <c:v>45131</c:v>
                </c:pt>
                <c:pt idx="884">
                  <c:v>45132</c:v>
                </c:pt>
                <c:pt idx="885">
                  <c:v>45133</c:v>
                </c:pt>
                <c:pt idx="886">
                  <c:v>45134</c:v>
                </c:pt>
                <c:pt idx="887">
                  <c:v>45135</c:v>
                </c:pt>
                <c:pt idx="888">
                  <c:v>45138</c:v>
                </c:pt>
                <c:pt idx="889">
                  <c:v>45139</c:v>
                </c:pt>
                <c:pt idx="890">
                  <c:v>45140</c:v>
                </c:pt>
                <c:pt idx="891">
                  <c:v>45141</c:v>
                </c:pt>
                <c:pt idx="892">
                  <c:v>45142</c:v>
                </c:pt>
                <c:pt idx="893">
                  <c:v>45145</c:v>
                </c:pt>
                <c:pt idx="894">
                  <c:v>45146</c:v>
                </c:pt>
                <c:pt idx="895">
                  <c:v>45147</c:v>
                </c:pt>
                <c:pt idx="896">
                  <c:v>45148</c:v>
                </c:pt>
                <c:pt idx="897">
                  <c:v>45149</c:v>
                </c:pt>
                <c:pt idx="898">
                  <c:v>45152</c:v>
                </c:pt>
                <c:pt idx="899">
                  <c:v>45154</c:v>
                </c:pt>
                <c:pt idx="900">
                  <c:v>45155</c:v>
                </c:pt>
                <c:pt idx="901">
                  <c:v>45156</c:v>
                </c:pt>
                <c:pt idx="902">
                  <c:v>45159</c:v>
                </c:pt>
                <c:pt idx="903">
                  <c:v>45160</c:v>
                </c:pt>
                <c:pt idx="904">
                  <c:v>45161</c:v>
                </c:pt>
                <c:pt idx="905">
                  <c:v>45162</c:v>
                </c:pt>
                <c:pt idx="906">
                  <c:v>45163</c:v>
                </c:pt>
                <c:pt idx="907">
                  <c:v>45166</c:v>
                </c:pt>
                <c:pt idx="908">
                  <c:v>45167</c:v>
                </c:pt>
                <c:pt idx="909">
                  <c:v>45168</c:v>
                </c:pt>
                <c:pt idx="910">
                  <c:v>45169</c:v>
                </c:pt>
                <c:pt idx="911">
                  <c:v>45170</c:v>
                </c:pt>
                <c:pt idx="912">
                  <c:v>45173</c:v>
                </c:pt>
                <c:pt idx="913">
                  <c:v>45174</c:v>
                </c:pt>
                <c:pt idx="914">
                  <c:v>45175</c:v>
                </c:pt>
                <c:pt idx="915">
                  <c:v>45176</c:v>
                </c:pt>
                <c:pt idx="916">
                  <c:v>45177</c:v>
                </c:pt>
                <c:pt idx="917">
                  <c:v>45180</c:v>
                </c:pt>
                <c:pt idx="918">
                  <c:v>45181</c:v>
                </c:pt>
                <c:pt idx="919">
                  <c:v>45182</c:v>
                </c:pt>
                <c:pt idx="920">
                  <c:v>45183</c:v>
                </c:pt>
                <c:pt idx="921">
                  <c:v>45184</c:v>
                </c:pt>
                <c:pt idx="922">
                  <c:v>45187</c:v>
                </c:pt>
                <c:pt idx="923">
                  <c:v>45189</c:v>
                </c:pt>
                <c:pt idx="924">
                  <c:v>45190</c:v>
                </c:pt>
                <c:pt idx="925">
                  <c:v>45191</c:v>
                </c:pt>
                <c:pt idx="926">
                  <c:v>45194</c:v>
                </c:pt>
                <c:pt idx="927">
                  <c:v>45195</c:v>
                </c:pt>
                <c:pt idx="928">
                  <c:v>45196</c:v>
                </c:pt>
                <c:pt idx="929">
                  <c:v>45197</c:v>
                </c:pt>
                <c:pt idx="930">
                  <c:v>45198</c:v>
                </c:pt>
                <c:pt idx="931">
                  <c:v>45202</c:v>
                </c:pt>
                <c:pt idx="932">
                  <c:v>45203</c:v>
                </c:pt>
                <c:pt idx="933">
                  <c:v>45204</c:v>
                </c:pt>
                <c:pt idx="934">
                  <c:v>45205</c:v>
                </c:pt>
                <c:pt idx="935">
                  <c:v>45208</c:v>
                </c:pt>
                <c:pt idx="936">
                  <c:v>45209</c:v>
                </c:pt>
                <c:pt idx="937">
                  <c:v>45210</c:v>
                </c:pt>
                <c:pt idx="938">
                  <c:v>45211</c:v>
                </c:pt>
                <c:pt idx="939">
                  <c:v>45212</c:v>
                </c:pt>
                <c:pt idx="940">
                  <c:v>45215</c:v>
                </c:pt>
                <c:pt idx="941">
                  <c:v>45216</c:v>
                </c:pt>
                <c:pt idx="942">
                  <c:v>45217</c:v>
                </c:pt>
                <c:pt idx="943">
                  <c:v>45218</c:v>
                </c:pt>
                <c:pt idx="944">
                  <c:v>45219</c:v>
                </c:pt>
                <c:pt idx="945">
                  <c:v>45222</c:v>
                </c:pt>
                <c:pt idx="946">
                  <c:v>45224</c:v>
                </c:pt>
                <c:pt idx="947">
                  <c:v>45225</c:v>
                </c:pt>
                <c:pt idx="948">
                  <c:v>45226</c:v>
                </c:pt>
                <c:pt idx="949">
                  <c:v>45229</c:v>
                </c:pt>
                <c:pt idx="950">
                  <c:v>45230</c:v>
                </c:pt>
                <c:pt idx="951">
                  <c:v>45231</c:v>
                </c:pt>
                <c:pt idx="952">
                  <c:v>45232</c:v>
                </c:pt>
                <c:pt idx="953">
                  <c:v>45233</c:v>
                </c:pt>
                <c:pt idx="954">
                  <c:v>45236</c:v>
                </c:pt>
                <c:pt idx="955">
                  <c:v>45237</c:v>
                </c:pt>
                <c:pt idx="956">
                  <c:v>45238</c:v>
                </c:pt>
                <c:pt idx="957">
                  <c:v>45239</c:v>
                </c:pt>
                <c:pt idx="958">
                  <c:v>45240</c:v>
                </c:pt>
                <c:pt idx="959">
                  <c:v>45243</c:v>
                </c:pt>
                <c:pt idx="960">
                  <c:v>45245</c:v>
                </c:pt>
                <c:pt idx="961">
                  <c:v>45246</c:v>
                </c:pt>
                <c:pt idx="962">
                  <c:v>45247</c:v>
                </c:pt>
                <c:pt idx="963">
                  <c:v>45250</c:v>
                </c:pt>
                <c:pt idx="964">
                  <c:v>45251</c:v>
                </c:pt>
                <c:pt idx="965">
                  <c:v>45252</c:v>
                </c:pt>
                <c:pt idx="966">
                  <c:v>45253</c:v>
                </c:pt>
                <c:pt idx="967">
                  <c:v>45254</c:v>
                </c:pt>
                <c:pt idx="968">
                  <c:v>45258</c:v>
                </c:pt>
                <c:pt idx="969">
                  <c:v>45259</c:v>
                </c:pt>
                <c:pt idx="970">
                  <c:v>45260</c:v>
                </c:pt>
                <c:pt idx="971">
                  <c:v>45261</c:v>
                </c:pt>
                <c:pt idx="972">
                  <c:v>45264</c:v>
                </c:pt>
                <c:pt idx="973">
                  <c:v>45265</c:v>
                </c:pt>
                <c:pt idx="974">
                  <c:v>45266</c:v>
                </c:pt>
                <c:pt idx="975">
                  <c:v>45267</c:v>
                </c:pt>
                <c:pt idx="976">
                  <c:v>45268</c:v>
                </c:pt>
                <c:pt idx="977">
                  <c:v>45271</c:v>
                </c:pt>
                <c:pt idx="978">
                  <c:v>45272</c:v>
                </c:pt>
                <c:pt idx="979">
                  <c:v>45273</c:v>
                </c:pt>
                <c:pt idx="980">
                  <c:v>45274</c:v>
                </c:pt>
                <c:pt idx="981">
                  <c:v>45275</c:v>
                </c:pt>
                <c:pt idx="982">
                  <c:v>45278</c:v>
                </c:pt>
                <c:pt idx="983">
                  <c:v>45279</c:v>
                </c:pt>
                <c:pt idx="984">
                  <c:v>45280</c:v>
                </c:pt>
                <c:pt idx="985">
                  <c:v>45281</c:v>
                </c:pt>
                <c:pt idx="986">
                  <c:v>45282</c:v>
                </c:pt>
                <c:pt idx="987">
                  <c:v>45286</c:v>
                </c:pt>
                <c:pt idx="988">
                  <c:v>45287</c:v>
                </c:pt>
                <c:pt idx="989">
                  <c:v>45288</c:v>
                </c:pt>
                <c:pt idx="990">
                  <c:v>45289</c:v>
                </c:pt>
                <c:pt idx="991">
                  <c:v>45292</c:v>
                </c:pt>
                <c:pt idx="992">
                  <c:v>45293</c:v>
                </c:pt>
                <c:pt idx="993">
                  <c:v>45294</c:v>
                </c:pt>
                <c:pt idx="994">
                  <c:v>45295</c:v>
                </c:pt>
                <c:pt idx="995">
                  <c:v>45296</c:v>
                </c:pt>
                <c:pt idx="996">
                  <c:v>45299</c:v>
                </c:pt>
                <c:pt idx="997">
                  <c:v>45300</c:v>
                </c:pt>
                <c:pt idx="998">
                  <c:v>45301</c:v>
                </c:pt>
                <c:pt idx="999">
                  <c:v>45302</c:v>
                </c:pt>
                <c:pt idx="1000">
                  <c:v>45303</c:v>
                </c:pt>
                <c:pt idx="1001">
                  <c:v>45306</c:v>
                </c:pt>
                <c:pt idx="1002">
                  <c:v>45307</c:v>
                </c:pt>
                <c:pt idx="1003">
                  <c:v>45308</c:v>
                </c:pt>
                <c:pt idx="1004">
                  <c:v>45309</c:v>
                </c:pt>
                <c:pt idx="1005">
                  <c:v>45310</c:v>
                </c:pt>
                <c:pt idx="1006">
                  <c:v>45314</c:v>
                </c:pt>
                <c:pt idx="1007">
                  <c:v>45315</c:v>
                </c:pt>
                <c:pt idx="1008">
                  <c:v>45316</c:v>
                </c:pt>
                <c:pt idx="1009">
                  <c:v>45320</c:v>
                </c:pt>
                <c:pt idx="1010">
                  <c:v>45321</c:v>
                </c:pt>
                <c:pt idx="1011">
                  <c:v>45322</c:v>
                </c:pt>
                <c:pt idx="1012">
                  <c:v>45323</c:v>
                </c:pt>
                <c:pt idx="1013">
                  <c:v>45324</c:v>
                </c:pt>
                <c:pt idx="1014">
                  <c:v>45327</c:v>
                </c:pt>
                <c:pt idx="1015">
                  <c:v>45328</c:v>
                </c:pt>
                <c:pt idx="1016">
                  <c:v>45329</c:v>
                </c:pt>
                <c:pt idx="1017">
                  <c:v>45330</c:v>
                </c:pt>
                <c:pt idx="1018">
                  <c:v>45331</c:v>
                </c:pt>
                <c:pt idx="1019">
                  <c:v>45334</c:v>
                </c:pt>
                <c:pt idx="1020">
                  <c:v>45335</c:v>
                </c:pt>
                <c:pt idx="1021">
                  <c:v>45336</c:v>
                </c:pt>
                <c:pt idx="1022">
                  <c:v>45337</c:v>
                </c:pt>
                <c:pt idx="1023">
                  <c:v>45338</c:v>
                </c:pt>
                <c:pt idx="1024">
                  <c:v>45341</c:v>
                </c:pt>
                <c:pt idx="1025">
                  <c:v>45342</c:v>
                </c:pt>
                <c:pt idx="1026">
                  <c:v>45343</c:v>
                </c:pt>
                <c:pt idx="1027">
                  <c:v>45344</c:v>
                </c:pt>
                <c:pt idx="1028">
                  <c:v>45345</c:v>
                </c:pt>
                <c:pt idx="1029">
                  <c:v>45348</c:v>
                </c:pt>
                <c:pt idx="1030">
                  <c:v>45349</c:v>
                </c:pt>
                <c:pt idx="1031">
                  <c:v>45350</c:v>
                </c:pt>
                <c:pt idx="1032">
                  <c:v>45351</c:v>
                </c:pt>
                <c:pt idx="1033">
                  <c:v>45352</c:v>
                </c:pt>
                <c:pt idx="1034">
                  <c:v>45355</c:v>
                </c:pt>
                <c:pt idx="1035">
                  <c:v>45356</c:v>
                </c:pt>
                <c:pt idx="1036">
                  <c:v>45357</c:v>
                </c:pt>
                <c:pt idx="1037">
                  <c:v>45358</c:v>
                </c:pt>
                <c:pt idx="1038">
                  <c:v>45362</c:v>
                </c:pt>
                <c:pt idx="1039">
                  <c:v>45363</c:v>
                </c:pt>
                <c:pt idx="1040">
                  <c:v>45364</c:v>
                </c:pt>
                <c:pt idx="1041">
                  <c:v>45365</c:v>
                </c:pt>
                <c:pt idx="1042">
                  <c:v>45366</c:v>
                </c:pt>
                <c:pt idx="1043">
                  <c:v>45369</c:v>
                </c:pt>
                <c:pt idx="1044">
                  <c:v>45370</c:v>
                </c:pt>
                <c:pt idx="1045">
                  <c:v>45371</c:v>
                </c:pt>
                <c:pt idx="1046">
                  <c:v>45372</c:v>
                </c:pt>
                <c:pt idx="1047">
                  <c:v>45373</c:v>
                </c:pt>
                <c:pt idx="1048">
                  <c:v>45377</c:v>
                </c:pt>
                <c:pt idx="1049">
                  <c:v>45378</c:v>
                </c:pt>
                <c:pt idx="1050">
                  <c:v>45379</c:v>
                </c:pt>
                <c:pt idx="1051">
                  <c:v>45383</c:v>
                </c:pt>
                <c:pt idx="1052">
                  <c:v>45384</c:v>
                </c:pt>
                <c:pt idx="1053">
                  <c:v>45385</c:v>
                </c:pt>
                <c:pt idx="1054">
                  <c:v>45386</c:v>
                </c:pt>
                <c:pt idx="1055">
                  <c:v>45387</c:v>
                </c:pt>
                <c:pt idx="1056">
                  <c:v>45390</c:v>
                </c:pt>
                <c:pt idx="1057">
                  <c:v>45391</c:v>
                </c:pt>
                <c:pt idx="1058">
                  <c:v>45392</c:v>
                </c:pt>
                <c:pt idx="1059">
                  <c:v>45394</c:v>
                </c:pt>
                <c:pt idx="1060">
                  <c:v>45397</c:v>
                </c:pt>
                <c:pt idx="1061">
                  <c:v>45398</c:v>
                </c:pt>
                <c:pt idx="1062">
                  <c:v>45400</c:v>
                </c:pt>
                <c:pt idx="1063">
                  <c:v>45401</c:v>
                </c:pt>
                <c:pt idx="1064">
                  <c:v>45404</c:v>
                </c:pt>
                <c:pt idx="1065">
                  <c:v>45405</c:v>
                </c:pt>
                <c:pt idx="1066">
                  <c:v>45406</c:v>
                </c:pt>
                <c:pt idx="1067">
                  <c:v>45407</c:v>
                </c:pt>
                <c:pt idx="1068">
                  <c:v>45408</c:v>
                </c:pt>
                <c:pt idx="1069">
                  <c:v>45411</c:v>
                </c:pt>
                <c:pt idx="1070">
                  <c:v>45412</c:v>
                </c:pt>
                <c:pt idx="1071">
                  <c:v>45414</c:v>
                </c:pt>
                <c:pt idx="1072">
                  <c:v>45415</c:v>
                </c:pt>
                <c:pt idx="1073">
                  <c:v>45418</c:v>
                </c:pt>
                <c:pt idx="1074">
                  <c:v>45419</c:v>
                </c:pt>
                <c:pt idx="1075">
                  <c:v>45420</c:v>
                </c:pt>
                <c:pt idx="1076">
                  <c:v>45421</c:v>
                </c:pt>
                <c:pt idx="1077">
                  <c:v>45422</c:v>
                </c:pt>
                <c:pt idx="1078">
                  <c:v>45425</c:v>
                </c:pt>
                <c:pt idx="1079">
                  <c:v>45426</c:v>
                </c:pt>
                <c:pt idx="1080">
                  <c:v>45427</c:v>
                </c:pt>
                <c:pt idx="1081">
                  <c:v>45428</c:v>
                </c:pt>
                <c:pt idx="1082">
                  <c:v>45429</c:v>
                </c:pt>
                <c:pt idx="1083">
                  <c:v>45433</c:v>
                </c:pt>
                <c:pt idx="1084">
                  <c:v>45434</c:v>
                </c:pt>
                <c:pt idx="1085">
                  <c:v>45435</c:v>
                </c:pt>
                <c:pt idx="1086">
                  <c:v>45436</c:v>
                </c:pt>
                <c:pt idx="1087">
                  <c:v>45439</c:v>
                </c:pt>
                <c:pt idx="1088">
                  <c:v>45440</c:v>
                </c:pt>
                <c:pt idx="1089">
                  <c:v>45441</c:v>
                </c:pt>
                <c:pt idx="1090">
                  <c:v>45442</c:v>
                </c:pt>
                <c:pt idx="1091">
                  <c:v>45443</c:v>
                </c:pt>
                <c:pt idx="1092">
                  <c:v>45446</c:v>
                </c:pt>
                <c:pt idx="1093">
                  <c:v>45447</c:v>
                </c:pt>
                <c:pt idx="1094">
                  <c:v>45448</c:v>
                </c:pt>
                <c:pt idx="1095">
                  <c:v>45449</c:v>
                </c:pt>
                <c:pt idx="1096">
                  <c:v>45450</c:v>
                </c:pt>
                <c:pt idx="1097">
                  <c:v>45453</c:v>
                </c:pt>
                <c:pt idx="1098">
                  <c:v>45454</c:v>
                </c:pt>
                <c:pt idx="1099">
                  <c:v>45455</c:v>
                </c:pt>
                <c:pt idx="1100">
                  <c:v>45456</c:v>
                </c:pt>
                <c:pt idx="1101">
                  <c:v>45457</c:v>
                </c:pt>
                <c:pt idx="1102">
                  <c:v>45461</c:v>
                </c:pt>
                <c:pt idx="1103">
                  <c:v>45462</c:v>
                </c:pt>
                <c:pt idx="1104">
                  <c:v>45463</c:v>
                </c:pt>
                <c:pt idx="1105">
                  <c:v>45464</c:v>
                </c:pt>
                <c:pt idx="1106">
                  <c:v>45467</c:v>
                </c:pt>
                <c:pt idx="1107">
                  <c:v>45468</c:v>
                </c:pt>
                <c:pt idx="1108">
                  <c:v>45469</c:v>
                </c:pt>
                <c:pt idx="1109">
                  <c:v>45470</c:v>
                </c:pt>
                <c:pt idx="1110">
                  <c:v>45471</c:v>
                </c:pt>
                <c:pt idx="1111">
                  <c:v>45474</c:v>
                </c:pt>
                <c:pt idx="1112">
                  <c:v>45475</c:v>
                </c:pt>
                <c:pt idx="1113">
                  <c:v>45476</c:v>
                </c:pt>
                <c:pt idx="1114">
                  <c:v>45477</c:v>
                </c:pt>
                <c:pt idx="1115">
                  <c:v>45478</c:v>
                </c:pt>
                <c:pt idx="1116">
                  <c:v>45481</c:v>
                </c:pt>
                <c:pt idx="1117">
                  <c:v>45482</c:v>
                </c:pt>
                <c:pt idx="1118">
                  <c:v>45483</c:v>
                </c:pt>
                <c:pt idx="1119">
                  <c:v>45484</c:v>
                </c:pt>
                <c:pt idx="1120">
                  <c:v>45485</c:v>
                </c:pt>
                <c:pt idx="1121">
                  <c:v>45488</c:v>
                </c:pt>
                <c:pt idx="1122">
                  <c:v>45489</c:v>
                </c:pt>
                <c:pt idx="1123">
                  <c:v>45491</c:v>
                </c:pt>
                <c:pt idx="1124">
                  <c:v>45492</c:v>
                </c:pt>
                <c:pt idx="1125">
                  <c:v>45495</c:v>
                </c:pt>
                <c:pt idx="1126">
                  <c:v>45496</c:v>
                </c:pt>
                <c:pt idx="1127">
                  <c:v>45497</c:v>
                </c:pt>
                <c:pt idx="1128">
                  <c:v>45498</c:v>
                </c:pt>
                <c:pt idx="1129">
                  <c:v>45499</c:v>
                </c:pt>
                <c:pt idx="1130">
                  <c:v>45502</c:v>
                </c:pt>
                <c:pt idx="1131">
                  <c:v>45503</c:v>
                </c:pt>
                <c:pt idx="1132">
                  <c:v>45504</c:v>
                </c:pt>
                <c:pt idx="1133">
                  <c:v>45505</c:v>
                </c:pt>
                <c:pt idx="1134">
                  <c:v>45506</c:v>
                </c:pt>
                <c:pt idx="1135">
                  <c:v>45509</c:v>
                </c:pt>
                <c:pt idx="1136">
                  <c:v>45510</c:v>
                </c:pt>
                <c:pt idx="1137">
                  <c:v>45511</c:v>
                </c:pt>
                <c:pt idx="1138">
                  <c:v>45512</c:v>
                </c:pt>
                <c:pt idx="1139">
                  <c:v>45513</c:v>
                </c:pt>
                <c:pt idx="1140">
                  <c:v>45516</c:v>
                </c:pt>
                <c:pt idx="1141">
                  <c:v>45517</c:v>
                </c:pt>
                <c:pt idx="1142">
                  <c:v>45518</c:v>
                </c:pt>
                <c:pt idx="1143">
                  <c:v>45520</c:v>
                </c:pt>
                <c:pt idx="1144">
                  <c:v>45523</c:v>
                </c:pt>
                <c:pt idx="1145">
                  <c:v>45524</c:v>
                </c:pt>
                <c:pt idx="1146">
                  <c:v>45525</c:v>
                </c:pt>
                <c:pt idx="1147">
                  <c:v>45526</c:v>
                </c:pt>
                <c:pt idx="1148">
                  <c:v>45527</c:v>
                </c:pt>
                <c:pt idx="1149">
                  <c:v>45530</c:v>
                </c:pt>
                <c:pt idx="1150">
                  <c:v>45531</c:v>
                </c:pt>
                <c:pt idx="1151">
                  <c:v>45532</c:v>
                </c:pt>
                <c:pt idx="1152">
                  <c:v>45533</c:v>
                </c:pt>
                <c:pt idx="1153">
                  <c:v>45534</c:v>
                </c:pt>
                <c:pt idx="1154">
                  <c:v>45537</c:v>
                </c:pt>
                <c:pt idx="1155">
                  <c:v>45538</c:v>
                </c:pt>
                <c:pt idx="1156">
                  <c:v>45539</c:v>
                </c:pt>
                <c:pt idx="1157">
                  <c:v>45540</c:v>
                </c:pt>
                <c:pt idx="1158">
                  <c:v>45541</c:v>
                </c:pt>
                <c:pt idx="1159">
                  <c:v>45544</c:v>
                </c:pt>
                <c:pt idx="1160">
                  <c:v>45545</c:v>
                </c:pt>
                <c:pt idx="1161">
                  <c:v>45546</c:v>
                </c:pt>
                <c:pt idx="1162">
                  <c:v>45547</c:v>
                </c:pt>
                <c:pt idx="1163">
                  <c:v>45548</c:v>
                </c:pt>
                <c:pt idx="1164">
                  <c:v>45551</c:v>
                </c:pt>
                <c:pt idx="1165">
                  <c:v>45552</c:v>
                </c:pt>
                <c:pt idx="1166">
                  <c:v>45553</c:v>
                </c:pt>
                <c:pt idx="1167">
                  <c:v>45554</c:v>
                </c:pt>
                <c:pt idx="1168">
                  <c:v>45555</c:v>
                </c:pt>
                <c:pt idx="1169">
                  <c:v>45558</c:v>
                </c:pt>
                <c:pt idx="1170">
                  <c:v>45559</c:v>
                </c:pt>
                <c:pt idx="1171">
                  <c:v>45560</c:v>
                </c:pt>
                <c:pt idx="1172">
                  <c:v>45561</c:v>
                </c:pt>
                <c:pt idx="1173">
                  <c:v>45562</c:v>
                </c:pt>
                <c:pt idx="1174">
                  <c:v>45565</c:v>
                </c:pt>
                <c:pt idx="1175">
                  <c:v>45566</c:v>
                </c:pt>
                <c:pt idx="1176">
                  <c:v>45568</c:v>
                </c:pt>
                <c:pt idx="1177">
                  <c:v>45569</c:v>
                </c:pt>
                <c:pt idx="1178">
                  <c:v>45572</c:v>
                </c:pt>
                <c:pt idx="1179">
                  <c:v>45573</c:v>
                </c:pt>
                <c:pt idx="1180">
                  <c:v>45574</c:v>
                </c:pt>
                <c:pt idx="1181">
                  <c:v>45575</c:v>
                </c:pt>
                <c:pt idx="1182">
                  <c:v>45576</c:v>
                </c:pt>
                <c:pt idx="1183">
                  <c:v>45579</c:v>
                </c:pt>
                <c:pt idx="1184">
                  <c:v>45580</c:v>
                </c:pt>
                <c:pt idx="1185">
                  <c:v>45581</c:v>
                </c:pt>
                <c:pt idx="1186">
                  <c:v>45582</c:v>
                </c:pt>
                <c:pt idx="1187">
                  <c:v>45583</c:v>
                </c:pt>
                <c:pt idx="1188">
                  <c:v>45586</c:v>
                </c:pt>
                <c:pt idx="1189">
                  <c:v>45587</c:v>
                </c:pt>
                <c:pt idx="1190">
                  <c:v>45588</c:v>
                </c:pt>
                <c:pt idx="1191">
                  <c:v>45589</c:v>
                </c:pt>
                <c:pt idx="1192">
                  <c:v>45590</c:v>
                </c:pt>
                <c:pt idx="1193">
                  <c:v>45593</c:v>
                </c:pt>
                <c:pt idx="1194">
                  <c:v>45594</c:v>
                </c:pt>
                <c:pt idx="1195">
                  <c:v>45595</c:v>
                </c:pt>
                <c:pt idx="1196">
                  <c:v>45596</c:v>
                </c:pt>
                <c:pt idx="1197">
                  <c:v>45597</c:v>
                </c:pt>
                <c:pt idx="1198">
                  <c:v>45600</c:v>
                </c:pt>
                <c:pt idx="1199">
                  <c:v>45601</c:v>
                </c:pt>
                <c:pt idx="1200">
                  <c:v>45602</c:v>
                </c:pt>
                <c:pt idx="1201">
                  <c:v>45603</c:v>
                </c:pt>
                <c:pt idx="1202">
                  <c:v>45604</c:v>
                </c:pt>
                <c:pt idx="1203">
                  <c:v>45607</c:v>
                </c:pt>
                <c:pt idx="1204">
                  <c:v>45608</c:v>
                </c:pt>
                <c:pt idx="1205">
                  <c:v>45609</c:v>
                </c:pt>
                <c:pt idx="1206">
                  <c:v>45610</c:v>
                </c:pt>
                <c:pt idx="1207">
                  <c:v>45614</c:v>
                </c:pt>
                <c:pt idx="1208">
                  <c:v>45615</c:v>
                </c:pt>
                <c:pt idx="1209">
                  <c:v>45617</c:v>
                </c:pt>
                <c:pt idx="1210">
                  <c:v>45618</c:v>
                </c:pt>
                <c:pt idx="1211">
                  <c:v>45621</c:v>
                </c:pt>
                <c:pt idx="1212">
                  <c:v>45622</c:v>
                </c:pt>
                <c:pt idx="1213">
                  <c:v>45623</c:v>
                </c:pt>
                <c:pt idx="1214">
                  <c:v>45624</c:v>
                </c:pt>
                <c:pt idx="1215">
                  <c:v>45625</c:v>
                </c:pt>
                <c:pt idx="1216">
                  <c:v>45628</c:v>
                </c:pt>
                <c:pt idx="1217">
                  <c:v>45629</c:v>
                </c:pt>
                <c:pt idx="1218">
                  <c:v>45630</c:v>
                </c:pt>
                <c:pt idx="1219">
                  <c:v>45631</c:v>
                </c:pt>
                <c:pt idx="1220">
                  <c:v>45632</c:v>
                </c:pt>
                <c:pt idx="1221">
                  <c:v>45635</c:v>
                </c:pt>
                <c:pt idx="1222">
                  <c:v>45636</c:v>
                </c:pt>
                <c:pt idx="1223">
                  <c:v>45637</c:v>
                </c:pt>
                <c:pt idx="1224">
                  <c:v>45638</c:v>
                </c:pt>
                <c:pt idx="1225">
                  <c:v>45639</c:v>
                </c:pt>
                <c:pt idx="1226">
                  <c:v>45642</c:v>
                </c:pt>
                <c:pt idx="1227">
                  <c:v>45643</c:v>
                </c:pt>
                <c:pt idx="1228">
                  <c:v>45644</c:v>
                </c:pt>
                <c:pt idx="1229">
                  <c:v>45645</c:v>
                </c:pt>
                <c:pt idx="1230">
                  <c:v>45646</c:v>
                </c:pt>
                <c:pt idx="1231">
                  <c:v>45649</c:v>
                </c:pt>
                <c:pt idx="1232">
                  <c:v>45650</c:v>
                </c:pt>
                <c:pt idx="1233">
                  <c:v>45652</c:v>
                </c:pt>
                <c:pt idx="1234">
                  <c:v>45653</c:v>
                </c:pt>
                <c:pt idx="1235">
                  <c:v>45656</c:v>
                </c:pt>
                <c:pt idx="1236">
                  <c:v>45657</c:v>
                </c:pt>
                <c:pt idx="1237">
                  <c:v>45658</c:v>
                </c:pt>
                <c:pt idx="1238">
                  <c:v>45659</c:v>
                </c:pt>
                <c:pt idx="1239">
                  <c:v>45660</c:v>
                </c:pt>
                <c:pt idx="1240">
                  <c:v>45663</c:v>
                </c:pt>
                <c:pt idx="1241">
                  <c:v>45664</c:v>
                </c:pt>
                <c:pt idx="1242">
                  <c:v>45665</c:v>
                </c:pt>
                <c:pt idx="1243">
                  <c:v>45666</c:v>
                </c:pt>
                <c:pt idx="1244">
                  <c:v>45667</c:v>
                </c:pt>
                <c:pt idx="1245">
                  <c:v>45670</c:v>
                </c:pt>
                <c:pt idx="1246">
                  <c:v>45671</c:v>
                </c:pt>
                <c:pt idx="1247">
                  <c:v>45672</c:v>
                </c:pt>
                <c:pt idx="1248">
                  <c:v>45673</c:v>
                </c:pt>
                <c:pt idx="1249">
                  <c:v>45674</c:v>
                </c:pt>
                <c:pt idx="1250">
                  <c:v>45677</c:v>
                </c:pt>
                <c:pt idx="1251">
                  <c:v>45678</c:v>
                </c:pt>
                <c:pt idx="1252">
                  <c:v>45679</c:v>
                </c:pt>
                <c:pt idx="1253">
                  <c:v>45680</c:v>
                </c:pt>
                <c:pt idx="1254">
                  <c:v>45681</c:v>
                </c:pt>
                <c:pt idx="1255">
                  <c:v>45684</c:v>
                </c:pt>
                <c:pt idx="1256">
                  <c:v>45685</c:v>
                </c:pt>
                <c:pt idx="1257">
                  <c:v>45686</c:v>
                </c:pt>
                <c:pt idx="1258">
                  <c:v>45687</c:v>
                </c:pt>
                <c:pt idx="1259">
                  <c:v>45688</c:v>
                </c:pt>
                <c:pt idx="1260">
                  <c:v>45689</c:v>
                </c:pt>
                <c:pt idx="1261">
                  <c:v>45691</c:v>
                </c:pt>
                <c:pt idx="1262">
                  <c:v>45692</c:v>
                </c:pt>
                <c:pt idx="1263">
                  <c:v>45693</c:v>
                </c:pt>
                <c:pt idx="1264">
                  <c:v>45694</c:v>
                </c:pt>
                <c:pt idx="1265">
                  <c:v>45695</c:v>
                </c:pt>
                <c:pt idx="1266">
                  <c:v>45698</c:v>
                </c:pt>
                <c:pt idx="1267">
                  <c:v>45699</c:v>
                </c:pt>
                <c:pt idx="1268">
                  <c:v>45700</c:v>
                </c:pt>
                <c:pt idx="1269">
                  <c:v>45701</c:v>
                </c:pt>
                <c:pt idx="1270">
                  <c:v>45702</c:v>
                </c:pt>
                <c:pt idx="1271">
                  <c:v>45705</c:v>
                </c:pt>
                <c:pt idx="1272">
                  <c:v>45706</c:v>
                </c:pt>
                <c:pt idx="1273">
                  <c:v>45707</c:v>
                </c:pt>
                <c:pt idx="1274">
                  <c:v>45708</c:v>
                </c:pt>
                <c:pt idx="1275">
                  <c:v>45709</c:v>
                </c:pt>
                <c:pt idx="1276">
                  <c:v>45712</c:v>
                </c:pt>
                <c:pt idx="1277">
                  <c:v>45713</c:v>
                </c:pt>
                <c:pt idx="1278">
                  <c:v>45715</c:v>
                </c:pt>
                <c:pt idx="1279">
                  <c:v>45716</c:v>
                </c:pt>
                <c:pt idx="1280">
                  <c:v>45719</c:v>
                </c:pt>
                <c:pt idx="1281">
                  <c:v>45720</c:v>
                </c:pt>
                <c:pt idx="1282">
                  <c:v>45721</c:v>
                </c:pt>
                <c:pt idx="1283">
                  <c:v>45722</c:v>
                </c:pt>
                <c:pt idx="1284">
                  <c:v>45723</c:v>
                </c:pt>
                <c:pt idx="1285">
                  <c:v>45726</c:v>
                </c:pt>
                <c:pt idx="1286">
                  <c:v>45727</c:v>
                </c:pt>
                <c:pt idx="1287">
                  <c:v>45728</c:v>
                </c:pt>
                <c:pt idx="1288">
                  <c:v>45729</c:v>
                </c:pt>
                <c:pt idx="1289">
                  <c:v>45733</c:v>
                </c:pt>
                <c:pt idx="1290">
                  <c:v>45734</c:v>
                </c:pt>
                <c:pt idx="1291">
                  <c:v>45735</c:v>
                </c:pt>
                <c:pt idx="1292">
                  <c:v>45736</c:v>
                </c:pt>
                <c:pt idx="1293">
                  <c:v>45737</c:v>
                </c:pt>
                <c:pt idx="1294">
                  <c:v>45740</c:v>
                </c:pt>
                <c:pt idx="1295">
                  <c:v>45741</c:v>
                </c:pt>
                <c:pt idx="1296">
                  <c:v>45742</c:v>
                </c:pt>
                <c:pt idx="1297">
                  <c:v>45743</c:v>
                </c:pt>
                <c:pt idx="1298">
                  <c:v>45744</c:v>
                </c:pt>
                <c:pt idx="1299">
                  <c:v>45748</c:v>
                </c:pt>
                <c:pt idx="1300">
                  <c:v>45749</c:v>
                </c:pt>
                <c:pt idx="1301">
                  <c:v>45750</c:v>
                </c:pt>
                <c:pt idx="1302">
                  <c:v>45751</c:v>
                </c:pt>
                <c:pt idx="1303">
                  <c:v>45754</c:v>
                </c:pt>
                <c:pt idx="1304">
                  <c:v>45755</c:v>
                </c:pt>
                <c:pt idx="1305">
                  <c:v>45756</c:v>
                </c:pt>
                <c:pt idx="1306">
                  <c:v>45758</c:v>
                </c:pt>
                <c:pt idx="1307">
                  <c:v>45762</c:v>
                </c:pt>
                <c:pt idx="1308">
                  <c:v>45763</c:v>
                </c:pt>
                <c:pt idx="1309">
                  <c:v>45764</c:v>
                </c:pt>
                <c:pt idx="1310">
                  <c:v>45768</c:v>
                </c:pt>
                <c:pt idx="1311">
                  <c:v>45769</c:v>
                </c:pt>
                <c:pt idx="1312">
                  <c:v>45770</c:v>
                </c:pt>
                <c:pt idx="1313">
                  <c:v>45771</c:v>
                </c:pt>
                <c:pt idx="1314">
                  <c:v>45772</c:v>
                </c:pt>
                <c:pt idx="1315">
                  <c:v>45775</c:v>
                </c:pt>
                <c:pt idx="1316">
                  <c:v>45776</c:v>
                </c:pt>
                <c:pt idx="1317">
                  <c:v>45777</c:v>
                </c:pt>
                <c:pt idx="1318">
                  <c:v>45779</c:v>
                </c:pt>
                <c:pt idx="1319">
                  <c:v>45782</c:v>
                </c:pt>
                <c:pt idx="1320">
                  <c:v>45783</c:v>
                </c:pt>
                <c:pt idx="1321">
                  <c:v>45784</c:v>
                </c:pt>
                <c:pt idx="1322">
                  <c:v>45785</c:v>
                </c:pt>
                <c:pt idx="1323">
                  <c:v>45786</c:v>
                </c:pt>
                <c:pt idx="1324">
                  <c:v>45789</c:v>
                </c:pt>
                <c:pt idx="1325">
                  <c:v>45790</c:v>
                </c:pt>
                <c:pt idx="1326">
                  <c:v>45791</c:v>
                </c:pt>
                <c:pt idx="1327">
                  <c:v>45792</c:v>
                </c:pt>
                <c:pt idx="1328">
                  <c:v>45793</c:v>
                </c:pt>
                <c:pt idx="1329">
                  <c:v>45796</c:v>
                </c:pt>
                <c:pt idx="1330">
                  <c:v>45797</c:v>
                </c:pt>
                <c:pt idx="1331">
                  <c:v>45798</c:v>
                </c:pt>
                <c:pt idx="1332">
                  <c:v>45799</c:v>
                </c:pt>
                <c:pt idx="1333">
                  <c:v>45800</c:v>
                </c:pt>
                <c:pt idx="1334">
                  <c:v>45803</c:v>
                </c:pt>
                <c:pt idx="1335">
                  <c:v>45804</c:v>
                </c:pt>
                <c:pt idx="1336">
                  <c:v>45805</c:v>
                </c:pt>
                <c:pt idx="1337">
                  <c:v>45806</c:v>
                </c:pt>
                <c:pt idx="1338">
                  <c:v>45807</c:v>
                </c:pt>
                <c:pt idx="1339">
                  <c:v>45810</c:v>
                </c:pt>
                <c:pt idx="1340">
                  <c:v>45811</c:v>
                </c:pt>
                <c:pt idx="1341">
                  <c:v>45812</c:v>
                </c:pt>
                <c:pt idx="1342">
                  <c:v>45813</c:v>
                </c:pt>
                <c:pt idx="1343">
                  <c:v>45814</c:v>
                </c:pt>
                <c:pt idx="1344">
                  <c:v>45817</c:v>
                </c:pt>
                <c:pt idx="1345">
                  <c:v>45818</c:v>
                </c:pt>
                <c:pt idx="1346">
                  <c:v>45819</c:v>
                </c:pt>
                <c:pt idx="1347">
                  <c:v>45820</c:v>
                </c:pt>
                <c:pt idx="1348">
                  <c:v>45821</c:v>
                </c:pt>
                <c:pt idx="1349">
                  <c:v>45824</c:v>
                </c:pt>
                <c:pt idx="1350">
                  <c:v>45825</c:v>
                </c:pt>
                <c:pt idx="1351">
                  <c:v>45826</c:v>
                </c:pt>
                <c:pt idx="1352">
                  <c:v>45827</c:v>
                </c:pt>
                <c:pt idx="1353">
                  <c:v>45828</c:v>
                </c:pt>
                <c:pt idx="1354">
                  <c:v>45831</c:v>
                </c:pt>
                <c:pt idx="1355">
                  <c:v>45832</c:v>
                </c:pt>
                <c:pt idx="1356">
                  <c:v>45833</c:v>
                </c:pt>
                <c:pt idx="1357">
                  <c:v>45834</c:v>
                </c:pt>
                <c:pt idx="1358">
                  <c:v>45835</c:v>
                </c:pt>
                <c:pt idx="1359">
                  <c:v>45838</c:v>
                </c:pt>
                <c:pt idx="1360">
                  <c:v>45839</c:v>
                </c:pt>
                <c:pt idx="1361">
                  <c:v>45840</c:v>
                </c:pt>
                <c:pt idx="1362">
                  <c:v>45841</c:v>
                </c:pt>
                <c:pt idx="1363">
                  <c:v>45842</c:v>
                </c:pt>
                <c:pt idx="1364">
                  <c:v>45845</c:v>
                </c:pt>
                <c:pt idx="1365">
                  <c:v>45846</c:v>
                </c:pt>
                <c:pt idx="1366">
                  <c:v>45847</c:v>
                </c:pt>
                <c:pt idx="1367">
                  <c:v>45848</c:v>
                </c:pt>
                <c:pt idx="1368">
                  <c:v>45849</c:v>
                </c:pt>
                <c:pt idx="1369">
                  <c:v>45852</c:v>
                </c:pt>
                <c:pt idx="1370">
                  <c:v>45853</c:v>
                </c:pt>
                <c:pt idx="1371">
                  <c:v>45854</c:v>
                </c:pt>
                <c:pt idx="1372">
                  <c:v>45855</c:v>
                </c:pt>
                <c:pt idx="1373">
                  <c:v>45856</c:v>
                </c:pt>
                <c:pt idx="1374">
                  <c:v>45859</c:v>
                </c:pt>
                <c:pt idx="1375">
                  <c:v>45860</c:v>
                </c:pt>
                <c:pt idx="1376">
                  <c:v>45861</c:v>
                </c:pt>
                <c:pt idx="1377">
                  <c:v>45862</c:v>
                </c:pt>
                <c:pt idx="1378">
                  <c:v>45863</c:v>
                </c:pt>
                <c:pt idx="1379">
                  <c:v>45866</c:v>
                </c:pt>
                <c:pt idx="1380">
                  <c:v>45867</c:v>
                </c:pt>
                <c:pt idx="1381">
                  <c:v>45868</c:v>
                </c:pt>
                <c:pt idx="1382">
                  <c:v>45869</c:v>
                </c:pt>
                <c:pt idx="1383">
                  <c:v>45870</c:v>
                </c:pt>
                <c:pt idx="1384">
                  <c:v>45873</c:v>
                </c:pt>
                <c:pt idx="1385">
                  <c:v>45874</c:v>
                </c:pt>
                <c:pt idx="1386">
                  <c:v>45875</c:v>
                </c:pt>
                <c:pt idx="1387">
                  <c:v>45876</c:v>
                </c:pt>
                <c:pt idx="1388">
                  <c:v>45877</c:v>
                </c:pt>
                <c:pt idx="1389">
                  <c:v>45880</c:v>
                </c:pt>
                <c:pt idx="1390">
                  <c:v>45881</c:v>
                </c:pt>
                <c:pt idx="1391">
                  <c:v>45882</c:v>
                </c:pt>
                <c:pt idx="1392">
                  <c:v>45883</c:v>
                </c:pt>
                <c:pt idx="1393">
                  <c:v>45887</c:v>
                </c:pt>
                <c:pt idx="1394">
                  <c:v>45888</c:v>
                </c:pt>
                <c:pt idx="1395">
                  <c:v>45889</c:v>
                </c:pt>
                <c:pt idx="1396">
                  <c:v>45890</c:v>
                </c:pt>
                <c:pt idx="1397">
                  <c:v>45891</c:v>
                </c:pt>
                <c:pt idx="1398">
                  <c:v>45894</c:v>
                </c:pt>
                <c:pt idx="1399">
                  <c:v>45895</c:v>
                </c:pt>
                <c:pt idx="1400">
                  <c:v>45897</c:v>
                </c:pt>
                <c:pt idx="1401">
                  <c:v>45898</c:v>
                </c:pt>
                <c:pt idx="1402">
                  <c:v>45901</c:v>
                </c:pt>
                <c:pt idx="1403">
                  <c:v>45902</c:v>
                </c:pt>
                <c:pt idx="1404">
                  <c:v>45903</c:v>
                </c:pt>
                <c:pt idx="1405">
                  <c:v>45904</c:v>
                </c:pt>
                <c:pt idx="1406">
                  <c:v>45905</c:v>
                </c:pt>
                <c:pt idx="1407">
                  <c:v>45908</c:v>
                </c:pt>
                <c:pt idx="1408">
                  <c:v>45909</c:v>
                </c:pt>
                <c:pt idx="1409">
                  <c:v>45910</c:v>
                </c:pt>
                <c:pt idx="1410">
                  <c:v>45911</c:v>
                </c:pt>
                <c:pt idx="1411">
                  <c:v>45912</c:v>
                </c:pt>
                <c:pt idx="1412">
                  <c:v>45915</c:v>
                </c:pt>
                <c:pt idx="1413">
                  <c:v>45916</c:v>
                </c:pt>
                <c:pt idx="1414">
                  <c:v>45917</c:v>
                </c:pt>
                <c:pt idx="1415">
                  <c:v>45918</c:v>
                </c:pt>
                <c:pt idx="1416">
                  <c:v>45919</c:v>
                </c:pt>
                <c:pt idx="1417">
                  <c:v>45922</c:v>
                </c:pt>
                <c:pt idx="1418">
                  <c:v>45923</c:v>
                </c:pt>
                <c:pt idx="1419">
                  <c:v>45924</c:v>
                </c:pt>
                <c:pt idx="1420">
                  <c:v>45925</c:v>
                </c:pt>
                <c:pt idx="1421">
                  <c:v>45926</c:v>
                </c:pt>
                <c:pt idx="1422">
                  <c:v>45929</c:v>
                </c:pt>
                <c:pt idx="1423">
                  <c:v>45930</c:v>
                </c:pt>
                <c:pt idx="1424">
                  <c:v>45931</c:v>
                </c:pt>
                <c:pt idx="1425">
                  <c:v>45933</c:v>
                </c:pt>
                <c:pt idx="1426">
                  <c:v>45936</c:v>
                </c:pt>
                <c:pt idx="1427">
                  <c:v>45937</c:v>
                </c:pt>
                <c:pt idx="1428">
                  <c:v>45938</c:v>
                </c:pt>
                <c:pt idx="1429">
                  <c:v>45939</c:v>
                </c:pt>
                <c:pt idx="1430">
                  <c:v>45940</c:v>
                </c:pt>
                <c:pt idx="1431">
                  <c:v>45943</c:v>
                </c:pt>
                <c:pt idx="1432">
                  <c:v>45944</c:v>
                </c:pt>
                <c:pt idx="1433">
                  <c:v>45945</c:v>
                </c:pt>
                <c:pt idx="1434">
                  <c:v>45946</c:v>
                </c:pt>
                <c:pt idx="1435">
                  <c:v>45947</c:v>
                </c:pt>
                <c:pt idx="1436">
                  <c:v>45950</c:v>
                </c:pt>
                <c:pt idx="1437">
                  <c:v>45951</c:v>
                </c:pt>
                <c:pt idx="1438">
                  <c:v>45953</c:v>
                </c:pt>
                <c:pt idx="1439">
                  <c:v>45954</c:v>
                </c:pt>
                <c:pt idx="1440">
                  <c:v>45957</c:v>
                </c:pt>
                <c:pt idx="1441">
                  <c:v>45958</c:v>
                </c:pt>
                <c:pt idx="1442">
                  <c:v>45959</c:v>
                </c:pt>
                <c:pt idx="1443">
                  <c:v>45960</c:v>
                </c:pt>
                <c:pt idx="1444">
                  <c:v>45961</c:v>
                </c:pt>
                <c:pt idx="1445">
                  <c:v>45964</c:v>
                </c:pt>
                <c:pt idx="1446">
                  <c:v>45965</c:v>
                </c:pt>
                <c:pt idx="1447">
                  <c:v>45966</c:v>
                </c:pt>
                <c:pt idx="1448">
                  <c:v>45967</c:v>
                </c:pt>
                <c:pt idx="1449">
                  <c:v>45968</c:v>
                </c:pt>
                <c:pt idx="1450">
                  <c:v>45971</c:v>
                </c:pt>
                <c:pt idx="1451">
                  <c:v>45972</c:v>
                </c:pt>
                <c:pt idx="1452">
                  <c:v>45973</c:v>
                </c:pt>
                <c:pt idx="1453">
                  <c:v>45974</c:v>
                </c:pt>
                <c:pt idx="1454">
                  <c:v>45975</c:v>
                </c:pt>
                <c:pt idx="1455">
                  <c:v>45978</c:v>
                </c:pt>
                <c:pt idx="1456">
                  <c:v>45979</c:v>
                </c:pt>
                <c:pt idx="1457">
                  <c:v>45980</c:v>
                </c:pt>
                <c:pt idx="1458">
                  <c:v>45981</c:v>
                </c:pt>
                <c:pt idx="1459">
                  <c:v>45982</c:v>
                </c:pt>
                <c:pt idx="1460">
                  <c:v>45985</c:v>
                </c:pt>
                <c:pt idx="1461">
                  <c:v>45986</c:v>
                </c:pt>
                <c:pt idx="1462">
                  <c:v>45987</c:v>
                </c:pt>
                <c:pt idx="1463">
                  <c:v>45988</c:v>
                </c:pt>
                <c:pt idx="1464">
                  <c:v>45989</c:v>
                </c:pt>
                <c:pt idx="1465">
                  <c:v>45992</c:v>
                </c:pt>
                <c:pt idx="1466">
                  <c:v>45993</c:v>
                </c:pt>
                <c:pt idx="1467">
                  <c:v>45994</c:v>
                </c:pt>
                <c:pt idx="1468">
                  <c:v>45995</c:v>
                </c:pt>
                <c:pt idx="1469">
                  <c:v>45996</c:v>
                </c:pt>
                <c:pt idx="1470">
                  <c:v>45999</c:v>
                </c:pt>
                <c:pt idx="1471">
                  <c:v>46000</c:v>
                </c:pt>
                <c:pt idx="1472">
                  <c:v>46001</c:v>
                </c:pt>
                <c:pt idx="1473">
                  <c:v>46002</c:v>
                </c:pt>
                <c:pt idx="1474">
                  <c:v>46003</c:v>
                </c:pt>
                <c:pt idx="1475">
                  <c:v>46006</c:v>
                </c:pt>
                <c:pt idx="1476">
                  <c:v>46007</c:v>
                </c:pt>
                <c:pt idx="1477">
                  <c:v>46008</c:v>
                </c:pt>
                <c:pt idx="1478">
                  <c:v>46009</c:v>
                </c:pt>
                <c:pt idx="1479">
                  <c:v>46010</c:v>
                </c:pt>
                <c:pt idx="1480">
                  <c:v>46013</c:v>
                </c:pt>
                <c:pt idx="1481">
                  <c:v>46014</c:v>
                </c:pt>
                <c:pt idx="1482">
                  <c:v>46015</c:v>
                </c:pt>
                <c:pt idx="1483">
                  <c:v>46017</c:v>
                </c:pt>
                <c:pt idx="1484">
                  <c:v>46020</c:v>
                </c:pt>
                <c:pt idx="1485">
                  <c:v>46021</c:v>
                </c:pt>
              </c:numCache>
            </c:numRef>
          </c:cat>
          <c:val>
            <c:numRef>
              <c:f>Hitorical_Sim!$B$2:$B$1487</c:f>
              <c:numCache>
                <c:formatCode>0.00</c:formatCode>
                <c:ptCount val="1486"/>
                <c:pt idx="0">
                  <c:v>-1.8025427825825929E-2</c:v>
                </c:pt>
                <c:pt idx="1">
                  <c:v>1.9864584559774596E-2</c:v>
                </c:pt>
                <c:pt idx="2">
                  <c:v>-1.7306189762926172E-3</c:v>
                </c:pt>
                <c:pt idx="3">
                  <c:v>3.0264380738142787E-3</c:v>
                </c:pt>
                <c:pt idx="4">
                  <c:v>1.2584238868770486E-3</c:v>
                </c:pt>
                <c:pt idx="5">
                  <c:v>-7.9363060051830091E-3</c:v>
                </c:pt>
                <c:pt idx="6">
                  <c:v>-4.1736201968182686E-3</c:v>
                </c:pt>
                <c:pt idx="7">
                  <c:v>-1.5429857894827289E-2</c:v>
                </c:pt>
                <c:pt idx="8">
                  <c:v>1.1530632036333152E-2</c:v>
                </c:pt>
                <c:pt idx="9">
                  <c:v>-7.2920648815929705E-3</c:v>
                </c:pt>
                <c:pt idx="10">
                  <c:v>3.9729789343428024E-2</c:v>
                </c:pt>
                <c:pt idx="11">
                  <c:v>-1.485635262902113E-3</c:v>
                </c:pt>
                <c:pt idx="12">
                  <c:v>-4.1744173466681765E-2</c:v>
                </c:pt>
                <c:pt idx="13">
                  <c:v>-1.8475535918739856E-2</c:v>
                </c:pt>
                <c:pt idx="14">
                  <c:v>-1.2369904428487411E-2</c:v>
                </c:pt>
                <c:pt idx="15">
                  <c:v>1.451037848030938E-2</c:v>
                </c:pt>
                <c:pt idx="16">
                  <c:v>1.3081758225622448E-2</c:v>
                </c:pt>
                <c:pt idx="17">
                  <c:v>-8.5898293820100592E-3</c:v>
                </c:pt>
                <c:pt idx="18">
                  <c:v>-1.0838774075613295E-3</c:v>
                </c:pt>
                <c:pt idx="19">
                  <c:v>-1.0145884570757109E-2</c:v>
                </c:pt>
                <c:pt idx="20">
                  <c:v>3.0921429720552388E-3</c:v>
                </c:pt>
                <c:pt idx="21">
                  <c:v>-7.2173308840993797E-3</c:v>
                </c:pt>
                <c:pt idx="22">
                  <c:v>-1.3554735805807891E-2</c:v>
                </c:pt>
                <c:pt idx="23">
                  <c:v>1.0439967219646545E-2</c:v>
                </c:pt>
                <c:pt idx="24">
                  <c:v>1.6600485518644476E-2</c:v>
                </c:pt>
                <c:pt idx="25">
                  <c:v>3.0474670144043332E-2</c:v>
                </c:pt>
                <c:pt idx="26">
                  <c:v>2.935319032248983E-3</c:v>
                </c:pt>
                <c:pt idx="27">
                  <c:v>-3.2260202141950996E-3</c:v>
                </c:pt>
                <c:pt idx="28">
                  <c:v>-6.3733515252599208E-3</c:v>
                </c:pt>
                <c:pt idx="29">
                  <c:v>-1.2684995509455206E-2</c:v>
                </c:pt>
                <c:pt idx="30">
                  <c:v>-2.8905098953137536E-3</c:v>
                </c:pt>
                <c:pt idx="31">
                  <c:v>4.6280830381985874E-3</c:v>
                </c:pt>
                <c:pt idx="32">
                  <c:v>-1.1106199475300296E-2</c:v>
                </c:pt>
                <c:pt idx="33">
                  <c:v>5.6020887899991146E-4</c:v>
                </c:pt>
                <c:pt idx="34">
                  <c:v>1.1985476292003082E-2</c:v>
                </c:pt>
                <c:pt idx="35">
                  <c:v>-7.4787838461267218E-3</c:v>
                </c:pt>
                <c:pt idx="36">
                  <c:v>-3.0448856500185043E-2</c:v>
                </c:pt>
                <c:pt idx="37">
                  <c:v>-1.404334084597187E-2</c:v>
                </c:pt>
                <c:pt idx="38">
                  <c:v>-4.0800917669981965E-2</c:v>
                </c:pt>
                <c:pt idx="39">
                  <c:v>1.2307901972570126E-2</c:v>
                </c:pt>
                <c:pt idx="40">
                  <c:v>-1.1337058585953167E-2</c:v>
                </c:pt>
                <c:pt idx="41">
                  <c:v>-3.0835083744191173E-2</c:v>
                </c:pt>
                <c:pt idx="42">
                  <c:v>9.8338864751524504E-3</c:v>
                </c:pt>
                <c:pt idx="43">
                  <c:v>2.9274603769800789E-3</c:v>
                </c:pt>
                <c:pt idx="44">
                  <c:v>3.8959394447831842E-2</c:v>
                </c:pt>
                <c:pt idx="45">
                  <c:v>1.30583096130859E-3</c:v>
                </c:pt>
                <c:pt idx="46">
                  <c:v>-4.5714430250546556E-2</c:v>
                </c:pt>
                <c:pt idx="47">
                  <c:v>-1.4887916519924984E-2</c:v>
                </c:pt>
                <c:pt idx="48">
                  <c:v>-7.491968905454767E-2</c:v>
                </c:pt>
                <c:pt idx="49">
                  <c:v>1.9284978511511845E-2</c:v>
                </c:pt>
                <c:pt idx="50">
                  <c:v>-3.4203268815211726E-2</c:v>
                </c:pt>
                <c:pt idx="51">
                  <c:v>-1.1604024903857875E-2</c:v>
                </c:pt>
                <c:pt idx="52">
                  <c:v>-7.6762288757072111E-2</c:v>
                </c:pt>
                <c:pt idx="53">
                  <c:v>3.3185070261623047E-2</c:v>
                </c:pt>
                <c:pt idx="54">
                  <c:v>-2.4535975700764458E-2</c:v>
                </c:pt>
                <c:pt idx="55">
                  <c:v>-0.1952375282258085</c:v>
                </c:pt>
                <c:pt idx="56">
                  <c:v>2.9395460780981063E-2</c:v>
                </c:pt>
                <c:pt idx="57">
                  <c:v>0.14623748685781016</c:v>
                </c:pt>
                <c:pt idx="58">
                  <c:v>0.10756129994516839</c:v>
                </c:pt>
                <c:pt idx="59">
                  <c:v>-6.9901730152506031E-2</c:v>
                </c:pt>
                <c:pt idx="60">
                  <c:v>4.8281382323386354E-3</c:v>
                </c:pt>
                <c:pt idx="61">
                  <c:v>5.1164619461456992E-2</c:v>
                </c:pt>
                <c:pt idx="62">
                  <c:v>2.2035729092155426E-2</c:v>
                </c:pt>
                <c:pt idx="63">
                  <c:v>-5.645890233225432E-2</c:v>
                </c:pt>
                <c:pt idx="64">
                  <c:v>9.9559206809276421E-2</c:v>
                </c:pt>
                <c:pt idx="65">
                  <c:v>-3.0363432180463752E-3</c:v>
                </c:pt>
                <c:pt idx="66">
                  <c:v>1.5560992446250959E-2</c:v>
                </c:pt>
                <c:pt idx="67">
                  <c:v>-1.9260315557459728E-2</c:v>
                </c:pt>
                <c:pt idx="68">
                  <c:v>5.3487141495473303E-3</c:v>
                </c:pt>
                <c:pt idx="69">
                  <c:v>3.8094719599290898E-3</c:v>
                </c:pt>
                <c:pt idx="70">
                  <c:v>3.5774937112632285E-2</c:v>
                </c:pt>
                <c:pt idx="71">
                  <c:v>-7.61605485893075E-3</c:v>
                </c:pt>
                <c:pt idx="72">
                  <c:v>-2.6475474443372719E-2</c:v>
                </c:pt>
                <c:pt idx="73">
                  <c:v>-1.7228022293117488E-2</c:v>
                </c:pt>
                <c:pt idx="74">
                  <c:v>4.4165285188717665E-2</c:v>
                </c:pt>
                <c:pt idx="75">
                  <c:v>-4.6713715037985368E-2</c:v>
                </c:pt>
                <c:pt idx="76">
                  <c:v>4.9355523066482887E-2</c:v>
                </c:pt>
                <c:pt idx="77">
                  <c:v>1.2138211949617823E-3</c:v>
                </c:pt>
                <c:pt idx="78">
                  <c:v>2.950691059563549E-2</c:v>
                </c:pt>
                <c:pt idx="79">
                  <c:v>4.7077483560107485E-2</c:v>
                </c:pt>
                <c:pt idx="80">
                  <c:v>-6.5437727259872958E-2</c:v>
                </c:pt>
                <c:pt idx="81">
                  <c:v>3.7156689266172817E-3</c:v>
                </c:pt>
                <c:pt idx="82">
                  <c:v>-9.8949588849904144E-4</c:v>
                </c:pt>
                <c:pt idx="83">
                  <c:v>-1.609917217885541E-3</c:v>
                </c:pt>
                <c:pt idx="84">
                  <c:v>2.0406832241197197E-2</c:v>
                </c:pt>
                <c:pt idx="85">
                  <c:v>4.9092576809910547E-2</c:v>
                </c:pt>
                <c:pt idx="86">
                  <c:v>2.7371855071450672E-2</c:v>
                </c:pt>
                <c:pt idx="87">
                  <c:v>-9.9496737091275475E-3</c:v>
                </c:pt>
                <c:pt idx="88">
                  <c:v>-5.9777201192738862E-2</c:v>
                </c:pt>
                <c:pt idx="89">
                  <c:v>-8.1554407325949638E-3</c:v>
                </c:pt>
                <c:pt idx="90">
                  <c:v>-5.6195333824542129E-2</c:v>
                </c:pt>
                <c:pt idx="91">
                  <c:v>4.7359648966139083E-2</c:v>
                </c:pt>
                <c:pt idx="92">
                  <c:v>1.0132014725612336E-2</c:v>
                </c:pt>
                <c:pt idx="93">
                  <c:v>1.1552382183814531E-2</c:v>
                </c:pt>
                <c:pt idx="94">
                  <c:v>-9.0454511297110417E-3</c:v>
                </c:pt>
                <c:pt idx="95">
                  <c:v>-3.8440746147750484E-3</c:v>
                </c:pt>
                <c:pt idx="96">
                  <c:v>-6.4871927016202488E-4</c:v>
                </c:pt>
                <c:pt idx="97">
                  <c:v>1.745268310872931E-2</c:v>
                </c:pt>
                <c:pt idx="98">
                  <c:v>3.6364669107566194E-2</c:v>
                </c:pt>
                <c:pt idx="99">
                  <c:v>1.4596347037174357E-3</c:v>
                </c:pt>
                <c:pt idx="100">
                  <c:v>-6.1603292128407511E-3</c:v>
                </c:pt>
                <c:pt idx="101">
                  <c:v>-1.7965038774073974E-2</c:v>
                </c:pt>
                <c:pt idx="102">
                  <c:v>8.0288498593146847E-3</c:v>
                </c:pt>
                <c:pt idx="103">
                  <c:v>1.6211861541816325E-2</c:v>
                </c:pt>
                <c:pt idx="104">
                  <c:v>-1.0067775879665336E-2</c:v>
                </c:pt>
                <c:pt idx="105">
                  <c:v>1.8932656508829589E-2</c:v>
                </c:pt>
                <c:pt idx="106">
                  <c:v>2.7729899587540913E-3</c:v>
                </c:pt>
                <c:pt idx="107">
                  <c:v>-1.3904639544247744E-2</c:v>
                </c:pt>
                <c:pt idx="108">
                  <c:v>1.1145871068943467E-3</c:v>
                </c:pt>
                <c:pt idx="109">
                  <c:v>1.36621501702594E-2</c:v>
                </c:pt>
                <c:pt idx="110">
                  <c:v>3.2774043419583232E-2</c:v>
                </c:pt>
                <c:pt idx="111">
                  <c:v>-2.1279646966773858E-2</c:v>
                </c:pt>
                <c:pt idx="112">
                  <c:v>-4.4986892884686817E-2</c:v>
                </c:pt>
                <c:pt idx="113">
                  <c:v>-4.3597850240793641E-3</c:v>
                </c:pt>
                <c:pt idx="114">
                  <c:v>1.1408901666443551E-3</c:v>
                </c:pt>
                <c:pt idx="115">
                  <c:v>1.4714719193003347E-2</c:v>
                </c:pt>
                <c:pt idx="116">
                  <c:v>2.0516896969254477E-3</c:v>
                </c:pt>
                <c:pt idx="117">
                  <c:v>-1.4880884164906186E-2</c:v>
                </c:pt>
                <c:pt idx="118">
                  <c:v>-9.0281216704423753E-3</c:v>
                </c:pt>
                <c:pt idx="119">
                  <c:v>-1.8102616131152504E-2</c:v>
                </c:pt>
                <c:pt idx="120">
                  <c:v>2.1305205322993424E-2</c:v>
                </c:pt>
                <c:pt idx="121">
                  <c:v>0</c:v>
                </c:pt>
                <c:pt idx="122">
                  <c:v>1.7608317865431388E-2</c:v>
                </c:pt>
                <c:pt idx="123">
                  <c:v>-7.6311850477133814E-3</c:v>
                </c:pt>
                <c:pt idx="124">
                  <c:v>6.0397135873824165E-3</c:v>
                </c:pt>
                <c:pt idx="125">
                  <c:v>-1.0426922177859652E-2</c:v>
                </c:pt>
                <c:pt idx="126">
                  <c:v>1.147519387131498E-2</c:v>
                </c:pt>
                <c:pt idx="127">
                  <c:v>-1.3518463166181648E-2</c:v>
                </c:pt>
                <c:pt idx="128">
                  <c:v>-8.6915303720419713E-3</c:v>
                </c:pt>
                <c:pt idx="129">
                  <c:v>1.0852760039627398E-2</c:v>
                </c:pt>
                <c:pt idx="130">
                  <c:v>-1.0575174468873445E-2</c:v>
                </c:pt>
                <c:pt idx="131">
                  <c:v>-6.2072467334477414E-3</c:v>
                </c:pt>
                <c:pt idx="132">
                  <c:v>-2.3580427870402922E-3</c:v>
                </c:pt>
                <c:pt idx="133">
                  <c:v>3.0420242152558046E-2</c:v>
                </c:pt>
                <c:pt idx="134">
                  <c:v>2.5368038994353543E-2</c:v>
                </c:pt>
                <c:pt idx="135">
                  <c:v>9.6776763222298449E-3</c:v>
                </c:pt>
                <c:pt idx="136">
                  <c:v>-3.0360684937482865E-2</c:v>
                </c:pt>
                <c:pt idx="137">
                  <c:v>-8.7297924218341441E-3</c:v>
                </c:pt>
                <c:pt idx="138">
                  <c:v>1.1198819195725624E-2</c:v>
                </c:pt>
                <c:pt idx="139">
                  <c:v>6.9123656927105271E-3</c:v>
                </c:pt>
                <c:pt idx="140">
                  <c:v>1.0014485855827194E-2</c:v>
                </c:pt>
                <c:pt idx="141">
                  <c:v>-1.3579955460822708E-2</c:v>
                </c:pt>
                <c:pt idx="142">
                  <c:v>1.4867085753646474E-2</c:v>
                </c:pt>
                <c:pt idx="143">
                  <c:v>-1.3562076740552402E-2</c:v>
                </c:pt>
                <c:pt idx="144">
                  <c:v>1.1706180376984381E-2</c:v>
                </c:pt>
                <c:pt idx="145">
                  <c:v>2.3009671445987714E-2</c:v>
                </c:pt>
                <c:pt idx="146">
                  <c:v>7.7749624313229275E-4</c:v>
                </c:pt>
                <c:pt idx="147">
                  <c:v>1.8521378284824388E-2</c:v>
                </c:pt>
                <c:pt idx="148">
                  <c:v>-1.4347110692679537E-2</c:v>
                </c:pt>
                <c:pt idx="149">
                  <c:v>1.9132464881140024E-2</c:v>
                </c:pt>
                <c:pt idx="150">
                  <c:v>-2.4640275798995852E-2</c:v>
                </c:pt>
                <c:pt idx="151">
                  <c:v>2.1234692556163531E-2</c:v>
                </c:pt>
                <c:pt idx="152">
                  <c:v>-9.992666284057615E-3</c:v>
                </c:pt>
                <c:pt idx="153">
                  <c:v>-4.0695273261556135E-2</c:v>
                </c:pt>
                <c:pt idx="154">
                  <c:v>-1.1325657005473406E-2</c:v>
                </c:pt>
                <c:pt idx="155">
                  <c:v>3.1244229894198366E-2</c:v>
                </c:pt>
                <c:pt idx="156">
                  <c:v>-1.9231648474204225E-2</c:v>
                </c:pt>
                <c:pt idx="157">
                  <c:v>-9.4290574977459411E-3</c:v>
                </c:pt>
                <c:pt idx="158">
                  <c:v>-5.3284629640134307E-3</c:v>
                </c:pt>
                <c:pt idx="159">
                  <c:v>-1.2701751209192522E-2</c:v>
                </c:pt>
                <c:pt idx="160">
                  <c:v>-7.715192653769222E-3</c:v>
                </c:pt>
                <c:pt idx="161">
                  <c:v>-8.6957712795557817E-4</c:v>
                </c:pt>
                <c:pt idx="162">
                  <c:v>9.7605207104737371E-3</c:v>
                </c:pt>
                <c:pt idx="163">
                  <c:v>5.6626816041127678E-3</c:v>
                </c:pt>
                <c:pt idx="164">
                  <c:v>-2.1412946156928635E-2</c:v>
                </c:pt>
                <c:pt idx="165">
                  <c:v>2.1857656825519964E-3</c:v>
                </c:pt>
                <c:pt idx="166">
                  <c:v>2.0622507094649259E-3</c:v>
                </c:pt>
                <c:pt idx="167">
                  <c:v>2.0547250074786891E-2</c:v>
                </c:pt>
                <c:pt idx="168">
                  <c:v>1.5127474776030659E-3</c:v>
                </c:pt>
                <c:pt idx="169">
                  <c:v>-5.5184351113873658E-3</c:v>
                </c:pt>
                <c:pt idx="170">
                  <c:v>-1.4958012076825088E-2</c:v>
                </c:pt>
                <c:pt idx="171">
                  <c:v>-3.7151732846935459E-2</c:v>
                </c:pt>
                <c:pt idx="172">
                  <c:v>2.861094272891529E-2</c:v>
                </c:pt>
                <c:pt idx="173">
                  <c:v>3.5198607497610501E-2</c:v>
                </c:pt>
                <c:pt idx="174">
                  <c:v>5.4924997853250147E-3</c:v>
                </c:pt>
                <c:pt idx="175">
                  <c:v>-6.5141682543009194E-4</c:v>
                </c:pt>
                <c:pt idx="176">
                  <c:v>9.0050594521084437E-3</c:v>
                </c:pt>
                <c:pt idx="177">
                  <c:v>-2.6793552501918196E-2</c:v>
                </c:pt>
                <c:pt idx="178">
                  <c:v>1.1212819369345215E-2</c:v>
                </c:pt>
                <c:pt idx="179">
                  <c:v>-1.5513874400173468E-2</c:v>
                </c:pt>
                <c:pt idx="180">
                  <c:v>-1.6793821213428619E-2</c:v>
                </c:pt>
                <c:pt idx="181">
                  <c:v>2.705895110787468E-3</c:v>
                </c:pt>
                <c:pt idx="182">
                  <c:v>-5.4594615156905767E-3</c:v>
                </c:pt>
                <c:pt idx="183">
                  <c:v>1.4873396516736954E-2</c:v>
                </c:pt>
                <c:pt idx="184">
                  <c:v>-1.2211476207891006E-3</c:v>
                </c:pt>
                <c:pt idx="185">
                  <c:v>-1.4291760614223209E-2</c:v>
                </c:pt>
                <c:pt idx="186">
                  <c:v>3.8436389190317409E-2</c:v>
                </c:pt>
                <c:pt idx="187">
                  <c:v>1.3838124069342989E-3</c:v>
                </c:pt>
                <c:pt idx="188">
                  <c:v>-3.6706374503005304E-2</c:v>
                </c:pt>
                <c:pt idx="189">
                  <c:v>-1.5383760704952136E-2</c:v>
                </c:pt>
                <c:pt idx="190">
                  <c:v>3.1554932363458375E-2</c:v>
                </c:pt>
                <c:pt idx="191">
                  <c:v>-1.8325833825595571E-2</c:v>
                </c:pt>
                <c:pt idx="192">
                  <c:v>-3.3208608454595593E-3</c:v>
                </c:pt>
                <c:pt idx="193">
                  <c:v>-3.2215548066661902E-2</c:v>
                </c:pt>
                <c:pt idx="194">
                  <c:v>-4.6466530520092022E-3</c:v>
                </c:pt>
                <c:pt idx="195">
                  <c:v>3.6621698676808478E-2</c:v>
                </c:pt>
                <c:pt idx="196">
                  <c:v>2.7221443004805767E-3</c:v>
                </c:pt>
                <c:pt idx="197">
                  <c:v>-9.3990525324790745E-3</c:v>
                </c:pt>
                <c:pt idx="198">
                  <c:v>1.215384578589437E-2</c:v>
                </c:pt>
                <c:pt idx="199">
                  <c:v>-6.6402160508960513E-3</c:v>
                </c:pt>
                <c:pt idx="200">
                  <c:v>-4.1020929661044377E-3</c:v>
                </c:pt>
                <c:pt idx="201">
                  <c:v>1.2216565419653165E-2</c:v>
                </c:pt>
                <c:pt idx="202">
                  <c:v>1.4718845520180447E-3</c:v>
                </c:pt>
                <c:pt idx="203">
                  <c:v>-2.2685536931796148E-3</c:v>
                </c:pt>
                <c:pt idx="204">
                  <c:v>-4.8324765994580601E-3</c:v>
                </c:pt>
                <c:pt idx="205">
                  <c:v>-1.476134140680401E-2</c:v>
                </c:pt>
                <c:pt idx="206">
                  <c:v>9.7844957391356423E-3</c:v>
                </c:pt>
                <c:pt idx="207">
                  <c:v>-5.4061571373377592E-3</c:v>
                </c:pt>
                <c:pt idx="208">
                  <c:v>-8.898575981177121E-3</c:v>
                </c:pt>
                <c:pt idx="209">
                  <c:v>8.975968472903392E-4</c:v>
                </c:pt>
                <c:pt idx="210">
                  <c:v>4.1912435855411241E-3</c:v>
                </c:pt>
                <c:pt idx="211">
                  <c:v>9.9801401413796391E-3</c:v>
                </c:pt>
                <c:pt idx="212">
                  <c:v>1.3418116921456726E-2</c:v>
                </c:pt>
                <c:pt idx="213">
                  <c:v>8.5713443927930393E-3</c:v>
                </c:pt>
                <c:pt idx="214">
                  <c:v>-1.6139720408167133E-3</c:v>
                </c:pt>
                <c:pt idx="215">
                  <c:v>-3.0774396253618148E-3</c:v>
                </c:pt>
                <c:pt idx="216">
                  <c:v>-4.7530931546584795E-3</c:v>
                </c:pt>
                <c:pt idx="217">
                  <c:v>2.9689544211430274E-2</c:v>
                </c:pt>
                <c:pt idx="218">
                  <c:v>-1.0796266714258377E-3</c:v>
                </c:pt>
                <c:pt idx="219">
                  <c:v>2.5371670249977267E-2</c:v>
                </c:pt>
                <c:pt idx="220">
                  <c:v>-1.3596246008573998E-2</c:v>
                </c:pt>
                <c:pt idx="221">
                  <c:v>-1.1351160144191099E-2</c:v>
                </c:pt>
                <c:pt idx="222">
                  <c:v>4.5130675837776496E-2</c:v>
                </c:pt>
                <c:pt idx="223">
                  <c:v>-2.5468553268443222E-3</c:v>
                </c:pt>
                <c:pt idx="224">
                  <c:v>1.42381630765352E-2</c:v>
                </c:pt>
                <c:pt idx="225">
                  <c:v>7.6947760176212087E-3</c:v>
                </c:pt>
                <c:pt idx="226">
                  <c:v>5.226732228791358E-2</c:v>
                </c:pt>
                <c:pt idx="227">
                  <c:v>-3.8853881312327591E-3</c:v>
                </c:pt>
                <c:pt idx="228">
                  <c:v>1.3516040418154365E-2</c:v>
                </c:pt>
                <c:pt idx="229">
                  <c:v>3.3685029253945169E-2</c:v>
                </c:pt>
                <c:pt idx="230">
                  <c:v>-2.6269539960349562E-2</c:v>
                </c:pt>
                <c:pt idx="231">
                  <c:v>-2.1724131334435667E-2</c:v>
                </c:pt>
                <c:pt idx="232">
                  <c:v>-5.1848133121408313E-3</c:v>
                </c:pt>
                <c:pt idx="233">
                  <c:v>1.489443459577993E-2</c:v>
                </c:pt>
                <c:pt idx="234">
                  <c:v>-7.5396555720298472E-3</c:v>
                </c:pt>
                <c:pt idx="235">
                  <c:v>-2.5145049689693183E-3</c:v>
                </c:pt>
                <c:pt idx="236">
                  <c:v>1.1521679060203677E-2</c:v>
                </c:pt>
                <c:pt idx="237">
                  <c:v>1.5695443609169895E-2</c:v>
                </c:pt>
                <c:pt idx="238">
                  <c:v>-2.3121648415666891E-2</c:v>
                </c:pt>
                <c:pt idx="239">
                  <c:v>1.6116008920054516E-2</c:v>
                </c:pt>
                <c:pt idx="240">
                  <c:v>-1.2174168333271738E-3</c:v>
                </c:pt>
                <c:pt idx="241">
                  <c:v>-1.0956288721570949E-2</c:v>
                </c:pt>
                <c:pt idx="242">
                  <c:v>-1.9868266184030547E-2</c:v>
                </c:pt>
                <c:pt idx="243">
                  <c:v>1.7367541580458015E-2</c:v>
                </c:pt>
                <c:pt idx="244">
                  <c:v>2.7446690889310456E-4</c:v>
                </c:pt>
                <c:pt idx="245">
                  <c:v>1.7571998690056951E-2</c:v>
                </c:pt>
                <c:pt idx="246">
                  <c:v>9.122318464550307E-3</c:v>
                </c:pt>
                <c:pt idx="247">
                  <c:v>8.411311111214393E-3</c:v>
                </c:pt>
                <c:pt idx="248">
                  <c:v>-1.3248996521244207E-4</c:v>
                </c:pt>
                <c:pt idx="249">
                  <c:v>7.0932738816122855E-3</c:v>
                </c:pt>
                <c:pt idx="250">
                  <c:v>-1.0854352470227068E-3</c:v>
                </c:pt>
                <c:pt idx="251">
                  <c:v>1.971602954787156E-2</c:v>
                </c:pt>
                <c:pt idx="252">
                  <c:v>2.2211366129058427E-2</c:v>
                </c:pt>
                <c:pt idx="253">
                  <c:v>1.7178253577796981E-2</c:v>
                </c:pt>
                <c:pt idx="254">
                  <c:v>-2.5449941144490937E-2</c:v>
                </c:pt>
                <c:pt idx="255">
                  <c:v>2.1377722638759544E-2</c:v>
                </c:pt>
                <c:pt idx="256">
                  <c:v>2.8306157152786699E-3</c:v>
                </c:pt>
                <c:pt idx="257">
                  <c:v>-2.7555359687972333E-2</c:v>
                </c:pt>
                <c:pt idx="258">
                  <c:v>-1.0882882198195486E-2</c:v>
                </c:pt>
                <c:pt idx="259">
                  <c:v>3.6729099366377554E-3</c:v>
                </c:pt>
                <c:pt idx="260">
                  <c:v>-2.4793200020481977E-3</c:v>
                </c:pt>
                <c:pt idx="261">
                  <c:v>-1.7760110505603346E-2</c:v>
                </c:pt>
                <c:pt idx="262">
                  <c:v>-8.9334581792824934E-3</c:v>
                </c:pt>
                <c:pt idx="263">
                  <c:v>-1.0050372326110774E-2</c:v>
                </c:pt>
                <c:pt idx="264">
                  <c:v>-2.1672785337493002E-2</c:v>
                </c:pt>
                <c:pt idx="265">
                  <c:v>-1.6472767579473056E-2</c:v>
                </c:pt>
                <c:pt idx="266">
                  <c:v>-4.8670619684027905E-4</c:v>
                </c:pt>
                <c:pt idx="267">
                  <c:v>-4.2213451034344679E-2</c:v>
                </c:pt>
                <c:pt idx="268">
                  <c:v>-5.4906579271093532E-3</c:v>
                </c:pt>
                <c:pt idx="269">
                  <c:v>-4.1506036807913343E-2</c:v>
                </c:pt>
                <c:pt idx="270">
                  <c:v>3.7194009288924024E-2</c:v>
                </c:pt>
                <c:pt idx="271">
                  <c:v>1.6416754724423516E-2</c:v>
                </c:pt>
                <c:pt idx="272">
                  <c:v>3.4312462378107575E-2</c:v>
                </c:pt>
                <c:pt idx="273">
                  <c:v>2.3292277859031818E-2</c:v>
                </c:pt>
                <c:pt idx="274">
                  <c:v>-1.7015374518449134E-3</c:v>
                </c:pt>
                <c:pt idx="275">
                  <c:v>3.5702952970747969E-3</c:v>
                </c:pt>
                <c:pt idx="276">
                  <c:v>2.6661315264937837E-2</c:v>
                </c:pt>
                <c:pt idx="277">
                  <c:v>-7.8307845929006855E-3</c:v>
                </c:pt>
                <c:pt idx="278">
                  <c:v>-2.1341790311394616E-3</c:v>
                </c:pt>
                <c:pt idx="279">
                  <c:v>-1.9382088534409853E-3</c:v>
                </c:pt>
                <c:pt idx="280">
                  <c:v>1.8712438864646654E-3</c:v>
                </c:pt>
                <c:pt idx="281">
                  <c:v>4.7958129586020866E-3</c:v>
                </c:pt>
                <c:pt idx="282">
                  <c:v>-4.69549416910951E-3</c:v>
                </c:pt>
                <c:pt idx="283">
                  <c:v>2.3361487982472611E-4</c:v>
                </c:pt>
                <c:pt idx="284">
                  <c:v>-2.9747912443224933E-3</c:v>
                </c:pt>
                <c:pt idx="285">
                  <c:v>-1.864973449088226E-2</c:v>
                </c:pt>
                <c:pt idx="286">
                  <c:v>2.2458407275996684E-2</c:v>
                </c:pt>
                <c:pt idx="287">
                  <c:v>-8.8759014498083176E-3</c:v>
                </c:pt>
                <c:pt idx="288">
                  <c:v>-2.5939130746638756E-3</c:v>
                </c:pt>
                <c:pt idx="289">
                  <c:v>-3.8755121113169512E-2</c:v>
                </c:pt>
                <c:pt idx="290">
                  <c:v>7.7097970233463921E-4</c:v>
                </c:pt>
                <c:pt idx="291">
                  <c:v>2.868925622788952E-3</c:v>
                </c:pt>
                <c:pt idx="292">
                  <c:v>4.4883028005499488E-2</c:v>
                </c:pt>
                <c:pt idx="293">
                  <c:v>-1.7249869070733021E-2</c:v>
                </c:pt>
                <c:pt idx="294">
                  <c:v>1.6347674794563553E-2</c:v>
                </c:pt>
                <c:pt idx="295">
                  <c:v>-9.4390589623935765E-3</c:v>
                </c:pt>
                <c:pt idx="296">
                  <c:v>-8.9837542636936746E-3</c:v>
                </c:pt>
                <c:pt idx="297">
                  <c:v>1.9391362842383565E-3</c:v>
                </c:pt>
                <c:pt idx="298">
                  <c:v>6.8003385715381922E-5</c:v>
                </c:pt>
                <c:pt idx="299">
                  <c:v>-4.2915394010192235E-3</c:v>
                </c:pt>
                <c:pt idx="300">
                  <c:v>1.9034144862715794E-2</c:v>
                </c:pt>
                <c:pt idx="301">
                  <c:v>-1.20952774704155E-2</c:v>
                </c:pt>
                <c:pt idx="302">
                  <c:v>-2.2583406602538717E-2</c:v>
                </c:pt>
                <c:pt idx="303">
                  <c:v>-1.1479510679415896E-3</c:v>
                </c:pt>
                <c:pt idx="304">
                  <c:v>-1.3930512744113627E-3</c:v>
                </c:pt>
                <c:pt idx="305">
                  <c:v>2.4716295841628959E-3</c:v>
                </c:pt>
                <c:pt idx="306">
                  <c:v>-2.4851884800467666E-2</c:v>
                </c:pt>
                <c:pt idx="307">
                  <c:v>-1.0461798152775334E-2</c:v>
                </c:pt>
                <c:pt idx="308">
                  <c:v>8.4284156115250197E-3</c:v>
                </c:pt>
                <c:pt idx="309">
                  <c:v>2.3262764352839707E-2</c:v>
                </c:pt>
                <c:pt idx="310">
                  <c:v>1.7462568798854892E-4</c:v>
                </c:pt>
                <c:pt idx="311">
                  <c:v>3.0652295240230273E-3</c:v>
                </c:pt>
                <c:pt idx="312">
                  <c:v>-1.8924410188879255E-2</c:v>
                </c:pt>
                <c:pt idx="313">
                  <c:v>1.1488794964079356E-2</c:v>
                </c:pt>
                <c:pt idx="314">
                  <c:v>1.5679171529226637E-2</c:v>
                </c:pt>
                <c:pt idx="315">
                  <c:v>-1.3194573300622603E-2</c:v>
                </c:pt>
                <c:pt idx="316">
                  <c:v>-7.6490154043183092E-3</c:v>
                </c:pt>
                <c:pt idx="317">
                  <c:v>-4.949289410857103E-2</c:v>
                </c:pt>
                <c:pt idx="318">
                  <c:v>9.5392973201423679E-3</c:v>
                </c:pt>
                <c:pt idx="319">
                  <c:v>1.643327318648681E-2</c:v>
                </c:pt>
                <c:pt idx="320">
                  <c:v>2.1793234402220495E-2</c:v>
                </c:pt>
                <c:pt idx="321">
                  <c:v>-4.0648652447547125E-2</c:v>
                </c:pt>
                <c:pt idx="322">
                  <c:v>2.775834593032549E-2</c:v>
                </c:pt>
                <c:pt idx="323">
                  <c:v>-1.3637754138611501E-2</c:v>
                </c:pt>
                <c:pt idx="324">
                  <c:v>8.3275063007410774E-4</c:v>
                </c:pt>
                <c:pt idx="325">
                  <c:v>4.9713812628340612E-2</c:v>
                </c:pt>
                <c:pt idx="326">
                  <c:v>-8.2315804934969435E-3</c:v>
                </c:pt>
                <c:pt idx="327">
                  <c:v>-1.0333125436638746E-2</c:v>
                </c:pt>
                <c:pt idx="328">
                  <c:v>-4.9601146150680016E-3</c:v>
                </c:pt>
                <c:pt idx="329">
                  <c:v>-2.7190772145860979E-3</c:v>
                </c:pt>
                <c:pt idx="330">
                  <c:v>1.5160523371700152E-2</c:v>
                </c:pt>
                <c:pt idx="331">
                  <c:v>5.2797186292625102E-3</c:v>
                </c:pt>
                <c:pt idx="332">
                  <c:v>5.8725599775046418E-3</c:v>
                </c:pt>
                <c:pt idx="333">
                  <c:v>1.4110127822810456E-3</c:v>
                </c:pt>
                <c:pt idx="334">
                  <c:v>-2.617217363835776E-3</c:v>
                </c:pt>
                <c:pt idx="335">
                  <c:v>3.2201247308275525E-2</c:v>
                </c:pt>
                <c:pt idx="336">
                  <c:v>-8.4504188726907334E-3</c:v>
                </c:pt>
                <c:pt idx="337">
                  <c:v>-2.0898424699941354E-3</c:v>
                </c:pt>
                <c:pt idx="338">
                  <c:v>-5.8210424615186404E-3</c:v>
                </c:pt>
                <c:pt idx="339">
                  <c:v>1.6278665745915861E-3</c:v>
                </c:pt>
                <c:pt idx="340">
                  <c:v>7.7974750415516787E-3</c:v>
                </c:pt>
                <c:pt idx="341">
                  <c:v>1.1965308333562895E-2</c:v>
                </c:pt>
                <c:pt idx="342">
                  <c:v>1.5101754485968927E-2</c:v>
                </c:pt>
                <c:pt idx="343">
                  <c:v>-2.9444105520672737E-4</c:v>
                </c:pt>
                <c:pt idx="344">
                  <c:v>-2.2444796044566531E-2</c:v>
                </c:pt>
                <c:pt idx="345">
                  <c:v>-9.1815673416790252E-3</c:v>
                </c:pt>
                <c:pt idx="346">
                  <c:v>-2.0291949014148167E-3</c:v>
                </c:pt>
                <c:pt idx="347">
                  <c:v>-2.0833839044296108E-2</c:v>
                </c:pt>
                <c:pt idx="348">
                  <c:v>2.569741591701635E-2</c:v>
                </c:pt>
                <c:pt idx="349">
                  <c:v>-8.2207811958418149E-3</c:v>
                </c:pt>
                <c:pt idx="350">
                  <c:v>-3.4710983990035816E-3</c:v>
                </c:pt>
                <c:pt idx="351">
                  <c:v>2.0447049110357081E-4</c:v>
                </c:pt>
                <c:pt idx="352">
                  <c:v>5.2346479276996179E-3</c:v>
                </c:pt>
                <c:pt idx="353">
                  <c:v>-1.868433367408525E-2</c:v>
                </c:pt>
                <c:pt idx="354">
                  <c:v>-2.1784215532655422E-3</c:v>
                </c:pt>
                <c:pt idx="355">
                  <c:v>1.6036922900039881E-2</c:v>
                </c:pt>
                <c:pt idx="356">
                  <c:v>4.2155854182624698E-3</c:v>
                </c:pt>
                <c:pt idx="357">
                  <c:v>1.865254884608392E-2</c:v>
                </c:pt>
                <c:pt idx="358">
                  <c:v>9.3458338260815794E-3</c:v>
                </c:pt>
                <c:pt idx="359">
                  <c:v>-7.5826049811248495E-3</c:v>
                </c:pt>
                <c:pt idx="360">
                  <c:v>-8.6469330474533588E-4</c:v>
                </c:pt>
                <c:pt idx="361">
                  <c:v>8.7440020774426815E-3</c:v>
                </c:pt>
                <c:pt idx="362">
                  <c:v>-5.3566157611019925E-3</c:v>
                </c:pt>
                <c:pt idx="363">
                  <c:v>1.702819137847655E-2</c:v>
                </c:pt>
                <c:pt idx="364">
                  <c:v>-4.3445407933379691E-3</c:v>
                </c:pt>
                <c:pt idx="365">
                  <c:v>-1.5398067960363383E-3</c:v>
                </c:pt>
                <c:pt idx="366">
                  <c:v>5.6235751317339801E-3</c:v>
                </c:pt>
                <c:pt idx="367">
                  <c:v>-5.4596549159876577E-3</c:v>
                </c:pt>
                <c:pt idx="368">
                  <c:v>1.5548054760504169E-2</c:v>
                </c:pt>
                <c:pt idx="369">
                  <c:v>3.1265498371819474E-2</c:v>
                </c:pt>
                <c:pt idx="370">
                  <c:v>-1.0345013491640919E-2</c:v>
                </c:pt>
                <c:pt idx="371">
                  <c:v>-9.4637104327876462E-3</c:v>
                </c:pt>
                <c:pt idx="372">
                  <c:v>-5.2466754454527764E-3</c:v>
                </c:pt>
                <c:pt idx="373">
                  <c:v>-3.4381926906796451E-3</c:v>
                </c:pt>
                <c:pt idx="374">
                  <c:v>8.4613099803807785E-3</c:v>
                </c:pt>
                <c:pt idx="375">
                  <c:v>1.1483317842159936E-3</c:v>
                </c:pt>
                <c:pt idx="376">
                  <c:v>1.3079949114209408E-2</c:v>
                </c:pt>
                <c:pt idx="377">
                  <c:v>-1.2601806015541003E-2</c:v>
                </c:pt>
                <c:pt idx="378">
                  <c:v>-3.8252843375664246E-4</c:v>
                </c:pt>
                <c:pt idx="379">
                  <c:v>1.0401079540414132E-2</c:v>
                </c:pt>
                <c:pt idx="380">
                  <c:v>-2.6726467672810578E-2</c:v>
                </c:pt>
                <c:pt idx="381">
                  <c:v>-7.512528429158203E-3</c:v>
                </c:pt>
                <c:pt idx="382">
                  <c:v>1.0585887982053838E-2</c:v>
                </c:pt>
                <c:pt idx="383">
                  <c:v>-1.726773052898898E-2</c:v>
                </c:pt>
                <c:pt idx="384">
                  <c:v>-2.1055441069295945E-2</c:v>
                </c:pt>
                <c:pt idx="385">
                  <c:v>-8.4599276267407608E-3</c:v>
                </c:pt>
                <c:pt idx="386">
                  <c:v>4.4130999140927329E-2</c:v>
                </c:pt>
                <c:pt idx="387">
                  <c:v>-3.8999412494081155E-2</c:v>
                </c:pt>
                <c:pt idx="388">
                  <c:v>-1.9621399753386143E-2</c:v>
                </c:pt>
                <c:pt idx="389">
                  <c:v>1.2423005731886131E-2</c:v>
                </c:pt>
                <c:pt idx="390">
                  <c:v>1.6950081647988457E-2</c:v>
                </c:pt>
                <c:pt idx="391">
                  <c:v>-2.2702811767351914E-3</c:v>
                </c:pt>
                <c:pt idx="392">
                  <c:v>-1.359492019420927E-2</c:v>
                </c:pt>
                <c:pt idx="393">
                  <c:v>-1.1274611684230485E-2</c:v>
                </c:pt>
                <c:pt idx="394">
                  <c:v>-4.1314230830097045E-3</c:v>
                </c:pt>
                <c:pt idx="395">
                  <c:v>-2.7293867357876967E-3</c:v>
                </c:pt>
                <c:pt idx="396">
                  <c:v>8.2998211179961064E-4</c:v>
                </c:pt>
                <c:pt idx="397">
                  <c:v>-4.1481772748071179E-4</c:v>
                </c:pt>
                <c:pt idx="398">
                  <c:v>-5.1310145738493358E-3</c:v>
                </c:pt>
                <c:pt idx="399">
                  <c:v>-1.1826431282562762E-3</c:v>
                </c:pt>
                <c:pt idx="400">
                  <c:v>3.3699404901986279E-3</c:v>
                </c:pt>
                <c:pt idx="401">
                  <c:v>5.8096556038598167E-3</c:v>
                </c:pt>
                <c:pt idx="402">
                  <c:v>0</c:v>
                </c:pt>
                <c:pt idx="403">
                  <c:v>-6.052433073780639E-3</c:v>
                </c:pt>
                <c:pt idx="404">
                  <c:v>6.6729455559531893E-3</c:v>
                </c:pt>
                <c:pt idx="405">
                  <c:v>2.2792153833343643E-2</c:v>
                </c:pt>
                <c:pt idx="406">
                  <c:v>-8.2189105831494413E-3</c:v>
                </c:pt>
                <c:pt idx="407">
                  <c:v>9.2289694362711269E-3</c:v>
                </c:pt>
                <c:pt idx="408">
                  <c:v>-1.3994788950439227E-2</c:v>
                </c:pt>
                <c:pt idx="409">
                  <c:v>-5.4616334103344357E-4</c:v>
                </c:pt>
                <c:pt idx="410">
                  <c:v>4.564674973163511E-3</c:v>
                </c:pt>
                <c:pt idx="411">
                  <c:v>5.7165976453579195E-2</c:v>
                </c:pt>
                <c:pt idx="412">
                  <c:v>1.7468616540887785E-2</c:v>
                </c:pt>
                <c:pt idx="413">
                  <c:v>5.9440343113233455E-3</c:v>
                </c:pt>
                <c:pt idx="414">
                  <c:v>2.4071320978680227E-2</c:v>
                </c:pt>
                <c:pt idx="415">
                  <c:v>-2.7893738365063659E-3</c:v>
                </c:pt>
                <c:pt idx="416">
                  <c:v>5.2168060042950392E-4</c:v>
                </c:pt>
                <c:pt idx="417">
                  <c:v>-4.1595605347787938E-2</c:v>
                </c:pt>
                <c:pt idx="418">
                  <c:v>1.6714272936821959E-2</c:v>
                </c:pt>
                <c:pt idx="419">
                  <c:v>1.3154541165504611E-2</c:v>
                </c:pt>
                <c:pt idx="420">
                  <c:v>6.7442496627263277E-3</c:v>
                </c:pt>
                <c:pt idx="421">
                  <c:v>9.3296013849851755E-3</c:v>
                </c:pt>
                <c:pt idx="422">
                  <c:v>-1.3624629543175393E-2</c:v>
                </c:pt>
                <c:pt idx="423">
                  <c:v>-2.2939780144401812E-3</c:v>
                </c:pt>
                <c:pt idx="424">
                  <c:v>3.253466048880944E-3</c:v>
                </c:pt>
                <c:pt idx="425">
                  <c:v>-7.639296914101425E-3</c:v>
                </c:pt>
                <c:pt idx="426">
                  <c:v>1.4975170048107443E-2</c:v>
                </c:pt>
                <c:pt idx="427">
                  <c:v>6.0620815423681187E-3</c:v>
                </c:pt>
                <c:pt idx="428">
                  <c:v>-6.3386396215982226E-3</c:v>
                </c:pt>
                <c:pt idx="429">
                  <c:v>-3.1802164536347349E-2</c:v>
                </c:pt>
                <c:pt idx="430">
                  <c:v>6.5742587326816189E-3</c:v>
                </c:pt>
                <c:pt idx="431">
                  <c:v>-1.2617571261658151E-2</c:v>
                </c:pt>
                <c:pt idx="432">
                  <c:v>-3.0674096916258925E-3</c:v>
                </c:pt>
                <c:pt idx="433">
                  <c:v>2.3998601484416224E-2</c:v>
                </c:pt>
                <c:pt idx="434">
                  <c:v>-6.8341850890449186E-3</c:v>
                </c:pt>
                <c:pt idx="435">
                  <c:v>-4.381853248361268E-3</c:v>
                </c:pt>
                <c:pt idx="436">
                  <c:v>-3.6718409264075605E-3</c:v>
                </c:pt>
                <c:pt idx="437">
                  <c:v>-1.794995204980452E-2</c:v>
                </c:pt>
                <c:pt idx="438">
                  <c:v>3.094601320610289E-3</c:v>
                </c:pt>
                <c:pt idx="439">
                  <c:v>-3.1913450237334843E-3</c:v>
                </c:pt>
                <c:pt idx="440">
                  <c:v>-1.2443465061959794E-2</c:v>
                </c:pt>
                <c:pt idx="441">
                  <c:v>4.6966305650272258E-3</c:v>
                </c:pt>
                <c:pt idx="442">
                  <c:v>-2.3783819068562409E-3</c:v>
                </c:pt>
                <c:pt idx="443">
                  <c:v>-8.253240385981693E-3</c:v>
                </c:pt>
                <c:pt idx="444">
                  <c:v>-6.5780384536747304E-5</c:v>
                </c:pt>
                <c:pt idx="445">
                  <c:v>-5.2648190622497026E-4</c:v>
                </c:pt>
                <c:pt idx="446">
                  <c:v>6.3963025612163212E-3</c:v>
                </c:pt>
                <c:pt idx="447">
                  <c:v>-1.6350462936436091E-2</c:v>
                </c:pt>
                <c:pt idx="448">
                  <c:v>6.6453531777382207E-4</c:v>
                </c:pt>
                <c:pt idx="449">
                  <c:v>-3.226917101320483E-3</c:v>
                </c:pt>
                <c:pt idx="450">
                  <c:v>-2.402060765208078E-3</c:v>
                </c:pt>
                <c:pt idx="451">
                  <c:v>5.8614190608957074E-3</c:v>
                </c:pt>
                <c:pt idx="452">
                  <c:v>-3.5594586272325269E-3</c:v>
                </c:pt>
                <c:pt idx="453">
                  <c:v>-1.9245378226501131E-2</c:v>
                </c:pt>
                <c:pt idx="454">
                  <c:v>9.3238850286860367E-3</c:v>
                </c:pt>
                <c:pt idx="455">
                  <c:v>2.4140201615622935E-2</c:v>
                </c:pt>
                <c:pt idx="456">
                  <c:v>-6.1794757466900746E-3</c:v>
                </c:pt>
                <c:pt idx="457">
                  <c:v>1.3106546614884368E-2</c:v>
                </c:pt>
                <c:pt idx="458">
                  <c:v>2.2891244964027234E-4</c:v>
                </c:pt>
                <c:pt idx="459">
                  <c:v>-1.1712646664782979E-2</c:v>
                </c:pt>
                <c:pt idx="460">
                  <c:v>-1.2914377584239451E-3</c:v>
                </c:pt>
                <c:pt idx="461">
                  <c:v>1.218611102222961E-2</c:v>
                </c:pt>
                <c:pt idx="462">
                  <c:v>-1.2915280235669836E-2</c:v>
                </c:pt>
                <c:pt idx="463">
                  <c:v>1.6235408266603287E-3</c:v>
                </c:pt>
                <c:pt idx="464">
                  <c:v>1.7264527100620649E-2</c:v>
                </c:pt>
                <c:pt idx="465">
                  <c:v>-1.0829360324583915E-2</c:v>
                </c:pt>
                <c:pt idx="466">
                  <c:v>5.9035706049931358E-3</c:v>
                </c:pt>
                <c:pt idx="467">
                  <c:v>-1.0949154549831218E-2</c:v>
                </c:pt>
                <c:pt idx="468">
                  <c:v>-3.3620000492797002E-2</c:v>
                </c:pt>
                <c:pt idx="469">
                  <c:v>-2.636316142842468E-3</c:v>
                </c:pt>
                <c:pt idx="470">
                  <c:v>1.9957261612750837E-2</c:v>
                </c:pt>
                <c:pt idx="471">
                  <c:v>3.3882769354010162E-3</c:v>
                </c:pt>
                <c:pt idx="472">
                  <c:v>-2.6676411696728641E-2</c:v>
                </c:pt>
                <c:pt idx="473">
                  <c:v>-1.343547327917389E-2</c:v>
                </c:pt>
                <c:pt idx="474">
                  <c:v>2.159029107773199E-3</c:v>
                </c:pt>
                <c:pt idx="475">
                  <c:v>2.1890398851368998E-3</c:v>
                </c:pt>
                <c:pt idx="476">
                  <c:v>1.597725001493179E-2</c:v>
                </c:pt>
                <c:pt idx="477">
                  <c:v>-9.8177731333180893E-3</c:v>
                </c:pt>
                <c:pt idx="478">
                  <c:v>-2.0915324835991102E-2</c:v>
                </c:pt>
                <c:pt idx="479">
                  <c:v>-2.1511979097309105E-3</c:v>
                </c:pt>
                <c:pt idx="480">
                  <c:v>2.0026254962933813E-2</c:v>
                </c:pt>
                <c:pt idx="481">
                  <c:v>-5.1344015897768448E-3</c:v>
                </c:pt>
                <c:pt idx="482">
                  <c:v>1.5987307270856883E-3</c:v>
                </c:pt>
                <c:pt idx="483">
                  <c:v>-1.3248083519212205E-2</c:v>
                </c:pt>
                <c:pt idx="484">
                  <c:v>9.8042595816898847E-3</c:v>
                </c:pt>
                <c:pt idx="485">
                  <c:v>-2.430062315920626E-2</c:v>
                </c:pt>
                <c:pt idx="486">
                  <c:v>5.6605325396498606E-3</c:v>
                </c:pt>
                <c:pt idx="487">
                  <c:v>-3.5924681583858503E-2</c:v>
                </c:pt>
                <c:pt idx="488">
                  <c:v>-5.4239857522792824E-3</c:v>
                </c:pt>
                <c:pt idx="489">
                  <c:v>1.3377473253787178E-2</c:v>
                </c:pt>
                <c:pt idx="490">
                  <c:v>-1.7975951468865683E-2</c:v>
                </c:pt>
                <c:pt idx="491">
                  <c:v>6.4096513833556178E-3</c:v>
                </c:pt>
                <c:pt idx="492">
                  <c:v>-1.0021482005067748E-2</c:v>
                </c:pt>
                <c:pt idx="493">
                  <c:v>4.6892358857791427E-3</c:v>
                </c:pt>
                <c:pt idx="494">
                  <c:v>3.1179803261139342E-2</c:v>
                </c:pt>
                <c:pt idx="495">
                  <c:v>-6.571573963808806E-3</c:v>
                </c:pt>
                <c:pt idx="496">
                  <c:v>-4.6113316195932879E-3</c:v>
                </c:pt>
                <c:pt idx="497">
                  <c:v>1.9747837429087353E-2</c:v>
                </c:pt>
                <c:pt idx="498">
                  <c:v>6.0831323334036439E-3</c:v>
                </c:pt>
                <c:pt idx="499">
                  <c:v>9.7407822213172509E-3</c:v>
                </c:pt>
                <c:pt idx="500">
                  <c:v>1.8064631648264079E-2</c:v>
                </c:pt>
                <c:pt idx="501">
                  <c:v>-4.1420820633358992E-4</c:v>
                </c:pt>
                <c:pt idx="502">
                  <c:v>-1.6576812092321932E-3</c:v>
                </c:pt>
                <c:pt idx="503">
                  <c:v>-1.2104642155735432E-3</c:v>
                </c:pt>
                <c:pt idx="504">
                  <c:v>-1.271202203918668E-2</c:v>
                </c:pt>
                <c:pt idx="505">
                  <c:v>3.8546004313048943E-4</c:v>
                </c:pt>
                <c:pt idx="506">
                  <c:v>-1.205466455739722E-2</c:v>
                </c:pt>
                <c:pt idx="507">
                  <c:v>3.9283700764957564E-3</c:v>
                </c:pt>
                <c:pt idx="508">
                  <c:v>1.1798290818996533E-2</c:v>
                </c:pt>
                <c:pt idx="509">
                  <c:v>1.0590570967092929E-2</c:v>
                </c:pt>
                <c:pt idx="510">
                  <c:v>-1.7139601725042353E-2</c:v>
                </c:pt>
                <c:pt idx="511">
                  <c:v>-2.6056973621657653E-2</c:v>
                </c:pt>
                <c:pt idx="512">
                  <c:v>-3.4320301910678442E-3</c:v>
                </c:pt>
                <c:pt idx="513">
                  <c:v>-3.7347971438830618E-2</c:v>
                </c:pt>
                <c:pt idx="514">
                  <c:v>1.1318336584084321E-2</c:v>
                </c:pt>
                <c:pt idx="515">
                  <c:v>1.9894992191643642E-2</c:v>
                </c:pt>
                <c:pt idx="516">
                  <c:v>0</c:v>
                </c:pt>
                <c:pt idx="517">
                  <c:v>-2.9903148755953974E-3</c:v>
                </c:pt>
                <c:pt idx="518">
                  <c:v>3.6560374272110444E-5</c:v>
                </c:pt>
                <c:pt idx="519">
                  <c:v>1.0751723858555948E-2</c:v>
                </c:pt>
                <c:pt idx="520">
                  <c:v>3.2519307546313936E-4</c:v>
                </c:pt>
                <c:pt idx="521">
                  <c:v>-1.4222411045636962E-2</c:v>
                </c:pt>
                <c:pt idx="522">
                  <c:v>-2.0616211769529675E-2</c:v>
                </c:pt>
                <c:pt idx="523">
                  <c:v>2.1604839045312796E-2</c:v>
                </c:pt>
                <c:pt idx="524">
                  <c:v>4.7572892963186131E-4</c:v>
                </c:pt>
                <c:pt idx="525">
                  <c:v>-1.6672607309162233E-2</c:v>
                </c:pt>
                <c:pt idx="526">
                  <c:v>-5.582416236178504E-4</c:v>
                </c:pt>
                <c:pt idx="527">
                  <c:v>-4.3935819500267786E-2</c:v>
                </c:pt>
                <c:pt idx="528">
                  <c:v>7.2455942032294517E-3</c:v>
                </c:pt>
                <c:pt idx="529">
                  <c:v>-6.1961779876201269E-3</c:v>
                </c:pt>
                <c:pt idx="530">
                  <c:v>7.6622521474040738E-3</c:v>
                </c:pt>
                <c:pt idx="531">
                  <c:v>-1.1164695498511195E-2</c:v>
                </c:pt>
                <c:pt idx="532">
                  <c:v>-1.2434647294227942E-2</c:v>
                </c:pt>
                <c:pt idx="533">
                  <c:v>7.0797489567344541E-3</c:v>
                </c:pt>
                <c:pt idx="534">
                  <c:v>3.2475879082922883E-3</c:v>
                </c:pt>
                <c:pt idx="535">
                  <c:v>-3.0985221507307301E-2</c:v>
                </c:pt>
                <c:pt idx="536">
                  <c:v>2.502972164483221E-2</c:v>
                </c:pt>
                <c:pt idx="537">
                  <c:v>-6.7034603066403776E-3</c:v>
                </c:pt>
                <c:pt idx="538">
                  <c:v>-9.7400261875030432E-3</c:v>
                </c:pt>
                <c:pt idx="539">
                  <c:v>-8.8282022276210213E-3</c:v>
                </c:pt>
                <c:pt idx="540">
                  <c:v>-1.8098195956323716E-2</c:v>
                </c:pt>
                <c:pt idx="541">
                  <c:v>-1.0686539925067105E-2</c:v>
                </c:pt>
                <c:pt idx="542">
                  <c:v>1.0152892117881906E-2</c:v>
                </c:pt>
                <c:pt idx="543">
                  <c:v>1.5038333679723438E-2</c:v>
                </c:pt>
                <c:pt idx="544">
                  <c:v>1.9269510109793761E-2</c:v>
                </c:pt>
                <c:pt idx="545">
                  <c:v>-3.2985705392140547E-3</c:v>
                </c:pt>
                <c:pt idx="546">
                  <c:v>8.7548751311395583E-4</c:v>
                </c:pt>
                <c:pt idx="547">
                  <c:v>-3.76090951783591E-2</c:v>
                </c:pt>
                <c:pt idx="548">
                  <c:v>6.9963379452906349E-3</c:v>
                </c:pt>
                <c:pt idx="549">
                  <c:v>4.0349522049850615E-2</c:v>
                </c:pt>
                <c:pt idx="550">
                  <c:v>-2.2989681816690213E-2</c:v>
                </c:pt>
                <c:pt idx="551">
                  <c:v>7.9087996789621948E-3</c:v>
                </c:pt>
                <c:pt idx="552">
                  <c:v>1.6780143656620315E-3</c:v>
                </c:pt>
                <c:pt idx="553">
                  <c:v>-6.6888857153651442E-3</c:v>
                </c:pt>
                <c:pt idx="554">
                  <c:v>1.7054304207093626E-2</c:v>
                </c:pt>
                <c:pt idx="555">
                  <c:v>1.5789954094417888E-4</c:v>
                </c:pt>
                <c:pt idx="556">
                  <c:v>7.9477409755205793E-3</c:v>
                </c:pt>
                <c:pt idx="557">
                  <c:v>4.1491310240155399E-2</c:v>
                </c:pt>
                <c:pt idx="558">
                  <c:v>-1.2038388408423188E-3</c:v>
                </c:pt>
                <c:pt idx="559">
                  <c:v>1.5166887350936829E-2</c:v>
                </c:pt>
                <c:pt idx="560">
                  <c:v>1.0005339065715256E-3</c:v>
                </c:pt>
                <c:pt idx="561">
                  <c:v>1.4065477721354907E-3</c:v>
                </c:pt>
                <c:pt idx="562">
                  <c:v>1.1437173519233368E-2</c:v>
                </c:pt>
                <c:pt idx="563">
                  <c:v>2.1165489214624095E-2</c:v>
                </c:pt>
                <c:pt idx="564">
                  <c:v>-1.184834471572035E-2</c:v>
                </c:pt>
                <c:pt idx="565">
                  <c:v>-1.7689174471801163E-2</c:v>
                </c:pt>
                <c:pt idx="566">
                  <c:v>-2.5105350851714692E-3</c:v>
                </c:pt>
                <c:pt idx="567">
                  <c:v>4.4630423164390047E-3</c:v>
                </c:pt>
                <c:pt idx="568">
                  <c:v>-9.9412369439249703E-4</c:v>
                </c:pt>
                <c:pt idx="569">
                  <c:v>-1.1038469894319515E-2</c:v>
                </c:pt>
                <c:pt idx="570">
                  <c:v>1.530249843293683E-2</c:v>
                </c:pt>
                <c:pt idx="571">
                  <c:v>2.7424641332539343E-2</c:v>
                </c:pt>
                <c:pt idx="572">
                  <c:v>-6.1070873980136511E-2</c:v>
                </c:pt>
                <c:pt idx="573">
                  <c:v>-9.3376116812076641E-3</c:v>
                </c:pt>
                <c:pt idx="574">
                  <c:v>1.7046948754830493E-2</c:v>
                </c:pt>
                <c:pt idx="575">
                  <c:v>-7.4056502532100993E-3</c:v>
                </c:pt>
                <c:pt idx="576">
                  <c:v>1.4383151406789004E-2</c:v>
                </c:pt>
                <c:pt idx="577">
                  <c:v>-4.3785953826230586E-2</c:v>
                </c:pt>
                <c:pt idx="578">
                  <c:v>2.8860818964976964E-3</c:v>
                </c:pt>
                <c:pt idx="579">
                  <c:v>-6.8384554505059574E-3</c:v>
                </c:pt>
                <c:pt idx="580">
                  <c:v>1.1500944221500312E-2</c:v>
                </c:pt>
                <c:pt idx="581">
                  <c:v>-6.6113977109259203E-3</c:v>
                </c:pt>
                <c:pt idx="582">
                  <c:v>-1.3395178239078957E-2</c:v>
                </c:pt>
                <c:pt idx="583">
                  <c:v>2.7642981133166526E-3</c:v>
                </c:pt>
                <c:pt idx="584">
                  <c:v>1.3008067200738745E-2</c:v>
                </c:pt>
                <c:pt idx="585">
                  <c:v>-2.7907341548563794E-2</c:v>
                </c:pt>
                <c:pt idx="586">
                  <c:v>2.47493689826098E-2</c:v>
                </c:pt>
                <c:pt idx="587">
                  <c:v>1.3536384643825916E-2</c:v>
                </c:pt>
                <c:pt idx="588">
                  <c:v>1.0348151277851389E-2</c:v>
                </c:pt>
                <c:pt idx="589">
                  <c:v>-2.002602435644936E-2</c:v>
                </c:pt>
                <c:pt idx="590">
                  <c:v>-2.7127970959787067E-2</c:v>
                </c:pt>
                <c:pt idx="591">
                  <c:v>5.1964698946881062E-4</c:v>
                </c:pt>
                <c:pt idx="592">
                  <c:v>-2.48755437674812E-2</c:v>
                </c:pt>
                <c:pt idx="593">
                  <c:v>-7.1927928616271055E-3</c:v>
                </c:pt>
                <c:pt idx="594">
                  <c:v>3.0428973287373914E-2</c:v>
                </c:pt>
                <c:pt idx="595">
                  <c:v>1.449959954273574E-2</c:v>
                </c:pt>
                <c:pt idx="596">
                  <c:v>-6.0125110476390489E-3</c:v>
                </c:pt>
                <c:pt idx="597">
                  <c:v>2.3604376949572577E-2</c:v>
                </c:pt>
                <c:pt idx="598">
                  <c:v>-1.9131075843909814E-2</c:v>
                </c:pt>
                <c:pt idx="599">
                  <c:v>-1.0482421379529386E-2</c:v>
                </c:pt>
                <c:pt idx="600">
                  <c:v>-1.3461999996018829E-2</c:v>
                </c:pt>
                <c:pt idx="601">
                  <c:v>-1.4342896757275547E-2</c:v>
                </c:pt>
                <c:pt idx="602">
                  <c:v>-1.4426973098855572E-2</c:v>
                </c:pt>
                <c:pt idx="603">
                  <c:v>-4.1920544509963527E-2</c:v>
                </c:pt>
                <c:pt idx="604">
                  <c:v>-3.8823235808770243E-2</c:v>
                </c:pt>
                <c:pt idx="605">
                  <c:v>1.5764090989903449E-2</c:v>
                </c:pt>
                <c:pt idx="606">
                  <c:v>-3.7838814500336573E-3</c:v>
                </c:pt>
                <c:pt idx="607">
                  <c:v>-6.3539288577749899E-3</c:v>
                </c:pt>
                <c:pt idx="608">
                  <c:v>2.8191183597926616E-2</c:v>
                </c:pt>
                <c:pt idx="609">
                  <c:v>4.310695429703193E-3</c:v>
                </c:pt>
                <c:pt idx="610">
                  <c:v>-1.6560270408734791E-2</c:v>
                </c:pt>
                <c:pt idx="611">
                  <c:v>-1.6614849261096108E-2</c:v>
                </c:pt>
                <c:pt idx="612">
                  <c:v>1.1743622460467661E-2</c:v>
                </c:pt>
                <c:pt idx="613">
                  <c:v>1.2922731831679716E-2</c:v>
                </c:pt>
                <c:pt idx="614">
                  <c:v>-5.3165404483205368E-3</c:v>
                </c:pt>
                <c:pt idx="615">
                  <c:v>-8.5834695227780897E-3</c:v>
                </c:pt>
                <c:pt idx="616">
                  <c:v>-4.3640315468803977E-3</c:v>
                </c:pt>
                <c:pt idx="617">
                  <c:v>1.1492787928177489E-2</c:v>
                </c:pt>
                <c:pt idx="618">
                  <c:v>-1.3369029389806185E-2</c:v>
                </c:pt>
                <c:pt idx="619">
                  <c:v>-5.9645361581858701E-3</c:v>
                </c:pt>
                <c:pt idx="620">
                  <c:v>8.3763288873503691E-3</c:v>
                </c:pt>
                <c:pt idx="621">
                  <c:v>2.1882763219913812E-2</c:v>
                </c:pt>
                <c:pt idx="622">
                  <c:v>1.3911213390611321E-2</c:v>
                </c:pt>
                <c:pt idx="623">
                  <c:v>2.1500573755433967E-2</c:v>
                </c:pt>
                <c:pt idx="624">
                  <c:v>3.737057990216601E-2</c:v>
                </c:pt>
                <c:pt idx="625">
                  <c:v>3.6767617862129627E-2</c:v>
                </c:pt>
                <c:pt idx="626">
                  <c:v>-1.7226290558554288E-3</c:v>
                </c:pt>
                <c:pt idx="627">
                  <c:v>-7.9849901230205113E-3</c:v>
                </c:pt>
                <c:pt idx="628">
                  <c:v>-2.8359298222795003E-2</c:v>
                </c:pt>
                <c:pt idx="629">
                  <c:v>1.0556435387565736E-3</c:v>
                </c:pt>
                <c:pt idx="630">
                  <c:v>1.5105331329823193E-2</c:v>
                </c:pt>
                <c:pt idx="631">
                  <c:v>2.9140492183298539E-3</c:v>
                </c:pt>
                <c:pt idx="632">
                  <c:v>1.3776510337021961E-2</c:v>
                </c:pt>
                <c:pt idx="633">
                  <c:v>-9.8348728943735983E-4</c:v>
                </c:pt>
                <c:pt idx="634">
                  <c:v>-4.314490456898188E-2</c:v>
                </c:pt>
                <c:pt idx="635">
                  <c:v>6.9202482511194997E-3</c:v>
                </c:pt>
                <c:pt idx="636">
                  <c:v>-8.4004636123305547E-3</c:v>
                </c:pt>
                <c:pt idx="637">
                  <c:v>-2.1504522082711482E-2</c:v>
                </c:pt>
                <c:pt idx="638">
                  <c:v>-2.7450286050990345E-2</c:v>
                </c:pt>
                <c:pt idx="639">
                  <c:v>2.6735102245783314E-2</c:v>
                </c:pt>
                <c:pt idx="640">
                  <c:v>4.9314446196247926E-3</c:v>
                </c:pt>
                <c:pt idx="641">
                  <c:v>2.5488038244227792E-2</c:v>
                </c:pt>
                <c:pt idx="642">
                  <c:v>8.8955160306022438E-3</c:v>
                </c:pt>
                <c:pt idx="643">
                  <c:v>8.9781448816779515E-3</c:v>
                </c:pt>
                <c:pt idx="644">
                  <c:v>-9.9941669640231153E-3</c:v>
                </c:pt>
                <c:pt idx="645">
                  <c:v>-2.2495190685549199E-2</c:v>
                </c:pt>
                <c:pt idx="646">
                  <c:v>-1.9565450661383336E-3</c:v>
                </c:pt>
                <c:pt idx="647">
                  <c:v>1.1806566001515707E-2</c:v>
                </c:pt>
                <c:pt idx="648">
                  <c:v>1.3539384734004624E-2</c:v>
                </c:pt>
                <c:pt idx="649">
                  <c:v>8.3346517395584494E-3</c:v>
                </c:pt>
                <c:pt idx="650">
                  <c:v>-2.5012440689230597E-3</c:v>
                </c:pt>
                <c:pt idx="651">
                  <c:v>4.5906658927446088E-2</c:v>
                </c:pt>
                <c:pt idx="652">
                  <c:v>4.4887722482087875E-2</c:v>
                </c:pt>
                <c:pt idx="653">
                  <c:v>-2.1437941031647444E-2</c:v>
                </c:pt>
                <c:pt idx="654">
                  <c:v>-2.8632970486204789E-2</c:v>
                </c:pt>
                <c:pt idx="655">
                  <c:v>-2.2471908764976102E-2</c:v>
                </c:pt>
                <c:pt idx="656">
                  <c:v>-8.9241027722320072E-3</c:v>
                </c:pt>
                <c:pt idx="657">
                  <c:v>-4.5722447301035701E-3</c:v>
                </c:pt>
                <c:pt idx="658">
                  <c:v>1.3218739736278877E-2</c:v>
                </c:pt>
                <c:pt idx="659">
                  <c:v>-1.9836685311212595E-4</c:v>
                </c:pt>
                <c:pt idx="660">
                  <c:v>-1.270739252917335E-3</c:v>
                </c:pt>
                <c:pt idx="661">
                  <c:v>2.3442875693967961E-2</c:v>
                </c:pt>
                <c:pt idx="662">
                  <c:v>-1.3126354513170804E-2</c:v>
                </c:pt>
                <c:pt idx="663">
                  <c:v>-9.8796312036065377E-3</c:v>
                </c:pt>
                <c:pt idx="664">
                  <c:v>2.2612925169756487E-3</c:v>
                </c:pt>
                <c:pt idx="665">
                  <c:v>-3.4589048176345893E-2</c:v>
                </c:pt>
                <c:pt idx="666">
                  <c:v>2.4633485827584834E-2</c:v>
                </c:pt>
                <c:pt idx="667">
                  <c:v>-1.6666738277269024E-2</c:v>
                </c:pt>
                <c:pt idx="668">
                  <c:v>-6.0406255408212784E-3</c:v>
                </c:pt>
                <c:pt idx="669">
                  <c:v>1.5517894422599899E-2</c:v>
                </c:pt>
                <c:pt idx="670">
                  <c:v>-3.7558329720957257E-3</c:v>
                </c:pt>
                <c:pt idx="671">
                  <c:v>7.6983689277070385E-3</c:v>
                </c:pt>
                <c:pt idx="672">
                  <c:v>-8.4269103442448836E-3</c:v>
                </c:pt>
                <c:pt idx="673">
                  <c:v>-1.5876356072305704E-2</c:v>
                </c:pt>
                <c:pt idx="674">
                  <c:v>-6.1071371120545405E-3</c:v>
                </c:pt>
                <c:pt idx="675">
                  <c:v>6.3128936490144932E-3</c:v>
                </c:pt>
                <c:pt idx="676">
                  <c:v>-1.2832217678773093E-2</c:v>
                </c:pt>
                <c:pt idx="677">
                  <c:v>-4.67715802151847E-3</c:v>
                </c:pt>
                <c:pt idx="678">
                  <c:v>-1.2763737869942782E-2</c:v>
                </c:pt>
                <c:pt idx="679">
                  <c:v>-2.907731096422916E-2</c:v>
                </c:pt>
                <c:pt idx="680">
                  <c:v>1.1111158986453618E-2</c:v>
                </c:pt>
                <c:pt idx="681">
                  <c:v>4.8656952667992049E-3</c:v>
                </c:pt>
                <c:pt idx="682">
                  <c:v>1.6309018105314726E-3</c:v>
                </c:pt>
                <c:pt idx="683">
                  <c:v>-1.2774752473852152E-2</c:v>
                </c:pt>
                <c:pt idx="684">
                  <c:v>-2.257862962020777E-2</c:v>
                </c:pt>
                <c:pt idx="685">
                  <c:v>2.1535615596376012E-2</c:v>
                </c:pt>
                <c:pt idx="686">
                  <c:v>9.0893193509383081E-3</c:v>
                </c:pt>
                <c:pt idx="687">
                  <c:v>-1.3490494751917161E-2</c:v>
                </c:pt>
                <c:pt idx="688">
                  <c:v>-1.3896572029129813E-2</c:v>
                </c:pt>
                <c:pt idx="689">
                  <c:v>5.2559390117234185E-3</c:v>
                </c:pt>
                <c:pt idx="690">
                  <c:v>-6.6103175121999817E-4</c:v>
                </c:pt>
                <c:pt idx="691">
                  <c:v>-2.2063421614533889E-3</c:v>
                </c:pt>
                <c:pt idx="692">
                  <c:v>-4.5607257753160456E-3</c:v>
                </c:pt>
                <c:pt idx="693">
                  <c:v>5.0467136420442645E-3</c:v>
                </c:pt>
                <c:pt idx="694">
                  <c:v>1.4944755317139655E-2</c:v>
                </c:pt>
                <c:pt idx="695">
                  <c:v>-1.0055448195581873E-2</c:v>
                </c:pt>
                <c:pt idx="696">
                  <c:v>1.3139168213371714E-2</c:v>
                </c:pt>
                <c:pt idx="697">
                  <c:v>-1.0411675057320803E-3</c:v>
                </c:pt>
                <c:pt idx="698">
                  <c:v>-1.5207688498035719E-3</c:v>
                </c:pt>
                <c:pt idx="699">
                  <c:v>3.4290380460977516E-3</c:v>
                </c:pt>
                <c:pt idx="700">
                  <c:v>1.0901954014582734E-2</c:v>
                </c:pt>
                <c:pt idx="701">
                  <c:v>1.9773275036086124E-3</c:v>
                </c:pt>
                <c:pt idx="702">
                  <c:v>4.7980674929766487E-3</c:v>
                </c:pt>
                <c:pt idx="703">
                  <c:v>1.8361703993166917E-3</c:v>
                </c:pt>
                <c:pt idx="704">
                  <c:v>-3.6326688480721034E-3</c:v>
                </c:pt>
                <c:pt idx="705">
                  <c:v>-2.271663933213838E-3</c:v>
                </c:pt>
                <c:pt idx="706">
                  <c:v>-3.4817687586188714E-3</c:v>
                </c:pt>
                <c:pt idx="707">
                  <c:v>-7.7556659690987656E-4</c:v>
                </c:pt>
                <c:pt idx="708">
                  <c:v>-4.1023510588032814E-3</c:v>
                </c:pt>
                <c:pt idx="709">
                  <c:v>-1.8032744866178316E-2</c:v>
                </c:pt>
                <c:pt idx="710">
                  <c:v>-2.6027165878597168E-3</c:v>
                </c:pt>
                <c:pt idx="711">
                  <c:v>1.3683549398666507E-3</c:v>
                </c:pt>
                <c:pt idx="712">
                  <c:v>-1.1758957474835775E-2</c:v>
                </c:pt>
                <c:pt idx="713">
                  <c:v>9.9046637181991436E-3</c:v>
                </c:pt>
                <c:pt idx="714">
                  <c:v>-3.6306177082404225E-3</c:v>
                </c:pt>
                <c:pt idx="715">
                  <c:v>8.3481622940620604E-3</c:v>
                </c:pt>
                <c:pt idx="716">
                  <c:v>-7.9049242994289563E-3</c:v>
                </c:pt>
                <c:pt idx="717">
                  <c:v>7.9790840782053727E-4</c:v>
                </c:pt>
                <c:pt idx="718">
                  <c:v>4.6847991536502868E-3</c:v>
                </c:pt>
                <c:pt idx="719">
                  <c:v>3.1211162081939203E-2</c:v>
                </c:pt>
                <c:pt idx="720">
                  <c:v>-9.0586919597350542E-3</c:v>
                </c:pt>
                <c:pt idx="721">
                  <c:v>-4.7453814279009403E-4</c:v>
                </c:pt>
                <c:pt idx="722">
                  <c:v>1.4478694510871058E-2</c:v>
                </c:pt>
                <c:pt idx="723">
                  <c:v>2.9706708240503421E-2</c:v>
                </c:pt>
                <c:pt idx="724">
                  <c:v>1.1043720580519126E-2</c:v>
                </c:pt>
                <c:pt idx="725">
                  <c:v>1.1407946442809312E-2</c:v>
                </c:pt>
                <c:pt idx="726">
                  <c:v>-1.2388217073125629E-2</c:v>
                </c:pt>
                <c:pt idx="727">
                  <c:v>-2.6600675576205291E-3</c:v>
                </c:pt>
                <c:pt idx="728">
                  <c:v>2.0884271710729322E-2</c:v>
                </c:pt>
                <c:pt idx="729">
                  <c:v>2.6052614828339701E-3</c:v>
                </c:pt>
                <c:pt idx="730">
                  <c:v>-9.6119555338749954E-4</c:v>
                </c:pt>
                <c:pt idx="731">
                  <c:v>-1.460994404520116E-2</c:v>
                </c:pt>
                <c:pt idx="732">
                  <c:v>-4.4004093441217737E-3</c:v>
                </c:pt>
                <c:pt idx="733">
                  <c:v>1.5599053871280934E-2</c:v>
                </c:pt>
                <c:pt idx="734">
                  <c:v>-7.6679266377487594E-3</c:v>
                </c:pt>
                <c:pt idx="735">
                  <c:v>1.821485758867264E-3</c:v>
                </c:pt>
                <c:pt idx="736">
                  <c:v>9.5783748240535361E-3</c:v>
                </c:pt>
                <c:pt idx="737">
                  <c:v>-9.5783748240534875E-3</c:v>
                </c:pt>
                <c:pt idx="738">
                  <c:v>-9.7934688898347177E-3</c:v>
                </c:pt>
                <c:pt idx="739">
                  <c:v>1.2458765996344826E-2</c:v>
                </c:pt>
                <c:pt idx="740">
                  <c:v>-1.311238160793279E-2</c:v>
                </c:pt>
                <c:pt idx="741">
                  <c:v>1.2265057059587844E-2</c:v>
                </c:pt>
                <c:pt idx="742">
                  <c:v>3.2643462369394117E-3</c:v>
                </c:pt>
                <c:pt idx="743">
                  <c:v>-5.3655687976166266E-3</c:v>
                </c:pt>
                <c:pt idx="744">
                  <c:v>-2.8302740184858147E-4</c:v>
                </c:pt>
                <c:pt idx="745">
                  <c:v>8.4934633343378336E-4</c:v>
                </c:pt>
                <c:pt idx="746">
                  <c:v>3.6718189845422354E-3</c:v>
                </c:pt>
                <c:pt idx="747">
                  <c:v>2.0926066482002337E-2</c:v>
                </c:pt>
                <c:pt idx="748">
                  <c:v>-1.4662018445306834E-2</c:v>
                </c:pt>
                <c:pt idx="749">
                  <c:v>2.2050212366186595E-2</c:v>
                </c:pt>
                <c:pt idx="750">
                  <c:v>-4.1590114753119519E-3</c:v>
                </c:pt>
                <c:pt idx="751">
                  <c:v>-8.6874719521821339E-3</c:v>
                </c:pt>
                <c:pt idx="752">
                  <c:v>-1.5185624248707492E-2</c:v>
                </c:pt>
                <c:pt idx="753">
                  <c:v>2.0131673670072242E-4</c:v>
                </c:pt>
                <c:pt idx="754">
                  <c:v>-2.8221290967084668E-3</c:v>
                </c:pt>
                <c:pt idx="755">
                  <c:v>1.3394478069968737E-2</c:v>
                </c:pt>
                <c:pt idx="756">
                  <c:v>-4.5114791608362442E-3</c:v>
                </c:pt>
                <c:pt idx="757">
                  <c:v>-1.6015680223860549E-4</c:v>
                </c:pt>
                <c:pt idx="758">
                  <c:v>-4.0136723668155606E-2</c:v>
                </c:pt>
                <c:pt idx="759">
                  <c:v>-2.5784985568979433E-2</c:v>
                </c:pt>
                <c:pt idx="760">
                  <c:v>-1.3860740018293707E-2</c:v>
                </c:pt>
                <c:pt idx="761">
                  <c:v>5.6189938234616262E-3</c:v>
                </c:pt>
                <c:pt idx="762">
                  <c:v>-1.423889835725615E-2</c:v>
                </c:pt>
                <c:pt idx="763">
                  <c:v>-5.8320130837718051E-3</c:v>
                </c:pt>
                <c:pt idx="764">
                  <c:v>-4.6280946369811624E-3</c:v>
                </c:pt>
                <c:pt idx="765">
                  <c:v>1.677439346063548E-3</c:v>
                </c:pt>
                <c:pt idx="766">
                  <c:v>-3.4020863544948344E-3</c:v>
                </c:pt>
                <c:pt idx="767">
                  <c:v>-3.9023400301945103E-3</c:v>
                </c:pt>
                <c:pt idx="768">
                  <c:v>4.4332241335775287E-3</c:v>
                </c:pt>
                <c:pt idx="769">
                  <c:v>2.7388055699924707E-3</c:v>
                </c:pt>
                <c:pt idx="770">
                  <c:v>6.6147821662916519E-4</c:v>
                </c:pt>
                <c:pt idx="771">
                  <c:v>-1.2911339855545012E-2</c:v>
                </c:pt>
                <c:pt idx="772">
                  <c:v>1.0130230298752967E-2</c:v>
                </c:pt>
                <c:pt idx="773">
                  <c:v>3.7063566750859672E-3</c:v>
                </c:pt>
                <c:pt idx="774">
                  <c:v>1.4993909631508599E-2</c:v>
                </c:pt>
                <c:pt idx="775">
                  <c:v>-8.059120036198358E-3</c:v>
                </c:pt>
                <c:pt idx="776">
                  <c:v>-1.3129170442008997E-3</c:v>
                </c:pt>
                <c:pt idx="777">
                  <c:v>-5.6658288027779079E-3</c:v>
                </c:pt>
                <c:pt idx="778">
                  <c:v>-1.4909563822142818E-2</c:v>
                </c:pt>
                <c:pt idx="779">
                  <c:v>-8.9464653733202547E-4</c:v>
                </c:pt>
                <c:pt idx="780">
                  <c:v>-3.2718154119862051E-3</c:v>
                </c:pt>
                <c:pt idx="781">
                  <c:v>-1.2286217939807427E-2</c:v>
                </c:pt>
                <c:pt idx="782">
                  <c:v>-1.5464171846945041E-3</c:v>
                </c:pt>
                <c:pt idx="783">
                  <c:v>-3.9680356489158628E-3</c:v>
                </c:pt>
                <c:pt idx="784">
                  <c:v>-4.5804433325085155E-3</c:v>
                </c:pt>
                <c:pt idx="785">
                  <c:v>7.592219808697424E-3</c:v>
                </c:pt>
                <c:pt idx="786">
                  <c:v>4.046819047129618E-3</c:v>
                </c:pt>
                <c:pt idx="787">
                  <c:v>-1.2714669355997437E-3</c:v>
                </c:pt>
                <c:pt idx="788">
                  <c:v>-1.2435865774514582E-2</c:v>
                </c:pt>
                <c:pt idx="789">
                  <c:v>-7.1560188019712525E-3</c:v>
                </c:pt>
                <c:pt idx="790">
                  <c:v>1.2387266642316697E-2</c:v>
                </c:pt>
                <c:pt idx="791">
                  <c:v>7.7762582883163526E-4</c:v>
                </c:pt>
                <c:pt idx="792">
                  <c:v>-8.5881304250002045E-3</c:v>
                </c:pt>
                <c:pt idx="793">
                  <c:v>-8.243914876731883E-3</c:v>
                </c:pt>
                <c:pt idx="794">
                  <c:v>5.5187195650072849E-3</c:v>
                </c:pt>
                <c:pt idx="795">
                  <c:v>-8.4527989380597697E-3</c:v>
                </c:pt>
                <c:pt idx="796">
                  <c:v>-1.064418818569182E-2</c:v>
                </c:pt>
                <c:pt idx="797">
                  <c:v>6.127149654447415E-4</c:v>
                </c:pt>
                <c:pt idx="798">
                  <c:v>9.1913815198203033E-3</c:v>
                </c:pt>
                <c:pt idx="799">
                  <c:v>7.4413239040633334E-3</c:v>
                </c:pt>
                <c:pt idx="800">
                  <c:v>3.7461276510555403E-3</c:v>
                </c:pt>
                <c:pt idx="801">
                  <c:v>-1.3396780253654094E-3</c:v>
                </c:pt>
                <c:pt idx="802">
                  <c:v>2.0318637121172342E-3</c:v>
                </c:pt>
                <c:pt idx="803">
                  <c:v>-6.9433964033131313E-3</c:v>
                </c:pt>
                <c:pt idx="804">
                  <c:v>-1.9995830231487057E-3</c:v>
                </c:pt>
                <c:pt idx="805">
                  <c:v>-8.3192018870837121E-3</c:v>
                </c:pt>
                <c:pt idx="806">
                  <c:v>7.3412738534035333E-3</c:v>
                </c:pt>
                <c:pt idx="807">
                  <c:v>-3.4534525497080882E-3</c:v>
                </c:pt>
                <c:pt idx="808">
                  <c:v>9.4918420900762662E-3</c:v>
                </c:pt>
                <c:pt idx="809">
                  <c:v>1.2288783432876692E-2</c:v>
                </c:pt>
                <c:pt idx="810">
                  <c:v>-4.0335141247118565E-3</c:v>
                </c:pt>
                <c:pt idx="811">
                  <c:v>9.325764912169441E-3</c:v>
                </c:pt>
                <c:pt idx="812">
                  <c:v>-1.1993239587193574E-2</c:v>
                </c:pt>
                <c:pt idx="813">
                  <c:v>4.6862653905253918E-3</c:v>
                </c:pt>
                <c:pt idx="814">
                  <c:v>-2.7540540162070619E-3</c:v>
                </c:pt>
                <c:pt idx="815">
                  <c:v>1.4827376308780973E-2</c:v>
                </c:pt>
                <c:pt idx="816">
                  <c:v>2.3850576695234639E-2</c:v>
                </c:pt>
                <c:pt idx="817">
                  <c:v>-4.9444752121328012E-2</c:v>
                </c:pt>
                <c:pt idx="818">
                  <c:v>4.6365984809049604E-5</c:v>
                </c:pt>
                <c:pt idx="819">
                  <c:v>-1.5591144445222879E-2</c:v>
                </c:pt>
                <c:pt idx="820">
                  <c:v>9.2062934106617623E-3</c:v>
                </c:pt>
                <c:pt idx="821">
                  <c:v>4.0594993360998314E-3</c:v>
                </c:pt>
                <c:pt idx="822">
                  <c:v>-2.7513726365551239E-3</c:v>
                </c:pt>
                <c:pt idx="823">
                  <c:v>-4.3988822655438922E-3</c:v>
                </c:pt>
                <c:pt idx="824">
                  <c:v>1.2166479692231244E-2</c:v>
                </c:pt>
                <c:pt idx="825">
                  <c:v>7.2939852515544832E-3</c:v>
                </c:pt>
                <c:pt idx="826">
                  <c:v>1.2870156344531251E-3</c:v>
                </c:pt>
                <c:pt idx="827">
                  <c:v>1.2396884418209814E-3</c:v>
                </c:pt>
                <c:pt idx="828">
                  <c:v>-1.6328293792436704E-2</c:v>
                </c:pt>
                <c:pt idx="829">
                  <c:v>9.9765404559894969E-3</c:v>
                </c:pt>
                <c:pt idx="830">
                  <c:v>1.4348579407006781E-2</c:v>
                </c:pt>
                <c:pt idx="831">
                  <c:v>8.6107034731301366E-3</c:v>
                </c:pt>
                <c:pt idx="832">
                  <c:v>1.8482987914892051E-3</c:v>
                </c:pt>
                <c:pt idx="833">
                  <c:v>7.2700858743226507E-3</c:v>
                </c:pt>
                <c:pt idx="834">
                  <c:v>8.940068408147062E-4</c:v>
                </c:pt>
                <c:pt idx="835">
                  <c:v>-1.7438142176220168E-3</c:v>
                </c:pt>
                <c:pt idx="836">
                  <c:v>-1.3426006449646479E-2</c:v>
                </c:pt>
                <c:pt idx="837">
                  <c:v>-6.8727068043855956E-3</c:v>
                </c:pt>
                <c:pt idx="838">
                  <c:v>-1.6717294407576241E-2</c:v>
                </c:pt>
                <c:pt idx="839">
                  <c:v>1.4797246880693301E-2</c:v>
                </c:pt>
                <c:pt idx="840">
                  <c:v>-7.4403784440627519E-3</c:v>
                </c:pt>
                <c:pt idx="841">
                  <c:v>-9.2162110004232016E-3</c:v>
                </c:pt>
                <c:pt idx="842">
                  <c:v>5.2437102570531144E-3</c:v>
                </c:pt>
                <c:pt idx="843">
                  <c:v>1.8025910484153727E-2</c:v>
                </c:pt>
                <c:pt idx="844">
                  <c:v>7.9486532718256175E-2</c:v>
                </c:pt>
                <c:pt idx="845">
                  <c:v>-5.3038554195585421E-3</c:v>
                </c:pt>
                <c:pt idx="846">
                  <c:v>-2.1548770966047228E-3</c:v>
                </c:pt>
                <c:pt idx="847">
                  <c:v>3.5852370836235076E-2</c:v>
                </c:pt>
                <c:pt idx="848">
                  <c:v>6.2242782179671441E-3</c:v>
                </c:pt>
                <c:pt idx="849">
                  <c:v>-5.4082470800467216E-3</c:v>
                </c:pt>
                <c:pt idx="850">
                  <c:v>9.3343872998314214E-3</c:v>
                </c:pt>
                <c:pt idx="851">
                  <c:v>1.5711165436737194E-2</c:v>
                </c:pt>
                <c:pt idx="852">
                  <c:v>-3.7450064642038819E-3</c:v>
                </c:pt>
                <c:pt idx="853">
                  <c:v>-3.0105870527589663E-2</c:v>
                </c:pt>
                <c:pt idx="854">
                  <c:v>2.1051487834526992E-3</c:v>
                </c:pt>
                <c:pt idx="855">
                  <c:v>5.9614200227493331E-3</c:v>
                </c:pt>
                <c:pt idx="856">
                  <c:v>-6.3738371226175726E-3</c:v>
                </c:pt>
                <c:pt idx="857">
                  <c:v>-2.1061207524817258E-3</c:v>
                </c:pt>
                <c:pt idx="858">
                  <c:v>3.6729447762424386E-2</c:v>
                </c:pt>
                <c:pt idx="859">
                  <c:v>4.0960007580868232E-3</c:v>
                </c:pt>
                <c:pt idx="860">
                  <c:v>2.5352419611562746E-2</c:v>
                </c:pt>
                <c:pt idx="861">
                  <c:v>7.9391834345270279E-3</c:v>
                </c:pt>
                <c:pt idx="862">
                  <c:v>-2.0633008417844236E-2</c:v>
                </c:pt>
                <c:pt idx="863">
                  <c:v>-1.2155908355071003E-3</c:v>
                </c:pt>
                <c:pt idx="864">
                  <c:v>5.5559558523124762E-3</c:v>
                </c:pt>
                <c:pt idx="865">
                  <c:v>3.5906167835675518E-2</c:v>
                </c:pt>
                <c:pt idx="866">
                  <c:v>3.269381996142488E-3</c:v>
                </c:pt>
                <c:pt idx="867">
                  <c:v>8.7778570441492624E-3</c:v>
                </c:pt>
                <c:pt idx="868">
                  <c:v>-4.7340384123965096E-3</c:v>
                </c:pt>
                <c:pt idx="869">
                  <c:v>-1.737595737320979E-2</c:v>
                </c:pt>
                <c:pt idx="870">
                  <c:v>9.1213470989717944E-3</c:v>
                </c:pt>
                <c:pt idx="871">
                  <c:v>9.8225742819266094E-3</c:v>
                </c:pt>
                <c:pt idx="872">
                  <c:v>-1.9043559676400043E-3</c:v>
                </c:pt>
                <c:pt idx="873">
                  <c:v>3.8426410344301106E-3</c:v>
                </c:pt>
                <c:pt idx="874">
                  <c:v>2.677400520529922E-3</c:v>
                </c:pt>
                <c:pt idx="875">
                  <c:v>1.1740023407025331E-2</c:v>
                </c:pt>
                <c:pt idx="876">
                  <c:v>-4.3035718829773249E-3</c:v>
                </c:pt>
                <c:pt idx="877">
                  <c:v>1.4164700892715949E-2</c:v>
                </c:pt>
                <c:pt idx="878">
                  <c:v>-7.7346433365390495E-3</c:v>
                </c:pt>
                <c:pt idx="879">
                  <c:v>-9.9748290714560331E-3</c:v>
                </c:pt>
                <c:pt idx="880">
                  <c:v>1.0889977930199812E-2</c:v>
                </c:pt>
                <c:pt idx="881">
                  <c:v>2.3327018741016788E-2</c:v>
                </c:pt>
                <c:pt idx="882">
                  <c:v>7.7274586598977072E-3</c:v>
                </c:pt>
                <c:pt idx="883">
                  <c:v>-1.5766927370863864E-2</c:v>
                </c:pt>
                <c:pt idx="884">
                  <c:v>-1.043260778714457E-2</c:v>
                </c:pt>
                <c:pt idx="885">
                  <c:v>-2.7713658663576545E-3</c:v>
                </c:pt>
                <c:pt idx="886">
                  <c:v>-8.5076417634009638E-3</c:v>
                </c:pt>
                <c:pt idx="887">
                  <c:v>1.1752179332503498E-2</c:v>
                </c:pt>
                <c:pt idx="888">
                  <c:v>8.5169425251171195E-3</c:v>
                </c:pt>
                <c:pt idx="889">
                  <c:v>-1.6629746398927885E-2</c:v>
                </c:pt>
                <c:pt idx="890">
                  <c:v>-2.8293885571515584E-3</c:v>
                </c:pt>
                <c:pt idx="891">
                  <c:v>-8.4623176636492489E-3</c:v>
                </c:pt>
                <c:pt idx="892">
                  <c:v>1.4405881042387689E-2</c:v>
                </c:pt>
                <c:pt idx="893">
                  <c:v>2.2640103059811865E-2</c:v>
                </c:pt>
                <c:pt idx="894">
                  <c:v>1.2579761430921453E-2</c:v>
                </c:pt>
                <c:pt idx="895">
                  <c:v>-1.5588036382754477E-2</c:v>
                </c:pt>
                <c:pt idx="896">
                  <c:v>-2.8043878731777723E-2</c:v>
                </c:pt>
                <c:pt idx="897">
                  <c:v>1.1078642656356649E-2</c:v>
                </c:pt>
                <c:pt idx="898">
                  <c:v>-1.4848382282705146E-2</c:v>
                </c:pt>
                <c:pt idx="899">
                  <c:v>4.912684903046311E-3</c:v>
                </c:pt>
                <c:pt idx="900">
                  <c:v>-9.1427601820595183E-3</c:v>
                </c:pt>
                <c:pt idx="901">
                  <c:v>-1.253489550328544E-2</c:v>
                </c:pt>
                <c:pt idx="902">
                  <c:v>1.1665507218309101E-3</c:v>
                </c:pt>
                <c:pt idx="903">
                  <c:v>-3.5037426418693639E-3</c:v>
                </c:pt>
                <c:pt idx="904">
                  <c:v>-3.3647153865405529E-3</c:v>
                </c:pt>
                <c:pt idx="905">
                  <c:v>1.0884648800176462E-2</c:v>
                </c:pt>
                <c:pt idx="906">
                  <c:v>-6.7653340395764892E-3</c:v>
                </c:pt>
                <c:pt idx="907">
                  <c:v>1.1682101601495011E-3</c:v>
                </c:pt>
                <c:pt idx="908">
                  <c:v>-4.6441106263111027E-3</c:v>
                </c:pt>
                <c:pt idx="909">
                  <c:v>1.3994508648871771E-3</c:v>
                </c:pt>
                <c:pt idx="910">
                  <c:v>-7.0922603767334001E-3</c:v>
                </c:pt>
                <c:pt idx="911">
                  <c:v>2.0829105954460716E-2</c:v>
                </c:pt>
                <c:pt idx="912">
                  <c:v>1.2336369600507777E-2</c:v>
                </c:pt>
                <c:pt idx="913">
                  <c:v>-8.6528072920073178E-3</c:v>
                </c:pt>
                <c:pt idx="914">
                  <c:v>-9.2894440729188882E-4</c:v>
                </c:pt>
                <c:pt idx="915">
                  <c:v>3.8214485175117694E-3</c:v>
                </c:pt>
                <c:pt idx="916">
                  <c:v>-8.8906799202110697E-4</c:v>
                </c:pt>
                <c:pt idx="917">
                  <c:v>1.2998874932159454E-2</c:v>
                </c:pt>
                <c:pt idx="918">
                  <c:v>-1.1887525460332589E-2</c:v>
                </c:pt>
                <c:pt idx="919">
                  <c:v>4.1010765412789561E-3</c:v>
                </c:pt>
                <c:pt idx="920">
                  <c:v>9.4315501304686883E-3</c:v>
                </c:pt>
                <c:pt idx="921">
                  <c:v>6.5167015924815679E-3</c:v>
                </c:pt>
                <c:pt idx="922">
                  <c:v>2.5395507222487971E-4</c:v>
                </c:pt>
                <c:pt idx="923">
                  <c:v>-2.0335389739316954E-3</c:v>
                </c:pt>
                <c:pt idx="924">
                  <c:v>-1.4500514655405928E-2</c:v>
                </c:pt>
                <c:pt idx="925">
                  <c:v>-8.8171639874791586E-3</c:v>
                </c:pt>
                <c:pt idx="926">
                  <c:v>-2.0868261853156208E-2</c:v>
                </c:pt>
                <c:pt idx="927">
                  <c:v>-5.5626013489887254E-3</c:v>
                </c:pt>
                <c:pt idx="928">
                  <c:v>-3.8665196349238289E-3</c:v>
                </c:pt>
                <c:pt idx="929">
                  <c:v>-2.2771815031637107E-2</c:v>
                </c:pt>
                <c:pt idx="930">
                  <c:v>2.7325717193053736E-2</c:v>
                </c:pt>
                <c:pt idx="931">
                  <c:v>-3.2888351735038809E-3</c:v>
                </c:pt>
                <c:pt idx="932">
                  <c:v>-1.5335568720875679E-3</c:v>
                </c:pt>
                <c:pt idx="933">
                  <c:v>-5.0386242043464115E-3</c:v>
                </c:pt>
                <c:pt idx="934">
                  <c:v>1.7544041492402969E-2</c:v>
                </c:pt>
                <c:pt idx="935">
                  <c:v>-1.6118263791591762E-2</c:v>
                </c:pt>
                <c:pt idx="936">
                  <c:v>1.1979711298407945E-2</c:v>
                </c:pt>
                <c:pt idx="937">
                  <c:v>-4.9452320351834396E-4</c:v>
                </c:pt>
                <c:pt idx="938">
                  <c:v>8.6035796079602309E-3</c:v>
                </c:pt>
                <c:pt idx="939">
                  <c:v>-8.299105101802479E-3</c:v>
                </c:pt>
                <c:pt idx="940">
                  <c:v>1.7801585184172592E-2</c:v>
                </c:pt>
                <c:pt idx="941">
                  <c:v>1.6902398480987076E-2</c:v>
                </c:pt>
                <c:pt idx="942">
                  <c:v>-1.3239393714745398E-3</c:v>
                </c:pt>
                <c:pt idx="943">
                  <c:v>9.6327583644406755E-3</c:v>
                </c:pt>
                <c:pt idx="944">
                  <c:v>1.1921125184098037E-2</c:v>
                </c:pt>
                <c:pt idx="945">
                  <c:v>7.8216428468787305E-3</c:v>
                </c:pt>
                <c:pt idx="946">
                  <c:v>-1.4942672471238636E-2</c:v>
                </c:pt>
                <c:pt idx="947">
                  <c:v>-1.6569759583668409E-2</c:v>
                </c:pt>
                <c:pt idx="948">
                  <c:v>4.9483099989163703E-3</c:v>
                </c:pt>
                <c:pt idx="949">
                  <c:v>-2.101942914593887E-3</c:v>
                </c:pt>
                <c:pt idx="950">
                  <c:v>1.4148308242120461E-2</c:v>
                </c:pt>
                <c:pt idx="951">
                  <c:v>-1.1714983824549708E-2</c:v>
                </c:pt>
                <c:pt idx="952">
                  <c:v>9.6017743206242984E-3</c:v>
                </c:pt>
                <c:pt idx="953">
                  <c:v>-5.999489426291681E-3</c:v>
                </c:pt>
                <c:pt idx="954">
                  <c:v>9.6037446094587586E-3</c:v>
                </c:pt>
                <c:pt idx="955">
                  <c:v>2.7219336820007468E-3</c:v>
                </c:pt>
                <c:pt idx="956">
                  <c:v>-8.4437830375304872E-3</c:v>
                </c:pt>
                <c:pt idx="957">
                  <c:v>-7.9262288881882907E-3</c:v>
                </c:pt>
                <c:pt idx="958">
                  <c:v>-3.6537826515102884E-3</c:v>
                </c:pt>
                <c:pt idx="959">
                  <c:v>5.0528124504062985E-3</c:v>
                </c:pt>
                <c:pt idx="960">
                  <c:v>2.6465916568289567E-2</c:v>
                </c:pt>
                <c:pt idx="961">
                  <c:v>2.8977836914370158E-3</c:v>
                </c:pt>
                <c:pt idx="962">
                  <c:v>3.2718433866310022E-2</c:v>
                </c:pt>
                <c:pt idx="963">
                  <c:v>-3.4480013381011816E-5</c:v>
                </c:pt>
                <c:pt idx="964">
                  <c:v>1.2814149893473892E-2</c:v>
                </c:pt>
                <c:pt idx="965">
                  <c:v>-1.0741729862687156E-2</c:v>
                </c:pt>
                <c:pt idx="966">
                  <c:v>-6.994277285581091E-3</c:v>
                </c:pt>
                <c:pt idx="967">
                  <c:v>-3.4751352532960174E-4</c:v>
                </c:pt>
                <c:pt idx="968">
                  <c:v>8.0314450688302157E-3</c:v>
                </c:pt>
                <c:pt idx="969">
                  <c:v>-6.572802176406818E-3</c:v>
                </c:pt>
                <c:pt idx="970">
                  <c:v>2.6982539973335152E-2</c:v>
                </c:pt>
                <c:pt idx="971">
                  <c:v>-1.5216615019161252E-2</c:v>
                </c:pt>
                <c:pt idx="972">
                  <c:v>9.0490188182928751E-3</c:v>
                </c:pt>
                <c:pt idx="973">
                  <c:v>-3.0982060972706525E-3</c:v>
                </c:pt>
                <c:pt idx="974">
                  <c:v>-1.4182748536930754E-2</c:v>
                </c:pt>
                <c:pt idx="975">
                  <c:v>2.5905065142595341E-3</c:v>
                </c:pt>
                <c:pt idx="976">
                  <c:v>-3.4316146638168088E-5</c:v>
                </c:pt>
                <c:pt idx="977">
                  <c:v>-1.6572830679377768E-3</c:v>
                </c:pt>
                <c:pt idx="978">
                  <c:v>5.7538281637017821E-3</c:v>
                </c:pt>
                <c:pt idx="979">
                  <c:v>-1.3406658639810373E-3</c:v>
                </c:pt>
                <c:pt idx="980">
                  <c:v>6.549271981329958E-3</c:v>
                </c:pt>
                <c:pt idx="981">
                  <c:v>-7.7540773441186293E-3</c:v>
                </c:pt>
                <c:pt idx="982">
                  <c:v>-1.5856472971328571E-3</c:v>
                </c:pt>
                <c:pt idx="983">
                  <c:v>-5.0495227085892219E-3</c:v>
                </c:pt>
                <c:pt idx="984">
                  <c:v>-2.0209107326737207E-2</c:v>
                </c:pt>
                <c:pt idx="985">
                  <c:v>-5.2856075574334738E-3</c:v>
                </c:pt>
                <c:pt idx="986">
                  <c:v>1.1915236224637625E-2</c:v>
                </c:pt>
                <c:pt idx="987">
                  <c:v>-4.5796069649423907E-3</c:v>
                </c:pt>
                <c:pt idx="988">
                  <c:v>-7.7704251578830598E-4</c:v>
                </c:pt>
                <c:pt idx="989">
                  <c:v>1.5428050019070586E-2</c:v>
                </c:pt>
                <c:pt idx="990">
                  <c:v>-1.183032682662765E-2</c:v>
                </c:pt>
                <c:pt idx="991">
                  <c:v>1.1969543495039689E-2</c:v>
                </c:pt>
                <c:pt idx="992">
                  <c:v>-1.2462538501042347E-2</c:v>
                </c:pt>
                <c:pt idx="993">
                  <c:v>-2.9601094177807749E-2</c:v>
                </c:pt>
                <c:pt idx="994">
                  <c:v>1.0970081401543244E-2</c:v>
                </c:pt>
                <c:pt idx="995">
                  <c:v>1.721225953847846E-3</c:v>
                </c:pt>
                <c:pt idx="996">
                  <c:v>3.5727655093155603E-5</c:v>
                </c:pt>
                <c:pt idx="997">
                  <c:v>-4.6580082470447175E-4</c:v>
                </c:pt>
                <c:pt idx="998">
                  <c:v>-4.9946578955514754E-3</c:v>
                </c:pt>
                <c:pt idx="999">
                  <c:v>3.7392943136280248E-3</c:v>
                </c:pt>
                <c:pt idx="1000">
                  <c:v>6.0999557422970264E-4</c:v>
                </c:pt>
                <c:pt idx="1001">
                  <c:v>-1.5396530179551216E-2</c:v>
                </c:pt>
                <c:pt idx="1002">
                  <c:v>1.0191013684275572E-3</c:v>
                </c:pt>
                <c:pt idx="1003">
                  <c:v>5.6756185191564404E-2</c:v>
                </c:pt>
                <c:pt idx="1004">
                  <c:v>-9.9498782881752706E-3</c:v>
                </c:pt>
                <c:pt idx="1005">
                  <c:v>3.2049112888088947E-2</c:v>
                </c:pt>
                <c:pt idx="1006">
                  <c:v>-5.2256104247063251E-3</c:v>
                </c:pt>
                <c:pt idx="1007">
                  <c:v>1.9614324102721205E-2</c:v>
                </c:pt>
                <c:pt idx="1008">
                  <c:v>-1.7588315030591186E-2</c:v>
                </c:pt>
                <c:pt idx="1009">
                  <c:v>4.4765476590217469E-3</c:v>
                </c:pt>
                <c:pt idx="1010">
                  <c:v>7.2610525615795455E-3</c:v>
                </c:pt>
                <c:pt idx="1011">
                  <c:v>-1.7351164359495643E-3</c:v>
                </c:pt>
                <c:pt idx="1012">
                  <c:v>1.013481464086502E-2</c:v>
                </c:pt>
                <c:pt idx="1013">
                  <c:v>-8.8331745146474957E-3</c:v>
                </c:pt>
                <c:pt idx="1014">
                  <c:v>1.2957299410684379E-2</c:v>
                </c:pt>
                <c:pt idx="1015">
                  <c:v>4.6542454361841866E-2</c:v>
                </c:pt>
                <c:pt idx="1016">
                  <c:v>2.0930355022805641E-2</c:v>
                </c:pt>
                <c:pt idx="1017">
                  <c:v>-2.4035731020493351E-3</c:v>
                </c:pt>
                <c:pt idx="1018">
                  <c:v>1.0862027242078921E-2</c:v>
                </c:pt>
                <c:pt idx="1019">
                  <c:v>-1.4199323276631757E-2</c:v>
                </c:pt>
                <c:pt idx="1020">
                  <c:v>9.4579034182832884E-3</c:v>
                </c:pt>
                <c:pt idx="1021">
                  <c:v>5.4735216708593788E-3</c:v>
                </c:pt>
                <c:pt idx="1022">
                  <c:v>6.0503420723979628E-3</c:v>
                </c:pt>
                <c:pt idx="1023">
                  <c:v>-2.5190602485705279E-3</c:v>
                </c:pt>
                <c:pt idx="1024">
                  <c:v>-1.4902230171663661E-3</c:v>
                </c:pt>
                <c:pt idx="1025">
                  <c:v>3.645357331412408E-3</c:v>
                </c:pt>
                <c:pt idx="1026">
                  <c:v>-2.6718666758364378E-3</c:v>
                </c:pt>
                <c:pt idx="1027">
                  <c:v>1.0332730062581972E-3</c:v>
                </c:pt>
                <c:pt idx="1028">
                  <c:v>-4.2611772966085221E-3</c:v>
                </c:pt>
                <c:pt idx="1029">
                  <c:v>6.8696461164241491E-3</c:v>
                </c:pt>
                <c:pt idx="1030">
                  <c:v>4.5132483099756308E-2</c:v>
                </c:pt>
                <c:pt idx="1031">
                  <c:v>-1.3328589146905916E-3</c:v>
                </c:pt>
                <c:pt idx="1032">
                  <c:v>-7.3918870061169184E-3</c:v>
                </c:pt>
                <c:pt idx="1033">
                  <c:v>-4.0475250449400091E-2</c:v>
                </c:pt>
                <c:pt idx="1034">
                  <c:v>3.7949153021821424E-3</c:v>
                </c:pt>
                <c:pt idx="1035">
                  <c:v>1.4229732556603222E-3</c:v>
                </c:pt>
                <c:pt idx="1036">
                  <c:v>2.0253524838001222E-3</c:v>
                </c:pt>
                <c:pt idx="1037">
                  <c:v>6.2312858517819692E-3</c:v>
                </c:pt>
                <c:pt idx="1038">
                  <c:v>-7.1072857328694974E-3</c:v>
                </c:pt>
                <c:pt idx="1039">
                  <c:v>4.071766967246605E-3</c:v>
                </c:pt>
                <c:pt idx="1040">
                  <c:v>-1.0804045638913441E-2</c:v>
                </c:pt>
                <c:pt idx="1041">
                  <c:v>1.1285553720178918E-2</c:v>
                </c:pt>
                <c:pt idx="1042">
                  <c:v>-6.3684178822464429E-3</c:v>
                </c:pt>
                <c:pt idx="1043">
                  <c:v>3.0233106244944149E-3</c:v>
                </c:pt>
                <c:pt idx="1044">
                  <c:v>3.9224338472696238E-4</c:v>
                </c:pt>
                <c:pt idx="1045">
                  <c:v>-1.0068534363012669E-2</c:v>
                </c:pt>
                <c:pt idx="1046">
                  <c:v>1.9708181182389751E-2</c:v>
                </c:pt>
                <c:pt idx="1047">
                  <c:v>-1.9145674077955133E-3</c:v>
                </c:pt>
                <c:pt idx="1048">
                  <c:v>-1.3019578611773341E-2</c:v>
                </c:pt>
                <c:pt idx="1049">
                  <c:v>8.6986501477948966E-3</c:v>
                </c:pt>
                <c:pt idx="1050">
                  <c:v>1.3055996913639227E-2</c:v>
                </c:pt>
                <c:pt idx="1051">
                  <c:v>7.8939669024132297E-3</c:v>
                </c:pt>
                <c:pt idx="1052">
                  <c:v>-5.2853843644603323E-3</c:v>
                </c:pt>
                <c:pt idx="1053">
                  <c:v>2.2474932994860954E-3</c:v>
                </c:pt>
                <c:pt idx="1054">
                  <c:v>-3.2665775962549763E-2</c:v>
                </c:pt>
                <c:pt idx="1055">
                  <c:v>4.7385273521567586E-2</c:v>
                </c:pt>
                <c:pt idx="1056">
                  <c:v>-4.1417654799716253E-3</c:v>
                </c:pt>
                <c:pt idx="1057">
                  <c:v>-4.9223059601801802E-3</c:v>
                </c:pt>
                <c:pt idx="1058">
                  <c:v>-9.1174209843099437E-3</c:v>
                </c:pt>
                <c:pt idx="1059">
                  <c:v>-1.1717235140370775E-2</c:v>
                </c:pt>
                <c:pt idx="1060">
                  <c:v>-2.2381623461093361E-2</c:v>
                </c:pt>
                <c:pt idx="1061">
                  <c:v>1.1192715479572565E-2</c:v>
                </c:pt>
                <c:pt idx="1062">
                  <c:v>3.65950998422001E-2</c:v>
                </c:pt>
                <c:pt idx="1063">
                  <c:v>-1.1971215377519889E-2</c:v>
                </c:pt>
                <c:pt idx="1064">
                  <c:v>-2.221773130791937E-3</c:v>
                </c:pt>
                <c:pt idx="1065">
                  <c:v>5.7958221949533035E-3</c:v>
                </c:pt>
                <c:pt idx="1066">
                  <c:v>2.826396118198805E-3</c:v>
                </c:pt>
                <c:pt idx="1067">
                  <c:v>3.6392227990503252E-3</c:v>
                </c:pt>
                <c:pt idx="1068">
                  <c:v>-8.324872214928376E-3</c:v>
                </c:pt>
                <c:pt idx="1069">
                  <c:v>7.650838969324828E-3</c:v>
                </c:pt>
                <c:pt idx="1070">
                  <c:v>2.9271307401981094E-3</c:v>
                </c:pt>
                <c:pt idx="1071">
                  <c:v>-6.3333888714574207E-3</c:v>
                </c:pt>
                <c:pt idx="1072">
                  <c:v>-1.5682581060145664E-2</c:v>
                </c:pt>
                <c:pt idx="1073">
                  <c:v>4.7396447870667211E-3</c:v>
                </c:pt>
                <c:pt idx="1074">
                  <c:v>2.1981733675686802E-3</c:v>
                </c:pt>
                <c:pt idx="1075">
                  <c:v>2.1981492620639507E-2</c:v>
                </c:pt>
                <c:pt idx="1076">
                  <c:v>-4.2062483464822498E-2</c:v>
                </c:pt>
                <c:pt idx="1077">
                  <c:v>6.006545782765953E-3</c:v>
                </c:pt>
                <c:pt idx="1078">
                  <c:v>1.3540194828204819E-2</c:v>
                </c:pt>
                <c:pt idx="1079">
                  <c:v>-2.0785741511716556E-4</c:v>
                </c:pt>
                <c:pt idx="1080">
                  <c:v>-1.8521805042229521E-2</c:v>
                </c:pt>
                <c:pt idx="1081">
                  <c:v>1.4355926836470379E-2</c:v>
                </c:pt>
                <c:pt idx="1082">
                  <c:v>-4.3331417968881739E-3</c:v>
                </c:pt>
                <c:pt idx="1083">
                  <c:v>-1.3082749366613803E-2</c:v>
                </c:pt>
                <c:pt idx="1084">
                  <c:v>-9.1081701136924457E-5</c:v>
                </c:pt>
                <c:pt idx="1085">
                  <c:v>8.2804164271227786E-3</c:v>
                </c:pt>
                <c:pt idx="1086">
                  <c:v>-9.0330837223136901E-4</c:v>
                </c:pt>
                <c:pt idx="1087">
                  <c:v>-2.2142290696104423E-2</c:v>
                </c:pt>
                <c:pt idx="1088">
                  <c:v>7.1194340504096808E-3</c:v>
                </c:pt>
                <c:pt idx="1089">
                  <c:v>-2.3701618372640378E-2</c:v>
                </c:pt>
                <c:pt idx="1090">
                  <c:v>-6.7231663549450812E-3</c:v>
                </c:pt>
                <c:pt idx="1091">
                  <c:v>-3.4103485558041576E-3</c:v>
                </c:pt>
                <c:pt idx="1092">
                  <c:v>1.2510333178061949E-2</c:v>
                </c:pt>
                <c:pt idx="1093">
                  <c:v>-4.1065311930668001E-2</c:v>
                </c:pt>
                <c:pt idx="1094">
                  <c:v>5.9511659456077538E-2</c:v>
                </c:pt>
                <c:pt idx="1095">
                  <c:v>8.762733923074922E-3</c:v>
                </c:pt>
                <c:pt idx="1096">
                  <c:v>9.927413407775261E-3</c:v>
                </c:pt>
                <c:pt idx="1097">
                  <c:v>1.4961587330926644E-2</c:v>
                </c:pt>
                <c:pt idx="1098">
                  <c:v>-2.0900177233824389E-2</c:v>
                </c:pt>
                <c:pt idx="1099">
                  <c:v>5.8478683086382061E-3</c:v>
                </c:pt>
                <c:pt idx="1100">
                  <c:v>4.6417706775637333E-3</c:v>
                </c:pt>
                <c:pt idx="1101">
                  <c:v>4.0198724603657879E-2</c:v>
                </c:pt>
                <c:pt idx="1102">
                  <c:v>8.2563228988913849E-3</c:v>
                </c:pt>
                <c:pt idx="1103">
                  <c:v>8.2739726455290478E-3</c:v>
                </c:pt>
                <c:pt idx="1104">
                  <c:v>-6.5278328586454151E-3</c:v>
                </c:pt>
                <c:pt idx="1105">
                  <c:v>4.8784638563817342E-3</c:v>
                </c:pt>
                <c:pt idx="1106">
                  <c:v>8.3042591784419691E-3</c:v>
                </c:pt>
                <c:pt idx="1107">
                  <c:v>4.9552358185718879E-3</c:v>
                </c:pt>
                <c:pt idx="1108">
                  <c:v>3.7003793123228101E-3</c:v>
                </c:pt>
                <c:pt idx="1109">
                  <c:v>3.6588300594277649E-3</c:v>
                </c:pt>
                <c:pt idx="1110">
                  <c:v>-2.1768688554560703E-3</c:v>
                </c:pt>
                <c:pt idx="1111">
                  <c:v>9.7591143422550569E-3</c:v>
                </c:pt>
                <c:pt idx="1112">
                  <c:v>3.873349105002367E-4</c:v>
                </c:pt>
                <c:pt idx="1113">
                  <c:v>2.4830167140609163E-2</c:v>
                </c:pt>
                <c:pt idx="1114">
                  <c:v>-1.3909873346267336E-2</c:v>
                </c:pt>
                <c:pt idx="1115">
                  <c:v>2.0256906730706438E-2</c:v>
                </c:pt>
                <c:pt idx="1116">
                  <c:v>-1.4093185504429551E-2</c:v>
                </c:pt>
                <c:pt idx="1117">
                  <c:v>9.9022413134039599E-3</c:v>
                </c:pt>
                <c:pt idx="1118">
                  <c:v>1.0977316019042461E-2</c:v>
                </c:pt>
                <c:pt idx="1119">
                  <c:v>-1.8923497065071132E-3</c:v>
                </c:pt>
                <c:pt idx="1120">
                  <c:v>-4.7599836628466549E-3</c:v>
                </c:pt>
                <c:pt idx="1121">
                  <c:v>6.0929592181190135E-3</c:v>
                </c:pt>
                <c:pt idx="1122">
                  <c:v>-1.9200639634147131E-3</c:v>
                </c:pt>
                <c:pt idx="1123">
                  <c:v>1.9796404601615587E-2</c:v>
                </c:pt>
                <c:pt idx="1124">
                  <c:v>-1.5375049686582929E-2</c:v>
                </c:pt>
                <c:pt idx="1125">
                  <c:v>7.8884196869780463E-3</c:v>
                </c:pt>
                <c:pt idx="1126">
                  <c:v>-8.4466427706761677E-3</c:v>
                </c:pt>
                <c:pt idx="1127">
                  <c:v>1.5462006027297892E-2</c:v>
                </c:pt>
                <c:pt idx="1128">
                  <c:v>2.6279586750843419E-2</c:v>
                </c:pt>
                <c:pt idx="1129">
                  <c:v>3.4625356764215816E-3</c:v>
                </c:pt>
                <c:pt idx="1130">
                  <c:v>3.5567400174648159E-4</c:v>
                </c:pt>
                <c:pt idx="1131">
                  <c:v>-2.2860172244963176E-4</c:v>
                </c:pt>
                <c:pt idx="1132">
                  <c:v>2.0250466780033987E-2</c:v>
                </c:pt>
                <c:pt idx="1133">
                  <c:v>-1.7198491851436357E-3</c:v>
                </c:pt>
                <c:pt idx="1134">
                  <c:v>-1.055762949454846E-2</c:v>
                </c:pt>
                <c:pt idx="1135">
                  <c:v>-2.2486684550503837E-2</c:v>
                </c:pt>
                <c:pt idx="1136">
                  <c:v>-1.3472084540703611E-2</c:v>
                </c:pt>
                <c:pt idx="1137">
                  <c:v>1.1329803625287887E-2</c:v>
                </c:pt>
                <c:pt idx="1138">
                  <c:v>1.7900344321246767E-2</c:v>
                </c:pt>
                <c:pt idx="1139">
                  <c:v>-2.0579588739054835E-3</c:v>
                </c:pt>
                <c:pt idx="1140">
                  <c:v>-7.4028679513514434E-3</c:v>
                </c:pt>
                <c:pt idx="1141">
                  <c:v>-2.1545845982154969E-3</c:v>
                </c:pt>
                <c:pt idx="1142">
                  <c:v>1.5642819743770259E-2</c:v>
                </c:pt>
                <c:pt idx="1143">
                  <c:v>2.9269890288110112E-2</c:v>
                </c:pt>
                <c:pt idx="1144">
                  <c:v>-1.1183170739045263E-2</c:v>
                </c:pt>
                <c:pt idx="1145">
                  <c:v>2.4522416447285606E-2</c:v>
                </c:pt>
                <c:pt idx="1146">
                  <c:v>-2.0126879930508568E-3</c:v>
                </c:pt>
                <c:pt idx="1147">
                  <c:v>1.1247695689282333E-2</c:v>
                </c:pt>
                <c:pt idx="1148">
                  <c:v>6.5072647031435135E-3</c:v>
                </c:pt>
                <c:pt idx="1149">
                  <c:v>1.2064467325829524E-2</c:v>
                </c:pt>
                <c:pt idx="1150">
                  <c:v>1.4548039542500397E-2</c:v>
                </c:pt>
                <c:pt idx="1151">
                  <c:v>-5.3316860675845174E-3</c:v>
                </c:pt>
                <c:pt idx="1152">
                  <c:v>-1.6586091177506193E-3</c:v>
                </c:pt>
                <c:pt idx="1153">
                  <c:v>1.5886199694935073E-3</c:v>
                </c:pt>
                <c:pt idx="1154">
                  <c:v>2.0290050253936317E-2</c:v>
                </c:pt>
                <c:pt idx="1155">
                  <c:v>1.0219227597744351E-2</c:v>
                </c:pt>
                <c:pt idx="1156">
                  <c:v>1.9108750039404779E-2</c:v>
                </c:pt>
                <c:pt idx="1157">
                  <c:v>2.1083838387869736E-3</c:v>
                </c:pt>
                <c:pt idx="1158">
                  <c:v>2.7670724454951956E-3</c:v>
                </c:pt>
                <c:pt idx="1159">
                  <c:v>-1.3039467294863116E-2</c:v>
                </c:pt>
                <c:pt idx="1160">
                  <c:v>-3.2459685217254786E-2</c:v>
                </c:pt>
                <c:pt idx="1161">
                  <c:v>-1.451898533187009E-2</c:v>
                </c:pt>
                <c:pt idx="1162">
                  <c:v>-3.5274967674607362E-3</c:v>
                </c:pt>
                <c:pt idx="1163">
                  <c:v>-6.238520848835292E-3</c:v>
                </c:pt>
                <c:pt idx="1164">
                  <c:v>-6.8268033270146378E-3</c:v>
                </c:pt>
                <c:pt idx="1165">
                  <c:v>3.8592044950383274E-3</c:v>
                </c:pt>
                <c:pt idx="1166">
                  <c:v>1.7651069864200269E-2</c:v>
                </c:pt>
                <c:pt idx="1167">
                  <c:v>2.7441412164700415E-2</c:v>
                </c:pt>
                <c:pt idx="1168">
                  <c:v>1.5358728396362925E-2</c:v>
                </c:pt>
                <c:pt idx="1169">
                  <c:v>1.8251885264081346E-2</c:v>
                </c:pt>
                <c:pt idx="1170">
                  <c:v>-2.1861700529585037E-2</c:v>
                </c:pt>
                <c:pt idx="1171">
                  <c:v>1.8692081734026096E-2</c:v>
                </c:pt>
                <c:pt idx="1172">
                  <c:v>-4.6402577005978324E-3</c:v>
                </c:pt>
                <c:pt idx="1173">
                  <c:v>-8.6085970587497437E-3</c:v>
                </c:pt>
                <c:pt idx="1174">
                  <c:v>-2.8896685339178847E-2</c:v>
                </c:pt>
                <c:pt idx="1175">
                  <c:v>-9.4726943903694124E-3</c:v>
                </c:pt>
                <c:pt idx="1176">
                  <c:v>-8.7198765831873002E-3</c:v>
                </c:pt>
                <c:pt idx="1177">
                  <c:v>-4.0357575200132252E-3</c:v>
                </c:pt>
                <c:pt idx="1178">
                  <c:v>-1.2206278714685806E-2</c:v>
                </c:pt>
                <c:pt idx="1179">
                  <c:v>-3.0941327930300458E-4</c:v>
                </c:pt>
                <c:pt idx="1180">
                  <c:v>-7.839613004985856E-3</c:v>
                </c:pt>
                <c:pt idx="1181">
                  <c:v>-1.8014172361083614E-3</c:v>
                </c:pt>
                <c:pt idx="1182">
                  <c:v>-6.1001412493068494E-3</c:v>
                </c:pt>
                <c:pt idx="1183">
                  <c:v>1.0585518922876097E-2</c:v>
                </c:pt>
                <c:pt idx="1184">
                  <c:v>6.6068125005482219E-3</c:v>
                </c:pt>
                <c:pt idx="1185">
                  <c:v>-1.3209574513250428E-2</c:v>
                </c:pt>
                <c:pt idx="1186">
                  <c:v>-1.7080022399176765E-2</c:v>
                </c:pt>
                <c:pt idx="1187">
                  <c:v>-9.6026910657518554E-3</c:v>
                </c:pt>
                <c:pt idx="1188">
                  <c:v>1.6809496457665975E-3</c:v>
                </c:pt>
                <c:pt idx="1189">
                  <c:v>-1.9000174201111043E-2</c:v>
                </c:pt>
                <c:pt idx="1190">
                  <c:v>-1.3839885800526301E-2</c:v>
                </c:pt>
                <c:pt idx="1191">
                  <c:v>-1.634809601347762E-3</c:v>
                </c:pt>
                <c:pt idx="1192">
                  <c:v>-1.3694277739068072E-2</c:v>
                </c:pt>
                <c:pt idx="1193">
                  <c:v>-1.4477991356617478E-2</c:v>
                </c:pt>
                <c:pt idx="1194">
                  <c:v>9.0831006472050363E-3</c:v>
                </c:pt>
                <c:pt idx="1195">
                  <c:v>7.6018046033979741E-3</c:v>
                </c:pt>
                <c:pt idx="1196">
                  <c:v>-5.4873347009793726E-3</c:v>
                </c:pt>
                <c:pt idx="1197">
                  <c:v>-5.4766694933658952E-4</c:v>
                </c:pt>
                <c:pt idx="1198">
                  <c:v>-2.4003442701994906E-2</c:v>
                </c:pt>
                <c:pt idx="1199">
                  <c:v>2.387289466274491E-2</c:v>
                </c:pt>
                <c:pt idx="1200">
                  <c:v>9.1694790564378383E-3</c:v>
                </c:pt>
                <c:pt idx="1201">
                  <c:v>-8.9346972766835373E-3</c:v>
                </c:pt>
                <c:pt idx="1202">
                  <c:v>-3.3188068287527579E-3</c:v>
                </c:pt>
                <c:pt idx="1203">
                  <c:v>5.7161964878931762E-3</c:v>
                </c:pt>
                <c:pt idx="1204">
                  <c:v>-1.5131376308646282E-2</c:v>
                </c:pt>
                <c:pt idx="1205">
                  <c:v>-1.2791174522036888E-2</c:v>
                </c:pt>
                <c:pt idx="1206">
                  <c:v>-2.5726166257253455E-3</c:v>
                </c:pt>
                <c:pt idx="1207">
                  <c:v>-1.293617275025896E-2</c:v>
                </c:pt>
                <c:pt idx="1208">
                  <c:v>7.8798288818426442E-4</c:v>
                </c:pt>
                <c:pt idx="1209">
                  <c:v>-1.9860216655933072E-2</c:v>
                </c:pt>
                <c:pt idx="1210">
                  <c:v>1.8011591912188814E-2</c:v>
                </c:pt>
                <c:pt idx="1211">
                  <c:v>-3.2658294073372016E-4</c:v>
                </c:pt>
                <c:pt idx="1212">
                  <c:v>9.5088088683174081E-3</c:v>
                </c:pt>
                <c:pt idx="1213">
                  <c:v>5.0024486378952892E-3</c:v>
                </c:pt>
                <c:pt idx="1214">
                  <c:v>3.9358118879887528E-3</c:v>
                </c:pt>
                <c:pt idx="1215">
                  <c:v>-4.9558117791143157E-3</c:v>
                </c:pt>
                <c:pt idx="1216">
                  <c:v>-1.5016790183848622E-2</c:v>
                </c:pt>
                <c:pt idx="1217">
                  <c:v>3.3377135923667166E-2</c:v>
                </c:pt>
                <c:pt idx="1218">
                  <c:v>2.8334135929077749E-2</c:v>
                </c:pt>
                <c:pt idx="1219">
                  <c:v>-9.3471421662430169E-3</c:v>
                </c:pt>
                <c:pt idx="1220">
                  <c:v>8.8601365926091434E-3</c:v>
                </c:pt>
                <c:pt idx="1221">
                  <c:v>6.2881530483852041E-3</c:v>
                </c:pt>
                <c:pt idx="1222">
                  <c:v>-8.3930638434037072E-3</c:v>
                </c:pt>
                <c:pt idx="1223">
                  <c:v>1.4636329040744642E-3</c:v>
                </c:pt>
                <c:pt idx="1224">
                  <c:v>6.4961981563442586E-3</c:v>
                </c:pt>
                <c:pt idx="1225">
                  <c:v>1.1154288668854834E-2</c:v>
                </c:pt>
                <c:pt idx="1226">
                  <c:v>-9.905916734337954E-3</c:v>
                </c:pt>
                <c:pt idx="1227">
                  <c:v>-2.3963447193449287E-2</c:v>
                </c:pt>
                <c:pt idx="1228">
                  <c:v>-2.2469361659847066E-2</c:v>
                </c:pt>
                <c:pt idx="1229">
                  <c:v>1.2352049324328342E-2</c:v>
                </c:pt>
                <c:pt idx="1230">
                  <c:v>2.1842317719122728E-3</c:v>
                </c:pt>
                <c:pt idx="1231">
                  <c:v>-2.1306826596014461E-2</c:v>
                </c:pt>
                <c:pt idx="1232">
                  <c:v>3.6987003423964156E-3</c:v>
                </c:pt>
                <c:pt idx="1233">
                  <c:v>-4.1821869917489339E-3</c:v>
                </c:pt>
                <c:pt idx="1234">
                  <c:v>-1.554069317725925E-2</c:v>
                </c:pt>
                <c:pt idx="1235">
                  <c:v>-1.4096518394389843E-2</c:v>
                </c:pt>
                <c:pt idx="1236">
                  <c:v>-1.0599463418293752E-2</c:v>
                </c:pt>
                <c:pt idx="1237">
                  <c:v>1.2065014882219298E-2</c:v>
                </c:pt>
                <c:pt idx="1238">
                  <c:v>1.2876525670559427E-2</c:v>
                </c:pt>
                <c:pt idx="1239">
                  <c:v>2.8873777116333764E-3</c:v>
                </c:pt>
                <c:pt idx="1240">
                  <c:v>-1.3941777376729244E-2</c:v>
                </c:pt>
                <c:pt idx="1241">
                  <c:v>3.8392833181928911E-2</c:v>
                </c:pt>
                <c:pt idx="1242">
                  <c:v>-1.3091567944557776E-2</c:v>
                </c:pt>
                <c:pt idx="1243">
                  <c:v>1.550415602029488E-2</c:v>
                </c:pt>
                <c:pt idx="1244">
                  <c:v>-5.6560424766156966E-3</c:v>
                </c:pt>
                <c:pt idx="1245">
                  <c:v>-2.188786045611878E-2</c:v>
                </c:pt>
                <c:pt idx="1246">
                  <c:v>-3.1350717305357496E-3</c:v>
                </c:pt>
                <c:pt idx="1247">
                  <c:v>3.4009931081275604E-2</c:v>
                </c:pt>
                <c:pt idx="1248">
                  <c:v>7.0217796488209871E-3</c:v>
                </c:pt>
                <c:pt idx="1249">
                  <c:v>2.11849322557611E-2</c:v>
                </c:pt>
                <c:pt idx="1250">
                  <c:v>-1.3457668368241081E-2</c:v>
                </c:pt>
                <c:pt idx="1251">
                  <c:v>-1.0561669810863419E-2</c:v>
                </c:pt>
                <c:pt idx="1252">
                  <c:v>-2.8037141749187242E-2</c:v>
                </c:pt>
                <c:pt idx="1253">
                  <c:v>-8.577793026307394E-3</c:v>
                </c:pt>
                <c:pt idx="1254">
                  <c:v>-1.0110286564004816E-2</c:v>
                </c:pt>
                <c:pt idx="1255">
                  <c:v>-2.0560827227686183E-2</c:v>
                </c:pt>
                <c:pt idx="1256">
                  <c:v>-2.2513590650789306E-3</c:v>
                </c:pt>
                <c:pt idx="1257">
                  <c:v>3.6949086552688949E-2</c:v>
                </c:pt>
                <c:pt idx="1258">
                  <c:v>2.1697800018895515E-3</c:v>
                </c:pt>
                <c:pt idx="1259">
                  <c:v>7.019512210251465E-3</c:v>
                </c:pt>
                <c:pt idx="1260">
                  <c:v>1.1475451242858517E-2</c:v>
                </c:pt>
                <c:pt idx="1261">
                  <c:v>2.8682905578707846E-3</c:v>
                </c:pt>
                <c:pt idx="1262">
                  <c:v>-5.824903224547459E-3</c:v>
                </c:pt>
                <c:pt idx="1263">
                  <c:v>-1.0592626784217128E-2</c:v>
                </c:pt>
                <c:pt idx="1264">
                  <c:v>-1.4528171368809763E-2</c:v>
                </c:pt>
                <c:pt idx="1265">
                  <c:v>-5.1990605999931866E-4</c:v>
                </c:pt>
                <c:pt idx="1266">
                  <c:v>8.2073480713377523E-4</c:v>
                </c:pt>
                <c:pt idx="1267">
                  <c:v>-1.840794603965586E-2</c:v>
                </c:pt>
                <c:pt idx="1268">
                  <c:v>-1.7023275207505673E-2</c:v>
                </c:pt>
                <c:pt idx="1269">
                  <c:v>6.8047606734360751E-3</c:v>
                </c:pt>
                <c:pt idx="1270">
                  <c:v>-2.2135913524955385E-2</c:v>
                </c:pt>
                <c:pt idx="1271">
                  <c:v>-7.4501639183171368E-3</c:v>
                </c:pt>
                <c:pt idx="1272">
                  <c:v>7.7090730438987894E-3</c:v>
                </c:pt>
                <c:pt idx="1273">
                  <c:v>-5.4508632824337927E-3</c:v>
                </c:pt>
                <c:pt idx="1274">
                  <c:v>-9.5480700403963083E-4</c:v>
                </c:pt>
                <c:pt idx="1275">
                  <c:v>3.3522066340834801E-3</c:v>
                </c:pt>
                <c:pt idx="1276">
                  <c:v>-1.2921368195723485E-2</c:v>
                </c:pt>
                <c:pt idx="1277">
                  <c:v>-1.3594036964736525E-2</c:v>
                </c:pt>
                <c:pt idx="1278">
                  <c:v>7.9375252228053462E-3</c:v>
                </c:pt>
                <c:pt idx="1279">
                  <c:v>-6.0433834366260116E-3</c:v>
                </c:pt>
                <c:pt idx="1280">
                  <c:v>-1.636658039548779E-2</c:v>
                </c:pt>
                <c:pt idx="1281">
                  <c:v>-1.4410548658655341E-2</c:v>
                </c:pt>
                <c:pt idx="1282">
                  <c:v>2.2433558447661376E-2</c:v>
                </c:pt>
                <c:pt idx="1283">
                  <c:v>1.5033453886700176E-2</c:v>
                </c:pt>
                <c:pt idx="1284">
                  <c:v>-9.0581398509771219E-3</c:v>
                </c:pt>
                <c:pt idx="1285">
                  <c:v>7.4707599835211773E-3</c:v>
                </c:pt>
                <c:pt idx="1286">
                  <c:v>4.9993692175842185E-4</c:v>
                </c:pt>
                <c:pt idx="1287">
                  <c:v>-2.0647385755825549E-2</c:v>
                </c:pt>
                <c:pt idx="1288">
                  <c:v>7.8040078527834081E-3</c:v>
                </c:pt>
                <c:pt idx="1289">
                  <c:v>2.7380448274552886E-2</c:v>
                </c:pt>
                <c:pt idx="1290">
                  <c:v>0</c:v>
                </c:pt>
                <c:pt idx="1291">
                  <c:v>1.7893262743677387E-2</c:v>
                </c:pt>
                <c:pt idx="1292">
                  <c:v>-1.8241077692958334E-2</c:v>
                </c:pt>
                <c:pt idx="1293">
                  <c:v>-8.9913578507710382E-4</c:v>
                </c:pt>
                <c:pt idx="1294">
                  <c:v>3.5263449756093065E-2</c:v>
                </c:pt>
                <c:pt idx="1295">
                  <c:v>-3.1139733021959596E-3</c:v>
                </c:pt>
                <c:pt idx="1296">
                  <c:v>-3.9697301512214992E-3</c:v>
                </c:pt>
                <c:pt idx="1297">
                  <c:v>1.2224369113084754E-2</c:v>
                </c:pt>
                <c:pt idx="1298">
                  <c:v>-7.8057250993369921E-4</c:v>
                </c:pt>
                <c:pt idx="1299">
                  <c:v>-5.3000426794034812E-4</c:v>
                </c:pt>
                <c:pt idx="1300">
                  <c:v>2.1012087969973742E-2</c:v>
                </c:pt>
                <c:pt idx="1301">
                  <c:v>8.4670695496577217E-4</c:v>
                </c:pt>
                <c:pt idx="1302">
                  <c:v>-1.0652482094270388E-3</c:v>
                </c:pt>
                <c:pt idx="1303">
                  <c:v>-4.7659421730405736E-2</c:v>
                </c:pt>
                <c:pt idx="1304">
                  <c:v>1.8431507831377175E-2</c:v>
                </c:pt>
                <c:pt idx="1305">
                  <c:v>5.4162654679835841E-3</c:v>
                </c:pt>
                <c:pt idx="1306">
                  <c:v>-3.8777490563651991E-2</c:v>
                </c:pt>
                <c:pt idx="1307">
                  <c:v>5.8783050792065923E-2</c:v>
                </c:pt>
                <c:pt idx="1308">
                  <c:v>-5.9431412902873565E-3</c:v>
                </c:pt>
                <c:pt idx="1309">
                  <c:v>-1.0207603935881951E-2</c:v>
                </c:pt>
                <c:pt idx="1310">
                  <c:v>2.6249914791694157E-2</c:v>
                </c:pt>
                <c:pt idx="1311">
                  <c:v>2.2244803281452666E-3</c:v>
                </c:pt>
                <c:pt idx="1312">
                  <c:v>1.8684114033949827E-2</c:v>
                </c:pt>
                <c:pt idx="1313">
                  <c:v>1.5959394522314951E-4</c:v>
                </c:pt>
                <c:pt idx="1314">
                  <c:v>-1.403195879966161E-2</c:v>
                </c:pt>
                <c:pt idx="1315">
                  <c:v>-2.1056886273861132E-3</c:v>
                </c:pt>
                <c:pt idx="1316">
                  <c:v>3.1837944781474862E-3</c:v>
                </c:pt>
                <c:pt idx="1317">
                  <c:v>1.0930860118594104E-2</c:v>
                </c:pt>
                <c:pt idx="1318">
                  <c:v>-1.238654461914954E-2</c:v>
                </c:pt>
                <c:pt idx="1319">
                  <c:v>-5.9371139389957682E-4</c:v>
                </c:pt>
                <c:pt idx="1320">
                  <c:v>-3.1367420191815813E-2</c:v>
                </c:pt>
                <c:pt idx="1321">
                  <c:v>1.7067169368436531E-2</c:v>
                </c:pt>
                <c:pt idx="1322">
                  <c:v>-1.8907090489341697E-2</c:v>
                </c:pt>
                <c:pt idx="1323">
                  <c:v>-5.3722663031397231E-3</c:v>
                </c:pt>
                <c:pt idx="1324">
                  <c:v>3.0122006268140895E-2</c:v>
                </c:pt>
                <c:pt idx="1325">
                  <c:v>1.6094553460232253E-2</c:v>
                </c:pt>
                <c:pt idx="1326">
                  <c:v>-8.3930526945703125E-3</c:v>
                </c:pt>
                <c:pt idx="1327">
                  <c:v>1.1922834851092761E-2</c:v>
                </c:pt>
                <c:pt idx="1328">
                  <c:v>-1.2625407281573521E-2</c:v>
                </c:pt>
                <c:pt idx="1329">
                  <c:v>1.879923322000486E-2</c:v>
                </c:pt>
                <c:pt idx="1330">
                  <c:v>-5.0533540516278985E-3</c:v>
                </c:pt>
                <c:pt idx="1331">
                  <c:v>1.5452697220459991E-3</c:v>
                </c:pt>
                <c:pt idx="1332">
                  <c:v>-5.0710920951641545E-3</c:v>
                </c:pt>
                <c:pt idx="1333">
                  <c:v>1.4082110331106545E-2</c:v>
                </c:pt>
                <c:pt idx="1334">
                  <c:v>-2.7714145997314324E-2</c:v>
                </c:pt>
                <c:pt idx="1335">
                  <c:v>-1.2485708637117641E-3</c:v>
                </c:pt>
                <c:pt idx="1336">
                  <c:v>3.9032785155392684E-3</c:v>
                </c:pt>
                <c:pt idx="1337">
                  <c:v>3.7803694541547988E-3</c:v>
                </c:pt>
                <c:pt idx="1338">
                  <c:v>1.0829495760749144E-2</c:v>
                </c:pt>
                <c:pt idx="1339">
                  <c:v>-6.2582904954360426E-3</c:v>
                </c:pt>
                <c:pt idx="1340">
                  <c:v>-1.3960441441331227E-3</c:v>
                </c:pt>
                <c:pt idx="1341">
                  <c:v>6.5873297179279968E-3</c:v>
                </c:pt>
                <c:pt idx="1342">
                  <c:v>2.1861033922321582E-3</c:v>
                </c:pt>
                <c:pt idx="1343">
                  <c:v>7.0036605299212212E-2</c:v>
                </c:pt>
                <c:pt idx="1344">
                  <c:v>7.5480083897147849E-3</c:v>
                </c:pt>
                <c:pt idx="1345">
                  <c:v>-2.185584957654596E-2</c:v>
                </c:pt>
                <c:pt idx="1346">
                  <c:v>-1.8216169319025095E-2</c:v>
                </c:pt>
                <c:pt idx="1347">
                  <c:v>-2.086496466281592E-2</c:v>
                </c:pt>
                <c:pt idx="1348">
                  <c:v>2.019533441845156E-2</c:v>
                </c:pt>
                <c:pt idx="1349">
                  <c:v>2.0589986909927706E-3</c:v>
                </c:pt>
                <c:pt idx="1350">
                  <c:v>-1.4554961639845139E-2</c:v>
                </c:pt>
                <c:pt idx="1351">
                  <c:v>8.1582928137018847E-3</c:v>
                </c:pt>
                <c:pt idx="1352">
                  <c:v>-2.4872243200692208E-3</c:v>
                </c:pt>
                <c:pt idx="1353">
                  <c:v>2.2317208533098137E-2</c:v>
                </c:pt>
                <c:pt idx="1354">
                  <c:v>8.1139479943027383E-4</c:v>
                </c:pt>
                <c:pt idx="1355">
                  <c:v>7.1729178336466066E-3</c:v>
                </c:pt>
                <c:pt idx="1356">
                  <c:v>1.2007332853277541E-2</c:v>
                </c:pt>
                <c:pt idx="1357">
                  <c:v>3.078551028765324E-3</c:v>
                </c:pt>
                <c:pt idx="1358">
                  <c:v>4.9604865682974762E-5</c:v>
                </c:pt>
                <c:pt idx="1359">
                  <c:v>1.1386986255535759E-2</c:v>
                </c:pt>
                <c:pt idx="1360">
                  <c:v>1.1404249556887043E-2</c:v>
                </c:pt>
                <c:pt idx="1361">
                  <c:v>-9.3476820931913535E-3</c:v>
                </c:pt>
                <c:pt idx="1362">
                  <c:v>-5.0509275286818945E-3</c:v>
                </c:pt>
                <c:pt idx="1363">
                  <c:v>6.3889256786056842E-4</c:v>
                </c:pt>
                <c:pt idx="1364">
                  <c:v>-4.875767640106869E-3</c:v>
                </c:pt>
                <c:pt idx="1365">
                  <c:v>5.6124398938000543E-3</c:v>
                </c:pt>
                <c:pt idx="1366">
                  <c:v>-8.2325080812325133E-3</c:v>
                </c:pt>
                <c:pt idx="1367">
                  <c:v>-1.2752987403002106E-2</c:v>
                </c:pt>
                <c:pt idx="1368">
                  <c:v>8.7851066578472775E-3</c:v>
                </c:pt>
                <c:pt idx="1369">
                  <c:v>3.7203337583909795E-3</c:v>
                </c:pt>
                <c:pt idx="1370">
                  <c:v>-8.4527174345671151E-3</c:v>
                </c:pt>
                <c:pt idx="1371">
                  <c:v>-1.6056690546971005E-2</c:v>
                </c:pt>
                <c:pt idx="1372">
                  <c:v>-1.1174455438794183E-2</c:v>
                </c:pt>
                <c:pt idx="1373">
                  <c:v>-1.8696946728925082E-2</c:v>
                </c:pt>
                <c:pt idx="1374">
                  <c:v>2.0388774706191076E-2</c:v>
                </c:pt>
                <c:pt idx="1375">
                  <c:v>5.1603607072601551E-3</c:v>
                </c:pt>
                <c:pt idx="1376">
                  <c:v>-1.3080162039128901E-2</c:v>
                </c:pt>
                <c:pt idx="1377">
                  <c:v>-1.5558206544322306E-2</c:v>
                </c:pt>
                <c:pt idx="1378">
                  <c:v>7.5231690241376187E-3</c:v>
                </c:pt>
                <c:pt idx="1379">
                  <c:v>-8.9926440419609947E-3</c:v>
                </c:pt>
                <c:pt idx="1380">
                  <c:v>5.9692072005545346E-3</c:v>
                </c:pt>
                <c:pt idx="1381">
                  <c:v>2.5548255334076758E-3</c:v>
                </c:pt>
                <c:pt idx="1382">
                  <c:v>3.4308858404255163E-3</c:v>
                </c:pt>
                <c:pt idx="1383">
                  <c:v>-3.1470820993044143E-2</c:v>
                </c:pt>
                <c:pt idx="1384">
                  <c:v>1.5041824205618729E-2</c:v>
                </c:pt>
                <c:pt idx="1385">
                  <c:v>2.4237226969548446E-3</c:v>
                </c:pt>
                <c:pt idx="1386">
                  <c:v>-8.5619294387208663E-3</c:v>
                </c:pt>
                <c:pt idx="1387">
                  <c:v>1.0244578552768856E-2</c:v>
                </c:pt>
                <c:pt idx="1388">
                  <c:v>-4.5812733331151833E-3</c:v>
                </c:pt>
                <c:pt idx="1389">
                  <c:v>3.6877547588745284E-3</c:v>
                </c:pt>
                <c:pt idx="1390">
                  <c:v>6.3084350320685093E-4</c:v>
                </c:pt>
                <c:pt idx="1391">
                  <c:v>5.1367799016936696E-3</c:v>
                </c:pt>
                <c:pt idx="1392">
                  <c:v>-7.5570592524317201E-3</c:v>
                </c:pt>
                <c:pt idx="1393">
                  <c:v>2.5022759652292361E-2</c:v>
                </c:pt>
                <c:pt idx="1394">
                  <c:v>3.3339003938414207E-3</c:v>
                </c:pt>
                <c:pt idx="1395">
                  <c:v>7.9563646145640217E-3</c:v>
                </c:pt>
                <c:pt idx="1396">
                  <c:v>-7.1147585754014787E-4</c:v>
                </c:pt>
                <c:pt idx="1397">
                  <c:v>-2.9090682912978109E-2</c:v>
                </c:pt>
                <c:pt idx="1398">
                  <c:v>4.3345888904119485E-3</c:v>
                </c:pt>
                <c:pt idx="1399">
                  <c:v>-2.4423028614010696E-2</c:v>
                </c:pt>
                <c:pt idx="1400">
                  <c:v>-6.6434213971942107E-3</c:v>
                </c:pt>
                <c:pt idx="1401">
                  <c:v>-1.1189661049398553E-2</c:v>
                </c:pt>
                <c:pt idx="1402">
                  <c:v>3.8052311837589325E-4</c:v>
                </c:pt>
                <c:pt idx="1403">
                  <c:v>-9.6098005902846562E-3</c:v>
                </c:pt>
                <c:pt idx="1404">
                  <c:v>-3.8406377099964875E-4</c:v>
                </c:pt>
                <c:pt idx="1405">
                  <c:v>2.6805469062556209E-2</c:v>
                </c:pt>
                <c:pt idx="1406">
                  <c:v>-1.675730360527487E-2</c:v>
                </c:pt>
                <c:pt idx="1407">
                  <c:v>-4.0290058516913524E-3</c:v>
                </c:pt>
                <c:pt idx="1408">
                  <c:v>1.03605593792286E-3</c:v>
                </c:pt>
                <c:pt idx="1409">
                  <c:v>1.1002455520884913E-2</c:v>
                </c:pt>
                <c:pt idx="1410">
                  <c:v>8.4271665602643694E-3</c:v>
                </c:pt>
                <c:pt idx="1411">
                  <c:v>1.2060106534852155E-2</c:v>
                </c:pt>
                <c:pt idx="1412">
                  <c:v>3.4793586711299421E-3</c:v>
                </c:pt>
                <c:pt idx="1413">
                  <c:v>6.4521902516692835E-3</c:v>
                </c:pt>
                <c:pt idx="1414">
                  <c:v>-2.1350495353431666E-2</c:v>
                </c:pt>
                <c:pt idx="1415">
                  <c:v>7.1852883926809942E-3</c:v>
                </c:pt>
                <c:pt idx="1416">
                  <c:v>-1.0448957823594767E-2</c:v>
                </c:pt>
                <c:pt idx="1417">
                  <c:v>1.0820134709225044E-2</c:v>
                </c:pt>
                <c:pt idx="1418">
                  <c:v>4.4432156043841481E-3</c:v>
                </c:pt>
                <c:pt idx="1419">
                  <c:v>-8.6400899979854028E-3</c:v>
                </c:pt>
                <c:pt idx="1420">
                  <c:v>1.8083762389290955E-3</c:v>
                </c:pt>
                <c:pt idx="1421">
                  <c:v>6.4622473984174422E-3</c:v>
                </c:pt>
                <c:pt idx="1422">
                  <c:v>5.0033050318537319E-3</c:v>
                </c:pt>
                <c:pt idx="1423">
                  <c:v>-7.223298427537354E-3</c:v>
                </c:pt>
                <c:pt idx="1424">
                  <c:v>7.275796668279242E-3</c:v>
                </c:pt>
                <c:pt idx="1425">
                  <c:v>4.1937735574725547E-3</c:v>
                </c:pt>
                <c:pt idx="1426">
                  <c:v>7.4008999917169176E-3</c:v>
                </c:pt>
                <c:pt idx="1427">
                  <c:v>-1.0334706588354888E-2</c:v>
                </c:pt>
                <c:pt idx="1428">
                  <c:v>-1.4746140446541369E-2</c:v>
                </c:pt>
                <c:pt idx="1429">
                  <c:v>2.446279057530355E-3</c:v>
                </c:pt>
                <c:pt idx="1430">
                  <c:v>-1.0626130189488856E-2</c:v>
                </c:pt>
                <c:pt idx="1431">
                  <c:v>-1.5908579335971312E-2</c:v>
                </c:pt>
                <c:pt idx="1432">
                  <c:v>1.1604704468689797E-2</c:v>
                </c:pt>
                <c:pt idx="1433">
                  <c:v>8.5469133923923829E-2</c:v>
                </c:pt>
                <c:pt idx="1434">
                  <c:v>-5.0615563386705639E-3</c:v>
                </c:pt>
                <c:pt idx="1435">
                  <c:v>-4.5374307464419363E-3</c:v>
                </c:pt>
                <c:pt idx="1436">
                  <c:v>5.0347661748350783E-3</c:v>
                </c:pt>
                <c:pt idx="1437">
                  <c:v>-2.0407405267166673E-3</c:v>
                </c:pt>
                <c:pt idx="1438">
                  <c:v>-1.070445132970369E-2</c:v>
                </c:pt>
                <c:pt idx="1439">
                  <c:v>7.3998340896443979E-3</c:v>
                </c:pt>
                <c:pt idx="1440">
                  <c:v>-3.7685645726660412E-3</c:v>
                </c:pt>
                <c:pt idx="1441">
                  <c:v>1.6278371828273061E-2</c:v>
                </c:pt>
                <c:pt idx="1442">
                  <c:v>5.3842034531089719E-3</c:v>
                </c:pt>
                <c:pt idx="1443">
                  <c:v>-7.8141094086849154E-3</c:v>
                </c:pt>
                <c:pt idx="1444">
                  <c:v>-1.0180248999690559E-2</c:v>
                </c:pt>
                <c:pt idx="1445">
                  <c:v>6.9477822623874542E-3</c:v>
                </c:pt>
                <c:pt idx="1446">
                  <c:v>1.600984121830341E-2</c:v>
                </c:pt>
                <c:pt idx="1447">
                  <c:v>0</c:v>
                </c:pt>
                <c:pt idx="1448">
                  <c:v>-1.930275225452871E-2</c:v>
                </c:pt>
                <c:pt idx="1449">
                  <c:v>9.5494366414040112E-3</c:v>
                </c:pt>
                <c:pt idx="1450">
                  <c:v>2.5707317269933641E-3</c:v>
                </c:pt>
                <c:pt idx="1451">
                  <c:v>-1.457195936617532E-2</c:v>
                </c:pt>
                <c:pt idx="1452">
                  <c:v>1.615062332100814E-2</c:v>
                </c:pt>
                <c:pt idx="1453">
                  <c:v>2.5601004583948586E-3</c:v>
                </c:pt>
                <c:pt idx="1454">
                  <c:v>-1.4212065732682714E-2</c:v>
                </c:pt>
                <c:pt idx="1455">
                  <c:v>1.8676456311621046E-2</c:v>
                </c:pt>
                <c:pt idx="1456">
                  <c:v>-8.4056705884682989E-3</c:v>
                </c:pt>
                <c:pt idx="1457">
                  <c:v>7.8180618708992271E-3</c:v>
                </c:pt>
                <c:pt idx="1458">
                  <c:v>-2.0101375432542488E-3</c:v>
                </c:pt>
                <c:pt idx="1459">
                  <c:v>-1.6577562706148678E-2</c:v>
                </c:pt>
                <c:pt idx="1460">
                  <c:v>-3.298671336895011E-3</c:v>
                </c:pt>
                <c:pt idx="1461">
                  <c:v>7.5065685997040418E-4</c:v>
                </c:pt>
                <c:pt idx="1462">
                  <c:v>5.636933435808603E-3</c:v>
                </c:pt>
                <c:pt idx="1463">
                  <c:v>-1.4833696024944446E-2</c:v>
                </c:pt>
                <c:pt idx="1464">
                  <c:v>-5.1629752762058388E-3</c:v>
                </c:pt>
                <c:pt idx="1465">
                  <c:v>1.0550603578673812E-2</c:v>
                </c:pt>
                <c:pt idx="1466">
                  <c:v>-2.3629750172176364E-3</c:v>
                </c:pt>
                <c:pt idx="1467">
                  <c:v>-7.2238584686979742E-3</c:v>
                </c:pt>
                <c:pt idx="1468">
                  <c:v>5.3597617919792454E-3</c:v>
                </c:pt>
                <c:pt idx="1469">
                  <c:v>-4.3462824434199847E-3</c:v>
                </c:pt>
                <c:pt idx="1470">
                  <c:v>-6.7590392387498078E-3</c:v>
                </c:pt>
                <c:pt idx="1471">
                  <c:v>-8.0892959332922853E-3</c:v>
                </c:pt>
                <c:pt idx="1472">
                  <c:v>-5.4122447187245374E-3</c:v>
                </c:pt>
                <c:pt idx="1473">
                  <c:v>2.5293095656070005E-3</c:v>
                </c:pt>
                <c:pt idx="1474">
                  <c:v>-9.2837162080694523E-4</c:v>
                </c:pt>
                <c:pt idx="1475">
                  <c:v>7.1471235939225258E-3</c:v>
                </c:pt>
                <c:pt idx="1476">
                  <c:v>-3.0750584728607541E-4</c:v>
                </c:pt>
                <c:pt idx="1477">
                  <c:v>-2.1548165048461774E-3</c:v>
                </c:pt>
                <c:pt idx="1478">
                  <c:v>1.4371018656037383E-3</c:v>
                </c:pt>
                <c:pt idx="1479">
                  <c:v>2.3052697831965094E-3</c:v>
                </c:pt>
                <c:pt idx="1480">
                  <c:v>-1.8950929992659377E-3</c:v>
                </c:pt>
                <c:pt idx="1481">
                  <c:v>4.8584748539768985E-3</c:v>
                </c:pt>
                <c:pt idx="1482">
                  <c:v>-4.0818837778082559E-4</c:v>
                </c:pt>
                <c:pt idx="1483">
                  <c:v>-4.7579189401374834E-3</c:v>
                </c:pt>
                <c:pt idx="1484">
                  <c:v>-3.4932989975189378E-3</c:v>
                </c:pt>
                <c:pt idx="1485">
                  <c:v>6.054119859192653E-3</c:v>
                </c:pt>
              </c:numCache>
            </c:numRef>
          </c:val>
          <c:smooth val="0"/>
          <c:extLst>
            <c:ext xmlns:c16="http://schemas.microsoft.com/office/drawing/2014/chart" uri="{C3380CC4-5D6E-409C-BE32-E72D297353CC}">
              <c16:uniqueId val="{00000000-1D38-4632-8557-F6B37B73E122}"/>
            </c:ext>
          </c:extLst>
        </c:ser>
        <c:dLbls>
          <c:showLegendKey val="0"/>
          <c:showVal val="0"/>
          <c:showCatName val="0"/>
          <c:showSerName val="0"/>
          <c:showPercent val="0"/>
          <c:showBubbleSize val="0"/>
        </c:dLbls>
        <c:smooth val="0"/>
        <c:axId val="1620613616"/>
        <c:axId val="1620597296"/>
      </c:lineChart>
      <c:dateAx>
        <c:axId val="1620613616"/>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97296"/>
        <c:crosses val="autoZero"/>
        <c:auto val="1"/>
        <c:lblOffset val="100"/>
        <c:baseTimeUnit val="days"/>
      </c:dateAx>
      <c:valAx>
        <c:axId val="1620597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13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Hitorical_Sim!$C$1</c:f>
              <c:strCache>
                <c:ptCount val="1"/>
                <c:pt idx="0">
                  <c:v>GICRE</c:v>
                </c:pt>
              </c:strCache>
            </c:strRef>
          </c:tx>
          <c:spPr>
            <a:ln w="28575" cap="rnd">
              <a:solidFill>
                <a:schemeClr val="accent1"/>
              </a:solidFill>
              <a:round/>
            </a:ln>
            <a:effectLst/>
          </c:spPr>
          <c:marker>
            <c:symbol val="none"/>
          </c:marker>
          <c:cat>
            <c:numRef>
              <c:f>Hitorical_Sim!$A$2:$A$1487</c:f>
              <c:numCache>
                <c:formatCode>m/d/yyyy</c:formatCode>
                <c:ptCount val="1486"/>
                <c:pt idx="0">
                  <c:v>43832</c:v>
                </c:pt>
                <c:pt idx="1">
                  <c:v>43833</c:v>
                </c:pt>
                <c:pt idx="2">
                  <c:v>43836</c:v>
                </c:pt>
                <c:pt idx="3">
                  <c:v>43837</c:v>
                </c:pt>
                <c:pt idx="4">
                  <c:v>43838</c:v>
                </c:pt>
                <c:pt idx="5">
                  <c:v>43839</c:v>
                </c:pt>
                <c:pt idx="6">
                  <c:v>43840</c:v>
                </c:pt>
                <c:pt idx="7">
                  <c:v>43843</c:v>
                </c:pt>
                <c:pt idx="8">
                  <c:v>43844</c:v>
                </c:pt>
                <c:pt idx="9">
                  <c:v>43845</c:v>
                </c:pt>
                <c:pt idx="10">
                  <c:v>43846</c:v>
                </c:pt>
                <c:pt idx="11">
                  <c:v>43847</c:v>
                </c:pt>
                <c:pt idx="12">
                  <c:v>43850</c:v>
                </c:pt>
                <c:pt idx="13">
                  <c:v>43851</c:v>
                </c:pt>
                <c:pt idx="14">
                  <c:v>43852</c:v>
                </c:pt>
                <c:pt idx="15">
                  <c:v>43853</c:v>
                </c:pt>
                <c:pt idx="16">
                  <c:v>43854</c:v>
                </c:pt>
                <c:pt idx="17">
                  <c:v>43857</c:v>
                </c:pt>
                <c:pt idx="18">
                  <c:v>43858</c:v>
                </c:pt>
                <c:pt idx="19">
                  <c:v>43859</c:v>
                </c:pt>
                <c:pt idx="20">
                  <c:v>43860</c:v>
                </c:pt>
                <c:pt idx="21">
                  <c:v>43861</c:v>
                </c:pt>
                <c:pt idx="22">
                  <c:v>43864</c:v>
                </c:pt>
                <c:pt idx="23">
                  <c:v>43865</c:v>
                </c:pt>
                <c:pt idx="24">
                  <c:v>43866</c:v>
                </c:pt>
                <c:pt idx="25">
                  <c:v>43867</c:v>
                </c:pt>
                <c:pt idx="26">
                  <c:v>43868</c:v>
                </c:pt>
                <c:pt idx="27">
                  <c:v>43871</c:v>
                </c:pt>
                <c:pt idx="28">
                  <c:v>43872</c:v>
                </c:pt>
                <c:pt idx="29">
                  <c:v>43873</c:v>
                </c:pt>
                <c:pt idx="30">
                  <c:v>43874</c:v>
                </c:pt>
                <c:pt idx="31">
                  <c:v>43875</c:v>
                </c:pt>
                <c:pt idx="32">
                  <c:v>43878</c:v>
                </c:pt>
                <c:pt idx="33">
                  <c:v>43879</c:v>
                </c:pt>
                <c:pt idx="34">
                  <c:v>43880</c:v>
                </c:pt>
                <c:pt idx="35">
                  <c:v>43881</c:v>
                </c:pt>
                <c:pt idx="36">
                  <c:v>43885</c:v>
                </c:pt>
                <c:pt idx="37">
                  <c:v>43886</c:v>
                </c:pt>
                <c:pt idx="38">
                  <c:v>43887</c:v>
                </c:pt>
                <c:pt idx="39">
                  <c:v>43888</c:v>
                </c:pt>
                <c:pt idx="40">
                  <c:v>43889</c:v>
                </c:pt>
                <c:pt idx="41">
                  <c:v>43892</c:v>
                </c:pt>
                <c:pt idx="42">
                  <c:v>43893</c:v>
                </c:pt>
                <c:pt idx="43">
                  <c:v>43894</c:v>
                </c:pt>
                <c:pt idx="44">
                  <c:v>43895</c:v>
                </c:pt>
                <c:pt idx="45">
                  <c:v>43896</c:v>
                </c:pt>
                <c:pt idx="46">
                  <c:v>43899</c:v>
                </c:pt>
                <c:pt idx="47">
                  <c:v>43901</c:v>
                </c:pt>
                <c:pt idx="48">
                  <c:v>43902</c:v>
                </c:pt>
                <c:pt idx="49">
                  <c:v>43903</c:v>
                </c:pt>
                <c:pt idx="50">
                  <c:v>43906</c:v>
                </c:pt>
                <c:pt idx="51">
                  <c:v>43907</c:v>
                </c:pt>
                <c:pt idx="52">
                  <c:v>43908</c:v>
                </c:pt>
                <c:pt idx="53">
                  <c:v>43909</c:v>
                </c:pt>
                <c:pt idx="54">
                  <c:v>43910</c:v>
                </c:pt>
                <c:pt idx="55">
                  <c:v>43913</c:v>
                </c:pt>
                <c:pt idx="56">
                  <c:v>43914</c:v>
                </c:pt>
                <c:pt idx="57">
                  <c:v>43915</c:v>
                </c:pt>
                <c:pt idx="58">
                  <c:v>43916</c:v>
                </c:pt>
                <c:pt idx="59">
                  <c:v>43917</c:v>
                </c:pt>
                <c:pt idx="60">
                  <c:v>43920</c:v>
                </c:pt>
                <c:pt idx="61">
                  <c:v>43921</c:v>
                </c:pt>
                <c:pt idx="62">
                  <c:v>43922</c:v>
                </c:pt>
                <c:pt idx="63">
                  <c:v>43924</c:v>
                </c:pt>
                <c:pt idx="64">
                  <c:v>43928</c:v>
                </c:pt>
                <c:pt idx="65">
                  <c:v>43929</c:v>
                </c:pt>
                <c:pt idx="66">
                  <c:v>43930</c:v>
                </c:pt>
                <c:pt idx="67">
                  <c:v>43934</c:v>
                </c:pt>
                <c:pt idx="68">
                  <c:v>43936</c:v>
                </c:pt>
                <c:pt idx="69">
                  <c:v>43937</c:v>
                </c:pt>
                <c:pt idx="70">
                  <c:v>43938</c:v>
                </c:pt>
                <c:pt idx="71">
                  <c:v>43941</c:v>
                </c:pt>
                <c:pt idx="72">
                  <c:v>43942</c:v>
                </c:pt>
                <c:pt idx="73">
                  <c:v>43943</c:v>
                </c:pt>
                <c:pt idx="74">
                  <c:v>43944</c:v>
                </c:pt>
                <c:pt idx="75">
                  <c:v>43945</c:v>
                </c:pt>
                <c:pt idx="76">
                  <c:v>43948</c:v>
                </c:pt>
                <c:pt idx="77">
                  <c:v>43949</c:v>
                </c:pt>
                <c:pt idx="78">
                  <c:v>43950</c:v>
                </c:pt>
                <c:pt idx="79">
                  <c:v>43951</c:v>
                </c:pt>
                <c:pt idx="80">
                  <c:v>43955</c:v>
                </c:pt>
                <c:pt idx="81">
                  <c:v>43956</c:v>
                </c:pt>
                <c:pt idx="82">
                  <c:v>43957</c:v>
                </c:pt>
                <c:pt idx="83">
                  <c:v>43958</c:v>
                </c:pt>
                <c:pt idx="84">
                  <c:v>43959</c:v>
                </c:pt>
                <c:pt idx="85">
                  <c:v>43962</c:v>
                </c:pt>
                <c:pt idx="86">
                  <c:v>43963</c:v>
                </c:pt>
                <c:pt idx="87">
                  <c:v>43964</c:v>
                </c:pt>
                <c:pt idx="88">
                  <c:v>43965</c:v>
                </c:pt>
                <c:pt idx="89">
                  <c:v>43966</c:v>
                </c:pt>
                <c:pt idx="90">
                  <c:v>43969</c:v>
                </c:pt>
                <c:pt idx="91">
                  <c:v>43970</c:v>
                </c:pt>
                <c:pt idx="92">
                  <c:v>43971</c:v>
                </c:pt>
                <c:pt idx="93">
                  <c:v>43972</c:v>
                </c:pt>
                <c:pt idx="94">
                  <c:v>43973</c:v>
                </c:pt>
                <c:pt idx="95">
                  <c:v>43977</c:v>
                </c:pt>
                <c:pt idx="96">
                  <c:v>43978</c:v>
                </c:pt>
                <c:pt idx="97">
                  <c:v>43979</c:v>
                </c:pt>
                <c:pt idx="98">
                  <c:v>43980</c:v>
                </c:pt>
                <c:pt idx="99">
                  <c:v>43983</c:v>
                </c:pt>
                <c:pt idx="100">
                  <c:v>43984</c:v>
                </c:pt>
                <c:pt idx="101">
                  <c:v>43985</c:v>
                </c:pt>
                <c:pt idx="102">
                  <c:v>43986</c:v>
                </c:pt>
                <c:pt idx="103">
                  <c:v>43987</c:v>
                </c:pt>
                <c:pt idx="104">
                  <c:v>43990</c:v>
                </c:pt>
                <c:pt idx="105">
                  <c:v>43991</c:v>
                </c:pt>
                <c:pt idx="106">
                  <c:v>43992</c:v>
                </c:pt>
                <c:pt idx="107">
                  <c:v>43993</c:v>
                </c:pt>
                <c:pt idx="108">
                  <c:v>43994</c:v>
                </c:pt>
                <c:pt idx="109">
                  <c:v>43997</c:v>
                </c:pt>
                <c:pt idx="110">
                  <c:v>43998</c:v>
                </c:pt>
                <c:pt idx="111">
                  <c:v>43999</c:v>
                </c:pt>
                <c:pt idx="112">
                  <c:v>44000</c:v>
                </c:pt>
                <c:pt idx="113">
                  <c:v>44001</c:v>
                </c:pt>
                <c:pt idx="114">
                  <c:v>44004</c:v>
                </c:pt>
                <c:pt idx="115">
                  <c:v>44005</c:v>
                </c:pt>
                <c:pt idx="116">
                  <c:v>44006</c:v>
                </c:pt>
                <c:pt idx="117">
                  <c:v>44007</c:v>
                </c:pt>
                <c:pt idx="118">
                  <c:v>44008</c:v>
                </c:pt>
                <c:pt idx="119">
                  <c:v>44011</c:v>
                </c:pt>
                <c:pt idx="120">
                  <c:v>44012</c:v>
                </c:pt>
                <c:pt idx="121">
                  <c:v>44013</c:v>
                </c:pt>
                <c:pt idx="122">
                  <c:v>44014</c:v>
                </c:pt>
                <c:pt idx="123">
                  <c:v>44015</c:v>
                </c:pt>
                <c:pt idx="124">
                  <c:v>44018</c:v>
                </c:pt>
                <c:pt idx="125">
                  <c:v>44019</c:v>
                </c:pt>
                <c:pt idx="126">
                  <c:v>44020</c:v>
                </c:pt>
                <c:pt idx="127">
                  <c:v>44021</c:v>
                </c:pt>
                <c:pt idx="128">
                  <c:v>44022</c:v>
                </c:pt>
                <c:pt idx="129">
                  <c:v>44025</c:v>
                </c:pt>
                <c:pt idx="130">
                  <c:v>44026</c:v>
                </c:pt>
                <c:pt idx="131">
                  <c:v>44027</c:v>
                </c:pt>
                <c:pt idx="132">
                  <c:v>44028</c:v>
                </c:pt>
                <c:pt idx="133">
                  <c:v>44029</c:v>
                </c:pt>
                <c:pt idx="134">
                  <c:v>44032</c:v>
                </c:pt>
                <c:pt idx="135">
                  <c:v>44033</c:v>
                </c:pt>
                <c:pt idx="136">
                  <c:v>44034</c:v>
                </c:pt>
                <c:pt idx="137">
                  <c:v>44035</c:v>
                </c:pt>
                <c:pt idx="138">
                  <c:v>44036</c:v>
                </c:pt>
                <c:pt idx="139">
                  <c:v>44039</c:v>
                </c:pt>
                <c:pt idx="140">
                  <c:v>44040</c:v>
                </c:pt>
                <c:pt idx="141">
                  <c:v>44041</c:v>
                </c:pt>
                <c:pt idx="142">
                  <c:v>44042</c:v>
                </c:pt>
                <c:pt idx="143">
                  <c:v>44043</c:v>
                </c:pt>
                <c:pt idx="144">
                  <c:v>44046</c:v>
                </c:pt>
                <c:pt idx="145">
                  <c:v>44047</c:v>
                </c:pt>
                <c:pt idx="146">
                  <c:v>44048</c:v>
                </c:pt>
                <c:pt idx="147">
                  <c:v>44049</c:v>
                </c:pt>
                <c:pt idx="148">
                  <c:v>44050</c:v>
                </c:pt>
                <c:pt idx="149">
                  <c:v>44053</c:v>
                </c:pt>
                <c:pt idx="150">
                  <c:v>44054</c:v>
                </c:pt>
                <c:pt idx="151">
                  <c:v>44055</c:v>
                </c:pt>
                <c:pt idx="152">
                  <c:v>44056</c:v>
                </c:pt>
                <c:pt idx="153">
                  <c:v>44057</c:v>
                </c:pt>
                <c:pt idx="154">
                  <c:v>44060</c:v>
                </c:pt>
                <c:pt idx="155">
                  <c:v>44061</c:v>
                </c:pt>
                <c:pt idx="156">
                  <c:v>44062</c:v>
                </c:pt>
                <c:pt idx="157">
                  <c:v>44063</c:v>
                </c:pt>
                <c:pt idx="158">
                  <c:v>44064</c:v>
                </c:pt>
                <c:pt idx="159">
                  <c:v>44067</c:v>
                </c:pt>
                <c:pt idx="160">
                  <c:v>44068</c:v>
                </c:pt>
                <c:pt idx="161">
                  <c:v>44069</c:v>
                </c:pt>
                <c:pt idx="162">
                  <c:v>44070</c:v>
                </c:pt>
                <c:pt idx="163">
                  <c:v>44071</c:v>
                </c:pt>
                <c:pt idx="164">
                  <c:v>44074</c:v>
                </c:pt>
                <c:pt idx="165">
                  <c:v>44075</c:v>
                </c:pt>
                <c:pt idx="166">
                  <c:v>44076</c:v>
                </c:pt>
                <c:pt idx="167">
                  <c:v>44077</c:v>
                </c:pt>
                <c:pt idx="168">
                  <c:v>44078</c:v>
                </c:pt>
                <c:pt idx="169">
                  <c:v>44081</c:v>
                </c:pt>
                <c:pt idx="170">
                  <c:v>44082</c:v>
                </c:pt>
                <c:pt idx="171">
                  <c:v>44083</c:v>
                </c:pt>
                <c:pt idx="172">
                  <c:v>44084</c:v>
                </c:pt>
                <c:pt idx="173">
                  <c:v>44085</c:v>
                </c:pt>
                <c:pt idx="174">
                  <c:v>44088</c:v>
                </c:pt>
                <c:pt idx="175">
                  <c:v>44089</c:v>
                </c:pt>
                <c:pt idx="176">
                  <c:v>44090</c:v>
                </c:pt>
                <c:pt idx="177">
                  <c:v>44091</c:v>
                </c:pt>
                <c:pt idx="178">
                  <c:v>44092</c:v>
                </c:pt>
                <c:pt idx="179">
                  <c:v>44095</c:v>
                </c:pt>
                <c:pt idx="180">
                  <c:v>44096</c:v>
                </c:pt>
                <c:pt idx="181">
                  <c:v>44097</c:v>
                </c:pt>
                <c:pt idx="182">
                  <c:v>44098</c:v>
                </c:pt>
                <c:pt idx="183">
                  <c:v>44099</c:v>
                </c:pt>
                <c:pt idx="184">
                  <c:v>44102</c:v>
                </c:pt>
                <c:pt idx="185">
                  <c:v>44103</c:v>
                </c:pt>
                <c:pt idx="186">
                  <c:v>44104</c:v>
                </c:pt>
                <c:pt idx="187">
                  <c:v>44105</c:v>
                </c:pt>
                <c:pt idx="188">
                  <c:v>44109</c:v>
                </c:pt>
                <c:pt idx="189">
                  <c:v>44110</c:v>
                </c:pt>
                <c:pt idx="190">
                  <c:v>44111</c:v>
                </c:pt>
                <c:pt idx="191">
                  <c:v>44112</c:v>
                </c:pt>
                <c:pt idx="192">
                  <c:v>44113</c:v>
                </c:pt>
                <c:pt idx="193">
                  <c:v>44116</c:v>
                </c:pt>
                <c:pt idx="194">
                  <c:v>44117</c:v>
                </c:pt>
                <c:pt idx="195">
                  <c:v>44118</c:v>
                </c:pt>
                <c:pt idx="196">
                  <c:v>44119</c:v>
                </c:pt>
                <c:pt idx="197">
                  <c:v>44120</c:v>
                </c:pt>
                <c:pt idx="198">
                  <c:v>44123</c:v>
                </c:pt>
                <c:pt idx="199">
                  <c:v>44124</c:v>
                </c:pt>
                <c:pt idx="200">
                  <c:v>44125</c:v>
                </c:pt>
                <c:pt idx="201">
                  <c:v>44126</c:v>
                </c:pt>
                <c:pt idx="202">
                  <c:v>44127</c:v>
                </c:pt>
                <c:pt idx="203">
                  <c:v>44130</c:v>
                </c:pt>
                <c:pt idx="204">
                  <c:v>44131</c:v>
                </c:pt>
                <c:pt idx="205">
                  <c:v>44132</c:v>
                </c:pt>
                <c:pt idx="206">
                  <c:v>44133</c:v>
                </c:pt>
                <c:pt idx="207">
                  <c:v>44134</c:v>
                </c:pt>
                <c:pt idx="208">
                  <c:v>44137</c:v>
                </c:pt>
                <c:pt idx="209">
                  <c:v>44138</c:v>
                </c:pt>
                <c:pt idx="210">
                  <c:v>44139</c:v>
                </c:pt>
                <c:pt idx="211">
                  <c:v>44140</c:v>
                </c:pt>
                <c:pt idx="212">
                  <c:v>44141</c:v>
                </c:pt>
                <c:pt idx="213">
                  <c:v>44144</c:v>
                </c:pt>
                <c:pt idx="214">
                  <c:v>44145</c:v>
                </c:pt>
                <c:pt idx="215">
                  <c:v>44146</c:v>
                </c:pt>
                <c:pt idx="216">
                  <c:v>44147</c:v>
                </c:pt>
                <c:pt idx="217">
                  <c:v>44148</c:v>
                </c:pt>
                <c:pt idx="218">
                  <c:v>44149</c:v>
                </c:pt>
                <c:pt idx="219">
                  <c:v>44152</c:v>
                </c:pt>
                <c:pt idx="220">
                  <c:v>44153</c:v>
                </c:pt>
                <c:pt idx="221">
                  <c:v>44154</c:v>
                </c:pt>
                <c:pt idx="222">
                  <c:v>44155</c:v>
                </c:pt>
                <c:pt idx="223">
                  <c:v>44158</c:v>
                </c:pt>
                <c:pt idx="224">
                  <c:v>44159</c:v>
                </c:pt>
                <c:pt idx="225">
                  <c:v>44160</c:v>
                </c:pt>
                <c:pt idx="226">
                  <c:v>44161</c:v>
                </c:pt>
                <c:pt idx="227">
                  <c:v>44162</c:v>
                </c:pt>
                <c:pt idx="228">
                  <c:v>44166</c:v>
                </c:pt>
                <c:pt idx="229">
                  <c:v>44167</c:v>
                </c:pt>
                <c:pt idx="230">
                  <c:v>44168</c:v>
                </c:pt>
                <c:pt idx="231">
                  <c:v>44169</c:v>
                </c:pt>
                <c:pt idx="232">
                  <c:v>44172</c:v>
                </c:pt>
                <c:pt idx="233">
                  <c:v>44173</c:v>
                </c:pt>
                <c:pt idx="234">
                  <c:v>44174</c:v>
                </c:pt>
                <c:pt idx="235">
                  <c:v>44175</c:v>
                </c:pt>
                <c:pt idx="236">
                  <c:v>44176</c:v>
                </c:pt>
                <c:pt idx="237">
                  <c:v>44179</c:v>
                </c:pt>
                <c:pt idx="238">
                  <c:v>44180</c:v>
                </c:pt>
                <c:pt idx="239">
                  <c:v>44181</c:v>
                </c:pt>
                <c:pt idx="240">
                  <c:v>44182</c:v>
                </c:pt>
                <c:pt idx="241">
                  <c:v>44183</c:v>
                </c:pt>
                <c:pt idx="242">
                  <c:v>44186</c:v>
                </c:pt>
                <c:pt idx="243">
                  <c:v>44187</c:v>
                </c:pt>
                <c:pt idx="244">
                  <c:v>44188</c:v>
                </c:pt>
                <c:pt idx="245">
                  <c:v>44189</c:v>
                </c:pt>
                <c:pt idx="246">
                  <c:v>44193</c:v>
                </c:pt>
                <c:pt idx="247">
                  <c:v>44194</c:v>
                </c:pt>
                <c:pt idx="248">
                  <c:v>44195</c:v>
                </c:pt>
                <c:pt idx="249">
                  <c:v>44196</c:v>
                </c:pt>
                <c:pt idx="250">
                  <c:v>44197</c:v>
                </c:pt>
                <c:pt idx="251">
                  <c:v>44200</c:v>
                </c:pt>
                <c:pt idx="252">
                  <c:v>44201</c:v>
                </c:pt>
                <c:pt idx="253">
                  <c:v>44202</c:v>
                </c:pt>
                <c:pt idx="254">
                  <c:v>44203</c:v>
                </c:pt>
                <c:pt idx="255">
                  <c:v>44204</c:v>
                </c:pt>
                <c:pt idx="256">
                  <c:v>44207</c:v>
                </c:pt>
                <c:pt idx="257">
                  <c:v>44208</c:v>
                </c:pt>
                <c:pt idx="258">
                  <c:v>44209</c:v>
                </c:pt>
                <c:pt idx="259">
                  <c:v>44210</c:v>
                </c:pt>
                <c:pt idx="260">
                  <c:v>44211</c:v>
                </c:pt>
                <c:pt idx="261">
                  <c:v>44214</c:v>
                </c:pt>
                <c:pt idx="262">
                  <c:v>44215</c:v>
                </c:pt>
                <c:pt idx="263">
                  <c:v>44216</c:v>
                </c:pt>
                <c:pt idx="264">
                  <c:v>44217</c:v>
                </c:pt>
                <c:pt idx="265">
                  <c:v>44218</c:v>
                </c:pt>
                <c:pt idx="266">
                  <c:v>44221</c:v>
                </c:pt>
                <c:pt idx="267">
                  <c:v>44223</c:v>
                </c:pt>
                <c:pt idx="268">
                  <c:v>44224</c:v>
                </c:pt>
                <c:pt idx="269">
                  <c:v>44225</c:v>
                </c:pt>
                <c:pt idx="270">
                  <c:v>44228</c:v>
                </c:pt>
                <c:pt idx="271">
                  <c:v>44229</c:v>
                </c:pt>
                <c:pt idx="272">
                  <c:v>44230</c:v>
                </c:pt>
                <c:pt idx="273">
                  <c:v>44231</c:v>
                </c:pt>
                <c:pt idx="274">
                  <c:v>44232</c:v>
                </c:pt>
                <c:pt idx="275">
                  <c:v>44235</c:v>
                </c:pt>
                <c:pt idx="276">
                  <c:v>44236</c:v>
                </c:pt>
                <c:pt idx="277">
                  <c:v>44237</c:v>
                </c:pt>
                <c:pt idx="278">
                  <c:v>44238</c:v>
                </c:pt>
                <c:pt idx="279">
                  <c:v>44239</c:v>
                </c:pt>
                <c:pt idx="280">
                  <c:v>44242</c:v>
                </c:pt>
                <c:pt idx="281">
                  <c:v>44243</c:v>
                </c:pt>
                <c:pt idx="282">
                  <c:v>44244</c:v>
                </c:pt>
                <c:pt idx="283">
                  <c:v>44245</c:v>
                </c:pt>
                <c:pt idx="284">
                  <c:v>44246</c:v>
                </c:pt>
                <c:pt idx="285">
                  <c:v>44249</c:v>
                </c:pt>
                <c:pt idx="286">
                  <c:v>44250</c:v>
                </c:pt>
                <c:pt idx="287">
                  <c:v>44251</c:v>
                </c:pt>
                <c:pt idx="288">
                  <c:v>44252</c:v>
                </c:pt>
                <c:pt idx="289">
                  <c:v>44253</c:v>
                </c:pt>
                <c:pt idx="290">
                  <c:v>44256</c:v>
                </c:pt>
                <c:pt idx="291">
                  <c:v>44257</c:v>
                </c:pt>
                <c:pt idx="292">
                  <c:v>44258</c:v>
                </c:pt>
                <c:pt idx="293">
                  <c:v>44259</c:v>
                </c:pt>
                <c:pt idx="294">
                  <c:v>44260</c:v>
                </c:pt>
                <c:pt idx="295">
                  <c:v>44263</c:v>
                </c:pt>
                <c:pt idx="296">
                  <c:v>44264</c:v>
                </c:pt>
                <c:pt idx="297">
                  <c:v>44265</c:v>
                </c:pt>
                <c:pt idx="298">
                  <c:v>44267</c:v>
                </c:pt>
                <c:pt idx="299">
                  <c:v>44270</c:v>
                </c:pt>
                <c:pt idx="300">
                  <c:v>44271</c:v>
                </c:pt>
                <c:pt idx="301">
                  <c:v>44272</c:v>
                </c:pt>
                <c:pt idx="302">
                  <c:v>44273</c:v>
                </c:pt>
                <c:pt idx="303">
                  <c:v>44274</c:v>
                </c:pt>
                <c:pt idx="304">
                  <c:v>44277</c:v>
                </c:pt>
                <c:pt idx="305">
                  <c:v>44278</c:v>
                </c:pt>
                <c:pt idx="306">
                  <c:v>44279</c:v>
                </c:pt>
                <c:pt idx="307">
                  <c:v>44280</c:v>
                </c:pt>
                <c:pt idx="308">
                  <c:v>44281</c:v>
                </c:pt>
                <c:pt idx="309">
                  <c:v>44285</c:v>
                </c:pt>
                <c:pt idx="310">
                  <c:v>44286</c:v>
                </c:pt>
                <c:pt idx="311">
                  <c:v>44287</c:v>
                </c:pt>
                <c:pt idx="312">
                  <c:v>44291</c:v>
                </c:pt>
                <c:pt idx="313">
                  <c:v>44292</c:v>
                </c:pt>
                <c:pt idx="314">
                  <c:v>44293</c:v>
                </c:pt>
                <c:pt idx="315">
                  <c:v>44294</c:v>
                </c:pt>
                <c:pt idx="316">
                  <c:v>44295</c:v>
                </c:pt>
                <c:pt idx="317">
                  <c:v>44298</c:v>
                </c:pt>
                <c:pt idx="318">
                  <c:v>44299</c:v>
                </c:pt>
                <c:pt idx="319">
                  <c:v>44301</c:v>
                </c:pt>
                <c:pt idx="320">
                  <c:v>44302</c:v>
                </c:pt>
                <c:pt idx="321">
                  <c:v>44305</c:v>
                </c:pt>
                <c:pt idx="322">
                  <c:v>44306</c:v>
                </c:pt>
                <c:pt idx="323">
                  <c:v>44308</c:v>
                </c:pt>
                <c:pt idx="324">
                  <c:v>44309</c:v>
                </c:pt>
                <c:pt idx="325">
                  <c:v>44312</c:v>
                </c:pt>
                <c:pt idx="326">
                  <c:v>44313</c:v>
                </c:pt>
                <c:pt idx="327">
                  <c:v>44314</c:v>
                </c:pt>
                <c:pt idx="328">
                  <c:v>44315</c:v>
                </c:pt>
                <c:pt idx="329">
                  <c:v>44316</c:v>
                </c:pt>
                <c:pt idx="330">
                  <c:v>44319</c:v>
                </c:pt>
                <c:pt idx="331">
                  <c:v>44320</c:v>
                </c:pt>
                <c:pt idx="332">
                  <c:v>44321</c:v>
                </c:pt>
                <c:pt idx="333">
                  <c:v>44322</c:v>
                </c:pt>
                <c:pt idx="334">
                  <c:v>44323</c:v>
                </c:pt>
                <c:pt idx="335">
                  <c:v>44326</c:v>
                </c:pt>
                <c:pt idx="336">
                  <c:v>44327</c:v>
                </c:pt>
                <c:pt idx="337">
                  <c:v>44328</c:v>
                </c:pt>
                <c:pt idx="338">
                  <c:v>44330</c:v>
                </c:pt>
                <c:pt idx="339">
                  <c:v>44333</c:v>
                </c:pt>
                <c:pt idx="340">
                  <c:v>44334</c:v>
                </c:pt>
                <c:pt idx="341">
                  <c:v>44335</c:v>
                </c:pt>
                <c:pt idx="342">
                  <c:v>44336</c:v>
                </c:pt>
                <c:pt idx="343">
                  <c:v>44337</c:v>
                </c:pt>
                <c:pt idx="344">
                  <c:v>44340</c:v>
                </c:pt>
                <c:pt idx="345">
                  <c:v>44341</c:v>
                </c:pt>
                <c:pt idx="346">
                  <c:v>44342</c:v>
                </c:pt>
                <c:pt idx="347">
                  <c:v>44343</c:v>
                </c:pt>
                <c:pt idx="348">
                  <c:v>44344</c:v>
                </c:pt>
                <c:pt idx="349">
                  <c:v>44347</c:v>
                </c:pt>
                <c:pt idx="350">
                  <c:v>44348</c:v>
                </c:pt>
                <c:pt idx="351">
                  <c:v>44349</c:v>
                </c:pt>
                <c:pt idx="352">
                  <c:v>44350</c:v>
                </c:pt>
                <c:pt idx="353">
                  <c:v>44351</c:v>
                </c:pt>
                <c:pt idx="354">
                  <c:v>44354</c:v>
                </c:pt>
                <c:pt idx="355">
                  <c:v>44355</c:v>
                </c:pt>
                <c:pt idx="356">
                  <c:v>44356</c:v>
                </c:pt>
                <c:pt idx="357">
                  <c:v>44357</c:v>
                </c:pt>
                <c:pt idx="358">
                  <c:v>44358</c:v>
                </c:pt>
                <c:pt idx="359">
                  <c:v>44361</c:v>
                </c:pt>
                <c:pt idx="360">
                  <c:v>44362</c:v>
                </c:pt>
                <c:pt idx="361">
                  <c:v>44363</c:v>
                </c:pt>
                <c:pt idx="362">
                  <c:v>44364</c:v>
                </c:pt>
                <c:pt idx="363">
                  <c:v>44365</c:v>
                </c:pt>
                <c:pt idx="364">
                  <c:v>44368</c:v>
                </c:pt>
                <c:pt idx="365">
                  <c:v>44369</c:v>
                </c:pt>
                <c:pt idx="366">
                  <c:v>44370</c:v>
                </c:pt>
                <c:pt idx="367">
                  <c:v>44371</c:v>
                </c:pt>
                <c:pt idx="368">
                  <c:v>44372</c:v>
                </c:pt>
                <c:pt idx="369">
                  <c:v>44375</c:v>
                </c:pt>
                <c:pt idx="370">
                  <c:v>44376</c:v>
                </c:pt>
                <c:pt idx="371">
                  <c:v>44377</c:v>
                </c:pt>
                <c:pt idx="372">
                  <c:v>44378</c:v>
                </c:pt>
                <c:pt idx="373">
                  <c:v>44379</c:v>
                </c:pt>
                <c:pt idx="374">
                  <c:v>44382</c:v>
                </c:pt>
                <c:pt idx="375">
                  <c:v>44383</c:v>
                </c:pt>
                <c:pt idx="376">
                  <c:v>44384</c:v>
                </c:pt>
                <c:pt idx="377">
                  <c:v>44385</c:v>
                </c:pt>
                <c:pt idx="378">
                  <c:v>44386</c:v>
                </c:pt>
                <c:pt idx="379">
                  <c:v>44389</c:v>
                </c:pt>
                <c:pt idx="380">
                  <c:v>44390</c:v>
                </c:pt>
                <c:pt idx="381">
                  <c:v>44391</c:v>
                </c:pt>
                <c:pt idx="382">
                  <c:v>44392</c:v>
                </c:pt>
                <c:pt idx="383">
                  <c:v>44393</c:v>
                </c:pt>
                <c:pt idx="384">
                  <c:v>44396</c:v>
                </c:pt>
                <c:pt idx="385">
                  <c:v>44397</c:v>
                </c:pt>
                <c:pt idx="386">
                  <c:v>44399</c:v>
                </c:pt>
                <c:pt idx="387">
                  <c:v>44400</c:v>
                </c:pt>
                <c:pt idx="388">
                  <c:v>44403</c:v>
                </c:pt>
                <c:pt idx="389">
                  <c:v>44404</c:v>
                </c:pt>
                <c:pt idx="390">
                  <c:v>44405</c:v>
                </c:pt>
                <c:pt idx="391">
                  <c:v>44406</c:v>
                </c:pt>
                <c:pt idx="392">
                  <c:v>44407</c:v>
                </c:pt>
                <c:pt idx="393">
                  <c:v>44410</c:v>
                </c:pt>
                <c:pt idx="394">
                  <c:v>44411</c:v>
                </c:pt>
                <c:pt idx="395">
                  <c:v>44412</c:v>
                </c:pt>
                <c:pt idx="396">
                  <c:v>44413</c:v>
                </c:pt>
                <c:pt idx="397">
                  <c:v>44414</c:v>
                </c:pt>
                <c:pt idx="398">
                  <c:v>44417</c:v>
                </c:pt>
                <c:pt idx="399">
                  <c:v>44418</c:v>
                </c:pt>
                <c:pt idx="400">
                  <c:v>44419</c:v>
                </c:pt>
                <c:pt idx="401">
                  <c:v>44420</c:v>
                </c:pt>
                <c:pt idx="402">
                  <c:v>44421</c:v>
                </c:pt>
                <c:pt idx="403">
                  <c:v>44424</c:v>
                </c:pt>
                <c:pt idx="404">
                  <c:v>44425</c:v>
                </c:pt>
                <c:pt idx="405">
                  <c:v>44426</c:v>
                </c:pt>
                <c:pt idx="406">
                  <c:v>44428</c:v>
                </c:pt>
                <c:pt idx="407">
                  <c:v>44431</c:v>
                </c:pt>
                <c:pt idx="408">
                  <c:v>44432</c:v>
                </c:pt>
                <c:pt idx="409">
                  <c:v>44433</c:v>
                </c:pt>
                <c:pt idx="410">
                  <c:v>44434</c:v>
                </c:pt>
                <c:pt idx="411">
                  <c:v>44435</c:v>
                </c:pt>
                <c:pt idx="412">
                  <c:v>44438</c:v>
                </c:pt>
                <c:pt idx="413">
                  <c:v>44439</c:v>
                </c:pt>
                <c:pt idx="414">
                  <c:v>44440</c:v>
                </c:pt>
                <c:pt idx="415">
                  <c:v>44441</c:v>
                </c:pt>
                <c:pt idx="416">
                  <c:v>44442</c:v>
                </c:pt>
                <c:pt idx="417">
                  <c:v>44445</c:v>
                </c:pt>
                <c:pt idx="418">
                  <c:v>44446</c:v>
                </c:pt>
                <c:pt idx="419">
                  <c:v>44447</c:v>
                </c:pt>
                <c:pt idx="420">
                  <c:v>44448</c:v>
                </c:pt>
                <c:pt idx="421">
                  <c:v>44452</c:v>
                </c:pt>
                <c:pt idx="422">
                  <c:v>44453</c:v>
                </c:pt>
                <c:pt idx="423">
                  <c:v>44454</c:v>
                </c:pt>
                <c:pt idx="424">
                  <c:v>44455</c:v>
                </c:pt>
                <c:pt idx="425">
                  <c:v>44456</c:v>
                </c:pt>
                <c:pt idx="426">
                  <c:v>44459</c:v>
                </c:pt>
                <c:pt idx="427">
                  <c:v>44460</c:v>
                </c:pt>
                <c:pt idx="428">
                  <c:v>44461</c:v>
                </c:pt>
                <c:pt idx="429">
                  <c:v>44462</c:v>
                </c:pt>
                <c:pt idx="430">
                  <c:v>44463</c:v>
                </c:pt>
                <c:pt idx="431">
                  <c:v>44466</c:v>
                </c:pt>
                <c:pt idx="432">
                  <c:v>44467</c:v>
                </c:pt>
                <c:pt idx="433">
                  <c:v>44468</c:v>
                </c:pt>
                <c:pt idx="434">
                  <c:v>44469</c:v>
                </c:pt>
                <c:pt idx="435">
                  <c:v>44470</c:v>
                </c:pt>
                <c:pt idx="436">
                  <c:v>44473</c:v>
                </c:pt>
                <c:pt idx="437">
                  <c:v>44474</c:v>
                </c:pt>
                <c:pt idx="438">
                  <c:v>44475</c:v>
                </c:pt>
                <c:pt idx="439">
                  <c:v>44476</c:v>
                </c:pt>
                <c:pt idx="440">
                  <c:v>44477</c:v>
                </c:pt>
                <c:pt idx="441">
                  <c:v>44480</c:v>
                </c:pt>
                <c:pt idx="442">
                  <c:v>44481</c:v>
                </c:pt>
                <c:pt idx="443">
                  <c:v>44482</c:v>
                </c:pt>
                <c:pt idx="444">
                  <c:v>44483</c:v>
                </c:pt>
                <c:pt idx="445">
                  <c:v>44487</c:v>
                </c:pt>
                <c:pt idx="446">
                  <c:v>44488</c:v>
                </c:pt>
                <c:pt idx="447">
                  <c:v>44489</c:v>
                </c:pt>
                <c:pt idx="448">
                  <c:v>44490</c:v>
                </c:pt>
                <c:pt idx="449">
                  <c:v>44491</c:v>
                </c:pt>
                <c:pt idx="450">
                  <c:v>44494</c:v>
                </c:pt>
                <c:pt idx="451">
                  <c:v>44495</c:v>
                </c:pt>
                <c:pt idx="452">
                  <c:v>44496</c:v>
                </c:pt>
                <c:pt idx="453">
                  <c:v>44497</c:v>
                </c:pt>
                <c:pt idx="454">
                  <c:v>44498</c:v>
                </c:pt>
                <c:pt idx="455">
                  <c:v>44501</c:v>
                </c:pt>
                <c:pt idx="456">
                  <c:v>44502</c:v>
                </c:pt>
                <c:pt idx="457">
                  <c:v>44503</c:v>
                </c:pt>
                <c:pt idx="458">
                  <c:v>44504</c:v>
                </c:pt>
                <c:pt idx="459">
                  <c:v>44508</c:v>
                </c:pt>
                <c:pt idx="460">
                  <c:v>44509</c:v>
                </c:pt>
                <c:pt idx="461">
                  <c:v>44510</c:v>
                </c:pt>
                <c:pt idx="462">
                  <c:v>44511</c:v>
                </c:pt>
                <c:pt idx="463">
                  <c:v>44512</c:v>
                </c:pt>
                <c:pt idx="464">
                  <c:v>44515</c:v>
                </c:pt>
                <c:pt idx="465">
                  <c:v>44516</c:v>
                </c:pt>
                <c:pt idx="466">
                  <c:v>44517</c:v>
                </c:pt>
                <c:pt idx="467">
                  <c:v>44518</c:v>
                </c:pt>
                <c:pt idx="468">
                  <c:v>44522</c:v>
                </c:pt>
                <c:pt idx="469">
                  <c:v>44523</c:v>
                </c:pt>
                <c:pt idx="470">
                  <c:v>44524</c:v>
                </c:pt>
                <c:pt idx="471">
                  <c:v>44525</c:v>
                </c:pt>
                <c:pt idx="472">
                  <c:v>44526</c:v>
                </c:pt>
                <c:pt idx="473">
                  <c:v>44529</c:v>
                </c:pt>
                <c:pt idx="474">
                  <c:v>44530</c:v>
                </c:pt>
                <c:pt idx="475">
                  <c:v>44531</c:v>
                </c:pt>
                <c:pt idx="476">
                  <c:v>44532</c:v>
                </c:pt>
                <c:pt idx="477">
                  <c:v>44533</c:v>
                </c:pt>
                <c:pt idx="478">
                  <c:v>44536</c:v>
                </c:pt>
                <c:pt idx="479">
                  <c:v>44537</c:v>
                </c:pt>
                <c:pt idx="480">
                  <c:v>44538</c:v>
                </c:pt>
                <c:pt idx="481">
                  <c:v>44539</c:v>
                </c:pt>
                <c:pt idx="482">
                  <c:v>44540</c:v>
                </c:pt>
                <c:pt idx="483">
                  <c:v>44543</c:v>
                </c:pt>
                <c:pt idx="484">
                  <c:v>44544</c:v>
                </c:pt>
                <c:pt idx="485">
                  <c:v>44545</c:v>
                </c:pt>
                <c:pt idx="486">
                  <c:v>44546</c:v>
                </c:pt>
                <c:pt idx="487">
                  <c:v>44547</c:v>
                </c:pt>
                <c:pt idx="488">
                  <c:v>44550</c:v>
                </c:pt>
                <c:pt idx="489">
                  <c:v>44551</c:v>
                </c:pt>
                <c:pt idx="490">
                  <c:v>44552</c:v>
                </c:pt>
                <c:pt idx="491">
                  <c:v>44553</c:v>
                </c:pt>
                <c:pt idx="492">
                  <c:v>44554</c:v>
                </c:pt>
                <c:pt idx="493">
                  <c:v>44557</c:v>
                </c:pt>
                <c:pt idx="494">
                  <c:v>44558</c:v>
                </c:pt>
                <c:pt idx="495">
                  <c:v>44559</c:v>
                </c:pt>
                <c:pt idx="496">
                  <c:v>44560</c:v>
                </c:pt>
                <c:pt idx="497">
                  <c:v>44561</c:v>
                </c:pt>
                <c:pt idx="498">
                  <c:v>44564</c:v>
                </c:pt>
                <c:pt idx="499">
                  <c:v>44565</c:v>
                </c:pt>
                <c:pt idx="500">
                  <c:v>44566</c:v>
                </c:pt>
                <c:pt idx="501">
                  <c:v>44567</c:v>
                </c:pt>
                <c:pt idx="502">
                  <c:v>44568</c:v>
                </c:pt>
                <c:pt idx="503">
                  <c:v>44571</c:v>
                </c:pt>
                <c:pt idx="504">
                  <c:v>44572</c:v>
                </c:pt>
                <c:pt idx="505">
                  <c:v>44573</c:v>
                </c:pt>
                <c:pt idx="506">
                  <c:v>44574</c:v>
                </c:pt>
                <c:pt idx="507">
                  <c:v>44575</c:v>
                </c:pt>
                <c:pt idx="508">
                  <c:v>44578</c:v>
                </c:pt>
                <c:pt idx="509">
                  <c:v>44579</c:v>
                </c:pt>
                <c:pt idx="510">
                  <c:v>44580</c:v>
                </c:pt>
                <c:pt idx="511">
                  <c:v>44581</c:v>
                </c:pt>
                <c:pt idx="512">
                  <c:v>44582</c:v>
                </c:pt>
                <c:pt idx="513">
                  <c:v>44585</c:v>
                </c:pt>
                <c:pt idx="514">
                  <c:v>44586</c:v>
                </c:pt>
                <c:pt idx="515">
                  <c:v>44588</c:v>
                </c:pt>
                <c:pt idx="516">
                  <c:v>44589</c:v>
                </c:pt>
                <c:pt idx="517">
                  <c:v>44592</c:v>
                </c:pt>
                <c:pt idx="518">
                  <c:v>44593</c:v>
                </c:pt>
                <c:pt idx="519">
                  <c:v>44594</c:v>
                </c:pt>
                <c:pt idx="520">
                  <c:v>44595</c:v>
                </c:pt>
                <c:pt idx="521">
                  <c:v>44596</c:v>
                </c:pt>
                <c:pt idx="522">
                  <c:v>44599</c:v>
                </c:pt>
                <c:pt idx="523">
                  <c:v>44600</c:v>
                </c:pt>
                <c:pt idx="524">
                  <c:v>44601</c:v>
                </c:pt>
                <c:pt idx="525">
                  <c:v>44602</c:v>
                </c:pt>
                <c:pt idx="526">
                  <c:v>44603</c:v>
                </c:pt>
                <c:pt idx="527">
                  <c:v>44606</c:v>
                </c:pt>
                <c:pt idx="528">
                  <c:v>44607</c:v>
                </c:pt>
                <c:pt idx="529">
                  <c:v>44608</c:v>
                </c:pt>
                <c:pt idx="530">
                  <c:v>44609</c:v>
                </c:pt>
                <c:pt idx="531">
                  <c:v>44610</c:v>
                </c:pt>
                <c:pt idx="532">
                  <c:v>44613</c:v>
                </c:pt>
                <c:pt idx="533">
                  <c:v>44614</c:v>
                </c:pt>
                <c:pt idx="534">
                  <c:v>44615</c:v>
                </c:pt>
                <c:pt idx="535">
                  <c:v>44616</c:v>
                </c:pt>
                <c:pt idx="536">
                  <c:v>44617</c:v>
                </c:pt>
                <c:pt idx="537">
                  <c:v>44620</c:v>
                </c:pt>
                <c:pt idx="538">
                  <c:v>44622</c:v>
                </c:pt>
                <c:pt idx="539">
                  <c:v>44623</c:v>
                </c:pt>
                <c:pt idx="540">
                  <c:v>44624</c:v>
                </c:pt>
                <c:pt idx="541">
                  <c:v>44627</c:v>
                </c:pt>
                <c:pt idx="542">
                  <c:v>44628</c:v>
                </c:pt>
                <c:pt idx="543">
                  <c:v>44629</c:v>
                </c:pt>
                <c:pt idx="544">
                  <c:v>44630</c:v>
                </c:pt>
                <c:pt idx="545">
                  <c:v>44631</c:v>
                </c:pt>
                <c:pt idx="546">
                  <c:v>44634</c:v>
                </c:pt>
                <c:pt idx="547">
                  <c:v>44635</c:v>
                </c:pt>
                <c:pt idx="548">
                  <c:v>44636</c:v>
                </c:pt>
                <c:pt idx="549">
                  <c:v>44637</c:v>
                </c:pt>
                <c:pt idx="550">
                  <c:v>44641</c:v>
                </c:pt>
                <c:pt idx="551">
                  <c:v>44642</c:v>
                </c:pt>
                <c:pt idx="552">
                  <c:v>44643</c:v>
                </c:pt>
                <c:pt idx="553">
                  <c:v>44644</c:v>
                </c:pt>
                <c:pt idx="554">
                  <c:v>44645</c:v>
                </c:pt>
                <c:pt idx="555">
                  <c:v>44648</c:v>
                </c:pt>
                <c:pt idx="556">
                  <c:v>44649</c:v>
                </c:pt>
                <c:pt idx="557">
                  <c:v>44650</c:v>
                </c:pt>
                <c:pt idx="558">
                  <c:v>44651</c:v>
                </c:pt>
                <c:pt idx="559">
                  <c:v>44652</c:v>
                </c:pt>
                <c:pt idx="560">
                  <c:v>44655</c:v>
                </c:pt>
                <c:pt idx="561">
                  <c:v>44656</c:v>
                </c:pt>
                <c:pt idx="562">
                  <c:v>44657</c:v>
                </c:pt>
                <c:pt idx="563">
                  <c:v>44658</c:v>
                </c:pt>
                <c:pt idx="564">
                  <c:v>44659</c:v>
                </c:pt>
                <c:pt idx="565">
                  <c:v>44662</c:v>
                </c:pt>
                <c:pt idx="566">
                  <c:v>44663</c:v>
                </c:pt>
                <c:pt idx="567">
                  <c:v>44664</c:v>
                </c:pt>
                <c:pt idx="568">
                  <c:v>44669</c:v>
                </c:pt>
                <c:pt idx="569">
                  <c:v>44670</c:v>
                </c:pt>
                <c:pt idx="570">
                  <c:v>44671</c:v>
                </c:pt>
                <c:pt idx="571">
                  <c:v>44672</c:v>
                </c:pt>
                <c:pt idx="572">
                  <c:v>44673</c:v>
                </c:pt>
                <c:pt idx="573">
                  <c:v>44676</c:v>
                </c:pt>
                <c:pt idx="574">
                  <c:v>44677</c:v>
                </c:pt>
                <c:pt idx="575">
                  <c:v>44678</c:v>
                </c:pt>
                <c:pt idx="576">
                  <c:v>44679</c:v>
                </c:pt>
                <c:pt idx="577">
                  <c:v>44680</c:v>
                </c:pt>
                <c:pt idx="578">
                  <c:v>44683</c:v>
                </c:pt>
                <c:pt idx="579">
                  <c:v>44685</c:v>
                </c:pt>
                <c:pt idx="580">
                  <c:v>44686</c:v>
                </c:pt>
                <c:pt idx="581">
                  <c:v>44687</c:v>
                </c:pt>
                <c:pt idx="582">
                  <c:v>44690</c:v>
                </c:pt>
                <c:pt idx="583">
                  <c:v>44691</c:v>
                </c:pt>
                <c:pt idx="584">
                  <c:v>44692</c:v>
                </c:pt>
                <c:pt idx="585">
                  <c:v>44693</c:v>
                </c:pt>
                <c:pt idx="586">
                  <c:v>44694</c:v>
                </c:pt>
                <c:pt idx="587">
                  <c:v>44697</c:v>
                </c:pt>
                <c:pt idx="588">
                  <c:v>44698</c:v>
                </c:pt>
                <c:pt idx="589">
                  <c:v>44699</c:v>
                </c:pt>
                <c:pt idx="590">
                  <c:v>44700</c:v>
                </c:pt>
                <c:pt idx="591">
                  <c:v>44701</c:v>
                </c:pt>
                <c:pt idx="592">
                  <c:v>44704</c:v>
                </c:pt>
                <c:pt idx="593">
                  <c:v>44705</c:v>
                </c:pt>
                <c:pt idx="594">
                  <c:v>44706</c:v>
                </c:pt>
                <c:pt idx="595">
                  <c:v>44707</c:v>
                </c:pt>
                <c:pt idx="596">
                  <c:v>44708</c:v>
                </c:pt>
                <c:pt idx="597">
                  <c:v>44711</c:v>
                </c:pt>
                <c:pt idx="598">
                  <c:v>44712</c:v>
                </c:pt>
                <c:pt idx="599">
                  <c:v>44713</c:v>
                </c:pt>
                <c:pt idx="600">
                  <c:v>44714</c:v>
                </c:pt>
                <c:pt idx="601">
                  <c:v>44715</c:v>
                </c:pt>
                <c:pt idx="602">
                  <c:v>44718</c:v>
                </c:pt>
                <c:pt idx="603">
                  <c:v>44719</c:v>
                </c:pt>
                <c:pt idx="604">
                  <c:v>44720</c:v>
                </c:pt>
                <c:pt idx="605">
                  <c:v>44721</c:v>
                </c:pt>
                <c:pt idx="606">
                  <c:v>44722</c:v>
                </c:pt>
                <c:pt idx="607">
                  <c:v>44725</c:v>
                </c:pt>
                <c:pt idx="608">
                  <c:v>44726</c:v>
                </c:pt>
                <c:pt idx="609">
                  <c:v>44727</c:v>
                </c:pt>
                <c:pt idx="610">
                  <c:v>44728</c:v>
                </c:pt>
                <c:pt idx="611">
                  <c:v>44729</c:v>
                </c:pt>
                <c:pt idx="612">
                  <c:v>44732</c:v>
                </c:pt>
                <c:pt idx="613">
                  <c:v>44733</c:v>
                </c:pt>
                <c:pt idx="614">
                  <c:v>44734</c:v>
                </c:pt>
                <c:pt idx="615">
                  <c:v>44735</c:v>
                </c:pt>
                <c:pt idx="616">
                  <c:v>44736</c:v>
                </c:pt>
                <c:pt idx="617">
                  <c:v>44739</c:v>
                </c:pt>
                <c:pt idx="618">
                  <c:v>44740</c:v>
                </c:pt>
                <c:pt idx="619">
                  <c:v>44741</c:v>
                </c:pt>
                <c:pt idx="620">
                  <c:v>44742</c:v>
                </c:pt>
                <c:pt idx="621">
                  <c:v>44743</c:v>
                </c:pt>
                <c:pt idx="622">
                  <c:v>44746</c:v>
                </c:pt>
                <c:pt idx="623">
                  <c:v>44747</c:v>
                </c:pt>
                <c:pt idx="624">
                  <c:v>44748</c:v>
                </c:pt>
                <c:pt idx="625">
                  <c:v>44749</c:v>
                </c:pt>
                <c:pt idx="626">
                  <c:v>44750</c:v>
                </c:pt>
                <c:pt idx="627">
                  <c:v>44753</c:v>
                </c:pt>
                <c:pt idx="628">
                  <c:v>44754</c:v>
                </c:pt>
                <c:pt idx="629">
                  <c:v>44755</c:v>
                </c:pt>
                <c:pt idx="630">
                  <c:v>44756</c:v>
                </c:pt>
                <c:pt idx="631">
                  <c:v>44757</c:v>
                </c:pt>
                <c:pt idx="632">
                  <c:v>44760</c:v>
                </c:pt>
                <c:pt idx="633">
                  <c:v>44761</c:v>
                </c:pt>
                <c:pt idx="634">
                  <c:v>44762</c:v>
                </c:pt>
                <c:pt idx="635">
                  <c:v>44763</c:v>
                </c:pt>
                <c:pt idx="636">
                  <c:v>44764</c:v>
                </c:pt>
                <c:pt idx="637">
                  <c:v>44767</c:v>
                </c:pt>
                <c:pt idx="638">
                  <c:v>44768</c:v>
                </c:pt>
                <c:pt idx="639">
                  <c:v>44769</c:v>
                </c:pt>
                <c:pt idx="640">
                  <c:v>44770</c:v>
                </c:pt>
                <c:pt idx="641">
                  <c:v>44771</c:v>
                </c:pt>
                <c:pt idx="642">
                  <c:v>44774</c:v>
                </c:pt>
                <c:pt idx="643">
                  <c:v>44775</c:v>
                </c:pt>
                <c:pt idx="644">
                  <c:v>44776</c:v>
                </c:pt>
                <c:pt idx="645">
                  <c:v>44777</c:v>
                </c:pt>
                <c:pt idx="646">
                  <c:v>44778</c:v>
                </c:pt>
                <c:pt idx="647">
                  <c:v>44781</c:v>
                </c:pt>
                <c:pt idx="648">
                  <c:v>44783</c:v>
                </c:pt>
                <c:pt idx="649">
                  <c:v>44784</c:v>
                </c:pt>
                <c:pt idx="650">
                  <c:v>44785</c:v>
                </c:pt>
                <c:pt idx="651">
                  <c:v>44789</c:v>
                </c:pt>
                <c:pt idx="652">
                  <c:v>44790</c:v>
                </c:pt>
                <c:pt idx="653">
                  <c:v>44791</c:v>
                </c:pt>
                <c:pt idx="654">
                  <c:v>44792</c:v>
                </c:pt>
                <c:pt idx="655">
                  <c:v>44795</c:v>
                </c:pt>
                <c:pt idx="656">
                  <c:v>44796</c:v>
                </c:pt>
                <c:pt idx="657">
                  <c:v>44797</c:v>
                </c:pt>
                <c:pt idx="658">
                  <c:v>44798</c:v>
                </c:pt>
                <c:pt idx="659">
                  <c:v>44799</c:v>
                </c:pt>
                <c:pt idx="660">
                  <c:v>44802</c:v>
                </c:pt>
                <c:pt idx="661">
                  <c:v>44803</c:v>
                </c:pt>
                <c:pt idx="662">
                  <c:v>44805</c:v>
                </c:pt>
                <c:pt idx="663">
                  <c:v>44806</c:v>
                </c:pt>
                <c:pt idx="664">
                  <c:v>44809</c:v>
                </c:pt>
                <c:pt idx="665">
                  <c:v>44810</c:v>
                </c:pt>
                <c:pt idx="666">
                  <c:v>44811</c:v>
                </c:pt>
                <c:pt idx="667">
                  <c:v>44812</c:v>
                </c:pt>
                <c:pt idx="668">
                  <c:v>44813</c:v>
                </c:pt>
                <c:pt idx="669">
                  <c:v>44816</c:v>
                </c:pt>
                <c:pt idx="670">
                  <c:v>44817</c:v>
                </c:pt>
                <c:pt idx="671">
                  <c:v>44818</c:v>
                </c:pt>
                <c:pt idx="672">
                  <c:v>44819</c:v>
                </c:pt>
                <c:pt idx="673">
                  <c:v>44820</c:v>
                </c:pt>
                <c:pt idx="674">
                  <c:v>44823</c:v>
                </c:pt>
                <c:pt idx="675">
                  <c:v>44824</c:v>
                </c:pt>
                <c:pt idx="676">
                  <c:v>44825</c:v>
                </c:pt>
                <c:pt idx="677">
                  <c:v>44826</c:v>
                </c:pt>
                <c:pt idx="678">
                  <c:v>44827</c:v>
                </c:pt>
                <c:pt idx="679">
                  <c:v>44830</c:v>
                </c:pt>
                <c:pt idx="680">
                  <c:v>44831</c:v>
                </c:pt>
                <c:pt idx="681">
                  <c:v>44832</c:v>
                </c:pt>
                <c:pt idx="682">
                  <c:v>44833</c:v>
                </c:pt>
                <c:pt idx="683">
                  <c:v>44834</c:v>
                </c:pt>
                <c:pt idx="684">
                  <c:v>44837</c:v>
                </c:pt>
                <c:pt idx="685">
                  <c:v>44838</c:v>
                </c:pt>
                <c:pt idx="686">
                  <c:v>44840</c:v>
                </c:pt>
                <c:pt idx="687">
                  <c:v>44841</c:v>
                </c:pt>
                <c:pt idx="688">
                  <c:v>44844</c:v>
                </c:pt>
                <c:pt idx="689">
                  <c:v>44845</c:v>
                </c:pt>
                <c:pt idx="690">
                  <c:v>44846</c:v>
                </c:pt>
                <c:pt idx="691">
                  <c:v>44847</c:v>
                </c:pt>
                <c:pt idx="692">
                  <c:v>44848</c:v>
                </c:pt>
                <c:pt idx="693">
                  <c:v>44851</c:v>
                </c:pt>
                <c:pt idx="694">
                  <c:v>44852</c:v>
                </c:pt>
                <c:pt idx="695">
                  <c:v>44853</c:v>
                </c:pt>
                <c:pt idx="696">
                  <c:v>44854</c:v>
                </c:pt>
                <c:pt idx="697">
                  <c:v>44855</c:v>
                </c:pt>
                <c:pt idx="698">
                  <c:v>44858</c:v>
                </c:pt>
                <c:pt idx="699">
                  <c:v>44859</c:v>
                </c:pt>
                <c:pt idx="700">
                  <c:v>44861</c:v>
                </c:pt>
                <c:pt idx="701">
                  <c:v>44862</c:v>
                </c:pt>
                <c:pt idx="702">
                  <c:v>44865</c:v>
                </c:pt>
                <c:pt idx="703">
                  <c:v>44866</c:v>
                </c:pt>
                <c:pt idx="704">
                  <c:v>44867</c:v>
                </c:pt>
                <c:pt idx="705">
                  <c:v>44868</c:v>
                </c:pt>
                <c:pt idx="706">
                  <c:v>44869</c:v>
                </c:pt>
                <c:pt idx="707">
                  <c:v>44872</c:v>
                </c:pt>
                <c:pt idx="708">
                  <c:v>44874</c:v>
                </c:pt>
                <c:pt idx="709">
                  <c:v>44875</c:v>
                </c:pt>
                <c:pt idx="710">
                  <c:v>44876</c:v>
                </c:pt>
                <c:pt idx="711">
                  <c:v>44879</c:v>
                </c:pt>
                <c:pt idx="712">
                  <c:v>44880</c:v>
                </c:pt>
                <c:pt idx="713">
                  <c:v>44881</c:v>
                </c:pt>
                <c:pt idx="714">
                  <c:v>44882</c:v>
                </c:pt>
                <c:pt idx="715">
                  <c:v>44883</c:v>
                </c:pt>
                <c:pt idx="716">
                  <c:v>44886</c:v>
                </c:pt>
                <c:pt idx="717">
                  <c:v>44887</c:v>
                </c:pt>
                <c:pt idx="718">
                  <c:v>44888</c:v>
                </c:pt>
                <c:pt idx="719">
                  <c:v>44889</c:v>
                </c:pt>
                <c:pt idx="720">
                  <c:v>44890</c:v>
                </c:pt>
                <c:pt idx="721">
                  <c:v>44893</c:v>
                </c:pt>
                <c:pt idx="722">
                  <c:v>44894</c:v>
                </c:pt>
                <c:pt idx="723">
                  <c:v>44895</c:v>
                </c:pt>
                <c:pt idx="724">
                  <c:v>44896</c:v>
                </c:pt>
                <c:pt idx="725">
                  <c:v>44897</c:v>
                </c:pt>
                <c:pt idx="726">
                  <c:v>44900</c:v>
                </c:pt>
                <c:pt idx="727">
                  <c:v>44901</c:v>
                </c:pt>
                <c:pt idx="728">
                  <c:v>44902</c:v>
                </c:pt>
                <c:pt idx="729">
                  <c:v>44903</c:v>
                </c:pt>
                <c:pt idx="730">
                  <c:v>44904</c:v>
                </c:pt>
                <c:pt idx="731">
                  <c:v>44907</c:v>
                </c:pt>
                <c:pt idx="732">
                  <c:v>44908</c:v>
                </c:pt>
                <c:pt idx="733">
                  <c:v>44909</c:v>
                </c:pt>
                <c:pt idx="734">
                  <c:v>44910</c:v>
                </c:pt>
                <c:pt idx="735">
                  <c:v>44911</c:v>
                </c:pt>
                <c:pt idx="736">
                  <c:v>44914</c:v>
                </c:pt>
                <c:pt idx="737">
                  <c:v>44915</c:v>
                </c:pt>
                <c:pt idx="738">
                  <c:v>44916</c:v>
                </c:pt>
                <c:pt idx="739">
                  <c:v>44917</c:v>
                </c:pt>
                <c:pt idx="740">
                  <c:v>44918</c:v>
                </c:pt>
                <c:pt idx="741">
                  <c:v>44921</c:v>
                </c:pt>
                <c:pt idx="742">
                  <c:v>44922</c:v>
                </c:pt>
                <c:pt idx="743">
                  <c:v>44923</c:v>
                </c:pt>
                <c:pt idx="744">
                  <c:v>44924</c:v>
                </c:pt>
                <c:pt idx="745">
                  <c:v>44925</c:v>
                </c:pt>
                <c:pt idx="746">
                  <c:v>44928</c:v>
                </c:pt>
                <c:pt idx="747">
                  <c:v>44929</c:v>
                </c:pt>
                <c:pt idx="748">
                  <c:v>44930</c:v>
                </c:pt>
                <c:pt idx="749">
                  <c:v>44931</c:v>
                </c:pt>
                <c:pt idx="750">
                  <c:v>44932</c:v>
                </c:pt>
                <c:pt idx="751">
                  <c:v>44935</c:v>
                </c:pt>
                <c:pt idx="752">
                  <c:v>44936</c:v>
                </c:pt>
                <c:pt idx="753">
                  <c:v>44937</c:v>
                </c:pt>
                <c:pt idx="754">
                  <c:v>44938</c:v>
                </c:pt>
                <c:pt idx="755">
                  <c:v>44939</c:v>
                </c:pt>
                <c:pt idx="756">
                  <c:v>44942</c:v>
                </c:pt>
                <c:pt idx="757">
                  <c:v>44943</c:v>
                </c:pt>
                <c:pt idx="758">
                  <c:v>44944</c:v>
                </c:pt>
                <c:pt idx="759">
                  <c:v>44945</c:v>
                </c:pt>
                <c:pt idx="760">
                  <c:v>44946</c:v>
                </c:pt>
                <c:pt idx="761">
                  <c:v>44949</c:v>
                </c:pt>
                <c:pt idx="762">
                  <c:v>44950</c:v>
                </c:pt>
                <c:pt idx="763">
                  <c:v>44951</c:v>
                </c:pt>
                <c:pt idx="764">
                  <c:v>44953</c:v>
                </c:pt>
                <c:pt idx="765">
                  <c:v>44956</c:v>
                </c:pt>
                <c:pt idx="766">
                  <c:v>44957</c:v>
                </c:pt>
                <c:pt idx="767">
                  <c:v>44958</c:v>
                </c:pt>
                <c:pt idx="768">
                  <c:v>44959</c:v>
                </c:pt>
                <c:pt idx="769">
                  <c:v>44960</c:v>
                </c:pt>
                <c:pt idx="770">
                  <c:v>44963</c:v>
                </c:pt>
                <c:pt idx="771">
                  <c:v>44964</c:v>
                </c:pt>
                <c:pt idx="772">
                  <c:v>44965</c:v>
                </c:pt>
                <c:pt idx="773">
                  <c:v>44966</c:v>
                </c:pt>
                <c:pt idx="774">
                  <c:v>44967</c:v>
                </c:pt>
                <c:pt idx="775">
                  <c:v>44970</c:v>
                </c:pt>
                <c:pt idx="776">
                  <c:v>44971</c:v>
                </c:pt>
                <c:pt idx="777">
                  <c:v>44972</c:v>
                </c:pt>
                <c:pt idx="778">
                  <c:v>44973</c:v>
                </c:pt>
                <c:pt idx="779">
                  <c:v>44974</c:v>
                </c:pt>
                <c:pt idx="780">
                  <c:v>44977</c:v>
                </c:pt>
                <c:pt idx="781">
                  <c:v>44978</c:v>
                </c:pt>
                <c:pt idx="782">
                  <c:v>44979</c:v>
                </c:pt>
                <c:pt idx="783">
                  <c:v>44980</c:v>
                </c:pt>
                <c:pt idx="784">
                  <c:v>44981</c:v>
                </c:pt>
                <c:pt idx="785">
                  <c:v>44984</c:v>
                </c:pt>
                <c:pt idx="786">
                  <c:v>44985</c:v>
                </c:pt>
                <c:pt idx="787">
                  <c:v>44986</c:v>
                </c:pt>
                <c:pt idx="788">
                  <c:v>44987</c:v>
                </c:pt>
                <c:pt idx="789">
                  <c:v>44988</c:v>
                </c:pt>
                <c:pt idx="790">
                  <c:v>44991</c:v>
                </c:pt>
                <c:pt idx="791">
                  <c:v>44993</c:v>
                </c:pt>
                <c:pt idx="792">
                  <c:v>44994</c:v>
                </c:pt>
                <c:pt idx="793">
                  <c:v>44995</c:v>
                </c:pt>
                <c:pt idx="794">
                  <c:v>44998</c:v>
                </c:pt>
                <c:pt idx="795">
                  <c:v>44999</c:v>
                </c:pt>
                <c:pt idx="796">
                  <c:v>45000</c:v>
                </c:pt>
                <c:pt idx="797">
                  <c:v>45001</c:v>
                </c:pt>
                <c:pt idx="798">
                  <c:v>45002</c:v>
                </c:pt>
                <c:pt idx="799">
                  <c:v>45005</c:v>
                </c:pt>
                <c:pt idx="800">
                  <c:v>45006</c:v>
                </c:pt>
                <c:pt idx="801">
                  <c:v>45007</c:v>
                </c:pt>
                <c:pt idx="802">
                  <c:v>45008</c:v>
                </c:pt>
                <c:pt idx="803">
                  <c:v>45009</c:v>
                </c:pt>
                <c:pt idx="804">
                  <c:v>45012</c:v>
                </c:pt>
                <c:pt idx="805">
                  <c:v>45013</c:v>
                </c:pt>
                <c:pt idx="806">
                  <c:v>45014</c:v>
                </c:pt>
                <c:pt idx="807">
                  <c:v>45016</c:v>
                </c:pt>
                <c:pt idx="808">
                  <c:v>45019</c:v>
                </c:pt>
                <c:pt idx="809">
                  <c:v>45021</c:v>
                </c:pt>
                <c:pt idx="810">
                  <c:v>45022</c:v>
                </c:pt>
                <c:pt idx="811">
                  <c:v>45026</c:v>
                </c:pt>
                <c:pt idx="812">
                  <c:v>45027</c:v>
                </c:pt>
                <c:pt idx="813">
                  <c:v>45028</c:v>
                </c:pt>
                <c:pt idx="814">
                  <c:v>45029</c:v>
                </c:pt>
                <c:pt idx="815">
                  <c:v>45033</c:v>
                </c:pt>
                <c:pt idx="816">
                  <c:v>45034</c:v>
                </c:pt>
                <c:pt idx="817">
                  <c:v>45035</c:v>
                </c:pt>
                <c:pt idx="818">
                  <c:v>45036</c:v>
                </c:pt>
                <c:pt idx="819">
                  <c:v>45037</c:v>
                </c:pt>
                <c:pt idx="820">
                  <c:v>45040</c:v>
                </c:pt>
                <c:pt idx="821">
                  <c:v>45041</c:v>
                </c:pt>
                <c:pt idx="822">
                  <c:v>45042</c:v>
                </c:pt>
                <c:pt idx="823">
                  <c:v>45043</c:v>
                </c:pt>
                <c:pt idx="824">
                  <c:v>45044</c:v>
                </c:pt>
                <c:pt idx="825">
                  <c:v>45048</c:v>
                </c:pt>
                <c:pt idx="826">
                  <c:v>45049</c:v>
                </c:pt>
                <c:pt idx="827">
                  <c:v>45050</c:v>
                </c:pt>
                <c:pt idx="828">
                  <c:v>45051</c:v>
                </c:pt>
                <c:pt idx="829">
                  <c:v>45054</c:v>
                </c:pt>
                <c:pt idx="830">
                  <c:v>45055</c:v>
                </c:pt>
                <c:pt idx="831">
                  <c:v>45056</c:v>
                </c:pt>
                <c:pt idx="832">
                  <c:v>45057</c:v>
                </c:pt>
                <c:pt idx="833">
                  <c:v>45058</c:v>
                </c:pt>
                <c:pt idx="834">
                  <c:v>45061</c:v>
                </c:pt>
                <c:pt idx="835">
                  <c:v>45062</c:v>
                </c:pt>
                <c:pt idx="836">
                  <c:v>45063</c:v>
                </c:pt>
                <c:pt idx="837">
                  <c:v>45064</c:v>
                </c:pt>
                <c:pt idx="838">
                  <c:v>45065</c:v>
                </c:pt>
                <c:pt idx="839">
                  <c:v>45068</c:v>
                </c:pt>
                <c:pt idx="840">
                  <c:v>45069</c:v>
                </c:pt>
                <c:pt idx="841">
                  <c:v>45070</c:v>
                </c:pt>
                <c:pt idx="842">
                  <c:v>45071</c:v>
                </c:pt>
                <c:pt idx="843">
                  <c:v>45072</c:v>
                </c:pt>
                <c:pt idx="844">
                  <c:v>45075</c:v>
                </c:pt>
                <c:pt idx="845">
                  <c:v>45076</c:v>
                </c:pt>
                <c:pt idx="846">
                  <c:v>45077</c:v>
                </c:pt>
                <c:pt idx="847">
                  <c:v>45078</c:v>
                </c:pt>
                <c:pt idx="848">
                  <c:v>45079</c:v>
                </c:pt>
                <c:pt idx="849">
                  <c:v>45082</c:v>
                </c:pt>
                <c:pt idx="850">
                  <c:v>45083</c:v>
                </c:pt>
                <c:pt idx="851">
                  <c:v>45084</c:v>
                </c:pt>
                <c:pt idx="852">
                  <c:v>45085</c:v>
                </c:pt>
                <c:pt idx="853">
                  <c:v>45086</c:v>
                </c:pt>
                <c:pt idx="854">
                  <c:v>45089</c:v>
                </c:pt>
                <c:pt idx="855">
                  <c:v>45090</c:v>
                </c:pt>
                <c:pt idx="856">
                  <c:v>45091</c:v>
                </c:pt>
                <c:pt idx="857">
                  <c:v>45092</c:v>
                </c:pt>
                <c:pt idx="858">
                  <c:v>45093</c:v>
                </c:pt>
                <c:pt idx="859">
                  <c:v>45096</c:v>
                </c:pt>
                <c:pt idx="860">
                  <c:v>45097</c:v>
                </c:pt>
                <c:pt idx="861">
                  <c:v>45098</c:v>
                </c:pt>
                <c:pt idx="862">
                  <c:v>45099</c:v>
                </c:pt>
                <c:pt idx="863">
                  <c:v>45100</c:v>
                </c:pt>
                <c:pt idx="864">
                  <c:v>45103</c:v>
                </c:pt>
                <c:pt idx="865">
                  <c:v>45104</c:v>
                </c:pt>
                <c:pt idx="866">
                  <c:v>45105</c:v>
                </c:pt>
                <c:pt idx="867">
                  <c:v>45107</c:v>
                </c:pt>
                <c:pt idx="868">
                  <c:v>45110</c:v>
                </c:pt>
                <c:pt idx="869">
                  <c:v>45111</c:v>
                </c:pt>
                <c:pt idx="870">
                  <c:v>45112</c:v>
                </c:pt>
                <c:pt idx="871">
                  <c:v>45113</c:v>
                </c:pt>
                <c:pt idx="872">
                  <c:v>45114</c:v>
                </c:pt>
                <c:pt idx="873">
                  <c:v>45117</c:v>
                </c:pt>
                <c:pt idx="874">
                  <c:v>45118</c:v>
                </c:pt>
                <c:pt idx="875">
                  <c:v>45119</c:v>
                </c:pt>
                <c:pt idx="876">
                  <c:v>45120</c:v>
                </c:pt>
                <c:pt idx="877">
                  <c:v>45121</c:v>
                </c:pt>
                <c:pt idx="878">
                  <c:v>45124</c:v>
                </c:pt>
                <c:pt idx="879">
                  <c:v>45125</c:v>
                </c:pt>
                <c:pt idx="880">
                  <c:v>45126</c:v>
                </c:pt>
                <c:pt idx="881">
                  <c:v>45127</c:v>
                </c:pt>
                <c:pt idx="882">
                  <c:v>45128</c:v>
                </c:pt>
                <c:pt idx="883">
                  <c:v>45131</c:v>
                </c:pt>
                <c:pt idx="884">
                  <c:v>45132</c:v>
                </c:pt>
                <c:pt idx="885">
                  <c:v>45133</c:v>
                </c:pt>
                <c:pt idx="886">
                  <c:v>45134</c:v>
                </c:pt>
                <c:pt idx="887">
                  <c:v>45135</c:v>
                </c:pt>
                <c:pt idx="888">
                  <c:v>45138</c:v>
                </c:pt>
                <c:pt idx="889">
                  <c:v>45139</c:v>
                </c:pt>
                <c:pt idx="890">
                  <c:v>45140</c:v>
                </c:pt>
                <c:pt idx="891">
                  <c:v>45141</c:v>
                </c:pt>
                <c:pt idx="892">
                  <c:v>45142</c:v>
                </c:pt>
                <c:pt idx="893">
                  <c:v>45145</c:v>
                </c:pt>
                <c:pt idx="894">
                  <c:v>45146</c:v>
                </c:pt>
                <c:pt idx="895">
                  <c:v>45147</c:v>
                </c:pt>
                <c:pt idx="896">
                  <c:v>45148</c:v>
                </c:pt>
                <c:pt idx="897">
                  <c:v>45149</c:v>
                </c:pt>
                <c:pt idx="898">
                  <c:v>45152</c:v>
                </c:pt>
                <c:pt idx="899">
                  <c:v>45154</c:v>
                </c:pt>
                <c:pt idx="900">
                  <c:v>45155</c:v>
                </c:pt>
                <c:pt idx="901">
                  <c:v>45156</c:v>
                </c:pt>
                <c:pt idx="902">
                  <c:v>45159</c:v>
                </c:pt>
                <c:pt idx="903">
                  <c:v>45160</c:v>
                </c:pt>
                <c:pt idx="904">
                  <c:v>45161</c:v>
                </c:pt>
                <c:pt idx="905">
                  <c:v>45162</c:v>
                </c:pt>
                <c:pt idx="906">
                  <c:v>45163</c:v>
                </c:pt>
                <c:pt idx="907">
                  <c:v>45166</c:v>
                </c:pt>
                <c:pt idx="908">
                  <c:v>45167</c:v>
                </c:pt>
                <c:pt idx="909">
                  <c:v>45168</c:v>
                </c:pt>
                <c:pt idx="910">
                  <c:v>45169</c:v>
                </c:pt>
                <c:pt idx="911">
                  <c:v>45170</c:v>
                </c:pt>
                <c:pt idx="912">
                  <c:v>45173</c:v>
                </c:pt>
                <c:pt idx="913">
                  <c:v>45174</c:v>
                </c:pt>
                <c:pt idx="914">
                  <c:v>45175</c:v>
                </c:pt>
                <c:pt idx="915">
                  <c:v>45176</c:v>
                </c:pt>
                <c:pt idx="916">
                  <c:v>45177</c:v>
                </c:pt>
                <c:pt idx="917">
                  <c:v>45180</c:v>
                </c:pt>
                <c:pt idx="918">
                  <c:v>45181</c:v>
                </c:pt>
                <c:pt idx="919">
                  <c:v>45182</c:v>
                </c:pt>
                <c:pt idx="920">
                  <c:v>45183</c:v>
                </c:pt>
                <c:pt idx="921">
                  <c:v>45184</c:v>
                </c:pt>
                <c:pt idx="922">
                  <c:v>45187</c:v>
                </c:pt>
                <c:pt idx="923">
                  <c:v>45189</c:v>
                </c:pt>
                <c:pt idx="924">
                  <c:v>45190</c:v>
                </c:pt>
                <c:pt idx="925">
                  <c:v>45191</c:v>
                </c:pt>
                <c:pt idx="926">
                  <c:v>45194</c:v>
                </c:pt>
                <c:pt idx="927">
                  <c:v>45195</c:v>
                </c:pt>
                <c:pt idx="928">
                  <c:v>45196</c:v>
                </c:pt>
                <c:pt idx="929">
                  <c:v>45197</c:v>
                </c:pt>
                <c:pt idx="930">
                  <c:v>45198</c:v>
                </c:pt>
                <c:pt idx="931">
                  <c:v>45202</c:v>
                </c:pt>
                <c:pt idx="932">
                  <c:v>45203</c:v>
                </c:pt>
                <c:pt idx="933">
                  <c:v>45204</c:v>
                </c:pt>
                <c:pt idx="934">
                  <c:v>45205</c:v>
                </c:pt>
                <c:pt idx="935">
                  <c:v>45208</c:v>
                </c:pt>
                <c:pt idx="936">
                  <c:v>45209</c:v>
                </c:pt>
                <c:pt idx="937">
                  <c:v>45210</c:v>
                </c:pt>
                <c:pt idx="938">
                  <c:v>45211</c:v>
                </c:pt>
                <c:pt idx="939">
                  <c:v>45212</c:v>
                </c:pt>
                <c:pt idx="940">
                  <c:v>45215</c:v>
                </c:pt>
                <c:pt idx="941">
                  <c:v>45216</c:v>
                </c:pt>
                <c:pt idx="942">
                  <c:v>45217</c:v>
                </c:pt>
                <c:pt idx="943">
                  <c:v>45218</c:v>
                </c:pt>
                <c:pt idx="944">
                  <c:v>45219</c:v>
                </c:pt>
                <c:pt idx="945">
                  <c:v>45222</c:v>
                </c:pt>
                <c:pt idx="946">
                  <c:v>45224</c:v>
                </c:pt>
                <c:pt idx="947">
                  <c:v>45225</c:v>
                </c:pt>
                <c:pt idx="948">
                  <c:v>45226</c:v>
                </c:pt>
                <c:pt idx="949">
                  <c:v>45229</c:v>
                </c:pt>
                <c:pt idx="950">
                  <c:v>45230</c:v>
                </c:pt>
                <c:pt idx="951">
                  <c:v>45231</c:v>
                </c:pt>
                <c:pt idx="952">
                  <c:v>45232</c:v>
                </c:pt>
                <c:pt idx="953">
                  <c:v>45233</c:v>
                </c:pt>
                <c:pt idx="954">
                  <c:v>45236</c:v>
                </c:pt>
                <c:pt idx="955">
                  <c:v>45237</c:v>
                </c:pt>
                <c:pt idx="956">
                  <c:v>45238</c:v>
                </c:pt>
                <c:pt idx="957">
                  <c:v>45239</c:v>
                </c:pt>
                <c:pt idx="958">
                  <c:v>45240</c:v>
                </c:pt>
                <c:pt idx="959">
                  <c:v>45243</c:v>
                </c:pt>
                <c:pt idx="960">
                  <c:v>45245</c:v>
                </c:pt>
                <c:pt idx="961">
                  <c:v>45246</c:v>
                </c:pt>
                <c:pt idx="962">
                  <c:v>45247</c:v>
                </c:pt>
                <c:pt idx="963">
                  <c:v>45250</c:v>
                </c:pt>
                <c:pt idx="964">
                  <c:v>45251</c:v>
                </c:pt>
                <c:pt idx="965">
                  <c:v>45252</c:v>
                </c:pt>
                <c:pt idx="966">
                  <c:v>45253</c:v>
                </c:pt>
                <c:pt idx="967">
                  <c:v>45254</c:v>
                </c:pt>
                <c:pt idx="968">
                  <c:v>45258</c:v>
                </c:pt>
                <c:pt idx="969">
                  <c:v>45259</c:v>
                </c:pt>
                <c:pt idx="970">
                  <c:v>45260</c:v>
                </c:pt>
                <c:pt idx="971">
                  <c:v>45261</c:v>
                </c:pt>
                <c:pt idx="972">
                  <c:v>45264</c:v>
                </c:pt>
                <c:pt idx="973">
                  <c:v>45265</c:v>
                </c:pt>
                <c:pt idx="974">
                  <c:v>45266</c:v>
                </c:pt>
                <c:pt idx="975">
                  <c:v>45267</c:v>
                </c:pt>
                <c:pt idx="976">
                  <c:v>45268</c:v>
                </c:pt>
                <c:pt idx="977">
                  <c:v>45271</c:v>
                </c:pt>
                <c:pt idx="978">
                  <c:v>45272</c:v>
                </c:pt>
                <c:pt idx="979">
                  <c:v>45273</c:v>
                </c:pt>
                <c:pt idx="980">
                  <c:v>45274</c:v>
                </c:pt>
                <c:pt idx="981">
                  <c:v>45275</c:v>
                </c:pt>
                <c:pt idx="982">
                  <c:v>45278</c:v>
                </c:pt>
                <c:pt idx="983">
                  <c:v>45279</c:v>
                </c:pt>
                <c:pt idx="984">
                  <c:v>45280</c:v>
                </c:pt>
                <c:pt idx="985">
                  <c:v>45281</c:v>
                </c:pt>
                <c:pt idx="986">
                  <c:v>45282</c:v>
                </c:pt>
                <c:pt idx="987">
                  <c:v>45286</c:v>
                </c:pt>
                <c:pt idx="988">
                  <c:v>45287</c:v>
                </c:pt>
                <c:pt idx="989">
                  <c:v>45288</c:v>
                </c:pt>
                <c:pt idx="990">
                  <c:v>45289</c:v>
                </c:pt>
                <c:pt idx="991">
                  <c:v>45292</c:v>
                </c:pt>
                <c:pt idx="992">
                  <c:v>45293</c:v>
                </c:pt>
                <c:pt idx="993">
                  <c:v>45294</c:v>
                </c:pt>
                <c:pt idx="994">
                  <c:v>45295</c:v>
                </c:pt>
                <c:pt idx="995">
                  <c:v>45296</c:v>
                </c:pt>
                <c:pt idx="996">
                  <c:v>45299</c:v>
                </c:pt>
                <c:pt idx="997">
                  <c:v>45300</c:v>
                </c:pt>
                <c:pt idx="998">
                  <c:v>45301</c:v>
                </c:pt>
                <c:pt idx="999">
                  <c:v>45302</c:v>
                </c:pt>
                <c:pt idx="1000">
                  <c:v>45303</c:v>
                </c:pt>
                <c:pt idx="1001">
                  <c:v>45306</c:v>
                </c:pt>
                <c:pt idx="1002">
                  <c:v>45307</c:v>
                </c:pt>
                <c:pt idx="1003">
                  <c:v>45308</c:v>
                </c:pt>
                <c:pt idx="1004">
                  <c:v>45309</c:v>
                </c:pt>
                <c:pt idx="1005">
                  <c:v>45310</c:v>
                </c:pt>
                <c:pt idx="1006">
                  <c:v>45314</c:v>
                </c:pt>
                <c:pt idx="1007">
                  <c:v>45315</c:v>
                </c:pt>
                <c:pt idx="1008">
                  <c:v>45316</c:v>
                </c:pt>
                <c:pt idx="1009">
                  <c:v>45320</c:v>
                </c:pt>
                <c:pt idx="1010">
                  <c:v>45321</c:v>
                </c:pt>
                <c:pt idx="1011">
                  <c:v>45322</c:v>
                </c:pt>
                <c:pt idx="1012">
                  <c:v>45323</c:v>
                </c:pt>
                <c:pt idx="1013">
                  <c:v>45324</c:v>
                </c:pt>
                <c:pt idx="1014">
                  <c:v>45327</c:v>
                </c:pt>
                <c:pt idx="1015">
                  <c:v>45328</c:v>
                </c:pt>
                <c:pt idx="1016">
                  <c:v>45329</c:v>
                </c:pt>
                <c:pt idx="1017">
                  <c:v>45330</c:v>
                </c:pt>
                <c:pt idx="1018">
                  <c:v>45331</c:v>
                </c:pt>
                <c:pt idx="1019">
                  <c:v>45334</c:v>
                </c:pt>
                <c:pt idx="1020">
                  <c:v>45335</c:v>
                </c:pt>
                <c:pt idx="1021">
                  <c:v>45336</c:v>
                </c:pt>
                <c:pt idx="1022">
                  <c:v>45337</c:v>
                </c:pt>
                <c:pt idx="1023">
                  <c:v>45338</c:v>
                </c:pt>
                <c:pt idx="1024">
                  <c:v>45341</c:v>
                </c:pt>
                <c:pt idx="1025">
                  <c:v>45342</c:v>
                </c:pt>
                <c:pt idx="1026">
                  <c:v>45343</c:v>
                </c:pt>
                <c:pt idx="1027">
                  <c:v>45344</c:v>
                </c:pt>
                <c:pt idx="1028">
                  <c:v>45345</c:v>
                </c:pt>
                <c:pt idx="1029">
                  <c:v>45348</c:v>
                </c:pt>
                <c:pt idx="1030">
                  <c:v>45349</c:v>
                </c:pt>
                <c:pt idx="1031">
                  <c:v>45350</c:v>
                </c:pt>
                <c:pt idx="1032">
                  <c:v>45351</c:v>
                </c:pt>
                <c:pt idx="1033">
                  <c:v>45352</c:v>
                </c:pt>
                <c:pt idx="1034">
                  <c:v>45355</c:v>
                </c:pt>
                <c:pt idx="1035">
                  <c:v>45356</c:v>
                </c:pt>
                <c:pt idx="1036">
                  <c:v>45357</c:v>
                </c:pt>
                <c:pt idx="1037">
                  <c:v>45358</c:v>
                </c:pt>
                <c:pt idx="1038">
                  <c:v>45362</c:v>
                </c:pt>
                <c:pt idx="1039">
                  <c:v>45363</c:v>
                </c:pt>
                <c:pt idx="1040">
                  <c:v>45364</c:v>
                </c:pt>
                <c:pt idx="1041">
                  <c:v>45365</c:v>
                </c:pt>
                <c:pt idx="1042">
                  <c:v>45366</c:v>
                </c:pt>
                <c:pt idx="1043">
                  <c:v>45369</c:v>
                </c:pt>
                <c:pt idx="1044">
                  <c:v>45370</c:v>
                </c:pt>
                <c:pt idx="1045">
                  <c:v>45371</c:v>
                </c:pt>
                <c:pt idx="1046">
                  <c:v>45372</c:v>
                </c:pt>
                <c:pt idx="1047">
                  <c:v>45373</c:v>
                </c:pt>
                <c:pt idx="1048">
                  <c:v>45377</c:v>
                </c:pt>
                <c:pt idx="1049">
                  <c:v>45378</c:v>
                </c:pt>
                <c:pt idx="1050">
                  <c:v>45379</c:v>
                </c:pt>
                <c:pt idx="1051">
                  <c:v>45383</c:v>
                </c:pt>
                <c:pt idx="1052">
                  <c:v>45384</c:v>
                </c:pt>
                <c:pt idx="1053">
                  <c:v>45385</c:v>
                </c:pt>
                <c:pt idx="1054">
                  <c:v>45386</c:v>
                </c:pt>
                <c:pt idx="1055">
                  <c:v>45387</c:v>
                </c:pt>
                <c:pt idx="1056">
                  <c:v>45390</c:v>
                </c:pt>
                <c:pt idx="1057">
                  <c:v>45391</c:v>
                </c:pt>
                <c:pt idx="1058">
                  <c:v>45392</c:v>
                </c:pt>
                <c:pt idx="1059">
                  <c:v>45394</c:v>
                </c:pt>
                <c:pt idx="1060">
                  <c:v>45397</c:v>
                </c:pt>
                <c:pt idx="1061">
                  <c:v>45398</c:v>
                </c:pt>
                <c:pt idx="1062">
                  <c:v>45400</c:v>
                </c:pt>
                <c:pt idx="1063">
                  <c:v>45401</c:v>
                </c:pt>
                <c:pt idx="1064">
                  <c:v>45404</c:v>
                </c:pt>
                <c:pt idx="1065">
                  <c:v>45405</c:v>
                </c:pt>
                <c:pt idx="1066">
                  <c:v>45406</c:v>
                </c:pt>
                <c:pt idx="1067">
                  <c:v>45407</c:v>
                </c:pt>
                <c:pt idx="1068">
                  <c:v>45408</c:v>
                </c:pt>
                <c:pt idx="1069">
                  <c:v>45411</c:v>
                </c:pt>
                <c:pt idx="1070">
                  <c:v>45412</c:v>
                </c:pt>
                <c:pt idx="1071">
                  <c:v>45414</c:v>
                </c:pt>
                <c:pt idx="1072">
                  <c:v>45415</c:v>
                </c:pt>
                <c:pt idx="1073">
                  <c:v>45418</c:v>
                </c:pt>
                <c:pt idx="1074">
                  <c:v>45419</c:v>
                </c:pt>
                <c:pt idx="1075">
                  <c:v>45420</c:v>
                </c:pt>
                <c:pt idx="1076">
                  <c:v>45421</c:v>
                </c:pt>
                <c:pt idx="1077">
                  <c:v>45422</c:v>
                </c:pt>
                <c:pt idx="1078">
                  <c:v>45425</c:v>
                </c:pt>
                <c:pt idx="1079">
                  <c:v>45426</c:v>
                </c:pt>
                <c:pt idx="1080">
                  <c:v>45427</c:v>
                </c:pt>
                <c:pt idx="1081">
                  <c:v>45428</c:v>
                </c:pt>
                <c:pt idx="1082">
                  <c:v>45429</c:v>
                </c:pt>
                <c:pt idx="1083">
                  <c:v>45433</c:v>
                </c:pt>
                <c:pt idx="1084">
                  <c:v>45434</c:v>
                </c:pt>
                <c:pt idx="1085">
                  <c:v>45435</c:v>
                </c:pt>
                <c:pt idx="1086">
                  <c:v>45436</c:v>
                </c:pt>
                <c:pt idx="1087">
                  <c:v>45439</c:v>
                </c:pt>
                <c:pt idx="1088">
                  <c:v>45440</c:v>
                </c:pt>
                <c:pt idx="1089">
                  <c:v>45441</c:v>
                </c:pt>
                <c:pt idx="1090">
                  <c:v>45442</c:v>
                </c:pt>
                <c:pt idx="1091">
                  <c:v>45443</c:v>
                </c:pt>
                <c:pt idx="1092">
                  <c:v>45446</c:v>
                </c:pt>
                <c:pt idx="1093">
                  <c:v>45447</c:v>
                </c:pt>
                <c:pt idx="1094">
                  <c:v>45448</c:v>
                </c:pt>
                <c:pt idx="1095">
                  <c:v>45449</c:v>
                </c:pt>
                <c:pt idx="1096">
                  <c:v>45450</c:v>
                </c:pt>
                <c:pt idx="1097">
                  <c:v>45453</c:v>
                </c:pt>
                <c:pt idx="1098">
                  <c:v>45454</c:v>
                </c:pt>
                <c:pt idx="1099">
                  <c:v>45455</c:v>
                </c:pt>
                <c:pt idx="1100">
                  <c:v>45456</c:v>
                </c:pt>
                <c:pt idx="1101">
                  <c:v>45457</c:v>
                </c:pt>
                <c:pt idx="1102">
                  <c:v>45461</c:v>
                </c:pt>
                <c:pt idx="1103">
                  <c:v>45462</c:v>
                </c:pt>
                <c:pt idx="1104">
                  <c:v>45463</c:v>
                </c:pt>
                <c:pt idx="1105">
                  <c:v>45464</c:v>
                </c:pt>
                <c:pt idx="1106">
                  <c:v>45467</c:v>
                </c:pt>
                <c:pt idx="1107">
                  <c:v>45468</c:v>
                </c:pt>
                <c:pt idx="1108">
                  <c:v>45469</c:v>
                </c:pt>
                <c:pt idx="1109">
                  <c:v>45470</c:v>
                </c:pt>
                <c:pt idx="1110">
                  <c:v>45471</c:v>
                </c:pt>
                <c:pt idx="1111">
                  <c:v>45474</c:v>
                </c:pt>
                <c:pt idx="1112">
                  <c:v>45475</c:v>
                </c:pt>
                <c:pt idx="1113">
                  <c:v>45476</c:v>
                </c:pt>
                <c:pt idx="1114">
                  <c:v>45477</c:v>
                </c:pt>
                <c:pt idx="1115">
                  <c:v>45478</c:v>
                </c:pt>
                <c:pt idx="1116">
                  <c:v>45481</c:v>
                </c:pt>
                <c:pt idx="1117">
                  <c:v>45482</c:v>
                </c:pt>
                <c:pt idx="1118">
                  <c:v>45483</c:v>
                </c:pt>
                <c:pt idx="1119">
                  <c:v>45484</c:v>
                </c:pt>
                <c:pt idx="1120">
                  <c:v>45485</c:v>
                </c:pt>
                <c:pt idx="1121">
                  <c:v>45488</c:v>
                </c:pt>
                <c:pt idx="1122">
                  <c:v>45489</c:v>
                </c:pt>
                <c:pt idx="1123">
                  <c:v>45491</c:v>
                </c:pt>
                <c:pt idx="1124">
                  <c:v>45492</c:v>
                </c:pt>
                <c:pt idx="1125">
                  <c:v>45495</c:v>
                </c:pt>
                <c:pt idx="1126">
                  <c:v>45496</c:v>
                </c:pt>
                <c:pt idx="1127">
                  <c:v>45497</c:v>
                </c:pt>
                <c:pt idx="1128">
                  <c:v>45498</c:v>
                </c:pt>
                <c:pt idx="1129">
                  <c:v>45499</c:v>
                </c:pt>
                <c:pt idx="1130">
                  <c:v>45502</c:v>
                </c:pt>
                <c:pt idx="1131">
                  <c:v>45503</c:v>
                </c:pt>
                <c:pt idx="1132">
                  <c:v>45504</c:v>
                </c:pt>
                <c:pt idx="1133">
                  <c:v>45505</c:v>
                </c:pt>
                <c:pt idx="1134">
                  <c:v>45506</c:v>
                </c:pt>
                <c:pt idx="1135">
                  <c:v>45509</c:v>
                </c:pt>
                <c:pt idx="1136">
                  <c:v>45510</c:v>
                </c:pt>
                <c:pt idx="1137">
                  <c:v>45511</c:v>
                </c:pt>
                <c:pt idx="1138">
                  <c:v>45512</c:v>
                </c:pt>
                <c:pt idx="1139">
                  <c:v>45513</c:v>
                </c:pt>
                <c:pt idx="1140">
                  <c:v>45516</c:v>
                </c:pt>
                <c:pt idx="1141">
                  <c:v>45517</c:v>
                </c:pt>
                <c:pt idx="1142">
                  <c:v>45518</c:v>
                </c:pt>
                <c:pt idx="1143">
                  <c:v>45520</c:v>
                </c:pt>
                <c:pt idx="1144">
                  <c:v>45523</c:v>
                </c:pt>
                <c:pt idx="1145">
                  <c:v>45524</c:v>
                </c:pt>
                <c:pt idx="1146">
                  <c:v>45525</c:v>
                </c:pt>
                <c:pt idx="1147">
                  <c:v>45526</c:v>
                </c:pt>
                <c:pt idx="1148">
                  <c:v>45527</c:v>
                </c:pt>
                <c:pt idx="1149">
                  <c:v>45530</c:v>
                </c:pt>
                <c:pt idx="1150">
                  <c:v>45531</c:v>
                </c:pt>
                <c:pt idx="1151">
                  <c:v>45532</c:v>
                </c:pt>
                <c:pt idx="1152">
                  <c:v>45533</c:v>
                </c:pt>
                <c:pt idx="1153">
                  <c:v>45534</c:v>
                </c:pt>
                <c:pt idx="1154">
                  <c:v>45537</c:v>
                </c:pt>
                <c:pt idx="1155">
                  <c:v>45538</c:v>
                </c:pt>
                <c:pt idx="1156">
                  <c:v>45539</c:v>
                </c:pt>
                <c:pt idx="1157">
                  <c:v>45540</c:v>
                </c:pt>
                <c:pt idx="1158">
                  <c:v>45541</c:v>
                </c:pt>
                <c:pt idx="1159">
                  <c:v>45544</c:v>
                </c:pt>
                <c:pt idx="1160">
                  <c:v>45545</c:v>
                </c:pt>
                <c:pt idx="1161">
                  <c:v>45546</c:v>
                </c:pt>
                <c:pt idx="1162">
                  <c:v>45547</c:v>
                </c:pt>
                <c:pt idx="1163">
                  <c:v>45548</c:v>
                </c:pt>
                <c:pt idx="1164">
                  <c:v>45551</c:v>
                </c:pt>
                <c:pt idx="1165">
                  <c:v>45552</c:v>
                </c:pt>
                <c:pt idx="1166">
                  <c:v>45553</c:v>
                </c:pt>
                <c:pt idx="1167">
                  <c:v>45554</c:v>
                </c:pt>
                <c:pt idx="1168">
                  <c:v>45555</c:v>
                </c:pt>
                <c:pt idx="1169">
                  <c:v>45558</c:v>
                </c:pt>
                <c:pt idx="1170">
                  <c:v>45559</c:v>
                </c:pt>
                <c:pt idx="1171">
                  <c:v>45560</c:v>
                </c:pt>
                <c:pt idx="1172">
                  <c:v>45561</c:v>
                </c:pt>
                <c:pt idx="1173">
                  <c:v>45562</c:v>
                </c:pt>
                <c:pt idx="1174">
                  <c:v>45565</c:v>
                </c:pt>
                <c:pt idx="1175">
                  <c:v>45566</c:v>
                </c:pt>
                <c:pt idx="1176">
                  <c:v>45568</c:v>
                </c:pt>
                <c:pt idx="1177">
                  <c:v>45569</c:v>
                </c:pt>
                <c:pt idx="1178">
                  <c:v>45572</c:v>
                </c:pt>
                <c:pt idx="1179">
                  <c:v>45573</c:v>
                </c:pt>
                <c:pt idx="1180">
                  <c:v>45574</c:v>
                </c:pt>
                <c:pt idx="1181">
                  <c:v>45575</c:v>
                </c:pt>
                <c:pt idx="1182">
                  <c:v>45576</c:v>
                </c:pt>
                <c:pt idx="1183">
                  <c:v>45579</c:v>
                </c:pt>
                <c:pt idx="1184">
                  <c:v>45580</c:v>
                </c:pt>
                <c:pt idx="1185">
                  <c:v>45581</c:v>
                </c:pt>
                <c:pt idx="1186">
                  <c:v>45582</c:v>
                </c:pt>
                <c:pt idx="1187">
                  <c:v>45583</c:v>
                </c:pt>
                <c:pt idx="1188">
                  <c:v>45586</c:v>
                </c:pt>
                <c:pt idx="1189">
                  <c:v>45587</c:v>
                </c:pt>
                <c:pt idx="1190">
                  <c:v>45588</c:v>
                </c:pt>
                <c:pt idx="1191">
                  <c:v>45589</c:v>
                </c:pt>
                <c:pt idx="1192">
                  <c:v>45590</c:v>
                </c:pt>
                <c:pt idx="1193">
                  <c:v>45593</c:v>
                </c:pt>
                <c:pt idx="1194">
                  <c:v>45594</c:v>
                </c:pt>
                <c:pt idx="1195">
                  <c:v>45595</c:v>
                </c:pt>
                <c:pt idx="1196">
                  <c:v>45596</c:v>
                </c:pt>
                <c:pt idx="1197">
                  <c:v>45597</c:v>
                </c:pt>
                <c:pt idx="1198">
                  <c:v>45600</c:v>
                </c:pt>
                <c:pt idx="1199">
                  <c:v>45601</c:v>
                </c:pt>
                <c:pt idx="1200">
                  <c:v>45602</c:v>
                </c:pt>
                <c:pt idx="1201">
                  <c:v>45603</c:v>
                </c:pt>
                <c:pt idx="1202">
                  <c:v>45604</c:v>
                </c:pt>
                <c:pt idx="1203">
                  <c:v>45607</c:v>
                </c:pt>
                <c:pt idx="1204">
                  <c:v>45608</c:v>
                </c:pt>
                <c:pt idx="1205">
                  <c:v>45609</c:v>
                </c:pt>
                <c:pt idx="1206">
                  <c:v>45610</c:v>
                </c:pt>
                <c:pt idx="1207">
                  <c:v>45614</c:v>
                </c:pt>
                <c:pt idx="1208">
                  <c:v>45615</c:v>
                </c:pt>
                <c:pt idx="1209">
                  <c:v>45617</c:v>
                </c:pt>
                <c:pt idx="1210">
                  <c:v>45618</c:v>
                </c:pt>
                <c:pt idx="1211">
                  <c:v>45621</c:v>
                </c:pt>
                <c:pt idx="1212">
                  <c:v>45622</c:v>
                </c:pt>
                <c:pt idx="1213">
                  <c:v>45623</c:v>
                </c:pt>
                <c:pt idx="1214">
                  <c:v>45624</c:v>
                </c:pt>
                <c:pt idx="1215">
                  <c:v>45625</c:v>
                </c:pt>
                <c:pt idx="1216">
                  <c:v>45628</c:v>
                </c:pt>
                <c:pt idx="1217">
                  <c:v>45629</c:v>
                </c:pt>
                <c:pt idx="1218">
                  <c:v>45630</c:v>
                </c:pt>
                <c:pt idx="1219">
                  <c:v>45631</c:v>
                </c:pt>
                <c:pt idx="1220">
                  <c:v>45632</c:v>
                </c:pt>
                <c:pt idx="1221">
                  <c:v>45635</c:v>
                </c:pt>
                <c:pt idx="1222">
                  <c:v>45636</c:v>
                </c:pt>
                <c:pt idx="1223">
                  <c:v>45637</c:v>
                </c:pt>
                <c:pt idx="1224">
                  <c:v>45638</c:v>
                </c:pt>
                <c:pt idx="1225">
                  <c:v>45639</c:v>
                </c:pt>
                <c:pt idx="1226">
                  <c:v>45642</c:v>
                </c:pt>
                <c:pt idx="1227">
                  <c:v>45643</c:v>
                </c:pt>
                <c:pt idx="1228">
                  <c:v>45644</c:v>
                </c:pt>
                <c:pt idx="1229">
                  <c:v>45645</c:v>
                </c:pt>
                <c:pt idx="1230">
                  <c:v>45646</c:v>
                </c:pt>
                <c:pt idx="1231">
                  <c:v>45649</c:v>
                </c:pt>
                <c:pt idx="1232">
                  <c:v>45650</c:v>
                </c:pt>
                <c:pt idx="1233">
                  <c:v>45652</c:v>
                </c:pt>
                <c:pt idx="1234">
                  <c:v>45653</c:v>
                </c:pt>
                <c:pt idx="1235">
                  <c:v>45656</c:v>
                </c:pt>
                <c:pt idx="1236">
                  <c:v>45657</c:v>
                </c:pt>
                <c:pt idx="1237">
                  <c:v>45658</c:v>
                </c:pt>
                <c:pt idx="1238">
                  <c:v>45659</c:v>
                </c:pt>
                <c:pt idx="1239">
                  <c:v>45660</c:v>
                </c:pt>
                <c:pt idx="1240">
                  <c:v>45663</c:v>
                </c:pt>
                <c:pt idx="1241">
                  <c:v>45664</c:v>
                </c:pt>
                <c:pt idx="1242">
                  <c:v>45665</c:v>
                </c:pt>
                <c:pt idx="1243">
                  <c:v>45666</c:v>
                </c:pt>
                <c:pt idx="1244">
                  <c:v>45667</c:v>
                </c:pt>
                <c:pt idx="1245">
                  <c:v>45670</c:v>
                </c:pt>
                <c:pt idx="1246">
                  <c:v>45671</c:v>
                </c:pt>
                <c:pt idx="1247">
                  <c:v>45672</c:v>
                </c:pt>
                <c:pt idx="1248">
                  <c:v>45673</c:v>
                </c:pt>
                <c:pt idx="1249">
                  <c:v>45674</c:v>
                </c:pt>
                <c:pt idx="1250">
                  <c:v>45677</c:v>
                </c:pt>
                <c:pt idx="1251">
                  <c:v>45678</c:v>
                </c:pt>
                <c:pt idx="1252">
                  <c:v>45679</c:v>
                </c:pt>
                <c:pt idx="1253">
                  <c:v>45680</c:v>
                </c:pt>
                <c:pt idx="1254">
                  <c:v>45681</c:v>
                </c:pt>
                <c:pt idx="1255">
                  <c:v>45684</c:v>
                </c:pt>
                <c:pt idx="1256">
                  <c:v>45685</c:v>
                </c:pt>
                <c:pt idx="1257">
                  <c:v>45686</c:v>
                </c:pt>
                <c:pt idx="1258">
                  <c:v>45687</c:v>
                </c:pt>
                <c:pt idx="1259">
                  <c:v>45688</c:v>
                </c:pt>
                <c:pt idx="1260">
                  <c:v>45689</c:v>
                </c:pt>
                <c:pt idx="1261">
                  <c:v>45691</c:v>
                </c:pt>
                <c:pt idx="1262">
                  <c:v>45692</c:v>
                </c:pt>
                <c:pt idx="1263">
                  <c:v>45693</c:v>
                </c:pt>
                <c:pt idx="1264">
                  <c:v>45694</c:v>
                </c:pt>
                <c:pt idx="1265">
                  <c:v>45695</c:v>
                </c:pt>
                <c:pt idx="1266">
                  <c:v>45698</c:v>
                </c:pt>
                <c:pt idx="1267">
                  <c:v>45699</c:v>
                </c:pt>
                <c:pt idx="1268">
                  <c:v>45700</c:v>
                </c:pt>
                <c:pt idx="1269">
                  <c:v>45701</c:v>
                </c:pt>
                <c:pt idx="1270">
                  <c:v>45702</c:v>
                </c:pt>
                <c:pt idx="1271">
                  <c:v>45705</c:v>
                </c:pt>
                <c:pt idx="1272">
                  <c:v>45706</c:v>
                </c:pt>
                <c:pt idx="1273">
                  <c:v>45707</c:v>
                </c:pt>
                <c:pt idx="1274">
                  <c:v>45708</c:v>
                </c:pt>
                <c:pt idx="1275">
                  <c:v>45709</c:v>
                </c:pt>
                <c:pt idx="1276">
                  <c:v>45712</c:v>
                </c:pt>
                <c:pt idx="1277">
                  <c:v>45713</c:v>
                </c:pt>
                <c:pt idx="1278">
                  <c:v>45715</c:v>
                </c:pt>
                <c:pt idx="1279">
                  <c:v>45716</c:v>
                </c:pt>
                <c:pt idx="1280">
                  <c:v>45719</c:v>
                </c:pt>
                <c:pt idx="1281">
                  <c:v>45720</c:v>
                </c:pt>
                <c:pt idx="1282">
                  <c:v>45721</c:v>
                </c:pt>
                <c:pt idx="1283">
                  <c:v>45722</c:v>
                </c:pt>
                <c:pt idx="1284">
                  <c:v>45723</c:v>
                </c:pt>
                <c:pt idx="1285">
                  <c:v>45726</c:v>
                </c:pt>
                <c:pt idx="1286">
                  <c:v>45727</c:v>
                </c:pt>
                <c:pt idx="1287">
                  <c:v>45728</c:v>
                </c:pt>
                <c:pt idx="1288">
                  <c:v>45729</c:v>
                </c:pt>
                <c:pt idx="1289">
                  <c:v>45733</c:v>
                </c:pt>
                <c:pt idx="1290">
                  <c:v>45734</c:v>
                </c:pt>
                <c:pt idx="1291">
                  <c:v>45735</c:v>
                </c:pt>
                <c:pt idx="1292">
                  <c:v>45736</c:v>
                </c:pt>
                <c:pt idx="1293">
                  <c:v>45737</c:v>
                </c:pt>
                <c:pt idx="1294">
                  <c:v>45740</c:v>
                </c:pt>
                <c:pt idx="1295">
                  <c:v>45741</c:v>
                </c:pt>
                <c:pt idx="1296">
                  <c:v>45742</c:v>
                </c:pt>
                <c:pt idx="1297">
                  <c:v>45743</c:v>
                </c:pt>
                <c:pt idx="1298">
                  <c:v>45744</c:v>
                </c:pt>
                <c:pt idx="1299">
                  <c:v>45748</c:v>
                </c:pt>
                <c:pt idx="1300">
                  <c:v>45749</c:v>
                </c:pt>
                <c:pt idx="1301">
                  <c:v>45750</c:v>
                </c:pt>
                <c:pt idx="1302">
                  <c:v>45751</c:v>
                </c:pt>
                <c:pt idx="1303">
                  <c:v>45754</c:v>
                </c:pt>
                <c:pt idx="1304">
                  <c:v>45755</c:v>
                </c:pt>
                <c:pt idx="1305">
                  <c:v>45756</c:v>
                </c:pt>
                <c:pt idx="1306">
                  <c:v>45758</c:v>
                </c:pt>
                <c:pt idx="1307">
                  <c:v>45762</c:v>
                </c:pt>
                <c:pt idx="1308">
                  <c:v>45763</c:v>
                </c:pt>
                <c:pt idx="1309">
                  <c:v>45764</c:v>
                </c:pt>
                <c:pt idx="1310">
                  <c:v>45768</c:v>
                </c:pt>
                <c:pt idx="1311">
                  <c:v>45769</c:v>
                </c:pt>
                <c:pt idx="1312">
                  <c:v>45770</c:v>
                </c:pt>
                <c:pt idx="1313">
                  <c:v>45771</c:v>
                </c:pt>
                <c:pt idx="1314">
                  <c:v>45772</c:v>
                </c:pt>
                <c:pt idx="1315">
                  <c:v>45775</c:v>
                </c:pt>
                <c:pt idx="1316">
                  <c:v>45776</c:v>
                </c:pt>
                <c:pt idx="1317">
                  <c:v>45777</c:v>
                </c:pt>
                <c:pt idx="1318">
                  <c:v>45779</c:v>
                </c:pt>
                <c:pt idx="1319">
                  <c:v>45782</c:v>
                </c:pt>
                <c:pt idx="1320">
                  <c:v>45783</c:v>
                </c:pt>
                <c:pt idx="1321">
                  <c:v>45784</c:v>
                </c:pt>
                <c:pt idx="1322">
                  <c:v>45785</c:v>
                </c:pt>
                <c:pt idx="1323">
                  <c:v>45786</c:v>
                </c:pt>
                <c:pt idx="1324">
                  <c:v>45789</c:v>
                </c:pt>
                <c:pt idx="1325">
                  <c:v>45790</c:v>
                </c:pt>
                <c:pt idx="1326">
                  <c:v>45791</c:v>
                </c:pt>
                <c:pt idx="1327">
                  <c:v>45792</c:v>
                </c:pt>
                <c:pt idx="1328">
                  <c:v>45793</c:v>
                </c:pt>
                <c:pt idx="1329">
                  <c:v>45796</c:v>
                </c:pt>
                <c:pt idx="1330">
                  <c:v>45797</c:v>
                </c:pt>
                <c:pt idx="1331">
                  <c:v>45798</c:v>
                </c:pt>
                <c:pt idx="1332">
                  <c:v>45799</c:v>
                </c:pt>
                <c:pt idx="1333">
                  <c:v>45800</c:v>
                </c:pt>
                <c:pt idx="1334">
                  <c:v>45803</c:v>
                </c:pt>
                <c:pt idx="1335">
                  <c:v>45804</c:v>
                </c:pt>
                <c:pt idx="1336">
                  <c:v>45805</c:v>
                </c:pt>
                <c:pt idx="1337">
                  <c:v>45806</c:v>
                </c:pt>
                <c:pt idx="1338">
                  <c:v>45807</c:v>
                </c:pt>
                <c:pt idx="1339">
                  <c:v>45810</c:v>
                </c:pt>
                <c:pt idx="1340">
                  <c:v>45811</c:v>
                </c:pt>
                <c:pt idx="1341">
                  <c:v>45812</c:v>
                </c:pt>
                <c:pt idx="1342">
                  <c:v>45813</c:v>
                </c:pt>
                <c:pt idx="1343">
                  <c:v>45814</c:v>
                </c:pt>
                <c:pt idx="1344">
                  <c:v>45817</c:v>
                </c:pt>
                <c:pt idx="1345">
                  <c:v>45818</c:v>
                </c:pt>
                <c:pt idx="1346">
                  <c:v>45819</c:v>
                </c:pt>
                <c:pt idx="1347">
                  <c:v>45820</c:v>
                </c:pt>
                <c:pt idx="1348">
                  <c:v>45821</c:v>
                </c:pt>
                <c:pt idx="1349">
                  <c:v>45824</c:v>
                </c:pt>
                <c:pt idx="1350">
                  <c:v>45825</c:v>
                </c:pt>
                <c:pt idx="1351">
                  <c:v>45826</c:v>
                </c:pt>
                <c:pt idx="1352">
                  <c:v>45827</c:v>
                </c:pt>
                <c:pt idx="1353">
                  <c:v>45828</c:v>
                </c:pt>
                <c:pt idx="1354">
                  <c:v>45831</c:v>
                </c:pt>
                <c:pt idx="1355">
                  <c:v>45832</c:v>
                </c:pt>
                <c:pt idx="1356">
                  <c:v>45833</c:v>
                </c:pt>
                <c:pt idx="1357">
                  <c:v>45834</c:v>
                </c:pt>
                <c:pt idx="1358">
                  <c:v>45835</c:v>
                </c:pt>
                <c:pt idx="1359">
                  <c:v>45838</c:v>
                </c:pt>
                <c:pt idx="1360">
                  <c:v>45839</c:v>
                </c:pt>
                <c:pt idx="1361">
                  <c:v>45840</c:v>
                </c:pt>
                <c:pt idx="1362">
                  <c:v>45841</c:v>
                </c:pt>
                <c:pt idx="1363">
                  <c:v>45842</c:v>
                </c:pt>
                <c:pt idx="1364">
                  <c:v>45845</c:v>
                </c:pt>
                <c:pt idx="1365">
                  <c:v>45846</c:v>
                </c:pt>
                <c:pt idx="1366">
                  <c:v>45847</c:v>
                </c:pt>
                <c:pt idx="1367">
                  <c:v>45848</c:v>
                </c:pt>
                <c:pt idx="1368">
                  <c:v>45849</c:v>
                </c:pt>
                <c:pt idx="1369">
                  <c:v>45852</c:v>
                </c:pt>
                <c:pt idx="1370">
                  <c:v>45853</c:v>
                </c:pt>
                <c:pt idx="1371">
                  <c:v>45854</c:v>
                </c:pt>
                <c:pt idx="1372">
                  <c:v>45855</c:v>
                </c:pt>
                <c:pt idx="1373">
                  <c:v>45856</c:v>
                </c:pt>
                <c:pt idx="1374">
                  <c:v>45859</c:v>
                </c:pt>
                <c:pt idx="1375">
                  <c:v>45860</c:v>
                </c:pt>
                <c:pt idx="1376">
                  <c:v>45861</c:v>
                </c:pt>
                <c:pt idx="1377">
                  <c:v>45862</c:v>
                </c:pt>
                <c:pt idx="1378">
                  <c:v>45863</c:v>
                </c:pt>
                <c:pt idx="1379">
                  <c:v>45866</c:v>
                </c:pt>
                <c:pt idx="1380">
                  <c:v>45867</c:v>
                </c:pt>
                <c:pt idx="1381">
                  <c:v>45868</c:v>
                </c:pt>
                <c:pt idx="1382">
                  <c:v>45869</c:v>
                </c:pt>
                <c:pt idx="1383">
                  <c:v>45870</c:v>
                </c:pt>
                <c:pt idx="1384">
                  <c:v>45873</c:v>
                </c:pt>
                <c:pt idx="1385">
                  <c:v>45874</c:v>
                </c:pt>
                <c:pt idx="1386">
                  <c:v>45875</c:v>
                </c:pt>
                <c:pt idx="1387">
                  <c:v>45876</c:v>
                </c:pt>
                <c:pt idx="1388">
                  <c:v>45877</c:v>
                </c:pt>
                <c:pt idx="1389">
                  <c:v>45880</c:v>
                </c:pt>
                <c:pt idx="1390">
                  <c:v>45881</c:v>
                </c:pt>
                <c:pt idx="1391">
                  <c:v>45882</c:v>
                </c:pt>
                <c:pt idx="1392">
                  <c:v>45883</c:v>
                </c:pt>
                <c:pt idx="1393">
                  <c:v>45887</c:v>
                </c:pt>
                <c:pt idx="1394">
                  <c:v>45888</c:v>
                </c:pt>
                <c:pt idx="1395">
                  <c:v>45889</c:v>
                </c:pt>
                <c:pt idx="1396">
                  <c:v>45890</c:v>
                </c:pt>
                <c:pt idx="1397">
                  <c:v>45891</c:v>
                </c:pt>
                <c:pt idx="1398">
                  <c:v>45894</c:v>
                </c:pt>
                <c:pt idx="1399">
                  <c:v>45895</c:v>
                </c:pt>
                <c:pt idx="1400">
                  <c:v>45897</c:v>
                </c:pt>
                <c:pt idx="1401">
                  <c:v>45898</c:v>
                </c:pt>
                <c:pt idx="1402">
                  <c:v>45901</c:v>
                </c:pt>
                <c:pt idx="1403">
                  <c:v>45902</c:v>
                </c:pt>
                <c:pt idx="1404">
                  <c:v>45903</c:v>
                </c:pt>
                <c:pt idx="1405">
                  <c:v>45904</c:v>
                </c:pt>
                <c:pt idx="1406">
                  <c:v>45905</c:v>
                </c:pt>
                <c:pt idx="1407">
                  <c:v>45908</c:v>
                </c:pt>
                <c:pt idx="1408">
                  <c:v>45909</c:v>
                </c:pt>
                <c:pt idx="1409">
                  <c:v>45910</c:v>
                </c:pt>
                <c:pt idx="1410">
                  <c:v>45911</c:v>
                </c:pt>
                <c:pt idx="1411">
                  <c:v>45912</c:v>
                </c:pt>
                <c:pt idx="1412">
                  <c:v>45915</c:v>
                </c:pt>
                <c:pt idx="1413">
                  <c:v>45916</c:v>
                </c:pt>
                <c:pt idx="1414">
                  <c:v>45917</c:v>
                </c:pt>
                <c:pt idx="1415">
                  <c:v>45918</c:v>
                </c:pt>
                <c:pt idx="1416">
                  <c:v>45919</c:v>
                </c:pt>
                <c:pt idx="1417">
                  <c:v>45922</c:v>
                </c:pt>
                <c:pt idx="1418">
                  <c:v>45923</c:v>
                </c:pt>
                <c:pt idx="1419">
                  <c:v>45924</c:v>
                </c:pt>
                <c:pt idx="1420">
                  <c:v>45925</c:v>
                </c:pt>
                <c:pt idx="1421">
                  <c:v>45926</c:v>
                </c:pt>
                <c:pt idx="1422">
                  <c:v>45929</c:v>
                </c:pt>
                <c:pt idx="1423">
                  <c:v>45930</c:v>
                </c:pt>
                <c:pt idx="1424">
                  <c:v>45931</c:v>
                </c:pt>
                <c:pt idx="1425">
                  <c:v>45933</c:v>
                </c:pt>
                <c:pt idx="1426">
                  <c:v>45936</c:v>
                </c:pt>
                <c:pt idx="1427">
                  <c:v>45937</c:v>
                </c:pt>
                <c:pt idx="1428">
                  <c:v>45938</c:v>
                </c:pt>
                <c:pt idx="1429">
                  <c:v>45939</c:v>
                </c:pt>
                <c:pt idx="1430">
                  <c:v>45940</c:v>
                </c:pt>
                <c:pt idx="1431">
                  <c:v>45943</c:v>
                </c:pt>
                <c:pt idx="1432">
                  <c:v>45944</c:v>
                </c:pt>
                <c:pt idx="1433">
                  <c:v>45945</c:v>
                </c:pt>
                <c:pt idx="1434">
                  <c:v>45946</c:v>
                </c:pt>
                <c:pt idx="1435">
                  <c:v>45947</c:v>
                </c:pt>
                <c:pt idx="1436">
                  <c:v>45950</c:v>
                </c:pt>
                <c:pt idx="1437">
                  <c:v>45951</c:v>
                </c:pt>
                <c:pt idx="1438">
                  <c:v>45953</c:v>
                </c:pt>
                <c:pt idx="1439">
                  <c:v>45954</c:v>
                </c:pt>
                <c:pt idx="1440">
                  <c:v>45957</c:v>
                </c:pt>
                <c:pt idx="1441">
                  <c:v>45958</c:v>
                </c:pt>
                <c:pt idx="1442">
                  <c:v>45959</c:v>
                </c:pt>
                <c:pt idx="1443">
                  <c:v>45960</c:v>
                </c:pt>
                <c:pt idx="1444">
                  <c:v>45961</c:v>
                </c:pt>
                <c:pt idx="1445">
                  <c:v>45964</c:v>
                </c:pt>
                <c:pt idx="1446">
                  <c:v>45965</c:v>
                </c:pt>
                <c:pt idx="1447">
                  <c:v>45966</c:v>
                </c:pt>
                <c:pt idx="1448">
                  <c:v>45967</c:v>
                </c:pt>
                <c:pt idx="1449">
                  <c:v>45968</c:v>
                </c:pt>
                <c:pt idx="1450">
                  <c:v>45971</c:v>
                </c:pt>
                <c:pt idx="1451">
                  <c:v>45972</c:v>
                </c:pt>
                <c:pt idx="1452">
                  <c:v>45973</c:v>
                </c:pt>
                <c:pt idx="1453">
                  <c:v>45974</c:v>
                </c:pt>
                <c:pt idx="1454">
                  <c:v>45975</c:v>
                </c:pt>
                <c:pt idx="1455">
                  <c:v>45978</c:v>
                </c:pt>
                <c:pt idx="1456">
                  <c:v>45979</c:v>
                </c:pt>
                <c:pt idx="1457">
                  <c:v>45980</c:v>
                </c:pt>
                <c:pt idx="1458">
                  <c:v>45981</c:v>
                </c:pt>
                <c:pt idx="1459">
                  <c:v>45982</c:v>
                </c:pt>
                <c:pt idx="1460">
                  <c:v>45985</c:v>
                </c:pt>
                <c:pt idx="1461">
                  <c:v>45986</c:v>
                </c:pt>
                <c:pt idx="1462">
                  <c:v>45987</c:v>
                </c:pt>
                <c:pt idx="1463">
                  <c:v>45988</c:v>
                </c:pt>
                <c:pt idx="1464">
                  <c:v>45989</c:v>
                </c:pt>
                <c:pt idx="1465">
                  <c:v>45992</c:v>
                </c:pt>
                <c:pt idx="1466">
                  <c:v>45993</c:v>
                </c:pt>
                <c:pt idx="1467">
                  <c:v>45994</c:v>
                </c:pt>
                <c:pt idx="1468">
                  <c:v>45995</c:v>
                </c:pt>
                <c:pt idx="1469">
                  <c:v>45996</c:v>
                </c:pt>
                <c:pt idx="1470">
                  <c:v>45999</c:v>
                </c:pt>
                <c:pt idx="1471">
                  <c:v>46000</c:v>
                </c:pt>
                <c:pt idx="1472">
                  <c:v>46001</c:v>
                </c:pt>
                <c:pt idx="1473">
                  <c:v>46002</c:v>
                </c:pt>
                <c:pt idx="1474">
                  <c:v>46003</c:v>
                </c:pt>
                <c:pt idx="1475">
                  <c:v>46006</c:v>
                </c:pt>
                <c:pt idx="1476">
                  <c:v>46007</c:v>
                </c:pt>
                <c:pt idx="1477">
                  <c:v>46008</c:v>
                </c:pt>
                <c:pt idx="1478">
                  <c:v>46009</c:v>
                </c:pt>
                <c:pt idx="1479">
                  <c:v>46010</c:v>
                </c:pt>
                <c:pt idx="1480">
                  <c:v>46013</c:v>
                </c:pt>
                <c:pt idx="1481">
                  <c:v>46014</c:v>
                </c:pt>
                <c:pt idx="1482">
                  <c:v>46015</c:v>
                </c:pt>
                <c:pt idx="1483">
                  <c:v>46017</c:v>
                </c:pt>
                <c:pt idx="1484">
                  <c:v>46020</c:v>
                </c:pt>
                <c:pt idx="1485">
                  <c:v>46021</c:v>
                </c:pt>
              </c:numCache>
            </c:numRef>
          </c:cat>
          <c:val>
            <c:numRef>
              <c:f>Hitorical_Sim!$C$2:$C$1487</c:f>
              <c:numCache>
                <c:formatCode>0.00</c:formatCode>
                <c:ptCount val="1486"/>
                <c:pt idx="0">
                  <c:v>7.4767455746824363E-2</c:v>
                </c:pt>
                <c:pt idx="1">
                  <c:v>-1.1494424134615972E-2</c:v>
                </c:pt>
                <c:pt idx="2">
                  <c:v>-1.4346814642173394E-2</c:v>
                </c:pt>
                <c:pt idx="3">
                  <c:v>1.372733493149619E-2</c:v>
                </c:pt>
                <c:pt idx="4">
                  <c:v>-1.4146318040612947E-2</c:v>
                </c:pt>
                <c:pt idx="5">
                  <c:v>2.5443608188113493E-2</c:v>
                </c:pt>
                <c:pt idx="6">
                  <c:v>-4.0933790066296797E-3</c:v>
                </c:pt>
                <c:pt idx="7">
                  <c:v>5.6223686986957892E-2</c:v>
                </c:pt>
                <c:pt idx="8">
                  <c:v>-7.7852566820888957E-3</c:v>
                </c:pt>
                <c:pt idx="9">
                  <c:v>3.4943186962082012E-2</c:v>
                </c:pt>
                <c:pt idx="10">
                  <c:v>-1.5209394445613223E-2</c:v>
                </c:pt>
                <c:pt idx="11">
                  <c:v>-1.2336467541217786E-2</c:v>
                </c:pt>
                <c:pt idx="12">
                  <c:v>-1.1508765107284118E-2</c:v>
                </c:pt>
                <c:pt idx="13">
                  <c:v>3.3296234280858483E-3</c:v>
                </c:pt>
                <c:pt idx="14">
                  <c:v>-2.6752772237009257E-2</c:v>
                </c:pt>
                <c:pt idx="15">
                  <c:v>2.5187236451121576E-2</c:v>
                </c:pt>
                <c:pt idx="16">
                  <c:v>4.124487844324163E-2</c:v>
                </c:pt>
                <c:pt idx="17">
                  <c:v>-2.3772165875179874E-2</c:v>
                </c:pt>
                <c:pt idx="18">
                  <c:v>3.848807859597974E-4</c:v>
                </c:pt>
                <c:pt idx="19">
                  <c:v>-1.785759335402156E-2</c:v>
                </c:pt>
                <c:pt idx="20">
                  <c:v>-3.1635016515166897E-2</c:v>
                </c:pt>
                <c:pt idx="21">
                  <c:v>1.0656590380597211E-2</c:v>
                </c:pt>
                <c:pt idx="22">
                  <c:v>-6.3365856225484213E-2</c:v>
                </c:pt>
                <c:pt idx="23">
                  <c:v>3.6405758840502095E-2</c:v>
                </c:pt>
                <c:pt idx="24">
                  <c:v>4.7154868740487389E-2</c:v>
                </c:pt>
                <c:pt idx="25">
                  <c:v>1.9580528794355318E-3</c:v>
                </c:pt>
                <c:pt idx="26">
                  <c:v>6.218835654494613E-2</c:v>
                </c:pt>
                <c:pt idx="27">
                  <c:v>-2.1178633904961258E-2</c:v>
                </c:pt>
                <c:pt idx="28">
                  <c:v>-0.12163944592332721</c:v>
                </c:pt>
                <c:pt idx="29">
                  <c:v>8.8664279388678061E-3</c:v>
                </c:pt>
                <c:pt idx="30">
                  <c:v>-4.0095320343956319E-2</c:v>
                </c:pt>
                <c:pt idx="31">
                  <c:v>-4.7259995320699438E-2</c:v>
                </c:pt>
                <c:pt idx="32">
                  <c:v>-2.3202919306706669E-2</c:v>
                </c:pt>
                <c:pt idx="33">
                  <c:v>-2.4475482507323214E-2</c:v>
                </c:pt>
                <c:pt idx="34">
                  <c:v>4.1235648724310951E-2</c:v>
                </c:pt>
                <c:pt idx="35">
                  <c:v>-2.8804194586415154E-2</c:v>
                </c:pt>
                <c:pt idx="36">
                  <c:v>-4.8683302372795209E-2</c:v>
                </c:pt>
                <c:pt idx="37">
                  <c:v>-8.7687875107617889E-3</c:v>
                </c:pt>
                <c:pt idx="38">
                  <c:v>-4.4508877349895254E-2</c:v>
                </c:pt>
                <c:pt idx="39">
                  <c:v>-6.0739784435461783E-2</c:v>
                </c:pt>
                <c:pt idx="40">
                  <c:v>-8.8511922353560132E-2</c:v>
                </c:pt>
                <c:pt idx="41">
                  <c:v>5.4829059040821283E-3</c:v>
                </c:pt>
                <c:pt idx="42">
                  <c:v>1.2977376549219313E-2</c:v>
                </c:pt>
                <c:pt idx="43">
                  <c:v>-1.907120468414264E-2</c:v>
                </c:pt>
                <c:pt idx="44">
                  <c:v>-8.5944191904987893E-3</c:v>
                </c:pt>
                <c:pt idx="45">
                  <c:v>-1.9297168179192525E-2</c:v>
                </c:pt>
                <c:pt idx="46">
                  <c:v>-4.4666143573656898E-2</c:v>
                </c:pt>
                <c:pt idx="47">
                  <c:v>-9.8618843634108396E-4</c:v>
                </c:pt>
                <c:pt idx="48">
                  <c:v>-0.10536065170656769</c:v>
                </c:pt>
                <c:pt idx="49">
                  <c:v>2.1335184949225577E-2</c:v>
                </c:pt>
                <c:pt idx="50">
                  <c:v>-6.0088123503461273E-2</c:v>
                </c:pt>
                <c:pt idx="51">
                  <c:v>-5.1853397623632565E-2</c:v>
                </c:pt>
                <c:pt idx="52">
                  <c:v>-8.3851386955131627E-2</c:v>
                </c:pt>
                <c:pt idx="53">
                  <c:v>-0.10497381073320655</c:v>
                </c:pt>
                <c:pt idx="54">
                  <c:v>-8.5738068647647894E-2</c:v>
                </c:pt>
                <c:pt idx="55">
                  <c:v>-5.0766804159704096E-2</c:v>
                </c:pt>
                <c:pt idx="56">
                  <c:v>-5.114750460808816E-2</c:v>
                </c:pt>
                <c:pt idx="57">
                  <c:v>4.8373546740096827E-2</c:v>
                </c:pt>
                <c:pt idx="58">
                  <c:v>4.7201686814132497E-2</c:v>
                </c:pt>
                <c:pt idx="59">
                  <c:v>4.8613464351130765E-2</c:v>
                </c:pt>
                <c:pt idx="60">
                  <c:v>4.2496452490359687E-2</c:v>
                </c:pt>
                <c:pt idx="61">
                  <c:v>1.7742066346998261E-2</c:v>
                </c:pt>
                <c:pt idx="62">
                  <c:v>9.5014548890195614E-4</c:v>
                </c:pt>
                <c:pt idx="63">
                  <c:v>3.5909684023724756E-2</c:v>
                </c:pt>
                <c:pt idx="64">
                  <c:v>2.3093543214223952E-2</c:v>
                </c:pt>
                <c:pt idx="65">
                  <c:v>-5.3859327387728645E-3</c:v>
                </c:pt>
                <c:pt idx="66">
                  <c:v>4.788970891788559E-2</c:v>
                </c:pt>
                <c:pt idx="67">
                  <c:v>1.6592520119754983E-2</c:v>
                </c:pt>
                <c:pt idx="68">
                  <c:v>4.7382675098463875E-2</c:v>
                </c:pt>
                <c:pt idx="69">
                  <c:v>4.8694384446379378E-2</c:v>
                </c:pt>
                <c:pt idx="70">
                  <c:v>4.8625794580926987E-2</c:v>
                </c:pt>
                <c:pt idx="71">
                  <c:v>3.2683919031679887E-2</c:v>
                </c:pt>
                <c:pt idx="72">
                  <c:v>3.0964394676958794E-2</c:v>
                </c:pt>
                <c:pt idx="73">
                  <c:v>0</c:v>
                </c:pt>
                <c:pt idx="74">
                  <c:v>-2.673307733037027E-2</c:v>
                </c:pt>
                <c:pt idx="75">
                  <c:v>-5.1256290091774216E-2</c:v>
                </c:pt>
                <c:pt idx="76">
                  <c:v>1.9439409765057491E-2</c:v>
                </c:pt>
                <c:pt idx="77">
                  <c:v>-3.8508970072491017E-2</c:v>
                </c:pt>
                <c:pt idx="78">
                  <c:v>3.3775747034206334E-2</c:v>
                </c:pt>
                <c:pt idx="79">
                  <c:v>2.1661493252604781E-2</c:v>
                </c:pt>
                <c:pt idx="80">
                  <c:v>-5.1293307108992457E-2</c:v>
                </c:pt>
                <c:pt idx="81">
                  <c:v>-2.0893487754825329E-2</c:v>
                </c:pt>
                <c:pt idx="82">
                  <c:v>3.0663325854949257E-3</c:v>
                </c:pt>
                <c:pt idx="83">
                  <c:v>-2.5582787185374468E-2</c:v>
                </c:pt>
                <c:pt idx="84">
                  <c:v>1.2873201236854216E-2</c:v>
                </c:pt>
                <c:pt idx="85">
                  <c:v>8.8751825866075808E-3</c:v>
                </c:pt>
                <c:pt idx="86">
                  <c:v>4.175893185566186E-2</c:v>
                </c:pt>
                <c:pt idx="87">
                  <c:v>-1.7469209014189972E-2</c:v>
                </c:pt>
                <c:pt idx="88">
                  <c:v>-1.9307807894542995E-2</c:v>
                </c:pt>
                <c:pt idx="89">
                  <c:v>3.9352956537491719E-2</c:v>
                </c:pt>
                <c:pt idx="90">
                  <c:v>-4.8183903605099034E-2</c:v>
                </c:pt>
                <c:pt idx="91">
                  <c:v>-4.4960313753149336E-2</c:v>
                </c:pt>
                <c:pt idx="92">
                  <c:v>6.8342192748820276E-3</c:v>
                </c:pt>
                <c:pt idx="93">
                  <c:v>-4.006308311042822E-4</c:v>
                </c:pt>
                <c:pt idx="94">
                  <c:v>-8.4525217037614078E-3</c:v>
                </c:pt>
                <c:pt idx="95">
                  <c:v>-1.6300323124672091E-2</c:v>
                </c:pt>
                <c:pt idx="96">
                  <c:v>4.1446325808876458E-2</c:v>
                </c:pt>
                <c:pt idx="97">
                  <c:v>4.7343834980850305E-2</c:v>
                </c:pt>
                <c:pt idx="98">
                  <c:v>4.0521150790971038E-2</c:v>
                </c:pt>
                <c:pt idx="99">
                  <c:v>6.835767530853883E-3</c:v>
                </c:pt>
                <c:pt idx="100">
                  <c:v>-7.9192645199120254E-3</c:v>
                </c:pt>
                <c:pt idx="101">
                  <c:v>-1.8603611489690593E-2</c:v>
                </c:pt>
                <c:pt idx="102">
                  <c:v>-1.5958749770150906E-2</c:v>
                </c:pt>
                <c:pt idx="103">
                  <c:v>3.0941813766374802E-2</c:v>
                </c:pt>
                <c:pt idx="104">
                  <c:v>9.5079276271776328E-2</c:v>
                </c:pt>
                <c:pt idx="105">
                  <c:v>3.3725592570960139E-2</c:v>
                </c:pt>
                <c:pt idx="106">
                  <c:v>-1.8018466264467389E-2</c:v>
                </c:pt>
                <c:pt idx="107">
                  <c:v>-2.4984895999804111E-2</c:v>
                </c:pt>
                <c:pt idx="108">
                  <c:v>-3.2479169272306367E-2</c:v>
                </c:pt>
                <c:pt idx="109">
                  <c:v>-2.2605862318540358E-2</c:v>
                </c:pt>
                <c:pt idx="110">
                  <c:v>3.1506942548433371E-2</c:v>
                </c:pt>
                <c:pt idx="111">
                  <c:v>5.5358081496496056E-2</c:v>
                </c:pt>
                <c:pt idx="112">
                  <c:v>2.8980309850305803E-3</c:v>
                </c:pt>
                <c:pt idx="113">
                  <c:v>-1.4248906349489457E-2</c:v>
                </c:pt>
                <c:pt idx="114">
                  <c:v>7.7973087455672288E-3</c:v>
                </c:pt>
                <c:pt idx="115">
                  <c:v>3.2355392346698856E-4</c:v>
                </c:pt>
                <c:pt idx="116">
                  <c:v>-1.1387918731838467E-2</c:v>
                </c:pt>
                <c:pt idx="117">
                  <c:v>2.2967331746908893E-2</c:v>
                </c:pt>
                <c:pt idx="118">
                  <c:v>-9.3174620572923188E-3</c:v>
                </c:pt>
                <c:pt idx="119">
                  <c:v>-3.9169084286667682E-2</c:v>
                </c:pt>
                <c:pt idx="120">
                  <c:v>1.0067127707325675E-3</c:v>
                </c:pt>
                <c:pt idx="121">
                  <c:v>1.860503513300461E-2</c:v>
                </c:pt>
                <c:pt idx="122">
                  <c:v>3.9421861535793284E-3</c:v>
                </c:pt>
                <c:pt idx="123">
                  <c:v>8.1632916968770661E-3</c:v>
                </c:pt>
                <c:pt idx="124">
                  <c:v>-8.4910848044387165E-3</c:v>
                </c:pt>
                <c:pt idx="125">
                  <c:v>-7.241673751280096E-3</c:v>
                </c:pt>
                <c:pt idx="126">
                  <c:v>6.0877243376287596E-2</c:v>
                </c:pt>
                <c:pt idx="127">
                  <c:v>-9.6831234023519314E-3</c:v>
                </c:pt>
                <c:pt idx="128">
                  <c:v>-2.6074642700205614E-2</c:v>
                </c:pt>
                <c:pt idx="129">
                  <c:v>-1.3296681433517608E-2</c:v>
                </c:pt>
                <c:pt idx="130">
                  <c:v>-4.2533289813705593E-3</c:v>
                </c:pt>
                <c:pt idx="131">
                  <c:v>-2.8601842983797927E-2</c:v>
                </c:pt>
                <c:pt idx="132">
                  <c:v>-1.4271276656552662E-2</c:v>
                </c:pt>
                <c:pt idx="133">
                  <c:v>6.4812105108038309E-3</c:v>
                </c:pt>
                <c:pt idx="134">
                  <c:v>9.5279259667062396E-2</c:v>
                </c:pt>
                <c:pt idx="135">
                  <c:v>-2.0612738647204015E-2</c:v>
                </c:pt>
                <c:pt idx="136">
                  <c:v>-3.076190156200086E-2</c:v>
                </c:pt>
                <c:pt idx="137">
                  <c:v>1.2611376386422974E-2</c:v>
                </c:pt>
                <c:pt idx="138">
                  <c:v>-1.3588042733558466E-2</c:v>
                </c:pt>
                <c:pt idx="139">
                  <c:v>-3.0761531808425623E-2</c:v>
                </c:pt>
                <c:pt idx="140">
                  <c:v>-1.3867873912291651E-2</c:v>
                </c:pt>
                <c:pt idx="141">
                  <c:v>3.060648312570803E-3</c:v>
                </c:pt>
                <c:pt idx="142">
                  <c:v>-1.5743120672371904E-2</c:v>
                </c:pt>
                <c:pt idx="143">
                  <c:v>-7.6174518677611805E-3</c:v>
                </c:pt>
                <c:pt idx="144">
                  <c:v>0</c:v>
                </c:pt>
                <c:pt idx="145">
                  <c:v>-9.7801845305609293E-3</c:v>
                </c:pt>
                <c:pt idx="146">
                  <c:v>5.6003332476657272E-3</c:v>
                </c:pt>
                <c:pt idx="147">
                  <c:v>-1.7250828676744129E-2</c:v>
                </c:pt>
                <c:pt idx="148">
                  <c:v>7.0981488692769146E-4</c:v>
                </c:pt>
                <c:pt idx="149">
                  <c:v>5.9246062481369162E-2</c:v>
                </c:pt>
                <c:pt idx="150">
                  <c:v>-1.7544344704810724E-2</c:v>
                </c:pt>
                <c:pt idx="151">
                  <c:v>-2.7257258801147901E-2</c:v>
                </c:pt>
                <c:pt idx="152">
                  <c:v>-7.3722745466659641E-3</c:v>
                </c:pt>
                <c:pt idx="153">
                  <c:v>0</c:v>
                </c:pt>
                <c:pt idx="154">
                  <c:v>-6.7173457957071993E-3</c:v>
                </c:pt>
                <c:pt idx="155">
                  <c:v>-1.0646535199651938E-3</c:v>
                </c:pt>
                <c:pt idx="156">
                  <c:v>3.4552256578306753E-2</c:v>
                </c:pt>
                <c:pt idx="157">
                  <c:v>-1.6952468402535326E-2</c:v>
                </c:pt>
                <c:pt idx="158">
                  <c:v>1.5579391046591928E-2</c:v>
                </c:pt>
                <c:pt idx="159">
                  <c:v>4.3360897267512827E-2</c:v>
                </c:pt>
                <c:pt idx="160">
                  <c:v>-1.5915451139117739E-2</c:v>
                </c:pt>
                <c:pt idx="161">
                  <c:v>2.443167717852425E-2</c:v>
                </c:pt>
                <c:pt idx="162">
                  <c:v>2.5121981010516551E-2</c:v>
                </c:pt>
                <c:pt idx="163">
                  <c:v>-1.6677778511900745E-2</c:v>
                </c:pt>
                <c:pt idx="164">
                  <c:v>-5.2792279087896937E-2</c:v>
                </c:pt>
                <c:pt idx="165">
                  <c:v>6.8162476141028609E-4</c:v>
                </c:pt>
                <c:pt idx="166">
                  <c:v>9.8322722415340093E-3</c:v>
                </c:pt>
                <c:pt idx="167">
                  <c:v>-3.7181233454574181E-3</c:v>
                </c:pt>
                <c:pt idx="168">
                  <c:v>-2.8161120318776618E-2</c:v>
                </c:pt>
                <c:pt idx="169">
                  <c:v>9.3603827289556896E-3</c:v>
                </c:pt>
                <c:pt idx="170">
                  <c:v>-4.3009694540136034E-2</c:v>
                </c:pt>
                <c:pt idx="171">
                  <c:v>-3.7435745262670732E-2</c:v>
                </c:pt>
                <c:pt idx="172">
                  <c:v>1.926001930244832E-2</c:v>
                </c:pt>
                <c:pt idx="173">
                  <c:v>-1.2922542671296989E-2</c:v>
                </c:pt>
                <c:pt idx="174">
                  <c:v>-3.7229278766074186E-3</c:v>
                </c:pt>
                <c:pt idx="175">
                  <c:v>-2.9885058645856516E-3</c:v>
                </c:pt>
                <c:pt idx="176">
                  <c:v>7.4802743057601013E-4</c:v>
                </c:pt>
                <c:pt idx="177">
                  <c:v>-5.2473448543108817E-3</c:v>
                </c:pt>
                <c:pt idx="178">
                  <c:v>-3.0912716236186938E-2</c:v>
                </c:pt>
                <c:pt idx="179">
                  <c:v>-3.2298960347260923E-2</c:v>
                </c:pt>
                <c:pt idx="180">
                  <c:v>-1.4110313217410457E-2</c:v>
                </c:pt>
                <c:pt idx="181">
                  <c:v>-1.0612296744447044E-2</c:v>
                </c:pt>
                <c:pt idx="182">
                  <c:v>-5.3488217764013661E-3</c:v>
                </c:pt>
                <c:pt idx="183">
                  <c:v>2.2436228798299519E-2</c:v>
                </c:pt>
                <c:pt idx="184">
                  <c:v>1.2029012971100242E-2</c:v>
                </c:pt>
                <c:pt idx="185">
                  <c:v>-2.1350139856421375E-2</c:v>
                </c:pt>
                <c:pt idx="186">
                  <c:v>-1.5593347781053375E-2</c:v>
                </c:pt>
                <c:pt idx="187">
                  <c:v>8.6473658362322733E-3</c:v>
                </c:pt>
                <c:pt idx="188">
                  <c:v>3.8999956512671026E-2</c:v>
                </c:pt>
                <c:pt idx="189">
                  <c:v>-9.1107988278471119E-3</c:v>
                </c:pt>
                <c:pt idx="190">
                  <c:v>-1.0400114775099334E-2</c:v>
                </c:pt>
                <c:pt idx="191">
                  <c:v>-1.7850393180780477E-2</c:v>
                </c:pt>
                <c:pt idx="192">
                  <c:v>-1.6386497289441701E-3</c:v>
                </c:pt>
                <c:pt idx="193">
                  <c:v>2.457003352582443E-3</c:v>
                </c:pt>
                <c:pt idx="194">
                  <c:v>-2.8670683373225236E-3</c:v>
                </c:pt>
                <c:pt idx="195">
                  <c:v>-2.0529901055088215E-3</c:v>
                </c:pt>
                <c:pt idx="196">
                  <c:v>-1.6995178173198983E-2</c:v>
                </c:pt>
                <c:pt idx="197">
                  <c:v>-4.1894117172182541E-3</c:v>
                </c:pt>
                <c:pt idx="198">
                  <c:v>5.4332369955614759E-2</c:v>
                </c:pt>
                <c:pt idx="199">
                  <c:v>-1.8864716943999181E-2</c:v>
                </c:pt>
                <c:pt idx="200">
                  <c:v>-1.1000312862960569E-2</c:v>
                </c:pt>
                <c:pt idx="201">
                  <c:v>-7.8141915829225365E-3</c:v>
                </c:pt>
                <c:pt idx="202">
                  <c:v>3.297635047464473E-3</c:v>
                </c:pt>
                <c:pt idx="203">
                  <c:v>-1.3673299983052877E-2</c:v>
                </c:pt>
                <c:pt idx="204">
                  <c:v>6.6528770000212571E-3</c:v>
                </c:pt>
                <c:pt idx="205">
                  <c:v>-1.2091129793436061E-2</c:v>
                </c:pt>
                <c:pt idx="206">
                  <c:v>-8.8476785555204468E-3</c:v>
                </c:pt>
                <c:pt idx="207">
                  <c:v>-2.5424456096008736E-3</c:v>
                </c:pt>
                <c:pt idx="208">
                  <c:v>3.1324406768660738E-2</c:v>
                </c:pt>
                <c:pt idx="209">
                  <c:v>4.922007179592576E-3</c:v>
                </c:pt>
                <c:pt idx="210">
                  <c:v>-2.0478756391950018E-3</c:v>
                </c:pt>
                <c:pt idx="211">
                  <c:v>-6.5816532069671646E-3</c:v>
                </c:pt>
                <c:pt idx="212">
                  <c:v>1.649461403637863E-3</c:v>
                </c:pt>
                <c:pt idx="213">
                  <c:v>2.8800442488156894E-3</c:v>
                </c:pt>
                <c:pt idx="214">
                  <c:v>9.4051208433511557E-3</c:v>
                </c:pt>
                <c:pt idx="215">
                  <c:v>5.2771020426873082E-3</c:v>
                </c:pt>
                <c:pt idx="216">
                  <c:v>1.0070621942395145E-2</c:v>
                </c:pt>
                <c:pt idx="217">
                  <c:v>1.5115593894023791E-2</c:v>
                </c:pt>
                <c:pt idx="218">
                  <c:v>1.5778870864190341E-3</c:v>
                </c:pt>
                <c:pt idx="219">
                  <c:v>-6.3266090523034267E-3</c:v>
                </c:pt>
                <c:pt idx="220">
                  <c:v>-5.5688505265494553E-3</c:v>
                </c:pt>
                <c:pt idx="221">
                  <c:v>3.9878104433177086E-4</c:v>
                </c:pt>
                <c:pt idx="222">
                  <c:v>2.7872252551071641E-3</c:v>
                </c:pt>
                <c:pt idx="223">
                  <c:v>3.7460479569252692E-2</c:v>
                </c:pt>
                <c:pt idx="224">
                  <c:v>4.8589560559681222E-2</c:v>
                </c:pt>
                <c:pt idx="225">
                  <c:v>1.7718815327897111E-2</c:v>
                </c:pt>
                <c:pt idx="226">
                  <c:v>-1.1173338755785757E-2</c:v>
                </c:pt>
                <c:pt idx="227">
                  <c:v>2.1513852526436273E-2</c:v>
                </c:pt>
                <c:pt idx="228">
                  <c:v>-6.762773858224852E-3</c:v>
                </c:pt>
                <c:pt idx="229">
                  <c:v>-2.5031701997923865E-3</c:v>
                </c:pt>
                <c:pt idx="230">
                  <c:v>7.8459536467894789E-3</c:v>
                </c:pt>
                <c:pt idx="231">
                  <c:v>-9.2791722341648598E-3</c:v>
                </c:pt>
                <c:pt idx="232">
                  <c:v>1.4240102787171357E-2</c:v>
                </c:pt>
                <c:pt idx="233">
                  <c:v>8.447957824845833E-3</c:v>
                </c:pt>
                <c:pt idx="234">
                  <c:v>1.6684429964153986E-2</c:v>
                </c:pt>
                <c:pt idx="235">
                  <c:v>-7.6125313513463041E-3</c:v>
                </c:pt>
                <c:pt idx="236">
                  <c:v>-1.1879982060343899E-2</c:v>
                </c:pt>
                <c:pt idx="237">
                  <c:v>3.5088146910097913E-3</c:v>
                </c:pt>
                <c:pt idx="238">
                  <c:v>-1.339931230695437E-2</c:v>
                </c:pt>
                <c:pt idx="239">
                  <c:v>3.5435692299331037E-3</c:v>
                </c:pt>
                <c:pt idx="240">
                  <c:v>2.7905441468690652E-2</c:v>
                </c:pt>
                <c:pt idx="241">
                  <c:v>-1.8750429635142941E-2</c:v>
                </c:pt>
                <c:pt idx="242">
                  <c:v>-6.4047981424493944E-2</c:v>
                </c:pt>
                <c:pt idx="243">
                  <c:v>2.3634816347039799E-2</c:v>
                </c:pt>
                <c:pt idx="244">
                  <c:v>3.0550419279816408E-2</c:v>
                </c:pt>
                <c:pt idx="245">
                  <c:v>-1.4168524110355269E-3</c:v>
                </c:pt>
                <c:pt idx="246">
                  <c:v>2.1245863751257394E-3</c:v>
                </c:pt>
                <c:pt idx="247">
                  <c:v>-8.1690680028898791E-3</c:v>
                </c:pt>
                <c:pt idx="248">
                  <c:v>-5.3639807755795329E-3</c:v>
                </c:pt>
                <c:pt idx="249">
                  <c:v>-2.5129338501485056E-3</c:v>
                </c:pt>
                <c:pt idx="250">
                  <c:v>7.8769146257279855E-3</c:v>
                </c:pt>
                <c:pt idx="251">
                  <c:v>1.1700065037234688E-2</c:v>
                </c:pt>
                <c:pt idx="252">
                  <c:v>-3.177407539323249E-3</c:v>
                </c:pt>
                <c:pt idx="253">
                  <c:v>-1.1022252274825634E-2</c:v>
                </c:pt>
                <c:pt idx="254">
                  <c:v>1.0314888344128916E-2</c:v>
                </c:pt>
                <c:pt idx="255">
                  <c:v>2.3431659592839663E-2</c:v>
                </c:pt>
                <c:pt idx="256">
                  <c:v>1.8154424301229512E-2</c:v>
                </c:pt>
                <c:pt idx="257">
                  <c:v>6.0912738315100782E-3</c:v>
                </c:pt>
                <c:pt idx="258">
                  <c:v>-2.4245698132739427E-2</c:v>
                </c:pt>
                <c:pt idx="259">
                  <c:v>-1.0374652234301709E-3</c:v>
                </c:pt>
                <c:pt idx="260">
                  <c:v>-1.7100495817610521E-2</c:v>
                </c:pt>
                <c:pt idx="261">
                  <c:v>-2.3865698216706751E-2</c:v>
                </c:pt>
                <c:pt idx="262">
                  <c:v>9.686112608199007E-3</c:v>
                </c:pt>
                <c:pt idx="263">
                  <c:v>4.2750930337623894E-3</c:v>
                </c:pt>
                <c:pt idx="264">
                  <c:v>-1.5404247850701528E-2</c:v>
                </c:pt>
                <c:pt idx="265">
                  <c:v>-1.5645069960214513E-2</c:v>
                </c:pt>
                <c:pt idx="266">
                  <c:v>-1.9252760858109366E-2</c:v>
                </c:pt>
                <c:pt idx="267">
                  <c:v>-8.2583459607055536E-3</c:v>
                </c:pt>
                <c:pt idx="268">
                  <c:v>4.8881246169463514E-3</c:v>
                </c:pt>
                <c:pt idx="269">
                  <c:v>-1.0558208648074311E-2</c:v>
                </c:pt>
                <c:pt idx="270">
                  <c:v>4.9908707134415566E-2</c:v>
                </c:pt>
                <c:pt idx="271">
                  <c:v>0</c:v>
                </c:pt>
                <c:pt idx="272">
                  <c:v>-6.5122005366431406E-3</c:v>
                </c:pt>
                <c:pt idx="273">
                  <c:v>1.7629502518818188E-2</c:v>
                </c:pt>
                <c:pt idx="274">
                  <c:v>-1.2560865015658295E-2</c:v>
                </c:pt>
                <c:pt idx="275">
                  <c:v>-4.705870285331008E-3</c:v>
                </c:pt>
                <c:pt idx="276">
                  <c:v>-2.2011032763938107E-2</c:v>
                </c:pt>
                <c:pt idx="277">
                  <c:v>1.6918240602240824E-2</c:v>
                </c:pt>
                <c:pt idx="278">
                  <c:v>5.4557346737284813E-3</c:v>
                </c:pt>
                <c:pt idx="279">
                  <c:v>3.352653132150317E-2</c:v>
                </c:pt>
                <c:pt idx="280">
                  <c:v>8.7306094584676322E-3</c:v>
                </c:pt>
                <c:pt idx="281">
                  <c:v>-1.2948541480092538E-2</c:v>
                </c:pt>
                <c:pt idx="282">
                  <c:v>3.5162172680062603E-3</c:v>
                </c:pt>
                <c:pt idx="283">
                  <c:v>0.18208752260989872</c:v>
                </c:pt>
                <c:pt idx="284">
                  <c:v>0.18217525348442543</c:v>
                </c:pt>
                <c:pt idx="285">
                  <c:v>-9.6701038952730495E-2</c:v>
                </c:pt>
                <c:pt idx="286">
                  <c:v>5.3346059793000285E-2</c:v>
                </c:pt>
                <c:pt idx="287">
                  <c:v>-1.2740619270875254E-3</c:v>
                </c:pt>
                <c:pt idx="288">
                  <c:v>1.1912372594173432E-2</c:v>
                </c:pt>
                <c:pt idx="289">
                  <c:v>-4.8525612700746318E-2</c:v>
                </c:pt>
                <c:pt idx="290">
                  <c:v>4.4486195197522602E-2</c:v>
                </c:pt>
                <c:pt idx="291">
                  <c:v>2.1770031147806606E-2</c:v>
                </c:pt>
                <c:pt idx="292">
                  <c:v>-1.9495824708373254E-2</c:v>
                </c:pt>
                <c:pt idx="293">
                  <c:v>6.7915812679734998E-3</c:v>
                </c:pt>
                <c:pt idx="294">
                  <c:v>-1.3629603700742954E-2</c:v>
                </c:pt>
                <c:pt idx="295">
                  <c:v>2.6581243513349024E-2</c:v>
                </c:pt>
                <c:pt idx="296">
                  <c:v>-6.2057888815570646E-3</c:v>
                </c:pt>
                <c:pt idx="297">
                  <c:v>-7.472488378974456E-4</c:v>
                </c:pt>
                <c:pt idx="298">
                  <c:v>3.5013989236163341E-2</c:v>
                </c:pt>
                <c:pt idx="299">
                  <c:v>6.9535620063668219E-3</c:v>
                </c:pt>
                <c:pt idx="300">
                  <c:v>7.5898474062689417E-2</c:v>
                </c:pt>
                <c:pt idx="301">
                  <c:v>6.8425998255620592E-3</c:v>
                </c:pt>
                <c:pt idx="302">
                  <c:v>-6.3996052137549973E-3</c:v>
                </c:pt>
                <c:pt idx="303">
                  <c:v>-3.0114679453153614E-2</c:v>
                </c:pt>
                <c:pt idx="304">
                  <c:v>2.2788917646453448E-3</c:v>
                </c:pt>
                <c:pt idx="305">
                  <c:v>-1.861041101951778E-2</c:v>
                </c:pt>
                <c:pt idx="306">
                  <c:v>-1.8254735997103717E-2</c:v>
                </c:pt>
                <c:pt idx="307">
                  <c:v>-3.4602278828256235E-2</c:v>
                </c:pt>
                <c:pt idx="308">
                  <c:v>-8.1010598195841999E-3</c:v>
                </c:pt>
                <c:pt idx="309">
                  <c:v>-9.9162880250113342E-2</c:v>
                </c:pt>
                <c:pt idx="310">
                  <c:v>8.2008824936068495E-2</c:v>
                </c:pt>
                <c:pt idx="311">
                  <c:v>4.3186348048325815E-2</c:v>
                </c:pt>
                <c:pt idx="312">
                  <c:v>-2.4308547497702785E-2</c:v>
                </c:pt>
                <c:pt idx="313">
                  <c:v>-2.2168974103788453E-3</c:v>
                </c:pt>
                <c:pt idx="314">
                  <c:v>9.3274807057761172E-3</c:v>
                </c:pt>
                <c:pt idx="315">
                  <c:v>4.2569814442026538E-2</c:v>
                </c:pt>
                <c:pt idx="316">
                  <c:v>-8.7008043261613769E-3</c:v>
                </c:pt>
                <c:pt idx="317">
                  <c:v>-7.5271368176317494E-2</c:v>
                </c:pt>
                <c:pt idx="318">
                  <c:v>4.7491672366557644E-2</c:v>
                </c:pt>
                <c:pt idx="319">
                  <c:v>-2.2842570361088371E-2</c:v>
                </c:pt>
                <c:pt idx="320">
                  <c:v>4.1368394778476633E-2</c:v>
                </c:pt>
                <c:pt idx="321">
                  <c:v>-3.2217858034427158E-2</c:v>
                </c:pt>
                <c:pt idx="322">
                  <c:v>1.7217917142280932E-3</c:v>
                </c:pt>
                <c:pt idx="323">
                  <c:v>-2.4586011531701547E-4</c:v>
                </c:pt>
                <c:pt idx="324">
                  <c:v>-3.2006929937533524E-3</c:v>
                </c:pt>
                <c:pt idx="325">
                  <c:v>-3.7059530430077125E-3</c:v>
                </c:pt>
                <c:pt idx="326">
                  <c:v>2.1790481820946343E-2</c:v>
                </c:pt>
                <c:pt idx="327">
                  <c:v>-2.9105036782454598E-3</c:v>
                </c:pt>
                <c:pt idx="328">
                  <c:v>-1.7890424963219631E-2</c:v>
                </c:pt>
                <c:pt idx="329">
                  <c:v>1.2532372745040373E-2</c:v>
                </c:pt>
                <c:pt idx="330">
                  <c:v>0</c:v>
                </c:pt>
                <c:pt idx="331">
                  <c:v>1.9347611605454354E-2</c:v>
                </c:pt>
                <c:pt idx="332">
                  <c:v>-1.4232470464396099E-2</c:v>
                </c:pt>
                <c:pt idx="333">
                  <c:v>-6.581416881703793E-3</c:v>
                </c:pt>
                <c:pt idx="334">
                  <c:v>-2.6937827253164077E-3</c:v>
                </c:pt>
                <c:pt idx="335">
                  <c:v>-1.7064794383815318E-2</c:v>
                </c:pt>
                <c:pt idx="336">
                  <c:v>7.9503232974621196E-3</c:v>
                </c:pt>
                <c:pt idx="337">
                  <c:v>-4.4642925666771175E-3</c:v>
                </c:pt>
                <c:pt idx="338">
                  <c:v>-5.983562345754985E-3</c:v>
                </c:pt>
                <c:pt idx="339">
                  <c:v>-2.4042672671473635E-2</c:v>
                </c:pt>
                <c:pt idx="340">
                  <c:v>9.6865962938077043E-3</c:v>
                </c:pt>
                <c:pt idx="341">
                  <c:v>7.6070254824132466E-4</c:v>
                </c:pt>
                <c:pt idx="342">
                  <c:v>-7.1228411009464608E-3</c:v>
                </c:pt>
                <c:pt idx="343">
                  <c:v>-9.2332005606625828E-3</c:v>
                </c:pt>
                <c:pt idx="344">
                  <c:v>-3.3553470646085024E-3</c:v>
                </c:pt>
                <c:pt idx="345">
                  <c:v>1.2918373529177455E-3</c:v>
                </c:pt>
                <c:pt idx="346">
                  <c:v>-1.2918373529177728E-3</c:v>
                </c:pt>
                <c:pt idx="347">
                  <c:v>-1.852621989318121E-2</c:v>
                </c:pt>
                <c:pt idx="348">
                  <c:v>1.6196681285351861E-2</c:v>
                </c:pt>
                <c:pt idx="349">
                  <c:v>1.9757081480148007E-2</c:v>
                </c:pt>
                <c:pt idx="350">
                  <c:v>-2.5416891759341806E-4</c:v>
                </c:pt>
                <c:pt idx="351">
                  <c:v>2.2845115464613262E-3</c:v>
                </c:pt>
                <c:pt idx="352">
                  <c:v>1.4098978775919016E-2</c:v>
                </c:pt>
                <c:pt idx="353">
                  <c:v>3.2447154715140717E-3</c:v>
                </c:pt>
                <c:pt idx="354">
                  <c:v>2.4887451527773256E-3</c:v>
                </c:pt>
                <c:pt idx="355">
                  <c:v>-9.2396558567486662E-3</c:v>
                </c:pt>
                <c:pt idx="356">
                  <c:v>-1.7717609809459335E-2</c:v>
                </c:pt>
                <c:pt idx="357">
                  <c:v>3.0598380324718612E-3</c:v>
                </c:pt>
                <c:pt idx="358">
                  <c:v>2.5444955222710353E-4</c:v>
                </c:pt>
                <c:pt idx="359">
                  <c:v>-1.3581259724509499E-2</c:v>
                </c:pt>
                <c:pt idx="360">
                  <c:v>5.4034621079144798E-3</c:v>
                </c:pt>
                <c:pt idx="361">
                  <c:v>3.2069301481031598E-2</c:v>
                </c:pt>
                <c:pt idx="362">
                  <c:v>1.1120876563621361E-2</c:v>
                </c:pt>
                <c:pt idx="363">
                  <c:v>-8.8868356727281172E-3</c:v>
                </c:pt>
                <c:pt idx="364">
                  <c:v>-1.5240669241555118E-2</c:v>
                </c:pt>
                <c:pt idx="365">
                  <c:v>4.5214839501784357E-3</c:v>
                </c:pt>
                <c:pt idx="366">
                  <c:v>-4.0181996239907376E-3</c:v>
                </c:pt>
                <c:pt idx="367">
                  <c:v>2.5167490376387474E-4</c:v>
                </c:pt>
                <c:pt idx="368">
                  <c:v>-2.0144925814985426E-3</c:v>
                </c:pt>
                <c:pt idx="369">
                  <c:v>1.7628176777346857E-3</c:v>
                </c:pt>
                <c:pt idx="370">
                  <c:v>2.7793461132469121E-2</c:v>
                </c:pt>
                <c:pt idx="371">
                  <c:v>2.0349536078766658E-2</c:v>
                </c:pt>
                <c:pt idx="372">
                  <c:v>-1.327718580688865E-2</c:v>
                </c:pt>
                <c:pt idx="373">
                  <c:v>-2.7844607029190175E-2</c:v>
                </c:pt>
                <c:pt idx="374">
                  <c:v>-5.2610637492926981E-3</c:v>
                </c:pt>
                <c:pt idx="375">
                  <c:v>2.0388428173420587E-2</c:v>
                </c:pt>
                <c:pt idx="376">
                  <c:v>-2.2903632913810798E-2</c:v>
                </c:pt>
                <c:pt idx="377">
                  <c:v>-1.0124046442314556E-2</c:v>
                </c:pt>
                <c:pt idx="378">
                  <c:v>-1.0741875644231735E-2</c:v>
                </c:pt>
                <c:pt idx="379">
                  <c:v>-1.4765236845371735E-2</c:v>
                </c:pt>
                <c:pt idx="380">
                  <c:v>-1.1548653639738197E-2</c:v>
                </c:pt>
                <c:pt idx="381">
                  <c:v>-1.0882578625090164E-2</c:v>
                </c:pt>
                <c:pt idx="382">
                  <c:v>-1.3704408694634157E-2</c:v>
                </c:pt>
                <c:pt idx="383">
                  <c:v>5.4094858435944286E-4</c:v>
                </c:pt>
                <c:pt idx="384">
                  <c:v>-8.9637500879793733E-3</c:v>
                </c:pt>
                <c:pt idx="385">
                  <c:v>-3.5266812123842278E-2</c:v>
                </c:pt>
                <c:pt idx="386">
                  <c:v>-1.3659857769317961E-2</c:v>
                </c:pt>
                <c:pt idx="387">
                  <c:v>-4.3072079502799298E-3</c:v>
                </c:pt>
                <c:pt idx="388">
                  <c:v>6.0249293073566437E-3</c:v>
                </c:pt>
                <c:pt idx="389">
                  <c:v>1.1436394651839481E-3</c:v>
                </c:pt>
                <c:pt idx="390">
                  <c:v>2.5110558705483121E-2</c:v>
                </c:pt>
                <c:pt idx="391">
                  <c:v>-1.9522924442072047E-3</c:v>
                </c:pt>
                <c:pt idx="392">
                  <c:v>7.7864047495218606E-3</c:v>
                </c:pt>
                <c:pt idx="393">
                  <c:v>-1.1422247389517751E-2</c:v>
                </c:pt>
                <c:pt idx="394">
                  <c:v>-1.0987523362557667E-2</c:v>
                </c:pt>
                <c:pt idx="395">
                  <c:v>-1.2829969080533672E-2</c:v>
                </c:pt>
                <c:pt idx="396">
                  <c:v>-1.8242817213568012E-2</c:v>
                </c:pt>
                <c:pt idx="397">
                  <c:v>1.1682571632547075E-3</c:v>
                </c:pt>
                <c:pt idx="398">
                  <c:v>-8.5007256394822213E-3</c:v>
                </c:pt>
                <c:pt idx="399">
                  <c:v>-1.3335453630998763E-2</c:v>
                </c:pt>
                <c:pt idx="400">
                  <c:v>-1.9886158273606614E-2</c:v>
                </c:pt>
                <c:pt idx="401">
                  <c:v>1.3000918932557072E-2</c:v>
                </c:pt>
                <c:pt idx="402">
                  <c:v>-6.9329747212382876E-3</c:v>
                </c:pt>
                <c:pt idx="403">
                  <c:v>-4.3901975955988513E-2</c:v>
                </c:pt>
                <c:pt idx="404">
                  <c:v>-1.7536006377258717E-2</c:v>
                </c:pt>
                <c:pt idx="405">
                  <c:v>-3.2361105543640648E-2</c:v>
                </c:pt>
                <c:pt idx="406">
                  <c:v>-2.1831165077344228E-2</c:v>
                </c:pt>
                <c:pt idx="407">
                  <c:v>-5.1919005759296782E-2</c:v>
                </c:pt>
                <c:pt idx="408">
                  <c:v>-1.7898291860941279E-3</c:v>
                </c:pt>
                <c:pt idx="409">
                  <c:v>0.12131994344733553</c:v>
                </c:pt>
                <c:pt idx="410">
                  <c:v>2.1040164169934587E-2</c:v>
                </c:pt>
                <c:pt idx="411">
                  <c:v>-3.8326122521087941E-2</c:v>
                </c:pt>
                <c:pt idx="412">
                  <c:v>-2.8826022511835522E-2</c:v>
                </c:pt>
                <c:pt idx="413">
                  <c:v>-1.4730951239818922E-2</c:v>
                </c:pt>
                <c:pt idx="414">
                  <c:v>1.1401903850410242E-2</c:v>
                </c:pt>
                <c:pt idx="415">
                  <c:v>-3.3348123055202235E-4</c:v>
                </c:pt>
                <c:pt idx="416">
                  <c:v>-3.0065725314019531E-3</c:v>
                </c:pt>
                <c:pt idx="417">
                  <c:v>-1.110193640050554E-2</c:v>
                </c:pt>
                <c:pt idx="418">
                  <c:v>-4.7471123439431764E-3</c:v>
                </c:pt>
                <c:pt idx="419">
                  <c:v>-1.4724098415516506E-2</c:v>
                </c:pt>
                <c:pt idx="420">
                  <c:v>-5.1874546174633029E-3</c:v>
                </c:pt>
                <c:pt idx="421">
                  <c:v>-3.4678114977662919E-4</c:v>
                </c:pt>
                <c:pt idx="422">
                  <c:v>2.6019988359677376E-2</c:v>
                </c:pt>
                <c:pt idx="423">
                  <c:v>-3.7245322261516786E-3</c:v>
                </c:pt>
                <c:pt idx="424">
                  <c:v>-1.0180996939139193E-3</c:v>
                </c:pt>
                <c:pt idx="425">
                  <c:v>3.7280900870876759E-3</c:v>
                </c:pt>
                <c:pt idx="426">
                  <c:v>-1.2938513832922679E-2</c:v>
                </c:pt>
                <c:pt idx="427">
                  <c:v>-7.9133579427308476E-3</c:v>
                </c:pt>
                <c:pt idx="428">
                  <c:v>-5.8895218109462641E-3</c:v>
                </c:pt>
                <c:pt idx="429">
                  <c:v>-4.5271203235164306E-3</c:v>
                </c:pt>
                <c:pt idx="430">
                  <c:v>1.8672738427763357E-2</c:v>
                </c:pt>
                <c:pt idx="431">
                  <c:v>-1.3798117005110151E-2</c:v>
                </c:pt>
                <c:pt idx="432">
                  <c:v>-9.0718986128076207E-3</c:v>
                </c:pt>
                <c:pt idx="433">
                  <c:v>-3.6043166124359385E-2</c:v>
                </c:pt>
                <c:pt idx="434">
                  <c:v>5.2727596088513282E-2</c:v>
                </c:pt>
                <c:pt idx="435">
                  <c:v>-5.8773042408063903E-3</c:v>
                </c:pt>
                <c:pt idx="436">
                  <c:v>0</c:v>
                </c:pt>
                <c:pt idx="437">
                  <c:v>4.4975960017732269E-3</c:v>
                </c:pt>
                <c:pt idx="438">
                  <c:v>-1.0758485035938892E-2</c:v>
                </c:pt>
                <c:pt idx="439">
                  <c:v>1.6266049226637793E-2</c:v>
                </c:pt>
                <c:pt idx="440">
                  <c:v>3.0850088839839075E-3</c:v>
                </c:pt>
                <c:pt idx="441">
                  <c:v>-1.7126413802932658E-3</c:v>
                </c:pt>
                <c:pt idx="442">
                  <c:v>3.4262384783766186E-4</c:v>
                </c:pt>
                <c:pt idx="443">
                  <c:v>2.5043796596821009E-2</c:v>
                </c:pt>
                <c:pt idx="444">
                  <c:v>-1.0752979458426647E-2</c:v>
                </c:pt>
                <c:pt idx="445">
                  <c:v>-8.4817951909200509E-3</c:v>
                </c:pt>
                <c:pt idx="446">
                  <c:v>-1.7182512557176653E-2</c:v>
                </c:pt>
                <c:pt idx="447">
                  <c:v>-2.349752325730731E-2</c:v>
                </c:pt>
                <c:pt idx="448">
                  <c:v>-3.1989855002573678E-3</c:v>
                </c:pt>
                <c:pt idx="449">
                  <c:v>-1.0737154044583232E-2</c:v>
                </c:pt>
                <c:pt idx="450">
                  <c:v>-2.1459348548941243E-2</c:v>
                </c:pt>
                <c:pt idx="451">
                  <c:v>3.3033609396271152E-3</c:v>
                </c:pt>
                <c:pt idx="452">
                  <c:v>5.8459351213792886E-3</c:v>
                </c:pt>
                <c:pt idx="453">
                  <c:v>-1.8011919268927819E-2</c:v>
                </c:pt>
                <c:pt idx="454">
                  <c:v>-1.1190032403588773E-2</c:v>
                </c:pt>
                <c:pt idx="455">
                  <c:v>-7.5042662606855952E-4</c:v>
                </c:pt>
                <c:pt idx="456">
                  <c:v>2.0435326148730507E-2</c:v>
                </c:pt>
                <c:pt idx="457">
                  <c:v>-1.8406248271311016E-3</c:v>
                </c:pt>
                <c:pt idx="458">
                  <c:v>1.5356790471996059E-2</c:v>
                </c:pt>
                <c:pt idx="459">
                  <c:v>1.4051873383371483E-2</c:v>
                </c:pt>
                <c:pt idx="460">
                  <c:v>3.5763700794166431E-4</c:v>
                </c:pt>
                <c:pt idx="461">
                  <c:v>3.5701367781789347E-3</c:v>
                </c:pt>
                <c:pt idx="462">
                  <c:v>5.3091500901183232E-2</c:v>
                </c:pt>
                <c:pt idx="463">
                  <c:v>-4.0636688087950729E-3</c:v>
                </c:pt>
                <c:pt idx="464">
                  <c:v>-1.9877317088701406E-2</c:v>
                </c:pt>
                <c:pt idx="465">
                  <c:v>-1.7322213124043686E-3</c:v>
                </c:pt>
                <c:pt idx="466">
                  <c:v>-8.7064033475989545E-3</c:v>
                </c:pt>
                <c:pt idx="467">
                  <c:v>2.0426554891599266E-2</c:v>
                </c:pt>
                <c:pt idx="468">
                  <c:v>-2.5686777502732398E-2</c:v>
                </c:pt>
                <c:pt idx="469">
                  <c:v>4.9104085328586259E-3</c:v>
                </c:pt>
                <c:pt idx="470">
                  <c:v>3.2360862927360304E-2</c:v>
                </c:pt>
                <c:pt idx="471">
                  <c:v>-1.5705145699948079E-2</c:v>
                </c:pt>
                <c:pt idx="472">
                  <c:v>-2.6147670322187865E-2</c:v>
                </c:pt>
                <c:pt idx="473">
                  <c:v>3.525957079877671E-3</c:v>
                </c:pt>
                <c:pt idx="474">
                  <c:v>-2.1139865237861195E-3</c:v>
                </c:pt>
                <c:pt idx="475">
                  <c:v>1.122414869916492E-2</c:v>
                </c:pt>
                <c:pt idx="476">
                  <c:v>-7.0003380184692071E-3</c:v>
                </c:pt>
                <c:pt idx="477">
                  <c:v>-7.4035227087084002E-3</c:v>
                </c:pt>
                <c:pt idx="478">
                  <c:v>-7.1023816987120054E-3</c:v>
                </c:pt>
                <c:pt idx="479">
                  <c:v>1.7803903192164957E-3</c:v>
                </c:pt>
                <c:pt idx="480">
                  <c:v>9.5592254778012475E-3</c:v>
                </c:pt>
                <c:pt idx="481">
                  <c:v>-4.9451586602410526E-3</c:v>
                </c:pt>
                <c:pt idx="482">
                  <c:v>-7.1073690052792481E-3</c:v>
                </c:pt>
                <c:pt idx="483">
                  <c:v>-8.9557963080649974E-3</c:v>
                </c:pt>
                <c:pt idx="484">
                  <c:v>3.5918155324854463E-3</c:v>
                </c:pt>
                <c:pt idx="485">
                  <c:v>-6.4746590613483142E-3</c:v>
                </c:pt>
                <c:pt idx="486">
                  <c:v>-6.5172223658039128E-3</c:v>
                </c:pt>
                <c:pt idx="487">
                  <c:v>1.7999125043348788E-2</c:v>
                </c:pt>
                <c:pt idx="488">
                  <c:v>-4.6740841965374168E-2</c:v>
                </c:pt>
                <c:pt idx="489">
                  <c:v>1.3737028445472041E-2</c:v>
                </c:pt>
                <c:pt idx="490">
                  <c:v>1.4736938941031005E-3</c:v>
                </c:pt>
                <c:pt idx="491">
                  <c:v>-6.6494512181980176E-3</c:v>
                </c:pt>
                <c:pt idx="492">
                  <c:v>-3.3413172277904648E-3</c:v>
                </c:pt>
                <c:pt idx="493">
                  <c:v>5.9325131695621026E-3</c:v>
                </c:pt>
                <c:pt idx="494">
                  <c:v>4.0582552764263421E-3</c:v>
                </c:pt>
                <c:pt idx="495">
                  <c:v>-7.3909112797453181E-3</c:v>
                </c:pt>
                <c:pt idx="496">
                  <c:v>-4.8337256961894781E-3</c:v>
                </c:pt>
                <c:pt idx="497">
                  <c:v>4.8382022110964866E-2</c:v>
                </c:pt>
                <c:pt idx="498">
                  <c:v>-4.9840092080036501E-3</c:v>
                </c:pt>
                <c:pt idx="499">
                  <c:v>-5.7266116570628724E-3</c:v>
                </c:pt>
                <c:pt idx="500">
                  <c:v>2.376417235165634E-2</c:v>
                </c:pt>
                <c:pt idx="501">
                  <c:v>-1.5898583216630794E-2</c:v>
                </c:pt>
                <c:pt idx="502">
                  <c:v>-3.567710057628121E-3</c:v>
                </c:pt>
                <c:pt idx="503">
                  <c:v>2.470996586735677E-2</c:v>
                </c:pt>
                <c:pt idx="504">
                  <c:v>-1.3691630417943532E-2</c:v>
                </c:pt>
                <c:pt idx="505">
                  <c:v>9.1486890683192598E-3</c:v>
                </c:pt>
                <c:pt idx="506">
                  <c:v>-5.9722834143908264E-3</c:v>
                </c:pt>
                <c:pt idx="507">
                  <c:v>-4.5911936267204832E-3</c:v>
                </c:pt>
                <c:pt idx="508">
                  <c:v>3.5395952841479959E-4</c:v>
                </c:pt>
                <c:pt idx="509">
                  <c:v>-6.7459052986270042E-3</c:v>
                </c:pt>
                <c:pt idx="510">
                  <c:v>4.265793601225424E-3</c:v>
                </c:pt>
                <c:pt idx="511">
                  <c:v>-7.1198998505880556E-3</c:v>
                </c:pt>
                <c:pt idx="512">
                  <c:v>-1.8025079016217249E-2</c:v>
                </c:pt>
                <c:pt idx="513">
                  <c:v>-2.5420473567193808E-2</c:v>
                </c:pt>
                <c:pt idx="514">
                  <c:v>-1.8673085605711538E-3</c:v>
                </c:pt>
                <c:pt idx="515">
                  <c:v>1.1152467063148572E-2</c:v>
                </c:pt>
                <c:pt idx="516">
                  <c:v>2.5548871865875455E-2</c:v>
                </c:pt>
                <c:pt idx="517">
                  <c:v>2.9471228329644713E-2</c:v>
                </c:pt>
                <c:pt idx="518">
                  <c:v>-2.1217201571732954E-2</c:v>
                </c:pt>
                <c:pt idx="519">
                  <c:v>1.172524847695737E-2</c:v>
                </c:pt>
                <c:pt idx="520">
                  <c:v>-1.2797896956754026E-2</c:v>
                </c:pt>
                <c:pt idx="521">
                  <c:v>-4.3027447851719325E-3</c:v>
                </c:pt>
                <c:pt idx="522">
                  <c:v>-1.0838255499941805E-2</c:v>
                </c:pt>
                <c:pt idx="523">
                  <c:v>-9.8557679401113946E-3</c:v>
                </c:pt>
                <c:pt idx="524">
                  <c:v>7.6740106644724226E-3</c:v>
                </c:pt>
                <c:pt idx="525">
                  <c:v>1.911002748995895E-2</c:v>
                </c:pt>
                <c:pt idx="526">
                  <c:v>-3.4147735941176982E-2</c:v>
                </c:pt>
                <c:pt idx="527">
                  <c:v>-3.2297287818103357E-2</c:v>
                </c:pt>
                <c:pt idx="528">
                  <c:v>5.7087344510076991E-3</c:v>
                </c:pt>
                <c:pt idx="529">
                  <c:v>6.4309109106399946E-3</c:v>
                </c:pt>
                <c:pt idx="530">
                  <c:v>-6.8104681305569516E-3</c:v>
                </c:pt>
                <c:pt idx="531">
                  <c:v>-1.916503674085944E-2</c:v>
                </c:pt>
                <c:pt idx="532">
                  <c:v>-2.9055852028763481E-2</c:v>
                </c:pt>
                <c:pt idx="533">
                  <c:v>-2.5828552125275128E-2</c:v>
                </c:pt>
                <c:pt idx="534">
                  <c:v>-2.0463377531288549E-3</c:v>
                </c:pt>
                <c:pt idx="535">
                  <c:v>-9.5801860794321653E-2</c:v>
                </c:pt>
                <c:pt idx="536">
                  <c:v>3.325503450637099E-2</c:v>
                </c:pt>
                <c:pt idx="537">
                  <c:v>1.3428809205654462E-2</c:v>
                </c:pt>
                <c:pt idx="538">
                  <c:v>2.1491759198539358E-3</c:v>
                </c:pt>
                <c:pt idx="539">
                  <c:v>-6.0293269939385831E-3</c:v>
                </c:pt>
                <c:pt idx="540">
                  <c:v>-1.5673009976288049E-2</c:v>
                </c:pt>
                <c:pt idx="541">
                  <c:v>-1.5031052842095598E-2</c:v>
                </c:pt>
                <c:pt idx="542">
                  <c:v>-7.6012229091740584E-3</c:v>
                </c:pt>
                <c:pt idx="543">
                  <c:v>2.9628491700019546E-2</c:v>
                </c:pt>
                <c:pt idx="544">
                  <c:v>1.255694510162305E-2</c:v>
                </c:pt>
                <c:pt idx="545">
                  <c:v>-4.3121854260002573E-3</c:v>
                </c:pt>
                <c:pt idx="546">
                  <c:v>-1.2611553514673768E-2</c:v>
                </c:pt>
                <c:pt idx="547">
                  <c:v>0</c:v>
                </c:pt>
                <c:pt idx="548">
                  <c:v>6.8088093776099284E-2</c:v>
                </c:pt>
                <c:pt idx="549">
                  <c:v>-2.3997882809228398E-2</c:v>
                </c:pt>
                <c:pt idx="550">
                  <c:v>-1.5615470605419792E-2</c:v>
                </c:pt>
                <c:pt idx="551">
                  <c:v>-1.1981289467356751E-2</c:v>
                </c:pt>
                <c:pt idx="552">
                  <c:v>-4.31411846569582E-3</c:v>
                </c:pt>
                <c:pt idx="553">
                  <c:v>-4.3327372864013216E-3</c:v>
                </c:pt>
                <c:pt idx="554">
                  <c:v>2.168678563847485E-3</c:v>
                </c:pt>
                <c:pt idx="555">
                  <c:v>-2.5451104214037717E-2</c:v>
                </c:pt>
                <c:pt idx="556">
                  <c:v>-5.7946588924317633E-3</c:v>
                </c:pt>
                <c:pt idx="557">
                  <c:v>4.030340426115267E-2</c:v>
                </c:pt>
                <c:pt idx="558">
                  <c:v>-2.2580176286795837E-2</c:v>
                </c:pt>
                <c:pt idx="559">
                  <c:v>2.9000056324538285E-2</c:v>
                </c:pt>
                <c:pt idx="560">
                  <c:v>1.6920851812774296E-2</c:v>
                </c:pt>
                <c:pt idx="561">
                  <c:v>1.0847090885862483E-2</c:v>
                </c:pt>
                <c:pt idx="562">
                  <c:v>3.6263852545979892E-2</c:v>
                </c:pt>
                <c:pt idx="563">
                  <c:v>9.5580835791206405E-3</c:v>
                </c:pt>
                <c:pt idx="564">
                  <c:v>-1.983823229632713E-3</c:v>
                </c:pt>
                <c:pt idx="565">
                  <c:v>-8.374855623289797E-3</c:v>
                </c:pt>
                <c:pt idx="566">
                  <c:v>-1.0062515504573438E-2</c:v>
                </c:pt>
                <c:pt idx="567">
                  <c:v>-7.7157502672014757E-3</c:v>
                </c:pt>
                <c:pt idx="568">
                  <c:v>-1.1892788210486095E-2</c:v>
                </c:pt>
                <c:pt idx="569">
                  <c:v>1.6489210168537704E-3</c:v>
                </c:pt>
                <c:pt idx="570">
                  <c:v>-5.3685617390366513E-3</c:v>
                </c:pt>
                <c:pt idx="571">
                  <c:v>1.4388688410023106E-2</c:v>
                </c:pt>
                <c:pt idx="572">
                  <c:v>-4.090100161599314E-3</c:v>
                </c:pt>
                <c:pt idx="573">
                  <c:v>-2.1960572785427644E-2</c:v>
                </c:pt>
                <c:pt idx="574">
                  <c:v>6.6805848264162989E-3</c:v>
                </c:pt>
                <c:pt idx="575">
                  <c:v>-4.5880728625199031E-3</c:v>
                </c:pt>
                <c:pt idx="576">
                  <c:v>-8.3963771392138349E-3</c:v>
                </c:pt>
                <c:pt idx="577">
                  <c:v>9.2931065106631641E-2</c:v>
                </c:pt>
                <c:pt idx="578">
                  <c:v>2.7658556040591083E-2</c:v>
                </c:pt>
                <c:pt idx="579">
                  <c:v>-7.2843912497533261E-2</c:v>
                </c:pt>
                <c:pt idx="580">
                  <c:v>3.125876537221698E-2</c:v>
                </c:pt>
                <c:pt idx="581">
                  <c:v>-4.5018637412360708E-2</c:v>
                </c:pt>
                <c:pt idx="582">
                  <c:v>-3.6941271461403552E-2</c:v>
                </c:pt>
                <c:pt idx="583">
                  <c:v>-1.8349183712717286E-2</c:v>
                </c:pt>
                <c:pt idx="584">
                  <c:v>-1.8253511833218598E-2</c:v>
                </c:pt>
                <c:pt idx="585">
                  <c:v>-1.4579298076812925E-2</c:v>
                </c:pt>
                <c:pt idx="586">
                  <c:v>1.5894296671503719E-2</c:v>
                </c:pt>
                <c:pt idx="587">
                  <c:v>6.9838526701244625E-3</c:v>
                </c:pt>
                <c:pt idx="588">
                  <c:v>1.1245816143981619E-2</c:v>
                </c:pt>
                <c:pt idx="589">
                  <c:v>-4.3103995967337314E-3</c:v>
                </c:pt>
                <c:pt idx="590">
                  <c:v>-3.0704062818383657E-2</c:v>
                </c:pt>
                <c:pt idx="591">
                  <c:v>1.546979500632034E-2</c:v>
                </c:pt>
                <c:pt idx="592">
                  <c:v>-4.8361870967730041E-3</c:v>
                </c:pt>
                <c:pt idx="593">
                  <c:v>-8.8178440670078669E-4</c:v>
                </c:pt>
                <c:pt idx="594">
                  <c:v>-2.8183475256870278E-2</c:v>
                </c:pt>
                <c:pt idx="595">
                  <c:v>3.1706180312509991E-2</c:v>
                </c:pt>
                <c:pt idx="596">
                  <c:v>1.2232541535305046E-2</c:v>
                </c:pt>
                <c:pt idx="597">
                  <c:v>4.0839285631828391E-2</c:v>
                </c:pt>
                <c:pt idx="598">
                  <c:v>-3.7584759741119806E-3</c:v>
                </c:pt>
                <c:pt idx="599">
                  <c:v>3.8979171106295341E-2</c:v>
                </c:pt>
                <c:pt idx="600">
                  <c:v>-2.898748680958518E-2</c:v>
                </c:pt>
                <c:pt idx="601">
                  <c:v>-5.3997810612021286E-3</c:v>
                </c:pt>
                <c:pt idx="602">
                  <c:v>1.0770561016430522E-2</c:v>
                </c:pt>
                <c:pt idx="603">
                  <c:v>2.2416846289899608E-2</c:v>
                </c:pt>
                <c:pt idx="604">
                  <c:v>-2.3677157725771506E-2</c:v>
                </c:pt>
                <c:pt idx="605">
                  <c:v>2.9381668665273246E-3</c:v>
                </c:pt>
                <c:pt idx="606">
                  <c:v>-1.0533012188245035E-2</c:v>
                </c:pt>
                <c:pt idx="607">
                  <c:v>-5.3056004799336601E-2</c:v>
                </c:pt>
                <c:pt idx="608">
                  <c:v>1.4631186941512728E-2</c:v>
                </c:pt>
                <c:pt idx="609">
                  <c:v>-1.2400607263003988E-2</c:v>
                </c:pt>
                <c:pt idx="610">
                  <c:v>3.2013383083532722E-2</c:v>
                </c:pt>
                <c:pt idx="611">
                  <c:v>-4.7280806259865409E-2</c:v>
                </c:pt>
                <c:pt idx="612">
                  <c:v>1.2590189241180116E-2</c:v>
                </c:pt>
                <c:pt idx="613">
                  <c:v>2.0345567876193071E-2</c:v>
                </c:pt>
                <c:pt idx="614">
                  <c:v>-1.9898913619549364E-2</c:v>
                </c:pt>
                <c:pt idx="615">
                  <c:v>3.0352059809238708E-2</c:v>
                </c:pt>
                <c:pt idx="616">
                  <c:v>4.3234031003328965E-3</c:v>
                </c:pt>
                <c:pt idx="617">
                  <c:v>-1.9164453109062243E-2</c:v>
                </c:pt>
                <c:pt idx="618">
                  <c:v>1.8732952961532212E-2</c:v>
                </c:pt>
                <c:pt idx="619">
                  <c:v>9.4501149914264383E-3</c:v>
                </c:pt>
                <c:pt idx="620">
                  <c:v>-1.5076698578295605E-2</c:v>
                </c:pt>
                <c:pt idx="621">
                  <c:v>2.167791128357324E-3</c:v>
                </c:pt>
                <c:pt idx="622">
                  <c:v>1.7309993242126296E-3</c:v>
                </c:pt>
                <c:pt idx="623">
                  <c:v>-8.6844649432057022E-3</c:v>
                </c:pt>
                <c:pt idx="624">
                  <c:v>6.0869130042607708E-3</c:v>
                </c:pt>
                <c:pt idx="625">
                  <c:v>-4.3348605137713352E-4</c:v>
                </c:pt>
                <c:pt idx="626">
                  <c:v>-8.2735199678862677E-3</c:v>
                </c:pt>
                <c:pt idx="627">
                  <c:v>1.3895093667882732E-2</c:v>
                </c:pt>
                <c:pt idx="628">
                  <c:v>1.2928271301805379E-3</c:v>
                </c:pt>
                <c:pt idx="629">
                  <c:v>-4.7484879571753277E-3</c:v>
                </c:pt>
                <c:pt idx="630">
                  <c:v>3.4556608269947944E-3</c:v>
                </c:pt>
                <c:pt idx="631">
                  <c:v>0</c:v>
                </c:pt>
                <c:pt idx="632">
                  <c:v>-1.2944289956632997E-3</c:v>
                </c:pt>
                <c:pt idx="633">
                  <c:v>5.1679782894113908E-3</c:v>
                </c:pt>
                <c:pt idx="634">
                  <c:v>1.7166701023538994E-3</c:v>
                </c:pt>
                <c:pt idx="635">
                  <c:v>1.0239013984903015E-2</c:v>
                </c:pt>
                <c:pt idx="636">
                  <c:v>-2.1244290461668006E-3</c:v>
                </c:pt>
                <c:pt idx="637">
                  <c:v>-5.9727233101313391E-3</c:v>
                </c:pt>
                <c:pt idx="638">
                  <c:v>-2.1627174692589561E-2</c:v>
                </c:pt>
                <c:pt idx="639">
                  <c:v>1.7474912197330901E-3</c:v>
                </c:pt>
                <c:pt idx="640">
                  <c:v>1.744442820445659E-3</c:v>
                </c:pt>
                <c:pt idx="641">
                  <c:v>1.3417231799397612E-2</c:v>
                </c:pt>
                <c:pt idx="642">
                  <c:v>8.1353605275282081E-3</c:v>
                </c:pt>
                <c:pt idx="643">
                  <c:v>4.679800681783094E-3</c:v>
                </c:pt>
                <c:pt idx="644">
                  <c:v>3.6261516244150402E-2</c:v>
                </c:pt>
                <c:pt idx="645">
                  <c:v>-1.2770534377463059E-2</c:v>
                </c:pt>
                <c:pt idx="646">
                  <c:v>4.1457728080498415E-4</c:v>
                </c:pt>
                <c:pt idx="647">
                  <c:v>6.6088054384840483E-3</c:v>
                </c:pt>
                <c:pt idx="648">
                  <c:v>8.2311497234815924E-4</c:v>
                </c:pt>
                <c:pt idx="649">
                  <c:v>6.9686802264844949E-3</c:v>
                </c:pt>
                <c:pt idx="650">
                  <c:v>-1.2744282939392851E-2</c:v>
                </c:pt>
                <c:pt idx="651">
                  <c:v>1.3152629089940778E-2</c:v>
                </c:pt>
                <c:pt idx="652">
                  <c:v>2.8543045663070431E-3</c:v>
                </c:pt>
                <c:pt idx="653">
                  <c:v>7.3022078785360094E-3</c:v>
                </c:pt>
                <c:pt idx="654">
                  <c:v>-1.4658198585841106E-2</c:v>
                </c:pt>
                <c:pt idx="655">
                  <c:v>-2.1978941531783654E-2</c:v>
                </c:pt>
                <c:pt idx="656">
                  <c:v>1.2570732018576791E-3</c:v>
                </c:pt>
                <c:pt idx="657">
                  <c:v>8.3717175146266884E-4</c:v>
                </c:pt>
                <c:pt idx="658">
                  <c:v>8.3333948209555267E-3</c:v>
                </c:pt>
                <c:pt idx="659">
                  <c:v>3.1852477058185294E-2</c:v>
                </c:pt>
                <c:pt idx="660">
                  <c:v>-2.1121925966632614E-2</c:v>
                </c:pt>
                <c:pt idx="661">
                  <c:v>1.8707367256214583E-2</c:v>
                </c:pt>
                <c:pt idx="662">
                  <c:v>1.2810443824379913E-2</c:v>
                </c:pt>
                <c:pt idx="663">
                  <c:v>-1.0395885113961837E-2</c:v>
                </c:pt>
                <c:pt idx="664">
                  <c:v>3.2815738375883127E-2</c:v>
                </c:pt>
                <c:pt idx="665">
                  <c:v>1.3137639661858363E-2</c:v>
                </c:pt>
                <c:pt idx="666">
                  <c:v>-1.0030836237923996E-2</c:v>
                </c:pt>
                <c:pt idx="667">
                  <c:v>-3.1068034239343685E-3</c:v>
                </c:pt>
                <c:pt idx="668">
                  <c:v>-1.4890580519275822E-2</c:v>
                </c:pt>
                <c:pt idx="669">
                  <c:v>-7.1315787286685165E-3</c:v>
                </c:pt>
                <c:pt idx="670">
                  <c:v>1.7734417928506784E-2</c:v>
                </c:pt>
                <c:pt idx="671">
                  <c:v>8.9442057732723856E-3</c:v>
                </c:pt>
                <c:pt idx="672">
                  <c:v>1.1608966035718475E-3</c:v>
                </c:pt>
                <c:pt idx="673">
                  <c:v>-4.8732170753454908E-2</c:v>
                </c:pt>
                <c:pt idx="674">
                  <c:v>1.290856339728361E-2</c:v>
                </c:pt>
                <c:pt idx="675">
                  <c:v>2.8016873102477179E-3</c:v>
                </c:pt>
                <c:pt idx="676">
                  <c:v>1.1128908323453495E-2</c:v>
                </c:pt>
                <c:pt idx="677">
                  <c:v>9.4414696736208094E-3</c:v>
                </c:pt>
                <c:pt idx="678">
                  <c:v>-3.2633269777453594E-2</c:v>
                </c:pt>
                <c:pt idx="679">
                  <c:v>-3.6667262322714882E-2</c:v>
                </c:pt>
                <c:pt idx="680">
                  <c:v>-9.6986643834854093E-3</c:v>
                </c:pt>
                <c:pt idx="681">
                  <c:v>5.4934372600866166E-3</c:v>
                </c:pt>
                <c:pt idx="682">
                  <c:v>2.3324571330066646E-2</c:v>
                </c:pt>
                <c:pt idx="683">
                  <c:v>1.2275065700632895E-2</c:v>
                </c:pt>
                <c:pt idx="684">
                  <c:v>9.7128264883084483E-3</c:v>
                </c:pt>
                <c:pt idx="685">
                  <c:v>2.033154214505899E-2</c:v>
                </c:pt>
                <c:pt idx="686">
                  <c:v>1.3328325619651736E-2</c:v>
                </c:pt>
                <c:pt idx="687">
                  <c:v>-2.0059702430614338E-2</c:v>
                </c:pt>
                <c:pt idx="688">
                  <c:v>-1.1990504457318852E-2</c:v>
                </c:pt>
                <c:pt idx="689">
                  <c:v>-1.3765354060455027E-2</c:v>
                </c:pt>
                <c:pt idx="690">
                  <c:v>7.3111058693576042E-3</c:v>
                </c:pt>
                <c:pt idx="691">
                  <c:v>-1.0168838336591723E-2</c:v>
                </c:pt>
                <c:pt idx="692">
                  <c:v>3.6726620650483458E-3</c:v>
                </c:pt>
                <c:pt idx="693">
                  <c:v>0</c:v>
                </c:pt>
                <c:pt idx="694">
                  <c:v>1.2548252085286527E-2</c:v>
                </c:pt>
                <c:pt idx="695">
                  <c:v>-1.2955735372897308E-2</c:v>
                </c:pt>
                <c:pt idx="696">
                  <c:v>-1.2231760622300779E-3</c:v>
                </c:pt>
                <c:pt idx="697">
                  <c:v>-1.2315378148405842E-2</c:v>
                </c:pt>
                <c:pt idx="698">
                  <c:v>7.8173055770895984E-3</c:v>
                </c:pt>
                <c:pt idx="699">
                  <c:v>-1.3201395642320696E-2</c:v>
                </c:pt>
                <c:pt idx="700">
                  <c:v>1.6474794159232385E-2</c:v>
                </c:pt>
                <c:pt idx="701">
                  <c:v>1.4196096990108653E-2</c:v>
                </c:pt>
                <c:pt idx="702">
                  <c:v>-3.2271827876527337E-3</c:v>
                </c:pt>
                <c:pt idx="703">
                  <c:v>1.8018535455431334E-2</c:v>
                </c:pt>
                <c:pt idx="704">
                  <c:v>4.7506105661878238E-3</c:v>
                </c:pt>
                <c:pt idx="705">
                  <c:v>-3.5607088363443372E-3</c:v>
                </c:pt>
                <c:pt idx="706">
                  <c:v>4.001303912573196E-2</c:v>
                </c:pt>
                <c:pt idx="707">
                  <c:v>-9.1813465526371669E-3</c:v>
                </c:pt>
                <c:pt idx="708">
                  <c:v>4.5086408645090927E-2</c:v>
                </c:pt>
                <c:pt idx="709">
                  <c:v>3.961639421715879E-2</c:v>
                </c:pt>
                <c:pt idx="710">
                  <c:v>-4.2464151405411047E-3</c:v>
                </c:pt>
                <c:pt idx="711">
                  <c:v>-2.6955734048325294E-2</c:v>
                </c:pt>
                <c:pt idx="712">
                  <c:v>2.58914541337153E-2</c:v>
                </c:pt>
                <c:pt idx="713">
                  <c:v>-1.899373253555843E-2</c:v>
                </c:pt>
                <c:pt idx="714">
                  <c:v>-1.7150421206393603E-2</c:v>
                </c:pt>
                <c:pt idx="715">
                  <c:v>-9.2438711657457807E-3</c:v>
                </c:pt>
                <c:pt idx="716">
                  <c:v>-4.4678097745093088E-3</c:v>
                </c:pt>
                <c:pt idx="717">
                  <c:v>2.1410967782656758E-2</c:v>
                </c:pt>
                <c:pt idx="718">
                  <c:v>1.4143564253461438E-2</c:v>
                </c:pt>
                <c:pt idx="719">
                  <c:v>3.6766303901579728E-2</c:v>
                </c:pt>
                <c:pt idx="720">
                  <c:v>4.156346507975724E-3</c:v>
                </c:pt>
                <c:pt idx="721">
                  <c:v>9.9745317459305916E-3</c:v>
                </c:pt>
                <c:pt idx="722">
                  <c:v>8.5192902653904567E-3</c:v>
                </c:pt>
                <c:pt idx="723">
                  <c:v>1.0799986923542421E-2</c:v>
                </c:pt>
                <c:pt idx="724">
                  <c:v>-2.9985143327297209E-2</c:v>
                </c:pt>
                <c:pt idx="725">
                  <c:v>2.7968898751393304E-2</c:v>
                </c:pt>
                <c:pt idx="726">
                  <c:v>6.036356754558281E-3</c:v>
                </c:pt>
                <c:pt idx="727">
                  <c:v>-1.1770794968098672E-2</c:v>
                </c:pt>
                <c:pt idx="728">
                  <c:v>-1.396720540725468E-2</c:v>
                </c:pt>
                <c:pt idx="729">
                  <c:v>1.3712742552960159E-3</c:v>
                </c:pt>
                <c:pt idx="730">
                  <c:v>-2.7437084007933363E-2</c:v>
                </c:pt>
                <c:pt idx="731">
                  <c:v>1.2596408179050621E-2</c:v>
                </c:pt>
                <c:pt idx="732">
                  <c:v>2.0306932763373021E-2</c:v>
                </c:pt>
                <c:pt idx="733">
                  <c:v>8.581819686925285E-2</c:v>
                </c:pt>
                <c:pt idx="734">
                  <c:v>0.10216608632576869</c:v>
                </c:pt>
                <c:pt idx="735">
                  <c:v>-6.0818834109624929E-2</c:v>
                </c:pt>
                <c:pt idx="736">
                  <c:v>0.11708271936903246</c:v>
                </c:pt>
                <c:pt idx="737">
                  <c:v>2.3989569345685166E-3</c:v>
                </c:pt>
                <c:pt idx="738">
                  <c:v>-0.11171115265840029</c:v>
                </c:pt>
                <c:pt idx="739">
                  <c:v>4.5111654402304857E-2</c:v>
                </c:pt>
                <c:pt idx="740">
                  <c:v>-0.11892197794702442</c:v>
                </c:pt>
                <c:pt idx="741">
                  <c:v>6.2432937207670409E-2</c:v>
                </c:pt>
                <c:pt idx="742">
                  <c:v>-9.9865822684046153E-3</c:v>
                </c:pt>
                <c:pt idx="743">
                  <c:v>4.8094834480513105E-2</c:v>
                </c:pt>
                <c:pt idx="744">
                  <c:v>-2.6730865875059299E-2</c:v>
                </c:pt>
                <c:pt idx="745">
                  <c:v>6.2321868198537321E-2</c:v>
                </c:pt>
                <c:pt idx="746">
                  <c:v>4.9389284459862959E-2</c:v>
                </c:pt>
                <c:pt idx="747">
                  <c:v>4.4266607255506116E-2</c:v>
                </c:pt>
                <c:pt idx="748">
                  <c:v>2.3909570034555606E-2</c:v>
                </c:pt>
                <c:pt idx="749">
                  <c:v>-2.9016841664170314E-2</c:v>
                </c:pt>
                <c:pt idx="750">
                  <c:v>-7.7422015017782397E-2</c:v>
                </c:pt>
                <c:pt idx="751">
                  <c:v>3.0511814581403601E-2</c:v>
                </c:pt>
                <c:pt idx="752">
                  <c:v>-3.5225542477224057E-2</c:v>
                </c:pt>
                <c:pt idx="753">
                  <c:v>1.5444438782238548E-2</c:v>
                </c:pt>
                <c:pt idx="754">
                  <c:v>2.7798262597748778E-2</c:v>
                </c:pt>
                <c:pt idx="755">
                  <c:v>-4.2678180312206385E-3</c:v>
                </c:pt>
                <c:pt idx="756">
                  <c:v>-2.7369226816573954E-2</c:v>
                </c:pt>
                <c:pt idx="757">
                  <c:v>-1.997859131281329E-2</c:v>
                </c:pt>
                <c:pt idx="758">
                  <c:v>8.0950558352711512E-3</c:v>
                </c:pt>
                <c:pt idx="759">
                  <c:v>-1.7386986845413295E-2</c:v>
                </c:pt>
                <c:pt idx="760">
                  <c:v>-1.4245184100067714E-2</c:v>
                </c:pt>
                <c:pt idx="761">
                  <c:v>1.2829847385277872E-2</c:v>
                </c:pt>
                <c:pt idx="762">
                  <c:v>4.2701314307680774E-2</c:v>
                </c:pt>
                <c:pt idx="763">
                  <c:v>-3.4238626910638205E-2</c:v>
                </c:pt>
                <c:pt idx="764">
                  <c:v>-2.7625227962518276E-2</c:v>
                </c:pt>
                <c:pt idx="765">
                  <c:v>5.2591798807824677E-2</c:v>
                </c:pt>
                <c:pt idx="766">
                  <c:v>9.00048454365273E-3</c:v>
                </c:pt>
                <c:pt idx="767">
                  <c:v>-0.13248468179923878</c:v>
                </c:pt>
                <c:pt idx="768">
                  <c:v>-1.0908546394935825E-2</c:v>
                </c:pt>
                <c:pt idx="769">
                  <c:v>-1.2614504339249375E-2</c:v>
                </c:pt>
                <c:pt idx="770">
                  <c:v>4.1037839311918643E-2</c:v>
                </c:pt>
                <c:pt idx="771">
                  <c:v>-2.3421857328618401E-2</c:v>
                </c:pt>
                <c:pt idx="772">
                  <c:v>-5.0014776440509149E-3</c:v>
                </c:pt>
                <c:pt idx="773">
                  <c:v>2.5677968349881231E-2</c:v>
                </c:pt>
                <c:pt idx="774">
                  <c:v>-3.2911957862801912E-2</c:v>
                </c:pt>
                <c:pt idx="775">
                  <c:v>-6.3192623658191616E-2</c:v>
                </c:pt>
                <c:pt idx="776">
                  <c:v>-4.8924521652714818E-2</c:v>
                </c:pt>
                <c:pt idx="777">
                  <c:v>0.10164593372540771</c:v>
                </c:pt>
                <c:pt idx="778">
                  <c:v>-1.2518238374786781E-2</c:v>
                </c:pt>
                <c:pt idx="779">
                  <c:v>-3.4503121528787685E-2</c:v>
                </c:pt>
                <c:pt idx="780">
                  <c:v>-1.1432556651774317E-2</c:v>
                </c:pt>
                <c:pt idx="781">
                  <c:v>1.443707033568924E-2</c:v>
                </c:pt>
                <c:pt idx="782">
                  <c:v>6.6644557572244573E-4</c:v>
                </c:pt>
                <c:pt idx="783">
                  <c:v>-3.0026199623896361E-3</c:v>
                </c:pt>
                <c:pt idx="784">
                  <c:v>-2.5720467495835585E-2</c:v>
                </c:pt>
                <c:pt idx="785">
                  <c:v>-3.1339545439664329E-2</c:v>
                </c:pt>
                <c:pt idx="786">
                  <c:v>3.0310560686075211E-2</c:v>
                </c:pt>
                <c:pt idx="787">
                  <c:v>-1.6609289209140541E-2</c:v>
                </c:pt>
                <c:pt idx="788">
                  <c:v>-2.0957077346210086E-3</c:v>
                </c:pt>
                <c:pt idx="789">
                  <c:v>1.7331368160863184E-2</c:v>
                </c:pt>
                <c:pt idx="790">
                  <c:v>-1.0314612555888849E-3</c:v>
                </c:pt>
                <c:pt idx="791">
                  <c:v>-1.1416852285294373E-2</c:v>
                </c:pt>
                <c:pt idx="792">
                  <c:v>9.3507325397391237E-3</c:v>
                </c:pt>
                <c:pt idx="793">
                  <c:v>-1.6334128847818527E-2</c:v>
                </c:pt>
                <c:pt idx="794">
                  <c:v>-1.4114467151733451E-2</c:v>
                </c:pt>
                <c:pt idx="795">
                  <c:v>-2.3369667764680822E-2</c:v>
                </c:pt>
                <c:pt idx="796">
                  <c:v>-1.2813790396161585E-2</c:v>
                </c:pt>
                <c:pt idx="797">
                  <c:v>-2.650884615416289E-2</c:v>
                </c:pt>
                <c:pt idx="798">
                  <c:v>2.1337110371495716E-2</c:v>
                </c:pt>
                <c:pt idx="799">
                  <c:v>-2.6648208944989756E-2</c:v>
                </c:pt>
                <c:pt idx="800">
                  <c:v>3.1819944727656986E-2</c:v>
                </c:pt>
                <c:pt idx="801">
                  <c:v>2.4027526429198819E-2</c:v>
                </c:pt>
                <c:pt idx="802">
                  <c:v>-8.3077483857155101E-3</c:v>
                </c:pt>
                <c:pt idx="803">
                  <c:v>-2.6834953886901245E-2</c:v>
                </c:pt>
                <c:pt idx="804">
                  <c:v>-1.0487003801246224E-2</c:v>
                </c:pt>
                <c:pt idx="805">
                  <c:v>-3.2526290417519817E-2</c:v>
                </c:pt>
                <c:pt idx="806">
                  <c:v>5.8173404619125534E-2</c:v>
                </c:pt>
                <c:pt idx="807">
                  <c:v>-1.9266960842423755E-2</c:v>
                </c:pt>
                <c:pt idx="808">
                  <c:v>1.9266960842423776E-2</c:v>
                </c:pt>
                <c:pt idx="809">
                  <c:v>3.6747768701420186E-2</c:v>
                </c:pt>
                <c:pt idx="810">
                  <c:v>-6.3876586087265328E-3</c:v>
                </c:pt>
                <c:pt idx="811">
                  <c:v>1.5892880662940811E-2</c:v>
                </c:pt>
                <c:pt idx="812">
                  <c:v>1.7367607961794203E-2</c:v>
                </c:pt>
                <c:pt idx="813">
                  <c:v>6.5214003174459221E-3</c:v>
                </c:pt>
                <c:pt idx="814">
                  <c:v>-9.6252768675262265E-3</c:v>
                </c:pt>
                <c:pt idx="815">
                  <c:v>-2.0746928764536171E-3</c:v>
                </c:pt>
                <c:pt idx="816">
                  <c:v>1.3409196051964788E-2</c:v>
                </c:pt>
                <c:pt idx="817">
                  <c:v>1.2894555987337537E-2</c:v>
                </c:pt>
                <c:pt idx="818">
                  <c:v>1.0063838757820593E-2</c:v>
                </c:pt>
                <c:pt idx="819">
                  <c:v>3.6649548818088393E-3</c:v>
                </c:pt>
                <c:pt idx="820">
                  <c:v>4.9759675192083469E-3</c:v>
                </c:pt>
                <c:pt idx="821">
                  <c:v>-4.9759675192083174E-3</c:v>
                </c:pt>
                <c:pt idx="822">
                  <c:v>2.0734581142789112E-2</c:v>
                </c:pt>
                <c:pt idx="823">
                  <c:v>-3.9164604599941201E-3</c:v>
                </c:pt>
                <c:pt idx="824">
                  <c:v>3.9164604599941843E-3</c:v>
                </c:pt>
                <c:pt idx="825">
                  <c:v>1.6476034619579288E-2</c:v>
                </c:pt>
                <c:pt idx="826">
                  <c:v>-9.3353465362419636E-3</c:v>
                </c:pt>
                <c:pt idx="827">
                  <c:v>0.17789163648745068</c:v>
                </c:pt>
                <c:pt idx="828">
                  <c:v>-5.6521557489046234E-2</c:v>
                </c:pt>
                <c:pt idx="829">
                  <c:v>-2.5237153881792759E-2</c:v>
                </c:pt>
                <c:pt idx="830">
                  <c:v>-3.8262559858120095E-3</c:v>
                </c:pt>
                <c:pt idx="831">
                  <c:v>2.043273320381472E-2</c:v>
                </c:pt>
                <c:pt idx="832">
                  <c:v>1.6619224613888532E-2</c:v>
                </c:pt>
                <c:pt idx="833">
                  <c:v>-2.6783405050328318E-2</c:v>
                </c:pt>
                <c:pt idx="834">
                  <c:v>7.5603850014660835E-3</c:v>
                </c:pt>
                <c:pt idx="835">
                  <c:v>1.5236675787419617E-2</c:v>
                </c:pt>
                <c:pt idx="836">
                  <c:v>-4.2887911955736269E-3</c:v>
                </c:pt>
                <c:pt idx="837">
                  <c:v>8.5592671833763529E-3</c:v>
                </c:pt>
                <c:pt idx="838">
                  <c:v>-1.3442237554542607E-2</c:v>
                </c:pt>
                <c:pt idx="839">
                  <c:v>-1.1584278228139839E-2</c:v>
                </c:pt>
                <c:pt idx="840">
                  <c:v>2.8146648115716894E-2</c:v>
                </c:pt>
                <c:pt idx="841">
                  <c:v>-1.1106401719137198E-2</c:v>
                </c:pt>
                <c:pt idx="842">
                  <c:v>1.7036119356199253E-2</c:v>
                </c:pt>
                <c:pt idx="843">
                  <c:v>2.1997301885599663E-2</c:v>
                </c:pt>
                <c:pt idx="844">
                  <c:v>-1.974757857962995E-2</c:v>
                </c:pt>
                <c:pt idx="845">
                  <c:v>1.9472042503792489E-2</c:v>
                </c:pt>
                <c:pt idx="846">
                  <c:v>1.6122796676773726E-2</c:v>
                </c:pt>
                <c:pt idx="847">
                  <c:v>7.0232708966268135E-3</c:v>
                </c:pt>
                <c:pt idx="848">
                  <c:v>4.5657011369426605E-3</c:v>
                </c:pt>
                <c:pt idx="849">
                  <c:v>-1.7297845531663657E-2</c:v>
                </c:pt>
                <c:pt idx="850">
                  <c:v>-1.9102233723629592E-3</c:v>
                </c:pt>
                <c:pt idx="851">
                  <c:v>2.0279219009113857E-2</c:v>
                </c:pt>
                <c:pt idx="852">
                  <c:v>-9.9530235219169767E-3</c:v>
                </c:pt>
                <c:pt idx="853">
                  <c:v>-9.5070814764209519E-3</c:v>
                </c:pt>
                <c:pt idx="854">
                  <c:v>-1.125296169399158E-2</c:v>
                </c:pt>
                <c:pt idx="855">
                  <c:v>-2.7605288196992829E-4</c:v>
                </c:pt>
                <c:pt idx="856">
                  <c:v>9.6167946248080071E-3</c:v>
                </c:pt>
                <c:pt idx="857">
                  <c:v>-6.584487543718761E-3</c:v>
                </c:pt>
                <c:pt idx="858">
                  <c:v>4.3625640336953528E-2</c:v>
                </c:pt>
                <c:pt idx="859">
                  <c:v>-7.1399779069988706E-3</c:v>
                </c:pt>
                <c:pt idx="860">
                  <c:v>-2.3914842829129809E-3</c:v>
                </c:pt>
                <c:pt idx="861">
                  <c:v>-1.0160353851823286E-2</c:v>
                </c:pt>
                <c:pt idx="862">
                  <c:v>-1.3800808383475451E-2</c:v>
                </c:pt>
                <c:pt idx="863">
                  <c:v>-2.1760980666749301E-2</c:v>
                </c:pt>
                <c:pt idx="864">
                  <c:v>2.5031341487596129E-3</c:v>
                </c:pt>
                <c:pt idx="865">
                  <c:v>1.3519242036606288E-2</c:v>
                </c:pt>
                <c:pt idx="866">
                  <c:v>3.8293326038858068E-3</c:v>
                </c:pt>
                <c:pt idx="867">
                  <c:v>-2.7336495351599007E-3</c:v>
                </c:pt>
                <c:pt idx="868">
                  <c:v>1.6560651079613804E-2</c:v>
                </c:pt>
                <c:pt idx="869">
                  <c:v>-9.468502120825173E-3</c:v>
                </c:pt>
                <c:pt idx="870">
                  <c:v>-5.9977559141551895E-3</c:v>
                </c:pt>
                <c:pt idx="871">
                  <c:v>1.6273687718700885E-2</c:v>
                </c:pt>
                <c:pt idx="872">
                  <c:v>-7.8325982674605221E-3</c:v>
                </c:pt>
                <c:pt idx="873">
                  <c:v>3.0968801111539698E-2</c:v>
                </c:pt>
                <c:pt idx="874">
                  <c:v>-6.3290577225241004E-3</c:v>
                </c:pt>
                <c:pt idx="875">
                  <c:v>-1.0638415119550462E-2</c:v>
                </c:pt>
                <c:pt idx="876">
                  <c:v>-1.481510964215217E-2</c:v>
                </c:pt>
                <c:pt idx="877">
                  <c:v>2.4393600882365485E-3</c:v>
                </c:pt>
                <c:pt idx="878">
                  <c:v>1.6229404974400427E-3</c:v>
                </c:pt>
                <c:pt idx="879">
                  <c:v>1.208872805074746E-2</c:v>
                </c:pt>
                <c:pt idx="880">
                  <c:v>2.6707616138736711E-4</c:v>
                </c:pt>
                <c:pt idx="881">
                  <c:v>0</c:v>
                </c:pt>
                <c:pt idx="882">
                  <c:v>3.5919503032745867E-2</c:v>
                </c:pt>
                <c:pt idx="883">
                  <c:v>2.1905989055294246E-2</c:v>
                </c:pt>
                <c:pt idx="884">
                  <c:v>1.82255575717198E-2</c:v>
                </c:pt>
                <c:pt idx="885">
                  <c:v>-1.4856010993493552E-3</c:v>
                </c:pt>
                <c:pt idx="886">
                  <c:v>-5.4658611373733026E-3</c:v>
                </c:pt>
                <c:pt idx="887">
                  <c:v>-1.5060466741354412E-2</c:v>
                </c:pt>
                <c:pt idx="888">
                  <c:v>3.7478076860365493E-2</c:v>
                </c:pt>
                <c:pt idx="889">
                  <c:v>1.5230425416967619E-2</c:v>
                </c:pt>
                <c:pt idx="890">
                  <c:v>-1.7913766335143619E-2</c:v>
                </c:pt>
                <c:pt idx="891">
                  <c:v>5.8450501724115764E-3</c:v>
                </c:pt>
                <c:pt idx="892">
                  <c:v>1.6985750811079694E-3</c:v>
                </c:pt>
                <c:pt idx="893">
                  <c:v>2.9047918504411015E-3</c:v>
                </c:pt>
                <c:pt idx="894">
                  <c:v>-1.5345512982468713E-2</c:v>
                </c:pt>
                <c:pt idx="895">
                  <c:v>0</c:v>
                </c:pt>
                <c:pt idx="896">
                  <c:v>-4.9103931714723716E-4</c:v>
                </c:pt>
                <c:pt idx="897">
                  <c:v>-9.8717638527414404E-3</c:v>
                </c:pt>
                <c:pt idx="898">
                  <c:v>-2.3335683730769392E-2</c:v>
                </c:pt>
                <c:pt idx="899">
                  <c:v>5.8221574126968208E-3</c:v>
                </c:pt>
                <c:pt idx="900">
                  <c:v>2.1720857145688156E-2</c:v>
                </c:pt>
                <c:pt idx="901">
                  <c:v>-4.9407196701169989E-4</c:v>
                </c:pt>
                <c:pt idx="902">
                  <c:v>1.5690467573679995E-2</c:v>
                </c:pt>
                <c:pt idx="903">
                  <c:v>5.4438437502137109E-2</c:v>
                </c:pt>
                <c:pt idx="904">
                  <c:v>-2.5371983845994947E-3</c:v>
                </c:pt>
                <c:pt idx="905">
                  <c:v>7.133858296005823E-3</c:v>
                </c:pt>
                <c:pt idx="906">
                  <c:v>-6.9029377060084727E-3</c:v>
                </c:pt>
                <c:pt idx="907">
                  <c:v>7.5906179156130949E-3</c:v>
                </c:pt>
                <c:pt idx="908">
                  <c:v>6.6233075730327004E-3</c:v>
                </c:pt>
                <c:pt idx="909">
                  <c:v>4.5516686596688074E-4</c:v>
                </c:pt>
                <c:pt idx="910">
                  <c:v>-9.8320372629164751E-3</c:v>
                </c:pt>
                <c:pt idx="911">
                  <c:v>8.9214962597604589E-3</c:v>
                </c:pt>
                <c:pt idx="912">
                  <c:v>2.9176188944610069E-2</c:v>
                </c:pt>
                <c:pt idx="913">
                  <c:v>7.7119225843386048E-3</c:v>
                </c:pt>
                <c:pt idx="914">
                  <c:v>1.0480389098223509E-2</c:v>
                </c:pt>
                <c:pt idx="915">
                  <c:v>-1.9567381603673522E-3</c:v>
                </c:pt>
                <c:pt idx="916">
                  <c:v>1.0948608107802632E-2</c:v>
                </c:pt>
                <c:pt idx="917">
                  <c:v>-8.0321947587776929E-3</c:v>
                </c:pt>
                <c:pt idx="918">
                  <c:v>-7.6799799382364031E-2</c:v>
                </c:pt>
                <c:pt idx="919">
                  <c:v>2.7438209451796796E-2</c:v>
                </c:pt>
                <c:pt idx="920">
                  <c:v>3.2873339033900717E-2</c:v>
                </c:pt>
                <c:pt idx="921">
                  <c:v>6.8643598562285052E-2</c:v>
                </c:pt>
                <c:pt idx="922">
                  <c:v>-1.6075823458844923E-2</c:v>
                </c:pt>
                <c:pt idx="923">
                  <c:v>-7.8090332676088196E-3</c:v>
                </c:pt>
                <c:pt idx="924">
                  <c:v>-3.0513213845999258E-2</c:v>
                </c:pt>
                <c:pt idx="925">
                  <c:v>1.3159548984807335E-2</c:v>
                </c:pt>
                <c:pt idx="926">
                  <c:v>2.8764763099155565E-3</c:v>
                </c:pt>
                <c:pt idx="927">
                  <c:v>-1.3345360752157224E-2</c:v>
                </c:pt>
                <c:pt idx="928">
                  <c:v>4.4682715681043971E-3</c:v>
                </c:pt>
                <c:pt idx="929">
                  <c:v>-4.2444119815818505E-3</c:v>
                </c:pt>
                <c:pt idx="930">
                  <c:v>9.1365742245994377E-3</c:v>
                </c:pt>
                <c:pt idx="931">
                  <c:v>-9.8083754468532777E-3</c:v>
                </c:pt>
                <c:pt idx="932">
                  <c:v>-2.2656174018553538E-2</c:v>
                </c:pt>
                <c:pt idx="933">
                  <c:v>-1.850186940581932E-2</c:v>
                </c:pt>
                <c:pt idx="934">
                  <c:v>5.0522651526939757E-2</c:v>
                </c:pt>
                <c:pt idx="935">
                  <c:v>-3.9842318462850711E-2</c:v>
                </c:pt>
                <c:pt idx="936">
                  <c:v>1.6945737917085216E-2</c:v>
                </c:pt>
                <c:pt idx="937">
                  <c:v>3.626439018888723E-3</c:v>
                </c:pt>
                <c:pt idx="938">
                  <c:v>1.2143093965928501E-2</c:v>
                </c:pt>
                <c:pt idx="939">
                  <c:v>-1.3275026064106297E-2</c:v>
                </c:pt>
                <c:pt idx="940">
                  <c:v>1.4168707764199817E-2</c:v>
                </c:pt>
                <c:pt idx="941">
                  <c:v>1.3309836075440191E-2</c:v>
                </c:pt>
                <c:pt idx="942">
                  <c:v>-1.3533073849635528E-2</c:v>
                </c:pt>
                <c:pt idx="943">
                  <c:v>1.2651284264020892E-2</c:v>
                </c:pt>
                <c:pt idx="944">
                  <c:v>-9.3064350930029162E-3</c:v>
                </c:pt>
                <c:pt idx="945">
                  <c:v>-4.0200772954706997E-2</c:v>
                </c:pt>
                <c:pt idx="946">
                  <c:v>2.9457577171669105E-2</c:v>
                </c:pt>
                <c:pt idx="947">
                  <c:v>-1.5191290149284544E-2</c:v>
                </c:pt>
                <c:pt idx="948">
                  <c:v>3.1705752906234994E-2</c:v>
                </c:pt>
                <c:pt idx="949">
                  <c:v>-4.4271370258897838E-4</c:v>
                </c:pt>
                <c:pt idx="950">
                  <c:v>9.9152976582140683E-3</c:v>
                </c:pt>
                <c:pt idx="951">
                  <c:v>1.7523759616626081E-3</c:v>
                </c:pt>
                <c:pt idx="952">
                  <c:v>-4.8265486659721047E-3</c:v>
                </c:pt>
                <c:pt idx="953">
                  <c:v>-2.6426696253165059E-3</c:v>
                </c:pt>
                <c:pt idx="954">
                  <c:v>-1.2425288394747207E-2</c:v>
                </c:pt>
                <c:pt idx="955">
                  <c:v>1.6166906513924689E-2</c:v>
                </c:pt>
                <c:pt idx="956">
                  <c:v>7.877454875229695E-3</c:v>
                </c:pt>
                <c:pt idx="957">
                  <c:v>-2.2037048357864356E-2</c:v>
                </c:pt>
                <c:pt idx="958">
                  <c:v>9.3147630145200225E-3</c:v>
                </c:pt>
                <c:pt idx="959">
                  <c:v>-9.9834197575633232E-3</c:v>
                </c:pt>
                <c:pt idx="960">
                  <c:v>2.4496540463632261E-3</c:v>
                </c:pt>
                <c:pt idx="961">
                  <c:v>7.3519985881219135E-2</c:v>
                </c:pt>
                <c:pt idx="962">
                  <c:v>6.8096904146871376E-2</c:v>
                </c:pt>
                <c:pt idx="963">
                  <c:v>1.5516065875226644E-2</c:v>
                </c:pt>
                <c:pt idx="964">
                  <c:v>1.09642149927225E-2</c:v>
                </c:pt>
                <c:pt idx="965">
                  <c:v>1.065927352126699E-2</c:v>
                </c:pt>
                <c:pt idx="966">
                  <c:v>-1.9155419502441508E-2</c:v>
                </c:pt>
                <c:pt idx="967">
                  <c:v>0.1523612809940755</c:v>
                </c:pt>
                <c:pt idx="968">
                  <c:v>1.5028161515338782E-2</c:v>
                </c:pt>
                <c:pt idx="969">
                  <c:v>-2.3694633987262015E-2</c:v>
                </c:pt>
                <c:pt idx="970">
                  <c:v>4.8406825610038902E-2</c:v>
                </c:pt>
                <c:pt idx="971">
                  <c:v>-4.0391838313096944E-2</c:v>
                </c:pt>
                <c:pt idx="972">
                  <c:v>1.5358867470677487E-2</c:v>
                </c:pt>
                <c:pt idx="973">
                  <c:v>-1.5195877776034173E-2</c:v>
                </c:pt>
                <c:pt idx="974">
                  <c:v>-4.3445378858468504E-2</c:v>
                </c:pt>
                <c:pt idx="975">
                  <c:v>5.6071001275817697E-2</c:v>
                </c:pt>
                <c:pt idx="976">
                  <c:v>-2.12965593090624E-2</c:v>
                </c:pt>
                <c:pt idx="977">
                  <c:v>2.1339143952240885E-3</c:v>
                </c:pt>
                <c:pt idx="978">
                  <c:v>2.413654893626475E-2</c:v>
                </c:pt>
                <c:pt idx="979">
                  <c:v>1.6001741484900769E-4</c:v>
                </c:pt>
                <c:pt idx="980">
                  <c:v>1.7587092302352621E-3</c:v>
                </c:pt>
                <c:pt idx="981">
                  <c:v>1.6791082459636418E-2</c:v>
                </c:pt>
                <c:pt idx="982">
                  <c:v>4.0759503472584E-3</c:v>
                </c:pt>
                <c:pt idx="983">
                  <c:v>1.073678999958699E-2</c:v>
                </c:pt>
                <c:pt idx="984">
                  <c:v>-5.5857279481387717E-2</c:v>
                </c:pt>
                <c:pt idx="985">
                  <c:v>1.6556154479496474E-2</c:v>
                </c:pt>
                <c:pt idx="986">
                  <c:v>1.1364722436529714E-2</c:v>
                </c:pt>
                <c:pt idx="987">
                  <c:v>-5.7462929067615036E-3</c:v>
                </c:pt>
                <c:pt idx="988">
                  <c:v>4.3128123282484693E-3</c:v>
                </c:pt>
                <c:pt idx="989">
                  <c:v>7.9662038723385886E-4</c:v>
                </c:pt>
                <c:pt idx="990">
                  <c:v>-1.897162437805363E-2</c:v>
                </c:pt>
                <c:pt idx="991">
                  <c:v>1.2580821273441076E-2</c:v>
                </c:pt>
                <c:pt idx="992">
                  <c:v>-7.5617163334095079E-3</c:v>
                </c:pt>
                <c:pt idx="993">
                  <c:v>3.3856018825185966E-3</c:v>
                </c:pt>
                <c:pt idx="994">
                  <c:v>1.8972347331276406E-2</c:v>
                </c:pt>
                <c:pt idx="995">
                  <c:v>-7.4503427075488437E-3</c:v>
                </c:pt>
                <c:pt idx="996">
                  <c:v>-1.007446005311355E-2</c:v>
                </c:pt>
                <c:pt idx="997">
                  <c:v>-3.8647504219085325E-3</c:v>
                </c:pt>
                <c:pt idx="998">
                  <c:v>-1.6757897607532608E-2</c:v>
                </c:pt>
                <c:pt idx="999">
                  <c:v>-3.4512607997705148E-3</c:v>
                </c:pt>
                <c:pt idx="1000">
                  <c:v>5.7456070344848852E-3</c:v>
                </c:pt>
                <c:pt idx="1001">
                  <c:v>1.8649751437145905E-2</c:v>
                </c:pt>
                <c:pt idx="1002">
                  <c:v>-2.8963587409605619E-3</c:v>
                </c:pt>
                <c:pt idx="1003">
                  <c:v>-2.7428912302214325E-3</c:v>
                </c:pt>
                <c:pt idx="1004">
                  <c:v>-1.219226842667822E-2</c:v>
                </c:pt>
                <c:pt idx="1005">
                  <c:v>0.15246681631448677</c:v>
                </c:pt>
                <c:pt idx="1006">
                  <c:v>-6.348115255401493E-2</c:v>
                </c:pt>
                <c:pt idx="1007">
                  <c:v>8.1710396405228577E-2</c:v>
                </c:pt>
                <c:pt idx="1008">
                  <c:v>-2.7824272543170363E-2</c:v>
                </c:pt>
                <c:pt idx="1009">
                  <c:v>4.924236857804392E-2</c:v>
                </c:pt>
                <c:pt idx="1010">
                  <c:v>1.1674004744668559E-2</c:v>
                </c:pt>
                <c:pt idx="1011">
                  <c:v>5.1893772601396158E-3</c:v>
                </c:pt>
                <c:pt idx="1012">
                  <c:v>-2.119176202636024E-2</c:v>
                </c:pt>
                <c:pt idx="1013">
                  <c:v>2.238548938250012E-2</c:v>
                </c:pt>
                <c:pt idx="1014">
                  <c:v>8.0083474732189283E-2</c:v>
                </c:pt>
                <c:pt idx="1015">
                  <c:v>-1.5918971598292942E-3</c:v>
                </c:pt>
                <c:pt idx="1016">
                  <c:v>-9.9760260432816845E-3</c:v>
                </c:pt>
                <c:pt idx="1017">
                  <c:v>8.7980464952907289E-2</c:v>
                </c:pt>
                <c:pt idx="1018">
                  <c:v>-8.5384528100944546E-2</c:v>
                </c:pt>
                <c:pt idx="1019">
                  <c:v>-0.15571568331629551</c:v>
                </c:pt>
                <c:pt idx="1020">
                  <c:v>4.0290973889948484E-2</c:v>
                </c:pt>
                <c:pt idx="1021">
                  <c:v>5.1577317376624583E-2</c:v>
                </c:pt>
                <c:pt idx="1022">
                  <c:v>1.4112429340426523E-2</c:v>
                </c:pt>
                <c:pt idx="1023">
                  <c:v>0.10310022095762807</c:v>
                </c:pt>
                <c:pt idx="1024">
                  <c:v>-6.458058263500775E-3</c:v>
                </c:pt>
                <c:pt idx="1025">
                  <c:v>-4.0630673745674757E-2</c:v>
                </c:pt>
                <c:pt idx="1026">
                  <c:v>4.2396102590936451E-2</c:v>
                </c:pt>
                <c:pt idx="1027">
                  <c:v>1.0294900953701173E-2</c:v>
                </c:pt>
                <c:pt idx="1028">
                  <c:v>-1.9865596002546188E-2</c:v>
                </c:pt>
                <c:pt idx="1029">
                  <c:v>-4.6785728466894459E-2</c:v>
                </c:pt>
                <c:pt idx="1030">
                  <c:v>1.3837645152924641E-2</c:v>
                </c:pt>
                <c:pt idx="1031">
                  <c:v>-4.8777888020420143E-2</c:v>
                </c:pt>
                <c:pt idx="1032">
                  <c:v>-2.082869537551808E-2</c:v>
                </c:pt>
                <c:pt idx="1033">
                  <c:v>1.9152519146222229E-2</c:v>
                </c:pt>
                <c:pt idx="1034">
                  <c:v>3.0126179782999869E-2</c:v>
                </c:pt>
                <c:pt idx="1035">
                  <c:v>-1.8196075613525663E-2</c:v>
                </c:pt>
                <c:pt idx="1036">
                  <c:v>-4.9938499091028779E-2</c:v>
                </c:pt>
                <c:pt idx="1037">
                  <c:v>-1.6625367630457258E-2</c:v>
                </c:pt>
                <c:pt idx="1038">
                  <c:v>-2.9180060809035294E-2</c:v>
                </c:pt>
                <c:pt idx="1039">
                  <c:v>-3.7168374225923756E-2</c:v>
                </c:pt>
                <c:pt idx="1040">
                  <c:v>-7.8441836983533603E-2</c:v>
                </c:pt>
                <c:pt idx="1041">
                  <c:v>6.30309876045307E-2</c:v>
                </c:pt>
                <c:pt idx="1042">
                  <c:v>-1.2801649302233769E-2</c:v>
                </c:pt>
                <c:pt idx="1043">
                  <c:v>1.197819868554032E-3</c:v>
                </c:pt>
                <c:pt idx="1044">
                  <c:v>-2.3006919804892573E-2</c:v>
                </c:pt>
                <c:pt idx="1045">
                  <c:v>7.9305369092704196E-3</c:v>
                </c:pt>
                <c:pt idx="1046">
                  <c:v>2.8601286880893601E-2</c:v>
                </c:pt>
                <c:pt idx="1047">
                  <c:v>-1.0387460214632179E-2</c:v>
                </c:pt>
                <c:pt idx="1048">
                  <c:v>-2.446152915833192E-2</c:v>
                </c:pt>
                <c:pt idx="1049">
                  <c:v>1.2909350047394757E-2</c:v>
                </c:pt>
                <c:pt idx="1050">
                  <c:v>-4.8404734134638774E-3</c:v>
                </c:pt>
                <c:pt idx="1051">
                  <c:v>4.3759287811622201E-2</c:v>
                </c:pt>
                <c:pt idx="1052">
                  <c:v>-1.624142783803352E-2</c:v>
                </c:pt>
                <c:pt idx="1053">
                  <c:v>7.7878764171378703E-3</c:v>
                </c:pt>
                <c:pt idx="1054">
                  <c:v>-2.6380739745857241E-3</c:v>
                </c:pt>
                <c:pt idx="1055">
                  <c:v>3.0770300833873913E-3</c:v>
                </c:pt>
                <c:pt idx="1056">
                  <c:v>-1.5184194630417636E-2</c:v>
                </c:pt>
                <c:pt idx="1057">
                  <c:v>-6.2583483573924233E-3</c:v>
                </c:pt>
                <c:pt idx="1058">
                  <c:v>-1.5971350962241105E-2</c:v>
                </c:pt>
                <c:pt idx="1059">
                  <c:v>-1.3763853288589036E-2</c:v>
                </c:pt>
                <c:pt idx="1060">
                  <c:v>1.8461102069862337E-3</c:v>
                </c:pt>
                <c:pt idx="1061">
                  <c:v>9.0276772632150136E-3</c:v>
                </c:pt>
                <c:pt idx="1062">
                  <c:v>8.493868028891698E-3</c:v>
                </c:pt>
                <c:pt idx="1063">
                  <c:v>-1.9675738223673141E-2</c:v>
                </c:pt>
                <c:pt idx="1064">
                  <c:v>1.407193601316916E-2</c:v>
                </c:pt>
                <c:pt idx="1065">
                  <c:v>-4.4144526196101801E-3</c:v>
                </c:pt>
                <c:pt idx="1066">
                  <c:v>-1.8322974928997168E-3</c:v>
                </c:pt>
                <c:pt idx="1067">
                  <c:v>1.21526334446339E-2</c:v>
                </c:pt>
                <c:pt idx="1068">
                  <c:v>2.9604285691407283E-2</c:v>
                </c:pt>
                <c:pt idx="1069">
                  <c:v>3.6273371988717648E-2</c:v>
                </c:pt>
                <c:pt idx="1070">
                  <c:v>-2.2299398885310486E-2</c:v>
                </c:pt>
                <c:pt idx="1071">
                  <c:v>-1.3534373695661558E-2</c:v>
                </c:pt>
                <c:pt idx="1072">
                  <c:v>-3.6697198775300834E-3</c:v>
                </c:pt>
                <c:pt idx="1073">
                  <c:v>-2.4111897002710797E-2</c:v>
                </c:pt>
                <c:pt idx="1074">
                  <c:v>-2.1162361528962646E-2</c:v>
                </c:pt>
                <c:pt idx="1075">
                  <c:v>-9.2372235549857446E-4</c:v>
                </c:pt>
                <c:pt idx="1076">
                  <c:v>-1.1306568419584375E-2</c:v>
                </c:pt>
                <c:pt idx="1077">
                  <c:v>1.5564168069204531E-3</c:v>
                </c:pt>
                <c:pt idx="1078">
                  <c:v>4.0354627758359346E-3</c:v>
                </c:pt>
                <c:pt idx="1079">
                  <c:v>2.054338681646839E-2</c:v>
                </c:pt>
                <c:pt idx="1080">
                  <c:v>3.4306135366410404E-2</c:v>
                </c:pt>
                <c:pt idx="1081">
                  <c:v>-1.0020632682660228E-2</c:v>
                </c:pt>
                <c:pt idx="1082">
                  <c:v>1.5722824158571274E-2</c:v>
                </c:pt>
                <c:pt idx="1083">
                  <c:v>5.0898904298262116E-3</c:v>
                </c:pt>
                <c:pt idx="1084">
                  <c:v>9.5652794491469004E-2</c:v>
                </c:pt>
                <c:pt idx="1085">
                  <c:v>6.5695314183849118E-3</c:v>
                </c:pt>
                <c:pt idx="1086">
                  <c:v>-3.3964778409034349E-2</c:v>
                </c:pt>
                <c:pt idx="1087">
                  <c:v>-1.2268478297462769E-2</c:v>
                </c:pt>
                <c:pt idx="1088">
                  <c:v>-2.0227833105149605E-2</c:v>
                </c:pt>
                <c:pt idx="1089">
                  <c:v>-6.1771952381134438E-3</c:v>
                </c:pt>
                <c:pt idx="1090">
                  <c:v>2.9530307690972309E-3</c:v>
                </c:pt>
                <c:pt idx="1091">
                  <c:v>0</c:v>
                </c:pt>
                <c:pt idx="1092">
                  <c:v>3.9236905101109311E-2</c:v>
                </c:pt>
                <c:pt idx="1093">
                  <c:v>-5.7372842480227136E-2</c:v>
                </c:pt>
                <c:pt idx="1094">
                  <c:v>-1.309658049971418E-2</c:v>
                </c:pt>
                <c:pt idx="1095">
                  <c:v>4.3928837246791495E-2</c:v>
                </c:pt>
                <c:pt idx="1096">
                  <c:v>9.3832744119505523E-3</c:v>
                </c:pt>
                <c:pt idx="1097">
                  <c:v>4.3406307937496606E-2</c:v>
                </c:pt>
                <c:pt idx="1098">
                  <c:v>1.7856375124021693E-2</c:v>
                </c:pt>
                <c:pt idx="1099">
                  <c:v>5.6678469455553127E-3</c:v>
                </c:pt>
                <c:pt idx="1100">
                  <c:v>2.9500697264895396E-3</c:v>
                </c:pt>
                <c:pt idx="1101">
                  <c:v>8.4174701888927363E-3</c:v>
                </c:pt>
                <c:pt idx="1102">
                  <c:v>-1.5873407990386543E-2</c:v>
                </c:pt>
                <c:pt idx="1103">
                  <c:v>-1.6916431175408437E-2</c:v>
                </c:pt>
                <c:pt idx="1104">
                  <c:v>1.7561382832824327E-2</c:v>
                </c:pt>
                <c:pt idx="1105">
                  <c:v>4.6730950641685448E-2</c:v>
                </c:pt>
                <c:pt idx="1106">
                  <c:v>-2.35333855972703E-2</c:v>
                </c:pt>
                <c:pt idx="1107">
                  <c:v>-1.651464407959001E-2</c:v>
                </c:pt>
                <c:pt idx="1108">
                  <c:v>-1.2243179779101918E-2</c:v>
                </c:pt>
                <c:pt idx="1109">
                  <c:v>-2.1362433920511563E-2</c:v>
                </c:pt>
                <c:pt idx="1110">
                  <c:v>3.4382217077312447E-3</c:v>
                </c:pt>
                <c:pt idx="1111">
                  <c:v>1.2072073975810576E-2</c:v>
                </c:pt>
                <c:pt idx="1112">
                  <c:v>-2.7428298006007641E-3</c:v>
                </c:pt>
                <c:pt idx="1113">
                  <c:v>8.9839289433955444E-3</c:v>
                </c:pt>
                <c:pt idx="1114">
                  <c:v>-6.4829661735524475E-4</c:v>
                </c:pt>
                <c:pt idx="1115">
                  <c:v>4.3402341718290792E-2</c:v>
                </c:pt>
                <c:pt idx="1116">
                  <c:v>3.5981672933071113E-2</c:v>
                </c:pt>
                <c:pt idx="1117">
                  <c:v>2.3954691526787398E-4</c:v>
                </c:pt>
                <c:pt idx="1118">
                  <c:v>-1.326283884160775E-2</c:v>
                </c:pt>
                <c:pt idx="1119">
                  <c:v>1.2130785907138245E-3</c:v>
                </c:pt>
                <c:pt idx="1120">
                  <c:v>-2.4295723677554525E-2</c:v>
                </c:pt>
                <c:pt idx="1121">
                  <c:v>1.4305365122890337E-2</c:v>
                </c:pt>
                <c:pt idx="1122">
                  <c:v>2.1081432377622517E-2</c:v>
                </c:pt>
                <c:pt idx="1123">
                  <c:v>-2.5130290809441472E-2</c:v>
                </c:pt>
                <c:pt idx="1124">
                  <c:v>-5.5222158561112428E-2</c:v>
                </c:pt>
                <c:pt idx="1125">
                  <c:v>1.7131858290518928E-2</c:v>
                </c:pt>
                <c:pt idx="1126">
                  <c:v>-4.0795319397117481E-2</c:v>
                </c:pt>
                <c:pt idx="1127">
                  <c:v>2.5243403877126189E-3</c:v>
                </c:pt>
                <c:pt idx="1128">
                  <c:v>-1.2417634196386617E-2</c:v>
                </c:pt>
                <c:pt idx="1129">
                  <c:v>9.8079069305403999E-2</c:v>
                </c:pt>
                <c:pt idx="1130">
                  <c:v>-1.7199477405457689E-2</c:v>
                </c:pt>
                <c:pt idx="1131">
                  <c:v>2.4722821797592845E-2</c:v>
                </c:pt>
                <c:pt idx="1132">
                  <c:v>3.8769625912785696E-2</c:v>
                </c:pt>
                <c:pt idx="1133">
                  <c:v>-4.2766987738170587E-2</c:v>
                </c:pt>
                <c:pt idx="1134">
                  <c:v>-5.1106997805481814E-3</c:v>
                </c:pt>
                <c:pt idx="1135">
                  <c:v>-6.0213000018727439E-2</c:v>
                </c:pt>
                <c:pt idx="1136">
                  <c:v>-2.5590205007449678E-2</c:v>
                </c:pt>
                <c:pt idx="1137">
                  <c:v>3.5902207308024063E-2</c:v>
                </c:pt>
                <c:pt idx="1138">
                  <c:v>2.9451588323663419E-3</c:v>
                </c:pt>
                <c:pt idx="1139">
                  <c:v>-3.9715374618215166E-3</c:v>
                </c:pt>
                <c:pt idx="1140">
                  <c:v>2.0456780678010874E-2</c:v>
                </c:pt>
                <c:pt idx="1141">
                  <c:v>-2.3413676921515216E-2</c:v>
                </c:pt>
                <c:pt idx="1142">
                  <c:v>-2.3579640334671852E-2</c:v>
                </c:pt>
                <c:pt idx="1143">
                  <c:v>1.3096101910949339E-2</c:v>
                </c:pt>
                <c:pt idx="1144">
                  <c:v>3.9040601806887863E-2</c:v>
                </c:pt>
                <c:pt idx="1145">
                  <c:v>1.8226362989924163E-2</c:v>
                </c:pt>
                <c:pt idx="1146">
                  <c:v>1.2454310700058355E-2</c:v>
                </c:pt>
                <c:pt idx="1147">
                  <c:v>-1.2331548195746909E-2</c:v>
                </c:pt>
                <c:pt idx="1148">
                  <c:v>1.5958053263105227E-3</c:v>
                </c:pt>
                <c:pt idx="1149">
                  <c:v>-3.6806109456073054E-4</c:v>
                </c:pt>
                <c:pt idx="1150">
                  <c:v>1.654936070332072E-2</c:v>
                </c:pt>
                <c:pt idx="1151">
                  <c:v>5.8962511208671261E-3</c:v>
                </c:pt>
                <c:pt idx="1152">
                  <c:v>-3.0205717722448237E-2</c:v>
                </c:pt>
                <c:pt idx="1153">
                  <c:v>1.0945188585022783E-2</c:v>
                </c:pt>
                <c:pt idx="1154">
                  <c:v>3.2253202471314114E-2</c:v>
                </c:pt>
                <c:pt idx="1155">
                  <c:v>-1.303607131677017E-3</c:v>
                </c:pt>
                <c:pt idx="1156">
                  <c:v>-5.8100533867048193E-2</c:v>
                </c:pt>
                <c:pt idx="1157">
                  <c:v>-6.285734853107059E-4</c:v>
                </c:pt>
                <c:pt idx="1158">
                  <c:v>-3.6237182764847796E-2</c:v>
                </c:pt>
                <c:pt idx="1159">
                  <c:v>4.8858359191641144E-2</c:v>
                </c:pt>
                <c:pt idx="1160">
                  <c:v>-1.5391570810628806E-2</c:v>
                </c:pt>
                <c:pt idx="1161">
                  <c:v>-3.758747869101711E-3</c:v>
                </c:pt>
                <c:pt idx="1162">
                  <c:v>2.0181984867259264E-2</c:v>
                </c:pt>
                <c:pt idx="1163">
                  <c:v>1.3989020913627202E-3</c:v>
                </c:pt>
                <c:pt idx="1164">
                  <c:v>3.9316983179092935E-3</c:v>
                </c:pt>
                <c:pt idx="1165">
                  <c:v>-2.4079676265328369E-3</c:v>
                </c:pt>
                <c:pt idx="1166">
                  <c:v>2.5345088656500395E-3</c:v>
                </c:pt>
                <c:pt idx="1167">
                  <c:v>-2.8369709722067982E-2</c:v>
                </c:pt>
                <c:pt idx="1168">
                  <c:v>2.4819611857542011E-2</c:v>
                </c:pt>
                <c:pt idx="1169">
                  <c:v>1.0864196556956378E-2</c:v>
                </c:pt>
                <c:pt idx="1170">
                  <c:v>-2.5160155907833917E-3</c:v>
                </c:pt>
                <c:pt idx="1171">
                  <c:v>2.7672063054227061E-3</c:v>
                </c:pt>
                <c:pt idx="1172">
                  <c:v>4.7620071392296534E-3</c:v>
                </c:pt>
                <c:pt idx="1173">
                  <c:v>3.3696413303485485E-3</c:v>
                </c:pt>
                <c:pt idx="1174">
                  <c:v>-1.4305643706411743E-2</c:v>
                </c:pt>
                <c:pt idx="1175">
                  <c:v>-2.2775781976052704E-3</c:v>
                </c:pt>
                <c:pt idx="1176">
                  <c:v>-2.8786344272394782E-2</c:v>
                </c:pt>
                <c:pt idx="1177">
                  <c:v>2.7341383903286276E-3</c:v>
                </c:pt>
                <c:pt idx="1178">
                  <c:v>-5.7257840691675332E-2</c:v>
                </c:pt>
                <c:pt idx="1179">
                  <c:v>1.5845223885915256E-2</c:v>
                </c:pt>
                <c:pt idx="1180">
                  <c:v>5.4331055710844893E-2</c:v>
                </c:pt>
                <c:pt idx="1181">
                  <c:v>-5.1357177730574938E-4</c:v>
                </c:pt>
                <c:pt idx="1182">
                  <c:v>2.6931935904149426E-3</c:v>
                </c:pt>
                <c:pt idx="1183">
                  <c:v>2.3542458506026799E-2</c:v>
                </c:pt>
                <c:pt idx="1184">
                  <c:v>-9.805275127537828E-3</c:v>
                </c:pt>
                <c:pt idx="1185">
                  <c:v>-2.0232954263647881E-3</c:v>
                </c:pt>
                <c:pt idx="1186">
                  <c:v>-5.4578341335645422E-3</c:v>
                </c:pt>
                <c:pt idx="1187">
                  <c:v>-1.3325046903183632E-2</c:v>
                </c:pt>
                <c:pt idx="1188">
                  <c:v>-1.4028030903216276E-2</c:v>
                </c:pt>
                <c:pt idx="1189">
                  <c:v>-5.3464197032780131E-2</c:v>
                </c:pt>
                <c:pt idx="1190">
                  <c:v>-2.9020667981188445E-3</c:v>
                </c:pt>
                <c:pt idx="1191">
                  <c:v>-3.7433979096014869E-3</c:v>
                </c:pt>
                <c:pt idx="1192">
                  <c:v>-3.1609869751858678E-2</c:v>
                </c:pt>
                <c:pt idx="1193">
                  <c:v>3.2581675109910259E-2</c:v>
                </c:pt>
                <c:pt idx="1194">
                  <c:v>1.1863863444822553E-2</c:v>
                </c:pt>
                <c:pt idx="1195">
                  <c:v>2.0227392037949692E-2</c:v>
                </c:pt>
                <c:pt idx="1196">
                  <c:v>-7.6896903841203231E-3</c:v>
                </c:pt>
                <c:pt idx="1197">
                  <c:v>4.9982881254994295E-3</c:v>
                </c:pt>
                <c:pt idx="1198">
                  <c:v>-2.1245529376117275E-2</c:v>
                </c:pt>
                <c:pt idx="1199">
                  <c:v>2.0841210453348576E-2</c:v>
                </c:pt>
                <c:pt idx="1200">
                  <c:v>3.1449498627704062E-2</c:v>
                </c:pt>
                <c:pt idx="1201">
                  <c:v>-1.9123535786586397E-2</c:v>
                </c:pt>
                <c:pt idx="1202">
                  <c:v>-2.9320456294958722E-2</c:v>
                </c:pt>
                <c:pt idx="1203">
                  <c:v>8.8731684261320019E-3</c:v>
                </c:pt>
                <c:pt idx="1204">
                  <c:v>-4.3585508274464778E-3</c:v>
                </c:pt>
                <c:pt idx="1205">
                  <c:v>-4.9240675593053639E-2</c:v>
                </c:pt>
                <c:pt idx="1206">
                  <c:v>1.5649791776244652E-2</c:v>
                </c:pt>
                <c:pt idx="1207">
                  <c:v>1.1090091029164561E-2</c:v>
                </c:pt>
                <c:pt idx="1208">
                  <c:v>3.6058517526614299E-2</c:v>
                </c:pt>
                <c:pt idx="1209">
                  <c:v>-1.3011844465250657E-2</c:v>
                </c:pt>
                <c:pt idx="1210">
                  <c:v>3.3141845570673033E-2</c:v>
                </c:pt>
                <c:pt idx="1211">
                  <c:v>4.0098491498102962E-2</c:v>
                </c:pt>
                <c:pt idx="1212">
                  <c:v>9.8410728842708833E-3</c:v>
                </c:pt>
                <c:pt idx="1213">
                  <c:v>-5.9182506921216186E-3</c:v>
                </c:pt>
                <c:pt idx="1214">
                  <c:v>4.4105227407477332E-3</c:v>
                </c:pt>
                <c:pt idx="1215">
                  <c:v>4.8918860570404286E-3</c:v>
                </c:pt>
                <c:pt idx="1216">
                  <c:v>8.7206131083484139E-3</c:v>
                </c:pt>
                <c:pt idx="1217">
                  <c:v>8.7681523347890172E-3</c:v>
                </c:pt>
                <c:pt idx="1218">
                  <c:v>1.2584940907933254E-2</c:v>
                </c:pt>
                <c:pt idx="1219">
                  <c:v>2.3042953558991262E-3</c:v>
                </c:pt>
                <c:pt idx="1220">
                  <c:v>3.1445946575564552E-3</c:v>
                </c:pt>
                <c:pt idx="1221">
                  <c:v>-3.6232193226172461E-4</c:v>
                </c:pt>
                <c:pt idx="1222">
                  <c:v>2.8697623754722491E-2</c:v>
                </c:pt>
                <c:pt idx="1223">
                  <c:v>-1.4096095429439537E-3</c:v>
                </c:pt>
                <c:pt idx="1224">
                  <c:v>1.1918854112017195E-2</c:v>
                </c:pt>
                <c:pt idx="1225">
                  <c:v>-9.29740996806574E-4</c:v>
                </c:pt>
                <c:pt idx="1226">
                  <c:v>2.8426039674417404E-2</c:v>
                </c:pt>
                <c:pt idx="1227">
                  <c:v>-4.0766265162340502E-3</c:v>
                </c:pt>
                <c:pt idx="1228">
                  <c:v>2.0329832189532146E-2</c:v>
                </c:pt>
                <c:pt idx="1229">
                  <c:v>-1.6253205673298007E-2</c:v>
                </c:pt>
                <c:pt idx="1230">
                  <c:v>0.12427855122294365</c:v>
                </c:pt>
                <c:pt idx="1231">
                  <c:v>-4.1674808607189875E-2</c:v>
                </c:pt>
                <c:pt idx="1232">
                  <c:v>-2.4541758653033787E-2</c:v>
                </c:pt>
                <c:pt idx="1233">
                  <c:v>-7.3847987286428871E-3</c:v>
                </c:pt>
                <c:pt idx="1234">
                  <c:v>1.6513419125026452E-2</c:v>
                </c:pt>
                <c:pt idx="1235">
                  <c:v>-6.1893435235748397E-2</c:v>
                </c:pt>
                <c:pt idx="1236">
                  <c:v>-1.2372352189416787E-3</c:v>
                </c:pt>
                <c:pt idx="1237">
                  <c:v>3.1681869762372368E-2</c:v>
                </c:pt>
                <c:pt idx="1238">
                  <c:v>-1.4719018145511856E-2</c:v>
                </c:pt>
                <c:pt idx="1239">
                  <c:v>1.2863633842986935E-2</c:v>
                </c:pt>
                <c:pt idx="1240">
                  <c:v>-5.0753017098226556E-2</c:v>
                </c:pt>
                <c:pt idx="1241">
                  <c:v>3.965827118402529E-2</c:v>
                </c:pt>
                <c:pt idx="1242">
                  <c:v>-1.323193530282909E-2</c:v>
                </c:pt>
                <c:pt idx="1243">
                  <c:v>3.9935067736374057E-2</c:v>
                </c:pt>
                <c:pt idx="1244">
                  <c:v>-7.9084238712407273E-2</c:v>
                </c:pt>
                <c:pt idx="1245">
                  <c:v>-5.2451799160795183E-2</c:v>
                </c:pt>
                <c:pt idx="1246">
                  <c:v>3.7794797758828304E-2</c:v>
                </c:pt>
                <c:pt idx="1247">
                  <c:v>-1.9441185575012974E-2</c:v>
                </c:pt>
                <c:pt idx="1248">
                  <c:v>3.6075114334883536E-2</c:v>
                </c:pt>
                <c:pt idx="1249">
                  <c:v>1.6818752961133162E-2</c:v>
                </c:pt>
                <c:pt idx="1250">
                  <c:v>3.1152345452014576E-2</c:v>
                </c:pt>
                <c:pt idx="1251">
                  <c:v>-3.7684965755024176E-2</c:v>
                </c:pt>
                <c:pt idx="1252">
                  <c:v>-2.7392601999271224E-2</c:v>
                </c:pt>
                <c:pt idx="1253">
                  <c:v>3.7915454133597599E-2</c:v>
                </c:pt>
                <c:pt idx="1254">
                  <c:v>-4.4436322838899416E-2</c:v>
                </c:pt>
                <c:pt idx="1255">
                  <c:v>-5.2126228272900033E-2</c:v>
                </c:pt>
                <c:pt idx="1256">
                  <c:v>-1.8848275090923086E-2</c:v>
                </c:pt>
                <c:pt idx="1257">
                  <c:v>3.3650420341806007E-2</c:v>
                </c:pt>
                <c:pt idx="1258">
                  <c:v>-1.0550556208472665E-2</c:v>
                </c:pt>
                <c:pt idx="1259">
                  <c:v>2.6474528686456673E-2</c:v>
                </c:pt>
                <c:pt idx="1260">
                  <c:v>-1.7654090259435103E-2</c:v>
                </c:pt>
                <c:pt idx="1261">
                  <c:v>-4.0126478302732013E-2</c:v>
                </c:pt>
                <c:pt idx="1262">
                  <c:v>3.305139406020989E-2</c:v>
                </c:pt>
                <c:pt idx="1263">
                  <c:v>1.6553902112273609E-2</c:v>
                </c:pt>
                <c:pt idx="1264">
                  <c:v>1.821098440114325E-2</c:v>
                </c:pt>
                <c:pt idx="1265">
                  <c:v>7.1925531301756272E-3</c:v>
                </c:pt>
                <c:pt idx="1266">
                  <c:v>-4.2081978920698961E-2</c:v>
                </c:pt>
                <c:pt idx="1267">
                  <c:v>-5.2428218417989982E-2</c:v>
                </c:pt>
                <c:pt idx="1268">
                  <c:v>-8.1730120359910594E-3</c:v>
                </c:pt>
                <c:pt idx="1269">
                  <c:v>2.3287283868933688E-2</c:v>
                </c:pt>
                <c:pt idx="1270">
                  <c:v>-4.6452275525627688E-2</c:v>
                </c:pt>
                <c:pt idx="1271">
                  <c:v>-2.0805633116300345E-2</c:v>
                </c:pt>
                <c:pt idx="1272">
                  <c:v>4.4499963187875934E-2</c:v>
                </c:pt>
                <c:pt idx="1273">
                  <c:v>1.4968730432971479E-2</c:v>
                </c:pt>
                <c:pt idx="1274">
                  <c:v>9.3398037761412908E-3</c:v>
                </c:pt>
                <c:pt idx="1275">
                  <c:v>-5.1780339468054009E-3</c:v>
                </c:pt>
                <c:pt idx="1276">
                  <c:v>1.1741323773934532E-2</c:v>
                </c:pt>
                <c:pt idx="1277">
                  <c:v>3.9685212357569739E-3</c:v>
                </c:pt>
                <c:pt idx="1278">
                  <c:v>-3.7119988263458145E-3</c:v>
                </c:pt>
                <c:pt idx="1279">
                  <c:v>-5.5364710463115321E-2</c:v>
                </c:pt>
                <c:pt idx="1280">
                  <c:v>-1.6122761696472691E-2</c:v>
                </c:pt>
                <c:pt idx="1281">
                  <c:v>5.1541214900623078E-2</c:v>
                </c:pt>
                <c:pt idx="1282">
                  <c:v>2.429686003487614E-2</c:v>
                </c:pt>
                <c:pt idx="1283">
                  <c:v>-3.9659827008935306E-3</c:v>
                </c:pt>
                <c:pt idx="1284">
                  <c:v>-1.9807782462530073E-2</c:v>
                </c:pt>
                <c:pt idx="1285">
                  <c:v>-1.2366859355762098E-2</c:v>
                </c:pt>
                <c:pt idx="1286">
                  <c:v>-6.1081769598183341E-3</c:v>
                </c:pt>
                <c:pt idx="1287">
                  <c:v>9.4121839773738548E-3</c:v>
                </c:pt>
                <c:pt idx="1288">
                  <c:v>1.4669499599375154E-2</c:v>
                </c:pt>
                <c:pt idx="1289">
                  <c:v>1.8167117902255052E-2</c:v>
                </c:pt>
                <c:pt idx="1290">
                  <c:v>0</c:v>
                </c:pt>
                <c:pt idx="1291">
                  <c:v>6.6316538824325144E-2</c:v>
                </c:pt>
                <c:pt idx="1292">
                  <c:v>-2.1620543782214265E-2</c:v>
                </c:pt>
                <c:pt idx="1293">
                  <c:v>8.3923631929094508E-2</c:v>
                </c:pt>
                <c:pt idx="1294">
                  <c:v>-7.7769687838785901E-3</c:v>
                </c:pt>
                <c:pt idx="1295">
                  <c:v>-3.3480184087023107E-2</c:v>
                </c:pt>
                <c:pt idx="1296">
                  <c:v>-1.6991639220915525E-2</c:v>
                </c:pt>
                <c:pt idx="1297">
                  <c:v>-7.8853110049353376E-3</c:v>
                </c:pt>
                <c:pt idx="1298">
                  <c:v>1.0143937358764956E-2</c:v>
                </c:pt>
                <c:pt idx="1299">
                  <c:v>-1.6159294006815934E-2</c:v>
                </c:pt>
                <c:pt idx="1300">
                  <c:v>1.36626165535854E-2</c:v>
                </c:pt>
                <c:pt idx="1301">
                  <c:v>2.0616872292032504E-2</c:v>
                </c:pt>
                <c:pt idx="1302">
                  <c:v>-5.6980045380748835E-2</c:v>
                </c:pt>
                <c:pt idx="1303">
                  <c:v>-5.0507472811938563E-2</c:v>
                </c:pt>
                <c:pt idx="1304">
                  <c:v>3.5082409993604305E-2</c:v>
                </c:pt>
                <c:pt idx="1305">
                  <c:v>-9.699717104873367E-3</c:v>
                </c:pt>
                <c:pt idx="1306">
                  <c:v>5.9317745601613269E-3</c:v>
                </c:pt>
                <c:pt idx="1307">
                  <c:v>3.5720270247155725E-2</c:v>
                </c:pt>
                <c:pt idx="1308">
                  <c:v>1.3387389644063512E-2</c:v>
                </c:pt>
                <c:pt idx="1309">
                  <c:v>2.799784092594837E-2</c:v>
                </c:pt>
                <c:pt idx="1310">
                  <c:v>-2.5661862729933482E-3</c:v>
                </c:pt>
                <c:pt idx="1311">
                  <c:v>-1.8704955813254004E-3</c:v>
                </c:pt>
                <c:pt idx="1312">
                  <c:v>-5.985565769905255E-3</c:v>
                </c:pt>
                <c:pt idx="1313">
                  <c:v>3.0558894168813103E-3</c:v>
                </c:pt>
                <c:pt idx="1314">
                  <c:v>4.5665420766072906E-3</c:v>
                </c:pt>
                <c:pt idx="1315">
                  <c:v>1.1678512115142938E-4</c:v>
                </c:pt>
                <c:pt idx="1316">
                  <c:v>1.3228361115717705E-2</c:v>
                </c:pt>
                <c:pt idx="1317">
                  <c:v>-3.9022525216354652E-2</c:v>
                </c:pt>
                <c:pt idx="1318">
                  <c:v>1.4399060063607678E-2</c:v>
                </c:pt>
                <c:pt idx="1319">
                  <c:v>1.0109423536886594E-2</c:v>
                </c:pt>
                <c:pt idx="1320">
                  <c:v>-4.5462363841117674E-2</c:v>
                </c:pt>
                <c:pt idx="1321">
                  <c:v>5.6144764847988636E-3</c:v>
                </c:pt>
                <c:pt idx="1322">
                  <c:v>-2.0411298694393284E-2</c:v>
                </c:pt>
                <c:pt idx="1323">
                  <c:v>-2.0329520553158956E-2</c:v>
                </c:pt>
                <c:pt idx="1324">
                  <c:v>4.8379594693538981E-2</c:v>
                </c:pt>
                <c:pt idx="1325">
                  <c:v>5.180430478594001E-3</c:v>
                </c:pt>
                <c:pt idx="1326">
                  <c:v>3.8379068643017425E-3</c:v>
                </c:pt>
                <c:pt idx="1327">
                  <c:v>6.4430574565608337E-3</c:v>
                </c:pt>
                <c:pt idx="1328">
                  <c:v>3.700891486194454E-2</c:v>
                </c:pt>
                <c:pt idx="1329">
                  <c:v>-6.6697480000698908E-3</c:v>
                </c:pt>
                <c:pt idx="1330">
                  <c:v>-2.8887158672930473E-3</c:v>
                </c:pt>
                <c:pt idx="1331">
                  <c:v>1.0016835627959736E-2</c:v>
                </c:pt>
                <c:pt idx="1332">
                  <c:v>-3.7110491149223365E-2</c:v>
                </c:pt>
                <c:pt idx="1333">
                  <c:v>1.5454835273716007E-2</c:v>
                </c:pt>
                <c:pt idx="1334">
                  <c:v>1.0249287345388373E-2</c:v>
                </c:pt>
                <c:pt idx="1335">
                  <c:v>-3.5621199072457588E-2</c:v>
                </c:pt>
                <c:pt idx="1336">
                  <c:v>-1.0622940669306816E-2</c:v>
                </c:pt>
                <c:pt idx="1337">
                  <c:v>-7.9196233672209522E-3</c:v>
                </c:pt>
                <c:pt idx="1338">
                  <c:v>6.9483030534254475E-3</c:v>
                </c:pt>
                <c:pt idx="1339">
                  <c:v>-7.804945652655112E-3</c:v>
                </c:pt>
                <c:pt idx="1340">
                  <c:v>-1.1451235003428373E-2</c:v>
                </c:pt>
                <c:pt idx="1341">
                  <c:v>-1.221040703263178E-2</c:v>
                </c:pt>
                <c:pt idx="1342">
                  <c:v>-1.2541417655053064E-4</c:v>
                </c:pt>
                <c:pt idx="1343">
                  <c:v>2.3793209734695726E-3</c:v>
                </c:pt>
                <c:pt idx="1344">
                  <c:v>2.0060076209156237E-2</c:v>
                </c:pt>
                <c:pt idx="1345">
                  <c:v>4.0374641630993198E-3</c:v>
                </c:pt>
                <c:pt idx="1346">
                  <c:v>-1.1543853878497079E-2</c:v>
                </c:pt>
                <c:pt idx="1347">
                  <c:v>-2.69152780220837E-2</c:v>
                </c:pt>
                <c:pt idx="1348">
                  <c:v>-6.4922718057892452E-3</c:v>
                </c:pt>
                <c:pt idx="1349">
                  <c:v>-1.168995966375796E-2</c:v>
                </c:pt>
                <c:pt idx="1350">
                  <c:v>-1.9704523537824561E-2</c:v>
                </c:pt>
                <c:pt idx="1351">
                  <c:v>-2.1311360600361436E-2</c:v>
                </c:pt>
                <c:pt idx="1352">
                  <c:v>-1.2123032891457608E-3</c:v>
                </c:pt>
                <c:pt idx="1353">
                  <c:v>1.6708265748091974E-2</c:v>
                </c:pt>
                <c:pt idx="1354">
                  <c:v>-1.9903774925890435E-3</c:v>
                </c:pt>
                <c:pt idx="1355">
                  <c:v>1.2145340489822597E-2</c:v>
                </c:pt>
                <c:pt idx="1356">
                  <c:v>9.533260646152248E-3</c:v>
                </c:pt>
                <c:pt idx="1357">
                  <c:v>-8.2219702445828612E-3</c:v>
                </c:pt>
                <c:pt idx="1358">
                  <c:v>1.3278032840941518E-2</c:v>
                </c:pt>
                <c:pt idx="1359">
                  <c:v>-3.8870642565691873E-3</c:v>
                </c:pt>
                <c:pt idx="1360">
                  <c:v>-8.474070900450768E-3</c:v>
                </c:pt>
                <c:pt idx="1361">
                  <c:v>-6.0407159659533671E-3</c:v>
                </c:pt>
                <c:pt idx="1362">
                  <c:v>-5.6798830304198916E-3</c:v>
                </c:pt>
                <c:pt idx="1363">
                  <c:v>6.6014886181826257E-3</c:v>
                </c:pt>
                <c:pt idx="1364">
                  <c:v>-4.0878362810698454E-3</c:v>
                </c:pt>
                <c:pt idx="1365">
                  <c:v>-9.8260651807905823E-3</c:v>
                </c:pt>
                <c:pt idx="1366">
                  <c:v>-5.8887258343192812E-3</c:v>
                </c:pt>
                <c:pt idx="1367">
                  <c:v>1.1610175715236372E-2</c:v>
                </c:pt>
                <c:pt idx="1368">
                  <c:v>-4.2547334865079434E-3</c:v>
                </c:pt>
                <c:pt idx="1369">
                  <c:v>2.0050776516089143E-2</c:v>
                </c:pt>
                <c:pt idx="1370">
                  <c:v>6.3789524610029617E-3</c:v>
                </c:pt>
                <c:pt idx="1371">
                  <c:v>2.0550462385400762E-2</c:v>
                </c:pt>
                <c:pt idx="1372">
                  <c:v>-1.6535603627003431E-2</c:v>
                </c:pt>
                <c:pt idx="1373">
                  <c:v>-1.1308432675097737E-2</c:v>
                </c:pt>
                <c:pt idx="1374">
                  <c:v>-4.0604463895556131E-3</c:v>
                </c:pt>
                <c:pt idx="1375">
                  <c:v>7.4533915641749066E-3</c:v>
                </c:pt>
                <c:pt idx="1376">
                  <c:v>-8.3725767586339973E-3</c:v>
                </c:pt>
                <c:pt idx="1377">
                  <c:v>1.5752173935184614E-3</c:v>
                </c:pt>
                <c:pt idx="1378">
                  <c:v>-2.0004738419940576E-2</c:v>
                </c:pt>
                <c:pt idx="1379">
                  <c:v>-8.6009945224060809E-3</c:v>
                </c:pt>
                <c:pt idx="1380">
                  <c:v>2.6958399486579437E-3</c:v>
                </c:pt>
                <c:pt idx="1381">
                  <c:v>2.7875411267429168E-2</c:v>
                </c:pt>
                <c:pt idx="1382">
                  <c:v>2.6354638067566799E-2</c:v>
                </c:pt>
                <c:pt idx="1383">
                  <c:v>-2.1522796976191701E-2</c:v>
                </c:pt>
                <c:pt idx="1384">
                  <c:v>-1.5645380312789149E-3</c:v>
                </c:pt>
                <c:pt idx="1385">
                  <c:v>-2.6100812551312422E-4</c:v>
                </c:pt>
                <c:pt idx="1386">
                  <c:v>-7.335611997873295E-3</c:v>
                </c:pt>
                <c:pt idx="1387">
                  <c:v>-7.1249415949429847E-3</c:v>
                </c:pt>
                <c:pt idx="1388">
                  <c:v>4.0610086558880688E-2</c:v>
                </c:pt>
                <c:pt idx="1389">
                  <c:v>1.5768221820767848E-2</c:v>
                </c:pt>
                <c:pt idx="1390">
                  <c:v>-1.3482255290814319E-2</c:v>
                </c:pt>
                <c:pt idx="1391">
                  <c:v>-7.6138182294671012E-4</c:v>
                </c:pt>
                <c:pt idx="1392">
                  <c:v>-1.9485358461018461E-2</c:v>
                </c:pt>
                <c:pt idx="1393">
                  <c:v>7.0945248507706905E-3</c:v>
                </c:pt>
                <c:pt idx="1394">
                  <c:v>2.4392701953068001E-3</c:v>
                </c:pt>
                <c:pt idx="1395">
                  <c:v>-7.4647118029755018E-3</c:v>
                </c:pt>
                <c:pt idx="1396">
                  <c:v>-1.0780063170854547E-2</c:v>
                </c:pt>
                <c:pt idx="1397">
                  <c:v>-5.4995165732910157E-3</c:v>
                </c:pt>
                <c:pt idx="1398">
                  <c:v>-3.9468969721756031E-3</c:v>
                </c:pt>
                <c:pt idx="1399">
                  <c:v>-1.6480919074182265E-2</c:v>
                </c:pt>
                <c:pt idx="1400">
                  <c:v>-1.7711584462652412E-2</c:v>
                </c:pt>
                <c:pt idx="1401">
                  <c:v>-7.9430598235288499E-3</c:v>
                </c:pt>
                <c:pt idx="1402">
                  <c:v>1.9471009673866869E-2</c:v>
                </c:pt>
                <c:pt idx="1403">
                  <c:v>4.0451248426929057E-4</c:v>
                </c:pt>
                <c:pt idx="1404">
                  <c:v>4.1696791564462352E-3</c:v>
                </c:pt>
                <c:pt idx="1405">
                  <c:v>1.0701141847178842E-2</c:v>
                </c:pt>
                <c:pt idx="1406">
                  <c:v>2.5894725393652237E-3</c:v>
                </c:pt>
                <c:pt idx="1407">
                  <c:v>-2.5894725393653555E-3</c:v>
                </c:pt>
                <c:pt idx="1408">
                  <c:v>-1.2288707375712855E-3</c:v>
                </c:pt>
                <c:pt idx="1409">
                  <c:v>4.63463663646441E-3</c:v>
                </c:pt>
                <c:pt idx="1410">
                  <c:v>6.7769303590025278E-3</c:v>
                </c:pt>
                <c:pt idx="1411">
                  <c:v>-2.0282611574463545E-3</c:v>
                </c:pt>
                <c:pt idx="1412">
                  <c:v>1.3043972057380056E-2</c:v>
                </c:pt>
                <c:pt idx="1413">
                  <c:v>-1.223212433840355E-2</c:v>
                </c:pt>
                <c:pt idx="1414">
                  <c:v>-1.046846894818578E-2</c:v>
                </c:pt>
                <c:pt idx="1415">
                  <c:v>-3.9712813768393411E-3</c:v>
                </c:pt>
                <c:pt idx="1416">
                  <c:v>-9.6096132678362694E-4</c:v>
                </c:pt>
                <c:pt idx="1417">
                  <c:v>-2.6128920797735761E-3</c:v>
                </c:pt>
                <c:pt idx="1418">
                  <c:v>1.3760838599182752E-3</c:v>
                </c:pt>
                <c:pt idx="1419">
                  <c:v>-1.9270816893716305E-3</c:v>
                </c:pt>
                <c:pt idx="1420">
                  <c:v>-7.7455097959673426E-3</c:v>
                </c:pt>
                <c:pt idx="1421">
                  <c:v>-1.1114029660527051E-3</c:v>
                </c:pt>
                <c:pt idx="1422">
                  <c:v>1.0921465178232457E-2</c:v>
                </c:pt>
                <c:pt idx="1423">
                  <c:v>1.3655818062751877E-2</c:v>
                </c:pt>
                <c:pt idx="1424">
                  <c:v>-6.3950314197231571E-3</c:v>
                </c:pt>
                <c:pt idx="1425">
                  <c:v>-1.0925811152084231E-3</c:v>
                </c:pt>
                <c:pt idx="1426">
                  <c:v>4.0570512732546977E-2</c:v>
                </c:pt>
                <c:pt idx="1427">
                  <c:v>4.4514664609150911E-3</c:v>
                </c:pt>
                <c:pt idx="1428">
                  <c:v>-2.2725264324443595E-2</c:v>
                </c:pt>
                <c:pt idx="1429">
                  <c:v>1.0766418287663147E-2</c:v>
                </c:pt>
                <c:pt idx="1430">
                  <c:v>1.482867867367788E-2</c:v>
                </c:pt>
                <c:pt idx="1431">
                  <c:v>3.3809857771709287E-3</c:v>
                </c:pt>
                <c:pt idx="1432">
                  <c:v>-2.1520267910462854E-2</c:v>
                </c:pt>
                <c:pt idx="1433">
                  <c:v>1.5008132263882831E-2</c:v>
                </c:pt>
                <c:pt idx="1434">
                  <c:v>9.752369237233334E-3</c:v>
                </c:pt>
                <c:pt idx="1435">
                  <c:v>-7.2727276220858851E-3</c:v>
                </c:pt>
                <c:pt idx="1436">
                  <c:v>1.1662695181088575E-2</c:v>
                </c:pt>
                <c:pt idx="1437">
                  <c:v>-4.1311860740409793E-3</c:v>
                </c:pt>
                <c:pt idx="1438">
                  <c:v>4.0022978153039217E-3</c:v>
                </c:pt>
                <c:pt idx="1439">
                  <c:v>-5.2967963779496025E-3</c:v>
                </c:pt>
                <c:pt idx="1440">
                  <c:v>-1.2951044043810713E-4</c:v>
                </c:pt>
                <c:pt idx="1441">
                  <c:v>-6.6290443322948407E-3</c:v>
                </c:pt>
                <c:pt idx="1442">
                  <c:v>7.5354233802635492E-3</c:v>
                </c:pt>
                <c:pt idx="1443">
                  <c:v>-9.1016103823589982E-3</c:v>
                </c:pt>
                <c:pt idx="1444">
                  <c:v>-2.2722181228337419E-2</c:v>
                </c:pt>
                <c:pt idx="1445">
                  <c:v>1.4195861839258816E-2</c:v>
                </c:pt>
                <c:pt idx="1446">
                  <c:v>-9.7961644382134998E-3</c:v>
                </c:pt>
                <c:pt idx="1447">
                  <c:v>0</c:v>
                </c:pt>
                <c:pt idx="1448">
                  <c:v>-5.0680125815491597E-3</c:v>
                </c:pt>
                <c:pt idx="1449">
                  <c:v>1.3809757767891504E-2</c:v>
                </c:pt>
                <c:pt idx="1450">
                  <c:v>-1.9800680011277678E-3</c:v>
                </c:pt>
                <c:pt idx="1451">
                  <c:v>1.6641951671063693E-2</c:v>
                </c:pt>
                <c:pt idx="1452">
                  <c:v>5.5724732120440296E-3</c:v>
                </c:pt>
                <c:pt idx="1453">
                  <c:v>1.2585228423125497E-2</c:v>
                </c:pt>
                <c:pt idx="1454">
                  <c:v>3.1853248284101536E-3</c:v>
                </c:pt>
                <c:pt idx="1455">
                  <c:v>5.2021136828041045E-3</c:v>
                </c:pt>
                <c:pt idx="1456">
                  <c:v>-4.1848868587575829E-3</c:v>
                </c:pt>
                <c:pt idx="1457">
                  <c:v>-1.3819860163834229E-2</c:v>
                </c:pt>
                <c:pt idx="1458">
                  <c:v>-7.6311091727467419E-3</c:v>
                </c:pt>
                <c:pt idx="1459">
                  <c:v>-1.3331803949602339E-2</c:v>
                </c:pt>
                <c:pt idx="1460">
                  <c:v>-5.1448230056152728E-3</c:v>
                </c:pt>
                <c:pt idx="1461">
                  <c:v>1.0786756002558772E-2</c:v>
                </c:pt>
                <c:pt idx="1462">
                  <c:v>2.6723351505088106E-2</c:v>
                </c:pt>
                <c:pt idx="1463">
                  <c:v>-1.994276450347451E-2</c:v>
                </c:pt>
                <c:pt idx="1464">
                  <c:v>6.3476142098567541E-3</c:v>
                </c:pt>
                <c:pt idx="1465">
                  <c:v>2.8368183716623754E-3</c:v>
                </c:pt>
                <c:pt idx="1466">
                  <c:v>-1.4174032438594216E-3</c:v>
                </c:pt>
                <c:pt idx="1467">
                  <c:v>-3.7465639842867399E-3</c:v>
                </c:pt>
                <c:pt idx="1468">
                  <c:v>-4.9305768542565369E-3</c:v>
                </c:pt>
                <c:pt idx="1469">
                  <c:v>-6.655783899645969E-3</c:v>
                </c:pt>
                <c:pt idx="1470">
                  <c:v>-1.5039893538509654E-2</c:v>
                </c:pt>
                <c:pt idx="1471">
                  <c:v>5.1707432595338824E-3</c:v>
                </c:pt>
                <c:pt idx="1472">
                  <c:v>5.6702040999189055E-3</c:v>
                </c:pt>
                <c:pt idx="1473">
                  <c:v>-1.363625777985821E-2</c:v>
                </c:pt>
                <c:pt idx="1474">
                  <c:v>1.9143762093853663E-2</c:v>
                </c:pt>
                <c:pt idx="1475">
                  <c:v>-6.5406502693547361E-4</c:v>
                </c:pt>
                <c:pt idx="1476">
                  <c:v>-1.1846919991145221E-2</c:v>
                </c:pt>
                <c:pt idx="1477">
                  <c:v>-2.5209148483077346E-2</c:v>
                </c:pt>
                <c:pt idx="1478">
                  <c:v>-1.6153737744366722E-2</c:v>
                </c:pt>
                <c:pt idx="1479">
                  <c:v>8.6569401212672065E-3</c:v>
                </c:pt>
                <c:pt idx="1480">
                  <c:v>1.7629965127221193E-2</c:v>
                </c:pt>
                <c:pt idx="1481">
                  <c:v>-9.1831149428417361E-3</c:v>
                </c:pt>
                <c:pt idx="1482">
                  <c:v>1.066068330609465E-2</c:v>
                </c:pt>
                <c:pt idx="1483">
                  <c:v>-3.2267095130446978E-3</c:v>
                </c:pt>
                <c:pt idx="1484">
                  <c:v>-4.9948820308218069E-3</c:v>
                </c:pt>
                <c:pt idx="1485">
                  <c:v>3.9668214942357269E-2</c:v>
                </c:pt>
              </c:numCache>
            </c:numRef>
          </c:val>
          <c:smooth val="0"/>
          <c:extLst>
            <c:ext xmlns:c16="http://schemas.microsoft.com/office/drawing/2014/chart" uri="{C3380CC4-5D6E-409C-BE32-E72D297353CC}">
              <c16:uniqueId val="{00000000-69B8-4A8F-AD35-D2D2F381FE03}"/>
            </c:ext>
          </c:extLst>
        </c:ser>
        <c:dLbls>
          <c:showLegendKey val="0"/>
          <c:showVal val="0"/>
          <c:showCatName val="0"/>
          <c:showSerName val="0"/>
          <c:showPercent val="0"/>
          <c:showBubbleSize val="0"/>
        </c:dLbls>
        <c:smooth val="0"/>
        <c:axId val="1620646736"/>
        <c:axId val="1620647216"/>
      </c:lineChart>
      <c:dateAx>
        <c:axId val="1620646736"/>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47216"/>
        <c:crosses val="autoZero"/>
        <c:auto val="1"/>
        <c:lblOffset val="100"/>
        <c:baseTimeUnit val="days"/>
      </c:dateAx>
      <c:valAx>
        <c:axId val="1620647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46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Hitorical_Sim!$D$1</c:f>
              <c:strCache>
                <c:ptCount val="1"/>
                <c:pt idx="0">
                  <c:v>NIACL</c:v>
                </c:pt>
              </c:strCache>
            </c:strRef>
          </c:tx>
          <c:spPr>
            <a:ln w="28575" cap="rnd">
              <a:solidFill>
                <a:schemeClr val="accent1"/>
              </a:solidFill>
              <a:round/>
            </a:ln>
            <a:effectLst/>
          </c:spPr>
          <c:marker>
            <c:symbol val="none"/>
          </c:marker>
          <c:cat>
            <c:numRef>
              <c:f>Hitorical_Sim!$A$2:$A$1487</c:f>
              <c:numCache>
                <c:formatCode>m/d/yyyy</c:formatCode>
                <c:ptCount val="1486"/>
                <c:pt idx="0">
                  <c:v>43832</c:v>
                </c:pt>
                <c:pt idx="1">
                  <c:v>43833</c:v>
                </c:pt>
                <c:pt idx="2">
                  <c:v>43836</c:v>
                </c:pt>
                <c:pt idx="3">
                  <c:v>43837</c:v>
                </c:pt>
                <c:pt idx="4">
                  <c:v>43838</c:v>
                </c:pt>
                <c:pt idx="5">
                  <c:v>43839</c:v>
                </c:pt>
                <c:pt idx="6">
                  <c:v>43840</c:v>
                </c:pt>
                <c:pt idx="7">
                  <c:v>43843</c:v>
                </c:pt>
                <c:pt idx="8">
                  <c:v>43844</c:v>
                </c:pt>
                <c:pt idx="9">
                  <c:v>43845</c:v>
                </c:pt>
                <c:pt idx="10">
                  <c:v>43846</c:v>
                </c:pt>
                <c:pt idx="11">
                  <c:v>43847</c:v>
                </c:pt>
                <c:pt idx="12">
                  <c:v>43850</c:v>
                </c:pt>
                <c:pt idx="13">
                  <c:v>43851</c:v>
                </c:pt>
                <c:pt idx="14">
                  <c:v>43852</c:v>
                </c:pt>
                <c:pt idx="15">
                  <c:v>43853</c:v>
                </c:pt>
                <c:pt idx="16">
                  <c:v>43854</c:v>
                </c:pt>
                <c:pt idx="17">
                  <c:v>43857</c:v>
                </c:pt>
                <c:pt idx="18">
                  <c:v>43858</c:v>
                </c:pt>
                <c:pt idx="19">
                  <c:v>43859</c:v>
                </c:pt>
                <c:pt idx="20">
                  <c:v>43860</c:v>
                </c:pt>
                <c:pt idx="21">
                  <c:v>43861</c:v>
                </c:pt>
                <c:pt idx="22">
                  <c:v>43864</c:v>
                </c:pt>
                <c:pt idx="23">
                  <c:v>43865</c:v>
                </c:pt>
                <c:pt idx="24">
                  <c:v>43866</c:v>
                </c:pt>
                <c:pt idx="25">
                  <c:v>43867</c:v>
                </c:pt>
                <c:pt idx="26">
                  <c:v>43868</c:v>
                </c:pt>
                <c:pt idx="27">
                  <c:v>43871</c:v>
                </c:pt>
                <c:pt idx="28">
                  <c:v>43872</c:v>
                </c:pt>
                <c:pt idx="29">
                  <c:v>43873</c:v>
                </c:pt>
                <c:pt idx="30">
                  <c:v>43874</c:v>
                </c:pt>
                <c:pt idx="31">
                  <c:v>43875</c:v>
                </c:pt>
                <c:pt idx="32">
                  <c:v>43878</c:v>
                </c:pt>
                <c:pt idx="33">
                  <c:v>43879</c:v>
                </c:pt>
                <c:pt idx="34">
                  <c:v>43880</c:v>
                </c:pt>
                <c:pt idx="35">
                  <c:v>43881</c:v>
                </c:pt>
                <c:pt idx="36">
                  <c:v>43885</c:v>
                </c:pt>
                <c:pt idx="37">
                  <c:v>43886</c:v>
                </c:pt>
                <c:pt idx="38">
                  <c:v>43887</c:v>
                </c:pt>
                <c:pt idx="39">
                  <c:v>43888</c:v>
                </c:pt>
                <c:pt idx="40">
                  <c:v>43889</c:v>
                </c:pt>
                <c:pt idx="41">
                  <c:v>43892</c:v>
                </c:pt>
                <c:pt idx="42">
                  <c:v>43893</c:v>
                </c:pt>
                <c:pt idx="43">
                  <c:v>43894</c:v>
                </c:pt>
                <c:pt idx="44">
                  <c:v>43895</c:v>
                </c:pt>
                <c:pt idx="45">
                  <c:v>43896</c:v>
                </c:pt>
                <c:pt idx="46">
                  <c:v>43899</c:v>
                </c:pt>
                <c:pt idx="47">
                  <c:v>43901</c:v>
                </c:pt>
                <c:pt idx="48">
                  <c:v>43902</c:v>
                </c:pt>
                <c:pt idx="49">
                  <c:v>43903</c:v>
                </c:pt>
                <c:pt idx="50">
                  <c:v>43906</c:v>
                </c:pt>
                <c:pt idx="51">
                  <c:v>43907</c:v>
                </c:pt>
                <c:pt idx="52">
                  <c:v>43908</c:v>
                </c:pt>
                <c:pt idx="53">
                  <c:v>43909</c:v>
                </c:pt>
                <c:pt idx="54">
                  <c:v>43910</c:v>
                </c:pt>
                <c:pt idx="55">
                  <c:v>43913</c:v>
                </c:pt>
                <c:pt idx="56">
                  <c:v>43914</c:v>
                </c:pt>
                <c:pt idx="57">
                  <c:v>43915</c:v>
                </c:pt>
                <c:pt idx="58">
                  <c:v>43916</c:v>
                </c:pt>
                <c:pt idx="59">
                  <c:v>43917</c:v>
                </c:pt>
                <c:pt idx="60">
                  <c:v>43920</c:v>
                </c:pt>
                <c:pt idx="61">
                  <c:v>43921</c:v>
                </c:pt>
                <c:pt idx="62">
                  <c:v>43922</c:v>
                </c:pt>
                <c:pt idx="63">
                  <c:v>43924</c:v>
                </c:pt>
                <c:pt idx="64">
                  <c:v>43928</c:v>
                </c:pt>
                <c:pt idx="65">
                  <c:v>43929</c:v>
                </c:pt>
                <c:pt idx="66">
                  <c:v>43930</c:v>
                </c:pt>
                <c:pt idx="67">
                  <c:v>43934</c:v>
                </c:pt>
                <c:pt idx="68">
                  <c:v>43936</c:v>
                </c:pt>
                <c:pt idx="69">
                  <c:v>43937</c:v>
                </c:pt>
                <c:pt idx="70">
                  <c:v>43938</c:v>
                </c:pt>
                <c:pt idx="71">
                  <c:v>43941</c:v>
                </c:pt>
                <c:pt idx="72">
                  <c:v>43942</c:v>
                </c:pt>
                <c:pt idx="73">
                  <c:v>43943</c:v>
                </c:pt>
                <c:pt idx="74">
                  <c:v>43944</c:v>
                </c:pt>
                <c:pt idx="75">
                  <c:v>43945</c:v>
                </c:pt>
                <c:pt idx="76">
                  <c:v>43948</c:v>
                </c:pt>
                <c:pt idx="77">
                  <c:v>43949</c:v>
                </c:pt>
                <c:pt idx="78">
                  <c:v>43950</c:v>
                </c:pt>
                <c:pt idx="79">
                  <c:v>43951</c:v>
                </c:pt>
                <c:pt idx="80">
                  <c:v>43955</c:v>
                </c:pt>
                <c:pt idx="81">
                  <c:v>43956</c:v>
                </c:pt>
                <c:pt idx="82">
                  <c:v>43957</c:v>
                </c:pt>
                <c:pt idx="83">
                  <c:v>43958</c:v>
                </c:pt>
                <c:pt idx="84">
                  <c:v>43959</c:v>
                </c:pt>
                <c:pt idx="85">
                  <c:v>43962</c:v>
                </c:pt>
                <c:pt idx="86">
                  <c:v>43963</c:v>
                </c:pt>
                <c:pt idx="87">
                  <c:v>43964</c:v>
                </c:pt>
                <c:pt idx="88">
                  <c:v>43965</c:v>
                </c:pt>
                <c:pt idx="89">
                  <c:v>43966</c:v>
                </c:pt>
                <c:pt idx="90">
                  <c:v>43969</c:v>
                </c:pt>
                <c:pt idx="91">
                  <c:v>43970</c:v>
                </c:pt>
                <c:pt idx="92">
                  <c:v>43971</c:v>
                </c:pt>
                <c:pt idx="93">
                  <c:v>43972</c:v>
                </c:pt>
                <c:pt idx="94">
                  <c:v>43973</c:v>
                </c:pt>
                <c:pt idx="95">
                  <c:v>43977</c:v>
                </c:pt>
                <c:pt idx="96">
                  <c:v>43978</c:v>
                </c:pt>
                <c:pt idx="97">
                  <c:v>43979</c:v>
                </c:pt>
                <c:pt idx="98">
                  <c:v>43980</c:v>
                </c:pt>
                <c:pt idx="99">
                  <c:v>43983</c:v>
                </c:pt>
                <c:pt idx="100">
                  <c:v>43984</c:v>
                </c:pt>
                <c:pt idx="101">
                  <c:v>43985</c:v>
                </c:pt>
                <c:pt idx="102">
                  <c:v>43986</c:v>
                </c:pt>
                <c:pt idx="103">
                  <c:v>43987</c:v>
                </c:pt>
                <c:pt idx="104">
                  <c:v>43990</c:v>
                </c:pt>
                <c:pt idx="105">
                  <c:v>43991</c:v>
                </c:pt>
                <c:pt idx="106">
                  <c:v>43992</c:v>
                </c:pt>
                <c:pt idx="107">
                  <c:v>43993</c:v>
                </c:pt>
                <c:pt idx="108">
                  <c:v>43994</c:v>
                </c:pt>
                <c:pt idx="109">
                  <c:v>43997</c:v>
                </c:pt>
                <c:pt idx="110">
                  <c:v>43998</c:v>
                </c:pt>
                <c:pt idx="111">
                  <c:v>43999</c:v>
                </c:pt>
                <c:pt idx="112">
                  <c:v>44000</c:v>
                </c:pt>
                <c:pt idx="113">
                  <c:v>44001</c:v>
                </c:pt>
                <c:pt idx="114">
                  <c:v>44004</c:v>
                </c:pt>
                <c:pt idx="115">
                  <c:v>44005</c:v>
                </c:pt>
                <c:pt idx="116">
                  <c:v>44006</c:v>
                </c:pt>
                <c:pt idx="117">
                  <c:v>44007</c:v>
                </c:pt>
                <c:pt idx="118">
                  <c:v>44008</c:v>
                </c:pt>
                <c:pt idx="119">
                  <c:v>44011</c:v>
                </c:pt>
                <c:pt idx="120">
                  <c:v>44012</c:v>
                </c:pt>
                <c:pt idx="121">
                  <c:v>44013</c:v>
                </c:pt>
                <c:pt idx="122">
                  <c:v>44014</c:v>
                </c:pt>
                <c:pt idx="123">
                  <c:v>44015</c:v>
                </c:pt>
                <c:pt idx="124">
                  <c:v>44018</c:v>
                </c:pt>
                <c:pt idx="125">
                  <c:v>44019</c:v>
                </c:pt>
                <c:pt idx="126">
                  <c:v>44020</c:v>
                </c:pt>
                <c:pt idx="127">
                  <c:v>44021</c:v>
                </c:pt>
                <c:pt idx="128">
                  <c:v>44022</c:v>
                </c:pt>
                <c:pt idx="129">
                  <c:v>44025</c:v>
                </c:pt>
                <c:pt idx="130">
                  <c:v>44026</c:v>
                </c:pt>
                <c:pt idx="131">
                  <c:v>44027</c:v>
                </c:pt>
                <c:pt idx="132">
                  <c:v>44028</c:v>
                </c:pt>
                <c:pt idx="133">
                  <c:v>44029</c:v>
                </c:pt>
                <c:pt idx="134">
                  <c:v>44032</c:v>
                </c:pt>
                <c:pt idx="135">
                  <c:v>44033</c:v>
                </c:pt>
                <c:pt idx="136">
                  <c:v>44034</c:v>
                </c:pt>
                <c:pt idx="137">
                  <c:v>44035</c:v>
                </c:pt>
                <c:pt idx="138">
                  <c:v>44036</c:v>
                </c:pt>
                <c:pt idx="139">
                  <c:v>44039</c:v>
                </c:pt>
                <c:pt idx="140">
                  <c:v>44040</c:v>
                </c:pt>
                <c:pt idx="141">
                  <c:v>44041</c:v>
                </c:pt>
                <c:pt idx="142">
                  <c:v>44042</c:v>
                </c:pt>
                <c:pt idx="143">
                  <c:v>44043</c:v>
                </c:pt>
                <c:pt idx="144">
                  <c:v>44046</c:v>
                </c:pt>
                <c:pt idx="145">
                  <c:v>44047</c:v>
                </c:pt>
                <c:pt idx="146">
                  <c:v>44048</c:v>
                </c:pt>
                <c:pt idx="147">
                  <c:v>44049</c:v>
                </c:pt>
                <c:pt idx="148">
                  <c:v>44050</c:v>
                </c:pt>
                <c:pt idx="149">
                  <c:v>44053</c:v>
                </c:pt>
                <c:pt idx="150">
                  <c:v>44054</c:v>
                </c:pt>
                <c:pt idx="151">
                  <c:v>44055</c:v>
                </c:pt>
                <c:pt idx="152">
                  <c:v>44056</c:v>
                </c:pt>
                <c:pt idx="153">
                  <c:v>44057</c:v>
                </c:pt>
                <c:pt idx="154">
                  <c:v>44060</c:v>
                </c:pt>
                <c:pt idx="155">
                  <c:v>44061</c:v>
                </c:pt>
                <c:pt idx="156">
                  <c:v>44062</c:v>
                </c:pt>
                <c:pt idx="157">
                  <c:v>44063</c:v>
                </c:pt>
                <c:pt idx="158">
                  <c:v>44064</c:v>
                </c:pt>
                <c:pt idx="159">
                  <c:v>44067</c:v>
                </c:pt>
                <c:pt idx="160">
                  <c:v>44068</c:v>
                </c:pt>
                <c:pt idx="161">
                  <c:v>44069</c:v>
                </c:pt>
                <c:pt idx="162">
                  <c:v>44070</c:v>
                </c:pt>
                <c:pt idx="163">
                  <c:v>44071</c:v>
                </c:pt>
                <c:pt idx="164">
                  <c:v>44074</c:v>
                </c:pt>
                <c:pt idx="165">
                  <c:v>44075</c:v>
                </c:pt>
                <c:pt idx="166">
                  <c:v>44076</c:v>
                </c:pt>
                <c:pt idx="167">
                  <c:v>44077</c:v>
                </c:pt>
                <c:pt idx="168">
                  <c:v>44078</c:v>
                </c:pt>
                <c:pt idx="169">
                  <c:v>44081</c:v>
                </c:pt>
                <c:pt idx="170">
                  <c:v>44082</c:v>
                </c:pt>
                <c:pt idx="171">
                  <c:v>44083</c:v>
                </c:pt>
                <c:pt idx="172">
                  <c:v>44084</c:v>
                </c:pt>
                <c:pt idx="173">
                  <c:v>44085</c:v>
                </c:pt>
                <c:pt idx="174">
                  <c:v>44088</c:v>
                </c:pt>
                <c:pt idx="175">
                  <c:v>44089</c:v>
                </c:pt>
                <c:pt idx="176">
                  <c:v>44090</c:v>
                </c:pt>
                <c:pt idx="177">
                  <c:v>44091</c:v>
                </c:pt>
                <c:pt idx="178">
                  <c:v>44092</c:v>
                </c:pt>
                <c:pt idx="179">
                  <c:v>44095</c:v>
                </c:pt>
                <c:pt idx="180">
                  <c:v>44096</c:v>
                </c:pt>
                <c:pt idx="181">
                  <c:v>44097</c:v>
                </c:pt>
                <c:pt idx="182">
                  <c:v>44098</c:v>
                </c:pt>
                <c:pt idx="183">
                  <c:v>44099</c:v>
                </c:pt>
                <c:pt idx="184">
                  <c:v>44102</c:v>
                </c:pt>
                <c:pt idx="185">
                  <c:v>44103</c:v>
                </c:pt>
                <c:pt idx="186">
                  <c:v>44104</c:v>
                </c:pt>
                <c:pt idx="187">
                  <c:v>44105</c:v>
                </c:pt>
                <c:pt idx="188">
                  <c:v>44109</c:v>
                </c:pt>
                <c:pt idx="189">
                  <c:v>44110</c:v>
                </c:pt>
                <c:pt idx="190">
                  <c:v>44111</c:v>
                </c:pt>
                <c:pt idx="191">
                  <c:v>44112</c:v>
                </c:pt>
                <c:pt idx="192">
                  <c:v>44113</c:v>
                </c:pt>
                <c:pt idx="193">
                  <c:v>44116</c:v>
                </c:pt>
                <c:pt idx="194">
                  <c:v>44117</c:v>
                </c:pt>
                <c:pt idx="195">
                  <c:v>44118</c:v>
                </c:pt>
                <c:pt idx="196">
                  <c:v>44119</c:v>
                </c:pt>
                <c:pt idx="197">
                  <c:v>44120</c:v>
                </c:pt>
                <c:pt idx="198">
                  <c:v>44123</c:v>
                </c:pt>
                <c:pt idx="199">
                  <c:v>44124</c:v>
                </c:pt>
                <c:pt idx="200">
                  <c:v>44125</c:v>
                </c:pt>
                <c:pt idx="201">
                  <c:v>44126</c:v>
                </c:pt>
                <c:pt idx="202">
                  <c:v>44127</c:v>
                </c:pt>
                <c:pt idx="203">
                  <c:v>44130</c:v>
                </c:pt>
                <c:pt idx="204">
                  <c:v>44131</c:v>
                </c:pt>
                <c:pt idx="205">
                  <c:v>44132</c:v>
                </c:pt>
                <c:pt idx="206">
                  <c:v>44133</c:v>
                </c:pt>
                <c:pt idx="207">
                  <c:v>44134</c:v>
                </c:pt>
                <c:pt idx="208">
                  <c:v>44137</c:v>
                </c:pt>
                <c:pt idx="209">
                  <c:v>44138</c:v>
                </c:pt>
                <c:pt idx="210">
                  <c:v>44139</c:v>
                </c:pt>
                <c:pt idx="211">
                  <c:v>44140</c:v>
                </c:pt>
                <c:pt idx="212">
                  <c:v>44141</c:v>
                </c:pt>
                <c:pt idx="213">
                  <c:v>44144</c:v>
                </c:pt>
                <c:pt idx="214">
                  <c:v>44145</c:v>
                </c:pt>
                <c:pt idx="215">
                  <c:v>44146</c:v>
                </c:pt>
                <c:pt idx="216">
                  <c:v>44147</c:v>
                </c:pt>
                <c:pt idx="217">
                  <c:v>44148</c:v>
                </c:pt>
                <c:pt idx="218">
                  <c:v>44149</c:v>
                </c:pt>
                <c:pt idx="219">
                  <c:v>44152</c:v>
                </c:pt>
                <c:pt idx="220">
                  <c:v>44153</c:v>
                </c:pt>
                <c:pt idx="221">
                  <c:v>44154</c:v>
                </c:pt>
                <c:pt idx="222">
                  <c:v>44155</c:v>
                </c:pt>
                <c:pt idx="223">
                  <c:v>44158</c:v>
                </c:pt>
                <c:pt idx="224">
                  <c:v>44159</c:v>
                </c:pt>
                <c:pt idx="225">
                  <c:v>44160</c:v>
                </c:pt>
                <c:pt idx="226">
                  <c:v>44161</c:v>
                </c:pt>
                <c:pt idx="227">
                  <c:v>44162</c:v>
                </c:pt>
                <c:pt idx="228">
                  <c:v>44166</c:v>
                </c:pt>
                <c:pt idx="229">
                  <c:v>44167</c:v>
                </c:pt>
                <c:pt idx="230">
                  <c:v>44168</c:v>
                </c:pt>
                <c:pt idx="231">
                  <c:v>44169</c:v>
                </c:pt>
                <c:pt idx="232">
                  <c:v>44172</c:v>
                </c:pt>
                <c:pt idx="233">
                  <c:v>44173</c:v>
                </c:pt>
                <c:pt idx="234">
                  <c:v>44174</c:v>
                </c:pt>
                <c:pt idx="235">
                  <c:v>44175</c:v>
                </c:pt>
                <c:pt idx="236">
                  <c:v>44176</c:v>
                </c:pt>
                <c:pt idx="237">
                  <c:v>44179</c:v>
                </c:pt>
                <c:pt idx="238">
                  <c:v>44180</c:v>
                </c:pt>
                <c:pt idx="239">
                  <c:v>44181</c:v>
                </c:pt>
                <c:pt idx="240">
                  <c:v>44182</c:v>
                </c:pt>
                <c:pt idx="241">
                  <c:v>44183</c:v>
                </c:pt>
                <c:pt idx="242">
                  <c:v>44186</c:v>
                </c:pt>
                <c:pt idx="243">
                  <c:v>44187</c:v>
                </c:pt>
                <c:pt idx="244">
                  <c:v>44188</c:v>
                </c:pt>
                <c:pt idx="245">
                  <c:v>44189</c:v>
                </c:pt>
                <c:pt idx="246">
                  <c:v>44193</c:v>
                </c:pt>
                <c:pt idx="247">
                  <c:v>44194</c:v>
                </c:pt>
                <c:pt idx="248">
                  <c:v>44195</c:v>
                </c:pt>
                <c:pt idx="249">
                  <c:v>44196</c:v>
                </c:pt>
                <c:pt idx="250">
                  <c:v>44197</c:v>
                </c:pt>
                <c:pt idx="251">
                  <c:v>44200</c:v>
                </c:pt>
                <c:pt idx="252">
                  <c:v>44201</c:v>
                </c:pt>
                <c:pt idx="253">
                  <c:v>44202</c:v>
                </c:pt>
                <c:pt idx="254">
                  <c:v>44203</c:v>
                </c:pt>
                <c:pt idx="255">
                  <c:v>44204</c:v>
                </c:pt>
                <c:pt idx="256">
                  <c:v>44207</c:v>
                </c:pt>
                <c:pt idx="257">
                  <c:v>44208</c:v>
                </c:pt>
                <c:pt idx="258">
                  <c:v>44209</c:v>
                </c:pt>
                <c:pt idx="259">
                  <c:v>44210</c:v>
                </c:pt>
                <c:pt idx="260">
                  <c:v>44211</c:v>
                </c:pt>
                <c:pt idx="261">
                  <c:v>44214</c:v>
                </c:pt>
                <c:pt idx="262">
                  <c:v>44215</c:v>
                </c:pt>
                <c:pt idx="263">
                  <c:v>44216</c:v>
                </c:pt>
                <c:pt idx="264">
                  <c:v>44217</c:v>
                </c:pt>
                <c:pt idx="265">
                  <c:v>44218</c:v>
                </c:pt>
                <c:pt idx="266">
                  <c:v>44221</c:v>
                </c:pt>
                <c:pt idx="267">
                  <c:v>44223</c:v>
                </c:pt>
                <c:pt idx="268">
                  <c:v>44224</c:v>
                </c:pt>
                <c:pt idx="269">
                  <c:v>44225</c:v>
                </c:pt>
                <c:pt idx="270">
                  <c:v>44228</c:v>
                </c:pt>
                <c:pt idx="271">
                  <c:v>44229</c:v>
                </c:pt>
                <c:pt idx="272">
                  <c:v>44230</c:v>
                </c:pt>
                <c:pt idx="273">
                  <c:v>44231</c:v>
                </c:pt>
                <c:pt idx="274">
                  <c:v>44232</c:v>
                </c:pt>
                <c:pt idx="275">
                  <c:v>44235</c:v>
                </c:pt>
                <c:pt idx="276">
                  <c:v>44236</c:v>
                </c:pt>
                <c:pt idx="277">
                  <c:v>44237</c:v>
                </c:pt>
                <c:pt idx="278">
                  <c:v>44238</c:v>
                </c:pt>
                <c:pt idx="279">
                  <c:v>44239</c:v>
                </c:pt>
                <c:pt idx="280">
                  <c:v>44242</c:v>
                </c:pt>
                <c:pt idx="281">
                  <c:v>44243</c:v>
                </c:pt>
                <c:pt idx="282">
                  <c:v>44244</c:v>
                </c:pt>
                <c:pt idx="283">
                  <c:v>44245</c:v>
                </c:pt>
                <c:pt idx="284">
                  <c:v>44246</c:v>
                </c:pt>
                <c:pt idx="285">
                  <c:v>44249</c:v>
                </c:pt>
                <c:pt idx="286">
                  <c:v>44250</c:v>
                </c:pt>
                <c:pt idx="287">
                  <c:v>44251</c:v>
                </c:pt>
                <c:pt idx="288">
                  <c:v>44252</c:v>
                </c:pt>
                <c:pt idx="289">
                  <c:v>44253</c:v>
                </c:pt>
                <c:pt idx="290">
                  <c:v>44256</c:v>
                </c:pt>
                <c:pt idx="291">
                  <c:v>44257</c:v>
                </c:pt>
                <c:pt idx="292">
                  <c:v>44258</c:v>
                </c:pt>
                <c:pt idx="293">
                  <c:v>44259</c:v>
                </c:pt>
                <c:pt idx="294">
                  <c:v>44260</c:v>
                </c:pt>
                <c:pt idx="295">
                  <c:v>44263</c:v>
                </c:pt>
                <c:pt idx="296">
                  <c:v>44264</c:v>
                </c:pt>
                <c:pt idx="297">
                  <c:v>44265</c:v>
                </c:pt>
                <c:pt idx="298">
                  <c:v>44267</c:v>
                </c:pt>
                <c:pt idx="299">
                  <c:v>44270</c:v>
                </c:pt>
                <c:pt idx="300">
                  <c:v>44271</c:v>
                </c:pt>
                <c:pt idx="301">
                  <c:v>44272</c:v>
                </c:pt>
                <c:pt idx="302">
                  <c:v>44273</c:v>
                </c:pt>
                <c:pt idx="303">
                  <c:v>44274</c:v>
                </c:pt>
                <c:pt idx="304">
                  <c:v>44277</c:v>
                </c:pt>
                <c:pt idx="305">
                  <c:v>44278</c:v>
                </c:pt>
                <c:pt idx="306">
                  <c:v>44279</c:v>
                </c:pt>
                <c:pt idx="307">
                  <c:v>44280</c:v>
                </c:pt>
                <c:pt idx="308">
                  <c:v>44281</c:v>
                </c:pt>
                <c:pt idx="309">
                  <c:v>44285</c:v>
                </c:pt>
                <c:pt idx="310">
                  <c:v>44286</c:v>
                </c:pt>
                <c:pt idx="311">
                  <c:v>44287</c:v>
                </c:pt>
                <c:pt idx="312">
                  <c:v>44291</c:v>
                </c:pt>
                <c:pt idx="313">
                  <c:v>44292</c:v>
                </c:pt>
                <c:pt idx="314">
                  <c:v>44293</c:v>
                </c:pt>
                <c:pt idx="315">
                  <c:v>44294</c:v>
                </c:pt>
                <c:pt idx="316">
                  <c:v>44295</c:v>
                </c:pt>
                <c:pt idx="317">
                  <c:v>44298</c:v>
                </c:pt>
                <c:pt idx="318">
                  <c:v>44299</c:v>
                </c:pt>
                <c:pt idx="319">
                  <c:v>44301</c:v>
                </c:pt>
                <c:pt idx="320">
                  <c:v>44302</c:v>
                </c:pt>
                <c:pt idx="321">
                  <c:v>44305</c:v>
                </c:pt>
                <c:pt idx="322">
                  <c:v>44306</c:v>
                </c:pt>
                <c:pt idx="323">
                  <c:v>44308</c:v>
                </c:pt>
                <c:pt idx="324">
                  <c:v>44309</c:v>
                </c:pt>
                <c:pt idx="325">
                  <c:v>44312</c:v>
                </c:pt>
                <c:pt idx="326">
                  <c:v>44313</c:v>
                </c:pt>
                <c:pt idx="327">
                  <c:v>44314</c:v>
                </c:pt>
                <c:pt idx="328">
                  <c:v>44315</c:v>
                </c:pt>
                <c:pt idx="329">
                  <c:v>44316</c:v>
                </c:pt>
                <c:pt idx="330">
                  <c:v>44319</c:v>
                </c:pt>
                <c:pt idx="331">
                  <c:v>44320</c:v>
                </c:pt>
                <c:pt idx="332">
                  <c:v>44321</c:v>
                </c:pt>
                <c:pt idx="333">
                  <c:v>44322</c:v>
                </c:pt>
                <c:pt idx="334">
                  <c:v>44323</c:v>
                </c:pt>
                <c:pt idx="335">
                  <c:v>44326</c:v>
                </c:pt>
                <c:pt idx="336">
                  <c:v>44327</c:v>
                </c:pt>
                <c:pt idx="337">
                  <c:v>44328</c:v>
                </c:pt>
                <c:pt idx="338">
                  <c:v>44330</c:v>
                </c:pt>
                <c:pt idx="339">
                  <c:v>44333</c:v>
                </c:pt>
                <c:pt idx="340">
                  <c:v>44334</c:v>
                </c:pt>
                <c:pt idx="341">
                  <c:v>44335</c:v>
                </c:pt>
                <c:pt idx="342">
                  <c:v>44336</c:v>
                </c:pt>
                <c:pt idx="343">
                  <c:v>44337</c:v>
                </c:pt>
                <c:pt idx="344">
                  <c:v>44340</c:v>
                </c:pt>
                <c:pt idx="345">
                  <c:v>44341</c:v>
                </c:pt>
                <c:pt idx="346">
                  <c:v>44342</c:v>
                </c:pt>
                <c:pt idx="347">
                  <c:v>44343</c:v>
                </c:pt>
                <c:pt idx="348">
                  <c:v>44344</c:v>
                </c:pt>
                <c:pt idx="349">
                  <c:v>44347</c:v>
                </c:pt>
                <c:pt idx="350">
                  <c:v>44348</c:v>
                </c:pt>
                <c:pt idx="351">
                  <c:v>44349</c:v>
                </c:pt>
                <c:pt idx="352">
                  <c:v>44350</c:v>
                </c:pt>
                <c:pt idx="353">
                  <c:v>44351</c:v>
                </c:pt>
                <c:pt idx="354">
                  <c:v>44354</c:v>
                </c:pt>
                <c:pt idx="355">
                  <c:v>44355</c:v>
                </c:pt>
                <c:pt idx="356">
                  <c:v>44356</c:v>
                </c:pt>
                <c:pt idx="357">
                  <c:v>44357</c:v>
                </c:pt>
                <c:pt idx="358">
                  <c:v>44358</c:v>
                </c:pt>
                <c:pt idx="359">
                  <c:v>44361</c:v>
                </c:pt>
                <c:pt idx="360">
                  <c:v>44362</c:v>
                </c:pt>
                <c:pt idx="361">
                  <c:v>44363</c:v>
                </c:pt>
                <c:pt idx="362">
                  <c:v>44364</c:v>
                </c:pt>
                <c:pt idx="363">
                  <c:v>44365</c:v>
                </c:pt>
                <c:pt idx="364">
                  <c:v>44368</c:v>
                </c:pt>
                <c:pt idx="365">
                  <c:v>44369</c:v>
                </c:pt>
                <c:pt idx="366">
                  <c:v>44370</c:v>
                </c:pt>
                <c:pt idx="367">
                  <c:v>44371</c:v>
                </c:pt>
                <c:pt idx="368">
                  <c:v>44372</c:v>
                </c:pt>
                <c:pt idx="369">
                  <c:v>44375</c:v>
                </c:pt>
                <c:pt idx="370">
                  <c:v>44376</c:v>
                </c:pt>
                <c:pt idx="371">
                  <c:v>44377</c:v>
                </c:pt>
                <c:pt idx="372">
                  <c:v>44378</c:v>
                </c:pt>
                <c:pt idx="373">
                  <c:v>44379</c:v>
                </c:pt>
                <c:pt idx="374">
                  <c:v>44382</c:v>
                </c:pt>
                <c:pt idx="375">
                  <c:v>44383</c:v>
                </c:pt>
                <c:pt idx="376">
                  <c:v>44384</c:v>
                </c:pt>
                <c:pt idx="377">
                  <c:v>44385</c:v>
                </c:pt>
                <c:pt idx="378">
                  <c:v>44386</c:v>
                </c:pt>
                <c:pt idx="379">
                  <c:v>44389</c:v>
                </c:pt>
                <c:pt idx="380">
                  <c:v>44390</c:v>
                </c:pt>
                <c:pt idx="381">
                  <c:v>44391</c:v>
                </c:pt>
                <c:pt idx="382">
                  <c:v>44392</c:v>
                </c:pt>
                <c:pt idx="383">
                  <c:v>44393</c:v>
                </c:pt>
                <c:pt idx="384">
                  <c:v>44396</c:v>
                </c:pt>
                <c:pt idx="385">
                  <c:v>44397</c:v>
                </c:pt>
                <c:pt idx="386">
                  <c:v>44399</c:v>
                </c:pt>
                <c:pt idx="387">
                  <c:v>44400</c:v>
                </c:pt>
                <c:pt idx="388">
                  <c:v>44403</c:v>
                </c:pt>
                <c:pt idx="389">
                  <c:v>44404</c:v>
                </c:pt>
                <c:pt idx="390">
                  <c:v>44405</c:v>
                </c:pt>
                <c:pt idx="391">
                  <c:v>44406</c:v>
                </c:pt>
                <c:pt idx="392">
                  <c:v>44407</c:v>
                </c:pt>
                <c:pt idx="393">
                  <c:v>44410</c:v>
                </c:pt>
                <c:pt idx="394">
                  <c:v>44411</c:v>
                </c:pt>
                <c:pt idx="395">
                  <c:v>44412</c:v>
                </c:pt>
                <c:pt idx="396">
                  <c:v>44413</c:v>
                </c:pt>
                <c:pt idx="397">
                  <c:v>44414</c:v>
                </c:pt>
                <c:pt idx="398">
                  <c:v>44417</c:v>
                </c:pt>
                <c:pt idx="399">
                  <c:v>44418</c:v>
                </c:pt>
                <c:pt idx="400">
                  <c:v>44419</c:v>
                </c:pt>
                <c:pt idx="401">
                  <c:v>44420</c:v>
                </c:pt>
                <c:pt idx="402">
                  <c:v>44421</c:v>
                </c:pt>
                <c:pt idx="403">
                  <c:v>44424</c:v>
                </c:pt>
                <c:pt idx="404">
                  <c:v>44425</c:v>
                </c:pt>
                <c:pt idx="405">
                  <c:v>44426</c:v>
                </c:pt>
                <c:pt idx="406">
                  <c:v>44428</c:v>
                </c:pt>
                <c:pt idx="407">
                  <c:v>44431</c:v>
                </c:pt>
                <c:pt idx="408">
                  <c:v>44432</c:v>
                </c:pt>
                <c:pt idx="409">
                  <c:v>44433</c:v>
                </c:pt>
                <c:pt idx="410">
                  <c:v>44434</c:v>
                </c:pt>
                <c:pt idx="411">
                  <c:v>44435</c:v>
                </c:pt>
                <c:pt idx="412">
                  <c:v>44438</c:v>
                </c:pt>
                <c:pt idx="413">
                  <c:v>44439</c:v>
                </c:pt>
                <c:pt idx="414">
                  <c:v>44440</c:v>
                </c:pt>
                <c:pt idx="415">
                  <c:v>44441</c:v>
                </c:pt>
                <c:pt idx="416">
                  <c:v>44442</c:v>
                </c:pt>
                <c:pt idx="417">
                  <c:v>44445</c:v>
                </c:pt>
                <c:pt idx="418">
                  <c:v>44446</c:v>
                </c:pt>
                <c:pt idx="419">
                  <c:v>44447</c:v>
                </c:pt>
                <c:pt idx="420">
                  <c:v>44448</c:v>
                </c:pt>
                <c:pt idx="421">
                  <c:v>44452</c:v>
                </c:pt>
                <c:pt idx="422">
                  <c:v>44453</c:v>
                </c:pt>
                <c:pt idx="423">
                  <c:v>44454</c:v>
                </c:pt>
                <c:pt idx="424">
                  <c:v>44455</c:v>
                </c:pt>
                <c:pt idx="425">
                  <c:v>44456</c:v>
                </c:pt>
                <c:pt idx="426">
                  <c:v>44459</c:v>
                </c:pt>
                <c:pt idx="427">
                  <c:v>44460</c:v>
                </c:pt>
                <c:pt idx="428">
                  <c:v>44461</c:v>
                </c:pt>
                <c:pt idx="429">
                  <c:v>44462</c:v>
                </c:pt>
                <c:pt idx="430">
                  <c:v>44463</c:v>
                </c:pt>
                <c:pt idx="431">
                  <c:v>44466</c:v>
                </c:pt>
                <c:pt idx="432">
                  <c:v>44467</c:v>
                </c:pt>
                <c:pt idx="433">
                  <c:v>44468</c:v>
                </c:pt>
                <c:pt idx="434">
                  <c:v>44469</c:v>
                </c:pt>
                <c:pt idx="435">
                  <c:v>44470</c:v>
                </c:pt>
                <c:pt idx="436">
                  <c:v>44473</c:v>
                </c:pt>
                <c:pt idx="437">
                  <c:v>44474</c:v>
                </c:pt>
                <c:pt idx="438">
                  <c:v>44475</c:v>
                </c:pt>
                <c:pt idx="439">
                  <c:v>44476</c:v>
                </c:pt>
                <c:pt idx="440">
                  <c:v>44477</c:v>
                </c:pt>
                <c:pt idx="441">
                  <c:v>44480</c:v>
                </c:pt>
                <c:pt idx="442">
                  <c:v>44481</c:v>
                </c:pt>
                <c:pt idx="443">
                  <c:v>44482</c:v>
                </c:pt>
                <c:pt idx="444">
                  <c:v>44483</c:v>
                </c:pt>
                <c:pt idx="445">
                  <c:v>44487</c:v>
                </c:pt>
                <c:pt idx="446">
                  <c:v>44488</c:v>
                </c:pt>
                <c:pt idx="447">
                  <c:v>44489</c:v>
                </c:pt>
                <c:pt idx="448">
                  <c:v>44490</c:v>
                </c:pt>
                <c:pt idx="449">
                  <c:v>44491</c:v>
                </c:pt>
                <c:pt idx="450">
                  <c:v>44494</c:v>
                </c:pt>
                <c:pt idx="451">
                  <c:v>44495</c:v>
                </c:pt>
                <c:pt idx="452">
                  <c:v>44496</c:v>
                </c:pt>
                <c:pt idx="453">
                  <c:v>44497</c:v>
                </c:pt>
                <c:pt idx="454">
                  <c:v>44498</c:v>
                </c:pt>
                <c:pt idx="455">
                  <c:v>44501</c:v>
                </c:pt>
                <c:pt idx="456">
                  <c:v>44502</c:v>
                </c:pt>
                <c:pt idx="457">
                  <c:v>44503</c:v>
                </c:pt>
                <c:pt idx="458">
                  <c:v>44504</c:v>
                </c:pt>
                <c:pt idx="459">
                  <c:v>44508</c:v>
                </c:pt>
                <c:pt idx="460">
                  <c:v>44509</c:v>
                </c:pt>
                <c:pt idx="461">
                  <c:v>44510</c:v>
                </c:pt>
                <c:pt idx="462">
                  <c:v>44511</c:v>
                </c:pt>
                <c:pt idx="463">
                  <c:v>44512</c:v>
                </c:pt>
                <c:pt idx="464">
                  <c:v>44515</c:v>
                </c:pt>
                <c:pt idx="465">
                  <c:v>44516</c:v>
                </c:pt>
                <c:pt idx="466">
                  <c:v>44517</c:v>
                </c:pt>
                <c:pt idx="467">
                  <c:v>44518</c:v>
                </c:pt>
                <c:pt idx="468">
                  <c:v>44522</c:v>
                </c:pt>
                <c:pt idx="469">
                  <c:v>44523</c:v>
                </c:pt>
                <c:pt idx="470">
                  <c:v>44524</c:v>
                </c:pt>
                <c:pt idx="471">
                  <c:v>44525</c:v>
                </c:pt>
                <c:pt idx="472">
                  <c:v>44526</c:v>
                </c:pt>
                <c:pt idx="473">
                  <c:v>44529</c:v>
                </c:pt>
                <c:pt idx="474">
                  <c:v>44530</c:v>
                </c:pt>
                <c:pt idx="475">
                  <c:v>44531</c:v>
                </c:pt>
                <c:pt idx="476">
                  <c:v>44532</c:v>
                </c:pt>
                <c:pt idx="477">
                  <c:v>44533</c:v>
                </c:pt>
                <c:pt idx="478">
                  <c:v>44536</c:v>
                </c:pt>
                <c:pt idx="479">
                  <c:v>44537</c:v>
                </c:pt>
                <c:pt idx="480">
                  <c:v>44538</c:v>
                </c:pt>
                <c:pt idx="481">
                  <c:v>44539</c:v>
                </c:pt>
                <c:pt idx="482">
                  <c:v>44540</c:v>
                </c:pt>
                <c:pt idx="483">
                  <c:v>44543</c:v>
                </c:pt>
                <c:pt idx="484">
                  <c:v>44544</c:v>
                </c:pt>
                <c:pt idx="485">
                  <c:v>44545</c:v>
                </c:pt>
                <c:pt idx="486">
                  <c:v>44546</c:v>
                </c:pt>
                <c:pt idx="487">
                  <c:v>44547</c:v>
                </c:pt>
                <c:pt idx="488">
                  <c:v>44550</c:v>
                </c:pt>
                <c:pt idx="489">
                  <c:v>44551</c:v>
                </c:pt>
                <c:pt idx="490">
                  <c:v>44552</c:v>
                </c:pt>
                <c:pt idx="491">
                  <c:v>44553</c:v>
                </c:pt>
                <c:pt idx="492">
                  <c:v>44554</c:v>
                </c:pt>
                <c:pt idx="493">
                  <c:v>44557</c:v>
                </c:pt>
                <c:pt idx="494">
                  <c:v>44558</c:v>
                </c:pt>
                <c:pt idx="495">
                  <c:v>44559</c:v>
                </c:pt>
                <c:pt idx="496">
                  <c:v>44560</c:v>
                </c:pt>
                <c:pt idx="497">
                  <c:v>44561</c:v>
                </c:pt>
                <c:pt idx="498">
                  <c:v>44564</c:v>
                </c:pt>
                <c:pt idx="499">
                  <c:v>44565</c:v>
                </c:pt>
                <c:pt idx="500">
                  <c:v>44566</c:v>
                </c:pt>
                <c:pt idx="501">
                  <c:v>44567</c:v>
                </c:pt>
                <c:pt idx="502">
                  <c:v>44568</c:v>
                </c:pt>
                <c:pt idx="503">
                  <c:v>44571</c:v>
                </c:pt>
                <c:pt idx="504">
                  <c:v>44572</c:v>
                </c:pt>
                <c:pt idx="505">
                  <c:v>44573</c:v>
                </c:pt>
                <c:pt idx="506">
                  <c:v>44574</c:v>
                </c:pt>
                <c:pt idx="507">
                  <c:v>44575</c:v>
                </c:pt>
                <c:pt idx="508">
                  <c:v>44578</c:v>
                </c:pt>
                <c:pt idx="509">
                  <c:v>44579</c:v>
                </c:pt>
                <c:pt idx="510">
                  <c:v>44580</c:v>
                </c:pt>
                <c:pt idx="511">
                  <c:v>44581</c:v>
                </c:pt>
                <c:pt idx="512">
                  <c:v>44582</c:v>
                </c:pt>
                <c:pt idx="513">
                  <c:v>44585</c:v>
                </c:pt>
                <c:pt idx="514">
                  <c:v>44586</c:v>
                </c:pt>
                <c:pt idx="515">
                  <c:v>44588</c:v>
                </c:pt>
                <c:pt idx="516">
                  <c:v>44589</c:v>
                </c:pt>
                <c:pt idx="517">
                  <c:v>44592</c:v>
                </c:pt>
                <c:pt idx="518">
                  <c:v>44593</c:v>
                </c:pt>
                <c:pt idx="519">
                  <c:v>44594</c:v>
                </c:pt>
                <c:pt idx="520">
                  <c:v>44595</c:v>
                </c:pt>
                <c:pt idx="521">
                  <c:v>44596</c:v>
                </c:pt>
                <c:pt idx="522">
                  <c:v>44599</c:v>
                </c:pt>
                <c:pt idx="523">
                  <c:v>44600</c:v>
                </c:pt>
                <c:pt idx="524">
                  <c:v>44601</c:v>
                </c:pt>
                <c:pt idx="525">
                  <c:v>44602</c:v>
                </c:pt>
                <c:pt idx="526">
                  <c:v>44603</c:v>
                </c:pt>
                <c:pt idx="527">
                  <c:v>44606</c:v>
                </c:pt>
                <c:pt idx="528">
                  <c:v>44607</c:v>
                </c:pt>
                <c:pt idx="529">
                  <c:v>44608</c:v>
                </c:pt>
                <c:pt idx="530">
                  <c:v>44609</c:v>
                </c:pt>
                <c:pt idx="531">
                  <c:v>44610</c:v>
                </c:pt>
                <c:pt idx="532">
                  <c:v>44613</c:v>
                </c:pt>
                <c:pt idx="533">
                  <c:v>44614</c:v>
                </c:pt>
                <c:pt idx="534">
                  <c:v>44615</c:v>
                </c:pt>
                <c:pt idx="535">
                  <c:v>44616</c:v>
                </c:pt>
                <c:pt idx="536">
                  <c:v>44617</c:v>
                </c:pt>
                <c:pt idx="537">
                  <c:v>44620</c:v>
                </c:pt>
                <c:pt idx="538">
                  <c:v>44622</c:v>
                </c:pt>
                <c:pt idx="539">
                  <c:v>44623</c:v>
                </c:pt>
                <c:pt idx="540">
                  <c:v>44624</c:v>
                </c:pt>
                <c:pt idx="541">
                  <c:v>44627</c:v>
                </c:pt>
                <c:pt idx="542">
                  <c:v>44628</c:v>
                </c:pt>
                <c:pt idx="543">
                  <c:v>44629</c:v>
                </c:pt>
                <c:pt idx="544">
                  <c:v>44630</c:v>
                </c:pt>
                <c:pt idx="545">
                  <c:v>44631</c:v>
                </c:pt>
                <c:pt idx="546">
                  <c:v>44634</c:v>
                </c:pt>
                <c:pt idx="547">
                  <c:v>44635</c:v>
                </c:pt>
                <c:pt idx="548">
                  <c:v>44636</c:v>
                </c:pt>
                <c:pt idx="549">
                  <c:v>44637</c:v>
                </c:pt>
                <c:pt idx="550">
                  <c:v>44641</c:v>
                </c:pt>
                <c:pt idx="551">
                  <c:v>44642</c:v>
                </c:pt>
                <c:pt idx="552">
                  <c:v>44643</c:v>
                </c:pt>
                <c:pt idx="553">
                  <c:v>44644</c:v>
                </c:pt>
                <c:pt idx="554">
                  <c:v>44645</c:v>
                </c:pt>
                <c:pt idx="555">
                  <c:v>44648</c:v>
                </c:pt>
                <c:pt idx="556">
                  <c:v>44649</c:v>
                </c:pt>
                <c:pt idx="557">
                  <c:v>44650</c:v>
                </c:pt>
                <c:pt idx="558">
                  <c:v>44651</c:v>
                </c:pt>
                <c:pt idx="559">
                  <c:v>44652</c:v>
                </c:pt>
                <c:pt idx="560">
                  <c:v>44655</c:v>
                </c:pt>
                <c:pt idx="561">
                  <c:v>44656</c:v>
                </c:pt>
                <c:pt idx="562">
                  <c:v>44657</c:v>
                </c:pt>
                <c:pt idx="563">
                  <c:v>44658</c:v>
                </c:pt>
                <c:pt idx="564">
                  <c:v>44659</c:v>
                </c:pt>
                <c:pt idx="565">
                  <c:v>44662</c:v>
                </c:pt>
                <c:pt idx="566">
                  <c:v>44663</c:v>
                </c:pt>
                <c:pt idx="567">
                  <c:v>44664</c:v>
                </c:pt>
                <c:pt idx="568">
                  <c:v>44669</c:v>
                </c:pt>
                <c:pt idx="569">
                  <c:v>44670</c:v>
                </c:pt>
                <c:pt idx="570">
                  <c:v>44671</c:v>
                </c:pt>
                <c:pt idx="571">
                  <c:v>44672</c:v>
                </c:pt>
                <c:pt idx="572">
                  <c:v>44673</c:v>
                </c:pt>
                <c:pt idx="573">
                  <c:v>44676</c:v>
                </c:pt>
                <c:pt idx="574">
                  <c:v>44677</c:v>
                </c:pt>
                <c:pt idx="575">
                  <c:v>44678</c:v>
                </c:pt>
                <c:pt idx="576">
                  <c:v>44679</c:v>
                </c:pt>
                <c:pt idx="577">
                  <c:v>44680</c:v>
                </c:pt>
                <c:pt idx="578">
                  <c:v>44683</c:v>
                </c:pt>
                <c:pt idx="579">
                  <c:v>44685</c:v>
                </c:pt>
                <c:pt idx="580">
                  <c:v>44686</c:v>
                </c:pt>
                <c:pt idx="581">
                  <c:v>44687</c:v>
                </c:pt>
                <c:pt idx="582">
                  <c:v>44690</c:v>
                </c:pt>
                <c:pt idx="583">
                  <c:v>44691</c:v>
                </c:pt>
                <c:pt idx="584">
                  <c:v>44692</c:v>
                </c:pt>
                <c:pt idx="585">
                  <c:v>44693</c:v>
                </c:pt>
                <c:pt idx="586">
                  <c:v>44694</c:v>
                </c:pt>
                <c:pt idx="587">
                  <c:v>44697</c:v>
                </c:pt>
                <c:pt idx="588">
                  <c:v>44698</c:v>
                </c:pt>
                <c:pt idx="589">
                  <c:v>44699</c:v>
                </c:pt>
                <c:pt idx="590">
                  <c:v>44700</c:v>
                </c:pt>
                <c:pt idx="591">
                  <c:v>44701</c:v>
                </c:pt>
                <c:pt idx="592">
                  <c:v>44704</c:v>
                </c:pt>
                <c:pt idx="593">
                  <c:v>44705</c:v>
                </c:pt>
                <c:pt idx="594">
                  <c:v>44706</c:v>
                </c:pt>
                <c:pt idx="595">
                  <c:v>44707</c:v>
                </c:pt>
                <c:pt idx="596">
                  <c:v>44708</c:v>
                </c:pt>
                <c:pt idx="597">
                  <c:v>44711</c:v>
                </c:pt>
                <c:pt idx="598">
                  <c:v>44712</c:v>
                </c:pt>
                <c:pt idx="599">
                  <c:v>44713</c:v>
                </c:pt>
                <c:pt idx="600">
                  <c:v>44714</c:v>
                </c:pt>
                <c:pt idx="601">
                  <c:v>44715</c:v>
                </c:pt>
                <c:pt idx="602">
                  <c:v>44718</c:v>
                </c:pt>
                <c:pt idx="603">
                  <c:v>44719</c:v>
                </c:pt>
                <c:pt idx="604">
                  <c:v>44720</c:v>
                </c:pt>
                <c:pt idx="605">
                  <c:v>44721</c:v>
                </c:pt>
                <c:pt idx="606">
                  <c:v>44722</c:v>
                </c:pt>
                <c:pt idx="607">
                  <c:v>44725</c:v>
                </c:pt>
                <c:pt idx="608">
                  <c:v>44726</c:v>
                </c:pt>
                <c:pt idx="609">
                  <c:v>44727</c:v>
                </c:pt>
                <c:pt idx="610">
                  <c:v>44728</c:v>
                </c:pt>
                <c:pt idx="611">
                  <c:v>44729</c:v>
                </c:pt>
                <c:pt idx="612">
                  <c:v>44732</c:v>
                </c:pt>
                <c:pt idx="613">
                  <c:v>44733</c:v>
                </c:pt>
                <c:pt idx="614">
                  <c:v>44734</c:v>
                </c:pt>
                <c:pt idx="615">
                  <c:v>44735</c:v>
                </c:pt>
                <c:pt idx="616">
                  <c:v>44736</c:v>
                </c:pt>
                <c:pt idx="617">
                  <c:v>44739</c:v>
                </c:pt>
                <c:pt idx="618">
                  <c:v>44740</c:v>
                </c:pt>
                <c:pt idx="619">
                  <c:v>44741</c:v>
                </c:pt>
                <c:pt idx="620">
                  <c:v>44742</c:v>
                </c:pt>
                <c:pt idx="621">
                  <c:v>44743</c:v>
                </c:pt>
                <c:pt idx="622">
                  <c:v>44746</c:v>
                </c:pt>
                <c:pt idx="623">
                  <c:v>44747</c:v>
                </c:pt>
                <c:pt idx="624">
                  <c:v>44748</c:v>
                </c:pt>
                <c:pt idx="625">
                  <c:v>44749</c:v>
                </c:pt>
                <c:pt idx="626">
                  <c:v>44750</c:v>
                </c:pt>
                <c:pt idx="627">
                  <c:v>44753</c:v>
                </c:pt>
                <c:pt idx="628">
                  <c:v>44754</c:v>
                </c:pt>
                <c:pt idx="629">
                  <c:v>44755</c:v>
                </c:pt>
                <c:pt idx="630">
                  <c:v>44756</c:v>
                </c:pt>
                <c:pt idx="631">
                  <c:v>44757</c:v>
                </c:pt>
                <c:pt idx="632">
                  <c:v>44760</c:v>
                </c:pt>
                <c:pt idx="633">
                  <c:v>44761</c:v>
                </c:pt>
                <c:pt idx="634">
                  <c:v>44762</c:v>
                </c:pt>
                <c:pt idx="635">
                  <c:v>44763</c:v>
                </c:pt>
                <c:pt idx="636">
                  <c:v>44764</c:v>
                </c:pt>
                <c:pt idx="637">
                  <c:v>44767</c:v>
                </c:pt>
                <c:pt idx="638">
                  <c:v>44768</c:v>
                </c:pt>
                <c:pt idx="639">
                  <c:v>44769</c:v>
                </c:pt>
                <c:pt idx="640">
                  <c:v>44770</c:v>
                </c:pt>
                <c:pt idx="641">
                  <c:v>44771</c:v>
                </c:pt>
                <c:pt idx="642">
                  <c:v>44774</c:v>
                </c:pt>
                <c:pt idx="643">
                  <c:v>44775</c:v>
                </c:pt>
                <c:pt idx="644">
                  <c:v>44776</c:v>
                </c:pt>
                <c:pt idx="645">
                  <c:v>44777</c:v>
                </c:pt>
                <c:pt idx="646">
                  <c:v>44778</c:v>
                </c:pt>
                <c:pt idx="647">
                  <c:v>44781</c:v>
                </c:pt>
                <c:pt idx="648">
                  <c:v>44783</c:v>
                </c:pt>
                <c:pt idx="649">
                  <c:v>44784</c:v>
                </c:pt>
                <c:pt idx="650">
                  <c:v>44785</c:v>
                </c:pt>
                <c:pt idx="651">
                  <c:v>44789</c:v>
                </c:pt>
                <c:pt idx="652">
                  <c:v>44790</c:v>
                </c:pt>
                <c:pt idx="653">
                  <c:v>44791</c:v>
                </c:pt>
                <c:pt idx="654">
                  <c:v>44792</c:v>
                </c:pt>
                <c:pt idx="655">
                  <c:v>44795</c:v>
                </c:pt>
                <c:pt idx="656">
                  <c:v>44796</c:v>
                </c:pt>
                <c:pt idx="657">
                  <c:v>44797</c:v>
                </c:pt>
                <c:pt idx="658">
                  <c:v>44798</c:v>
                </c:pt>
                <c:pt idx="659">
                  <c:v>44799</c:v>
                </c:pt>
                <c:pt idx="660">
                  <c:v>44802</c:v>
                </c:pt>
                <c:pt idx="661">
                  <c:v>44803</c:v>
                </c:pt>
                <c:pt idx="662">
                  <c:v>44805</c:v>
                </c:pt>
                <c:pt idx="663">
                  <c:v>44806</c:v>
                </c:pt>
                <c:pt idx="664">
                  <c:v>44809</c:v>
                </c:pt>
                <c:pt idx="665">
                  <c:v>44810</c:v>
                </c:pt>
                <c:pt idx="666">
                  <c:v>44811</c:v>
                </c:pt>
                <c:pt idx="667">
                  <c:v>44812</c:v>
                </c:pt>
                <c:pt idx="668">
                  <c:v>44813</c:v>
                </c:pt>
                <c:pt idx="669">
                  <c:v>44816</c:v>
                </c:pt>
                <c:pt idx="670">
                  <c:v>44817</c:v>
                </c:pt>
                <c:pt idx="671">
                  <c:v>44818</c:v>
                </c:pt>
                <c:pt idx="672">
                  <c:v>44819</c:v>
                </c:pt>
                <c:pt idx="673">
                  <c:v>44820</c:v>
                </c:pt>
                <c:pt idx="674">
                  <c:v>44823</c:v>
                </c:pt>
                <c:pt idx="675">
                  <c:v>44824</c:v>
                </c:pt>
                <c:pt idx="676">
                  <c:v>44825</c:v>
                </c:pt>
                <c:pt idx="677">
                  <c:v>44826</c:v>
                </c:pt>
                <c:pt idx="678">
                  <c:v>44827</c:v>
                </c:pt>
                <c:pt idx="679">
                  <c:v>44830</c:v>
                </c:pt>
                <c:pt idx="680">
                  <c:v>44831</c:v>
                </c:pt>
                <c:pt idx="681">
                  <c:v>44832</c:v>
                </c:pt>
                <c:pt idx="682">
                  <c:v>44833</c:v>
                </c:pt>
                <c:pt idx="683">
                  <c:v>44834</c:v>
                </c:pt>
                <c:pt idx="684">
                  <c:v>44837</c:v>
                </c:pt>
                <c:pt idx="685">
                  <c:v>44838</c:v>
                </c:pt>
                <c:pt idx="686">
                  <c:v>44840</c:v>
                </c:pt>
                <c:pt idx="687">
                  <c:v>44841</c:v>
                </c:pt>
                <c:pt idx="688">
                  <c:v>44844</c:v>
                </c:pt>
                <c:pt idx="689">
                  <c:v>44845</c:v>
                </c:pt>
                <c:pt idx="690">
                  <c:v>44846</c:v>
                </c:pt>
                <c:pt idx="691">
                  <c:v>44847</c:v>
                </c:pt>
                <c:pt idx="692">
                  <c:v>44848</c:v>
                </c:pt>
                <c:pt idx="693">
                  <c:v>44851</c:v>
                </c:pt>
                <c:pt idx="694">
                  <c:v>44852</c:v>
                </c:pt>
                <c:pt idx="695">
                  <c:v>44853</c:v>
                </c:pt>
                <c:pt idx="696">
                  <c:v>44854</c:v>
                </c:pt>
                <c:pt idx="697">
                  <c:v>44855</c:v>
                </c:pt>
                <c:pt idx="698">
                  <c:v>44858</c:v>
                </c:pt>
                <c:pt idx="699">
                  <c:v>44859</c:v>
                </c:pt>
                <c:pt idx="700">
                  <c:v>44861</c:v>
                </c:pt>
                <c:pt idx="701">
                  <c:v>44862</c:v>
                </c:pt>
                <c:pt idx="702">
                  <c:v>44865</c:v>
                </c:pt>
                <c:pt idx="703">
                  <c:v>44866</c:v>
                </c:pt>
                <c:pt idx="704">
                  <c:v>44867</c:v>
                </c:pt>
                <c:pt idx="705">
                  <c:v>44868</c:v>
                </c:pt>
                <c:pt idx="706">
                  <c:v>44869</c:v>
                </c:pt>
                <c:pt idx="707">
                  <c:v>44872</c:v>
                </c:pt>
                <c:pt idx="708">
                  <c:v>44874</c:v>
                </c:pt>
                <c:pt idx="709">
                  <c:v>44875</c:v>
                </c:pt>
                <c:pt idx="710">
                  <c:v>44876</c:v>
                </c:pt>
                <c:pt idx="711">
                  <c:v>44879</c:v>
                </c:pt>
                <c:pt idx="712">
                  <c:v>44880</c:v>
                </c:pt>
                <c:pt idx="713">
                  <c:v>44881</c:v>
                </c:pt>
                <c:pt idx="714">
                  <c:v>44882</c:v>
                </c:pt>
                <c:pt idx="715">
                  <c:v>44883</c:v>
                </c:pt>
                <c:pt idx="716">
                  <c:v>44886</c:v>
                </c:pt>
                <c:pt idx="717">
                  <c:v>44887</c:v>
                </c:pt>
                <c:pt idx="718">
                  <c:v>44888</c:v>
                </c:pt>
                <c:pt idx="719">
                  <c:v>44889</c:v>
                </c:pt>
                <c:pt idx="720">
                  <c:v>44890</c:v>
                </c:pt>
                <c:pt idx="721">
                  <c:v>44893</c:v>
                </c:pt>
                <c:pt idx="722">
                  <c:v>44894</c:v>
                </c:pt>
                <c:pt idx="723">
                  <c:v>44895</c:v>
                </c:pt>
                <c:pt idx="724">
                  <c:v>44896</c:v>
                </c:pt>
                <c:pt idx="725">
                  <c:v>44897</c:v>
                </c:pt>
                <c:pt idx="726">
                  <c:v>44900</c:v>
                </c:pt>
                <c:pt idx="727">
                  <c:v>44901</c:v>
                </c:pt>
                <c:pt idx="728">
                  <c:v>44902</c:v>
                </c:pt>
                <c:pt idx="729">
                  <c:v>44903</c:v>
                </c:pt>
                <c:pt idx="730">
                  <c:v>44904</c:v>
                </c:pt>
                <c:pt idx="731">
                  <c:v>44907</c:v>
                </c:pt>
                <c:pt idx="732">
                  <c:v>44908</c:v>
                </c:pt>
                <c:pt idx="733">
                  <c:v>44909</c:v>
                </c:pt>
                <c:pt idx="734">
                  <c:v>44910</c:v>
                </c:pt>
                <c:pt idx="735">
                  <c:v>44911</c:v>
                </c:pt>
                <c:pt idx="736">
                  <c:v>44914</c:v>
                </c:pt>
                <c:pt idx="737">
                  <c:v>44915</c:v>
                </c:pt>
                <c:pt idx="738">
                  <c:v>44916</c:v>
                </c:pt>
                <c:pt idx="739">
                  <c:v>44917</c:v>
                </c:pt>
                <c:pt idx="740">
                  <c:v>44918</c:v>
                </c:pt>
                <c:pt idx="741">
                  <c:v>44921</c:v>
                </c:pt>
                <c:pt idx="742">
                  <c:v>44922</c:v>
                </c:pt>
                <c:pt idx="743">
                  <c:v>44923</c:v>
                </c:pt>
                <c:pt idx="744">
                  <c:v>44924</c:v>
                </c:pt>
                <c:pt idx="745">
                  <c:v>44925</c:v>
                </c:pt>
                <c:pt idx="746">
                  <c:v>44928</c:v>
                </c:pt>
                <c:pt idx="747">
                  <c:v>44929</c:v>
                </c:pt>
                <c:pt idx="748">
                  <c:v>44930</c:v>
                </c:pt>
                <c:pt idx="749">
                  <c:v>44931</c:v>
                </c:pt>
                <c:pt idx="750">
                  <c:v>44932</c:v>
                </c:pt>
                <c:pt idx="751">
                  <c:v>44935</c:v>
                </c:pt>
                <c:pt idx="752">
                  <c:v>44936</c:v>
                </c:pt>
                <c:pt idx="753">
                  <c:v>44937</c:v>
                </c:pt>
                <c:pt idx="754">
                  <c:v>44938</c:v>
                </c:pt>
                <c:pt idx="755">
                  <c:v>44939</c:v>
                </c:pt>
                <c:pt idx="756">
                  <c:v>44942</c:v>
                </c:pt>
                <c:pt idx="757">
                  <c:v>44943</c:v>
                </c:pt>
                <c:pt idx="758">
                  <c:v>44944</c:v>
                </c:pt>
                <c:pt idx="759">
                  <c:v>44945</c:v>
                </c:pt>
                <c:pt idx="760">
                  <c:v>44946</c:v>
                </c:pt>
                <c:pt idx="761">
                  <c:v>44949</c:v>
                </c:pt>
                <c:pt idx="762">
                  <c:v>44950</c:v>
                </c:pt>
                <c:pt idx="763">
                  <c:v>44951</c:v>
                </c:pt>
                <c:pt idx="764">
                  <c:v>44953</c:v>
                </c:pt>
                <c:pt idx="765">
                  <c:v>44956</c:v>
                </c:pt>
                <c:pt idx="766">
                  <c:v>44957</c:v>
                </c:pt>
                <c:pt idx="767">
                  <c:v>44958</c:v>
                </c:pt>
                <c:pt idx="768">
                  <c:v>44959</c:v>
                </c:pt>
                <c:pt idx="769">
                  <c:v>44960</c:v>
                </c:pt>
                <c:pt idx="770">
                  <c:v>44963</c:v>
                </c:pt>
                <c:pt idx="771">
                  <c:v>44964</c:v>
                </c:pt>
                <c:pt idx="772">
                  <c:v>44965</c:v>
                </c:pt>
                <c:pt idx="773">
                  <c:v>44966</c:v>
                </c:pt>
                <c:pt idx="774">
                  <c:v>44967</c:v>
                </c:pt>
                <c:pt idx="775">
                  <c:v>44970</c:v>
                </c:pt>
                <c:pt idx="776">
                  <c:v>44971</c:v>
                </c:pt>
                <c:pt idx="777">
                  <c:v>44972</c:v>
                </c:pt>
                <c:pt idx="778">
                  <c:v>44973</c:v>
                </c:pt>
                <c:pt idx="779">
                  <c:v>44974</c:v>
                </c:pt>
                <c:pt idx="780">
                  <c:v>44977</c:v>
                </c:pt>
                <c:pt idx="781">
                  <c:v>44978</c:v>
                </c:pt>
                <c:pt idx="782">
                  <c:v>44979</c:v>
                </c:pt>
                <c:pt idx="783">
                  <c:v>44980</c:v>
                </c:pt>
                <c:pt idx="784">
                  <c:v>44981</c:v>
                </c:pt>
                <c:pt idx="785">
                  <c:v>44984</c:v>
                </c:pt>
                <c:pt idx="786">
                  <c:v>44985</c:v>
                </c:pt>
                <c:pt idx="787">
                  <c:v>44986</c:v>
                </c:pt>
                <c:pt idx="788">
                  <c:v>44987</c:v>
                </c:pt>
                <c:pt idx="789">
                  <c:v>44988</c:v>
                </c:pt>
                <c:pt idx="790">
                  <c:v>44991</c:v>
                </c:pt>
                <c:pt idx="791">
                  <c:v>44993</c:v>
                </c:pt>
                <c:pt idx="792">
                  <c:v>44994</c:v>
                </c:pt>
                <c:pt idx="793">
                  <c:v>44995</c:v>
                </c:pt>
                <c:pt idx="794">
                  <c:v>44998</c:v>
                </c:pt>
                <c:pt idx="795">
                  <c:v>44999</c:v>
                </c:pt>
                <c:pt idx="796">
                  <c:v>45000</c:v>
                </c:pt>
                <c:pt idx="797">
                  <c:v>45001</c:v>
                </c:pt>
                <c:pt idx="798">
                  <c:v>45002</c:v>
                </c:pt>
                <c:pt idx="799">
                  <c:v>45005</c:v>
                </c:pt>
                <c:pt idx="800">
                  <c:v>45006</c:v>
                </c:pt>
                <c:pt idx="801">
                  <c:v>45007</c:v>
                </c:pt>
                <c:pt idx="802">
                  <c:v>45008</c:v>
                </c:pt>
                <c:pt idx="803">
                  <c:v>45009</c:v>
                </c:pt>
                <c:pt idx="804">
                  <c:v>45012</c:v>
                </c:pt>
                <c:pt idx="805">
                  <c:v>45013</c:v>
                </c:pt>
                <c:pt idx="806">
                  <c:v>45014</c:v>
                </c:pt>
                <c:pt idx="807">
                  <c:v>45016</c:v>
                </c:pt>
                <c:pt idx="808">
                  <c:v>45019</c:v>
                </c:pt>
                <c:pt idx="809">
                  <c:v>45021</c:v>
                </c:pt>
                <c:pt idx="810">
                  <c:v>45022</c:v>
                </c:pt>
                <c:pt idx="811">
                  <c:v>45026</c:v>
                </c:pt>
                <c:pt idx="812">
                  <c:v>45027</c:v>
                </c:pt>
                <c:pt idx="813">
                  <c:v>45028</c:v>
                </c:pt>
                <c:pt idx="814">
                  <c:v>45029</c:v>
                </c:pt>
                <c:pt idx="815">
                  <c:v>45033</c:v>
                </c:pt>
                <c:pt idx="816">
                  <c:v>45034</c:v>
                </c:pt>
                <c:pt idx="817">
                  <c:v>45035</c:v>
                </c:pt>
                <c:pt idx="818">
                  <c:v>45036</c:v>
                </c:pt>
                <c:pt idx="819">
                  <c:v>45037</c:v>
                </c:pt>
                <c:pt idx="820">
                  <c:v>45040</c:v>
                </c:pt>
                <c:pt idx="821">
                  <c:v>45041</c:v>
                </c:pt>
                <c:pt idx="822">
                  <c:v>45042</c:v>
                </c:pt>
                <c:pt idx="823">
                  <c:v>45043</c:v>
                </c:pt>
                <c:pt idx="824">
                  <c:v>45044</c:v>
                </c:pt>
                <c:pt idx="825">
                  <c:v>45048</c:v>
                </c:pt>
                <c:pt idx="826">
                  <c:v>45049</c:v>
                </c:pt>
                <c:pt idx="827">
                  <c:v>45050</c:v>
                </c:pt>
                <c:pt idx="828">
                  <c:v>45051</c:v>
                </c:pt>
                <c:pt idx="829">
                  <c:v>45054</c:v>
                </c:pt>
                <c:pt idx="830">
                  <c:v>45055</c:v>
                </c:pt>
                <c:pt idx="831">
                  <c:v>45056</c:v>
                </c:pt>
                <c:pt idx="832">
                  <c:v>45057</c:v>
                </c:pt>
                <c:pt idx="833">
                  <c:v>45058</c:v>
                </c:pt>
                <c:pt idx="834">
                  <c:v>45061</c:v>
                </c:pt>
                <c:pt idx="835">
                  <c:v>45062</c:v>
                </c:pt>
                <c:pt idx="836">
                  <c:v>45063</c:v>
                </c:pt>
                <c:pt idx="837">
                  <c:v>45064</c:v>
                </c:pt>
                <c:pt idx="838">
                  <c:v>45065</c:v>
                </c:pt>
                <c:pt idx="839">
                  <c:v>45068</c:v>
                </c:pt>
                <c:pt idx="840">
                  <c:v>45069</c:v>
                </c:pt>
                <c:pt idx="841">
                  <c:v>45070</c:v>
                </c:pt>
                <c:pt idx="842">
                  <c:v>45071</c:v>
                </c:pt>
                <c:pt idx="843">
                  <c:v>45072</c:v>
                </c:pt>
                <c:pt idx="844">
                  <c:v>45075</c:v>
                </c:pt>
                <c:pt idx="845">
                  <c:v>45076</c:v>
                </c:pt>
                <c:pt idx="846">
                  <c:v>45077</c:v>
                </c:pt>
                <c:pt idx="847">
                  <c:v>45078</c:v>
                </c:pt>
                <c:pt idx="848">
                  <c:v>45079</c:v>
                </c:pt>
                <c:pt idx="849">
                  <c:v>45082</c:v>
                </c:pt>
                <c:pt idx="850">
                  <c:v>45083</c:v>
                </c:pt>
                <c:pt idx="851">
                  <c:v>45084</c:v>
                </c:pt>
                <c:pt idx="852">
                  <c:v>45085</c:v>
                </c:pt>
                <c:pt idx="853">
                  <c:v>45086</c:v>
                </c:pt>
                <c:pt idx="854">
                  <c:v>45089</c:v>
                </c:pt>
                <c:pt idx="855">
                  <c:v>45090</c:v>
                </c:pt>
                <c:pt idx="856">
                  <c:v>45091</c:v>
                </c:pt>
                <c:pt idx="857">
                  <c:v>45092</c:v>
                </c:pt>
                <c:pt idx="858">
                  <c:v>45093</c:v>
                </c:pt>
                <c:pt idx="859">
                  <c:v>45096</c:v>
                </c:pt>
                <c:pt idx="860">
                  <c:v>45097</c:v>
                </c:pt>
                <c:pt idx="861">
                  <c:v>45098</c:v>
                </c:pt>
                <c:pt idx="862">
                  <c:v>45099</c:v>
                </c:pt>
                <c:pt idx="863">
                  <c:v>45100</c:v>
                </c:pt>
                <c:pt idx="864">
                  <c:v>45103</c:v>
                </c:pt>
                <c:pt idx="865">
                  <c:v>45104</c:v>
                </c:pt>
                <c:pt idx="866">
                  <c:v>45105</c:v>
                </c:pt>
                <c:pt idx="867">
                  <c:v>45107</c:v>
                </c:pt>
                <c:pt idx="868">
                  <c:v>45110</c:v>
                </c:pt>
                <c:pt idx="869">
                  <c:v>45111</c:v>
                </c:pt>
                <c:pt idx="870">
                  <c:v>45112</c:v>
                </c:pt>
                <c:pt idx="871">
                  <c:v>45113</c:v>
                </c:pt>
                <c:pt idx="872">
                  <c:v>45114</c:v>
                </c:pt>
                <c:pt idx="873">
                  <c:v>45117</c:v>
                </c:pt>
                <c:pt idx="874">
                  <c:v>45118</c:v>
                </c:pt>
                <c:pt idx="875">
                  <c:v>45119</c:v>
                </c:pt>
                <c:pt idx="876">
                  <c:v>45120</c:v>
                </c:pt>
                <c:pt idx="877">
                  <c:v>45121</c:v>
                </c:pt>
                <c:pt idx="878">
                  <c:v>45124</c:v>
                </c:pt>
                <c:pt idx="879">
                  <c:v>45125</c:v>
                </c:pt>
                <c:pt idx="880">
                  <c:v>45126</c:v>
                </c:pt>
                <c:pt idx="881">
                  <c:v>45127</c:v>
                </c:pt>
                <c:pt idx="882">
                  <c:v>45128</c:v>
                </c:pt>
                <c:pt idx="883">
                  <c:v>45131</c:v>
                </c:pt>
                <c:pt idx="884">
                  <c:v>45132</c:v>
                </c:pt>
                <c:pt idx="885">
                  <c:v>45133</c:v>
                </c:pt>
                <c:pt idx="886">
                  <c:v>45134</c:v>
                </c:pt>
                <c:pt idx="887">
                  <c:v>45135</c:v>
                </c:pt>
                <c:pt idx="888">
                  <c:v>45138</c:v>
                </c:pt>
                <c:pt idx="889">
                  <c:v>45139</c:v>
                </c:pt>
                <c:pt idx="890">
                  <c:v>45140</c:v>
                </c:pt>
                <c:pt idx="891">
                  <c:v>45141</c:v>
                </c:pt>
                <c:pt idx="892">
                  <c:v>45142</c:v>
                </c:pt>
                <c:pt idx="893">
                  <c:v>45145</c:v>
                </c:pt>
                <c:pt idx="894">
                  <c:v>45146</c:v>
                </c:pt>
                <c:pt idx="895">
                  <c:v>45147</c:v>
                </c:pt>
                <c:pt idx="896">
                  <c:v>45148</c:v>
                </c:pt>
                <c:pt idx="897">
                  <c:v>45149</c:v>
                </c:pt>
                <c:pt idx="898">
                  <c:v>45152</c:v>
                </c:pt>
                <c:pt idx="899">
                  <c:v>45154</c:v>
                </c:pt>
                <c:pt idx="900">
                  <c:v>45155</c:v>
                </c:pt>
                <c:pt idx="901">
                  <c:v>45156</c:v>
                </c:pt>
                <c:pt idx="902">
                  <c:v>45159</c:v>
                </c:pt>
                <c:pt idx="903">
                  <c:v>45160</c:v>
                </c:pt>
                <c:pt idx="904">
                  <c:v>45161</c:v>
                </c:pt>
                <c:pt idx="905">
                  <c:v>45162</c:v>
                </c:pt>
                <c:pt idx="906">
                  <c:v>45163</c:v>
                </c:pt>
                <c:pt idx="907">
                  <c:v>45166</c:v>
                </c:pt>
                <c:pt idx="908">
                  <c:v>45167</c:v>
                </c:pt>
                <c:pt idx="909">
                  <c:v>45168</c:v>
                </c:pt>
                <c:pt idx="910">
                  <c:v>45169</c:v>
                </c:pt>
                <c:pt idx="911">
                  <c:v>45170</c:v>
                </c:pt>
                <c:pt idx="912">
                  <c:v>45173</c:v>
                </c:pt>
                <c:pt idx="913">
                  <c:v>45174</c:v>
                </c:pt>
                <c:pt idx="914">
                  <c:v>45175</c:v>
                </c:pt>
                <c:pt idx="915">
                  <c:v>45176</c:v>
                </c:pt>
                <c:pt idx="916">
                  <c:v>45177</c:v>
                </c:pt>
                <c:pt idx="917">
                  <c:v>45180</c:v>
                </c:pt>
                <c:pt idx="918">
                  <c:v>45181</c:v>
                </c:pt>
                <c:pt idx="919">
                  <c:v>45182</c:v>
                </c:pt>
                <c:pt idx="920">
                  <c:v>45183</c:v>
                </c:pt>
                <c:pt idx="921">
                  <c:v>45184</c:v>
                </c:pt>
                <c:pt idx="922">
                  <c:v>45187</c:v>
                </c:pt>
                <c:pt idx="923">
                  <c:v>45189</c:v>
                </c:pt>
                <c:pt idx="924">
                  <c:v>45190</c:v>
                </c:pt>
                <c:pt idx="925">
                  <c:v>45191</c:v>
                </c:pt>
                <c:pt idx="926">
                  <c:v>45194</c:v>
                </c:pt>
                <c:pt idx="927">
                  <c:v>45195</c:v>
                </c:pt>
                <c:pt idx="928">
                  <c:v>45196</c:v>
                </c:pt>
                <c:pt idx="929">
                  <c:v>45197</c:v>
                </c:pt>
                <c:pt idx="930">
                  <c:v>45198</c:v>
                </c:pt>
                <c:pt idx="931">
                  <c:v>45202</c:v>
                </c:pt>
                <c:pt idx="932">
                  <c:v>45203</c:v>
                </c:pt>
                <c:pt idx="933">
                  <c:v>45204</c:v>
                </c:pt>
                <c:pt idx="934">
                  <c:v>45205</c:v>
                </c:pt>
                <c:pt idx="935">
                  <c:v>45208</c:v>
                </c:pt>
                <c:pt idx="936">
                  <c:v>45209</c:v>
                </c:pt>
                <c:pt idx="937">
                  <c:v>45210</c:v>
                </c:pt>
                <c:pt idx="938">
                  <c:v>45211</c:v>
                </c:pt>
                <c:pt idx="939">
                  <c:v>45212</c:v>
                </c:pt>
                <c:pt idx="940">
                  <c:v>45215</c:v>
                </c:pt>
                <c:pt idx="941">
                  <c:v>45216</c:v>
                </c:pt>
                <c:pt idx="942">
                  <c:v>45217</c:v>
                </c:pt>
                <c:pt idx="943">
                  <c:v>45218</c:v>
                </c:pt>
                <c:pt idx="944">
                  <c:v>45219</c:v>
                </c:pt>
                <c:pt idx="945">
                  <c:v>45222</c:v>
                </c:pt>
                <c:pt idx="946">
                  <c:v>45224</c:v>
                </c:pt>
                <c:pt idx="947">
                  <c:v>45225</c:v>
                </c:pt>
                <c:pt idx="948">
                  <c:v>45226</c:v>
                </c:pt>
                <c:pt idx="949">
                  <c:v>45229</c:v>
                </c:pt>
                <c:pt idx="950">
                  <c:v>45230</c:v>
                </c:pt>
                <c:pt idx="951">
                  <c:v>45231</c:v>
                </c:pt>
                <c:pt idx="952">
                  <c:v>45232</c:v>
                </c:pt>
                <c:pt idx="953">
                  <c:v>45233</c:v>
                </c:pt>
                <c:pt idx="954">
                  <c:v>45236</c:v>
                </c:pt>
                <c:pt idx="955">
                  <c:v>45237</c:v>
                </c:pt>
                <c:pt idx="956">
                  <c:v>45238</c:v>
                </c:pt>
                <c:pt idx="957">
                  <c:v>45239</c:v>
                </c:pt>
                <c:pt idx="958">
                  <c:v>45240</c:v>
                </c:pt>
                <c:pt idx="959">
                  <c:v>45243</c:v>
                </c:pt>
                <c:pt idx="960">
                  <c:v>45245</c:v>
                </c:pt>
                <c:pt idx="961">
                  <c:v>45246</c:v>
                </c:pt>
                <c:pt idx="962">
                  <c:v>45247</c:v>
                </c:pt>
                <c:pt idx="963">
                  <c:v>45250</c:v>
                </c:pt>
                <c:pt idx="964">
                  <c:v>45251</c:v>
                </c:pt>
                <c:pt idx="965">
                  <c:v>45252</c:v>
                </c:pt>
                <c:pt idx="966">
                  <c:v>45253</c:v>
                </c:pt>
                <c:pt idx="967">
                  <c:v>45254</c:v>
                </c:pt>
                <c:pt idx="968">
                  <c:v>45258</c:v>
                </c:pt>
                <c:pt idx="969">
                  <c:v>45259</c:v>
                </c:pt>
                <c:pt idx="970">
                  <c:v>45260</c:v>
                </c:pt>
                <c:pt idx="971">
                  <c:v>45261</c:v>
                </c:pt>
                <c:pt idx="972">
                  <c:v>45264</c:v>
                </c:pt>
                <c:pt idx="973">
                  <c:v>45265</c:v>
                </c:pt>
                <c:pt idx="974">
                  <c:v>45266</c:v>
                </c:pt>
                <c:pt idx="975">
                  <c:v>45267</c:v>
                </c:pt>
                <c:pt idx="976">
                  <c:v>45268</c:v>
                </c:pt>
                <c:pt idx="977">
                  <c:v>45271</c:v>
                </c:pt>
                <c:pt idx="978">
                  <c:v>45272</c:v>
                </c:pt>
                <c:pt idx="979">
                  <c:v>45273</c:v>
                </c:pt>
                <c:pt idx="980">
                  <c:v>45274</c:v>
                </c:pt>
                <c:pt idx="981">
                  <c:v>45275</c:v>
                </c:pt>
                <c:pt idx="982">
                  <c:v>45278</c:v>
                </c:pt>
                <c:pt idx="983">
                  <c:v>45279</c:v>
                </c:pt>
                <c:pt idx="984">
                  <c:v>45280</c:v>
                </c:pt>
                <c:pt idx="985">
                  <c:v>45281</c:v>
                </c:pt>
                <c:pt idx="986">
                  <c:v>45282</c:v>
                </c:pt>
                <c:pt idx="987">
                  <c:v>45286</c:v>
                </c:pt>
                <c:pt idx="988">
                  <c:v>45287</c:v>
                </c:pt>
                <c:pt idx="989">
                  <c:v>45288</c:v>
                </c:pt>
                <c:pt idx="990">
                  <c:v>45289</c:v>
                </c:pt>
                <c:pt idx="991">
                  <c:v>45292</c:v>
                </c:pt>
                <c:pt idx="992">
                  <c:v>45293</c:v>
                </c:pt>
                <c:pt idx="993">
                  <c:v>45294</c:v>
                </c:pt>
                <c:pt idx="994">
                  <c:v>45295</c:v>
                </c:pt>
                <c:pt idx="995">
                  <c:v>45296</c:v>
                </c:pt>
                <c:pt idx="996">
                  <c:v>45299</c:v>
                </c:pt>
                <c:pt idx="997">
                  <c:v>45300</c:v>
                </c:pt>
                <c:pt idx="998">
                  <c:v>45301</c:v>
                </c:pt>
                <c:pt idx="999">
                  <c:v>45302</c:v>
                </c:pt>
                <c:pt idx="1000">
                  <c:v>45303</c:v>
                </c:pt>
                <c:pt idx="1001">
                  <c:v>45306</c:v>
                </c:pt>
                <c:pt idx="1002">
                  <c:v>45307</c:v>
                </c:pt>
                <c:pt idx="1003">
                  <c:v>45308</c:v>
                </c:pt>
                <c:pt idx="1004">
                  <c:v>45309</c:v>
                </c:pt>
                <c:pt idx="1005">
                  <c:v>45310</c:v>
                </c:pt>
                <c:pt idx="1006">
                  <c:v>45314</c:v>
                </c:pt>
                <c:pt idx="1007">
                  <c:v>45315</c:v>
                </c:pt>
                <c:pt idx="1008">
                  <c:v>45316</c:v>
                </c:pt>
                <c:pt idx="1009">
                  <c:v>45320</c:v>
                </c:pt>
                <c:pt idx="1010">
                  <c:v>45321</c:v>
                </c:pt>
                <c:pt idx="1011">
                  <c:v>45322</c:v>
                </c:pt>
                <c:pt idx="1012">
                  <c:v>45323</c:v>
                </c:pt>
                <c:pt idx="1013">
                  <c:v>45324</c:v>
                </c:pt>
                <c:pt idx="1014">
                  <c:v>45327</c:v>
                </c:pt>
                <c:pt idx="1015">
                  <c:v>45328</c:v>
                </c:pt>
                <c:pt idx="1016">
                  <c:v>45329</c:v>
                </c:pt>
                <c:pt idx="1017">
                  <c:v>45330</c:v>
                </c:pt>
                <c:pt idx="1018">
                  <c:v>45331</c:v>
                </c:pt>
                <c:pt idx="1019">
                  <c:v>45334</c:v>
                </c:pt>
                <c:pt idx="1020">
                  <c:v>45335</c:v>
                </c:pt>
                <c:pt idx="1021">
                  <c:v>45336</c:v>
                </c:pt>
                <c:pt idx="1022">
                  <c:v>45337</c:v>
                </c:pt>
                <c:pt idx="1023">
                  <c:v>45338</c:v>
                </c:pt>
                <c:pt idx="1024">
                  <c:v>45341</c:v>
                </c:pt>
                <c:pt idx="1025">
                  <c:v>45342</c:v>
                </c:pt>
                <c:pt idx="1026">
                  <c:v>45343</c:v>
                </c:pt>
                <c:pt idx="1027">
                  <c:v>45344</c:v>
                </c:pt>
                <c:pt idx="1028">
                  <c:v>45345</c:v>
                </c:pt>
                <c:pt idx="1029">
                  <c:v>45348</c:v>
                </c:pt>
                <c:pt idx="1030">
                  <c:v>45349</c:v>
                </c:pt>
                <c:pt idx="1031">
                  <c:v>45350</c:v>
                </c:pt>
                <c:pt idx="1032">
                  <c:v>45351</c:v>
                </c:pt>
                <c:pt idx="1033">
                  <c:v>45352</c:v>
                </c:pt>
                <c:pt idx="1034">
                  <c:v>45355</c:v>
                </c:pt>
                <c:pt idx="1035">
                  <c:v>45356</c:v>
                </c:pt>
                <c:pt idx="1036">
                  <c:v>45357</c:v>
                </c:pt>
                <c:pt idx="1037">
                  <c:v>45358</c:v>
                </c:pt>
                <c:pt idx="1038">
                  <c:v>45362</c:v>
                </c:pt>
                <c:pt idx="1039">
                  <c:v>45363</c:v>
                </c:pt>
                <c:pt idx="1040">
                  <c:v>45364</c:v>
                </c:pt>
                <c:pt idx="1041">
                  <c:v>45365</c:v>
                </c:pt>
                <c:pt idx="1042">
                  <c:v>45366</c:v>
                </c:pt>
                <c:pt idx="1043">
                  <c:v>45369</c:v>
                </c:pt>
                <c:pt idx="1044">
                  <c:v>45370</c:v>
                </c:pt>
                <c:pt idx="1045">
                  <c:v>45371</c:v>
                </c:pt>
                <c:pt idx="1046">
                  <c:v>45372</c:v>
                </c:pt>
                <c:pt idx="1047">
                  <c:v>45373</c:v>
                </c:pt>
                <c:pt idx="1048">
                  <c:v>45377</c:v>
                </c:pt>
                <c:pt idx="1049">
                  <c:v>45378</c:v>
                </c:pt>
                <c:pt idx="1050">
                  <c:v>45379</c:v>
                </c:pt>
                <c:pt idx="1051">
                  <c:v>45383</c:v>
                </c:pt>
                <c:pt idx="1052">
                  <c:v>45384</c:v>
                </c:pt>
                <c:pt idx="1053">
                  <c:v>45385</c:v>
                </c:pt>
                <c:pt idx="1054">
                  <c:v>45386</c:v>
                </c:pt>
                <c:pt idx="1055">
                  <c:v>45387</c:v>
                </c:pt>
                <c:pt idx="1056">
                  <c:v>45390</c:v>
                </c:pt>
                <c:pt idx="1057">
                  <c:v>45391</c:v>
                </c:pt>
                <c:pt idx="1058">
                  <c:v>45392</c:v>
                </c:pt>
                <c:pt idx="1059">
                  <c:v>45394</c:v>
                </c:pt>
                <c:pt idx="1060">
                  <c:v>45397</c:v>
                </c:pt>
                <c:pt idx="1061">
                  <c:v>45398</c:v>
                </c:pt>
                <c:pt idx="1062">
                  <c:v>45400</c:v>
                </c:pt>
                <c:pt idx="1063">
                  <c:v>45401</c:v>
                </c:pt>
                <c:pt idx="1064">
                  <c:v>45404</c:v>
                </c:pt>
                <c:pt idx="1065">
                  <c:v>45405</c:v>
                </c:pt>
                <c:pt idx="1066">
                  <c:v>45406</c:v>
                </c:pt>
                <c:pt idx="1067">
                  <c:v>45407</c:v>
                </c:pt>
                <c:pt idx="1068">
                  <c:v>45408</c:v>
                </c:pt>
                <c:pt idx="1069">
                  <c:v>45411</c:v>
                </c:pt>
                <c:pt idx="1070">
                  <c:v>45412</c:v>
                </c:pt>
                <c:pt idx="1071">
                  <c:v>45414</c:v>
                </c:pt>
                <c:pt idx="1072">
                  <c:v>45415</c:v>
                </c:pt>
                <c:pt idx="1073">
                  <c:v>45418</c:v>
                </c:pt>
                <c:pt idx="1074">
                  <c:v>45419</c:v>
                </c:pt>
                <c:pt idx="1075">
                  <c:v>45420</c:v>
                </c:pt>
                <c:pt idx="1076">
                  <c:v>45421</c:v>
                </c:pt>
                <c:pt idx="1077">
                  <c:v>45422</c:v>
                </c:pt>
                <c:pt idx="1078">
                  <c:v>45425</c:v>
                </c:pt>
                <c:pt idx="1079">
                  <c:v>45426</c:v>
                </c:pt>
                <c:pt idx="1080">
                  <c:v>45427</c:v>
                </c:pt>
                <c:pt idx="1081">
                  <c:v>45428</c:v>
                </c:pt>
                <c:pt idx="1082">
                  <c:v>45429</c:v>
                </c:pt>
                <c:pt idx="1083">
                  <c:v>45433</c:v>
                </c:pt>
                <c:pt idx="1084">
                  <c:v>45434</c:v>
                </c:pt>
                <c:pt idx="1085">
                  <c:v>45435</c:v>
                </c:pt>
                <c:pt idx="1086">
                  <c:v>45436</c:v>
                </c:pt>
                <c:pt idx="1087">
                  <c:v>45439</c:v>
                </c:pt>
                <c:pt idx="1088">
                  <c:v>45440</c:v>
                </c:pt>
                <c:pt idx="1089">
                  <c:v>45441</c:v>
                </c:pt>
                <c:pt idx="1090">
                  <c:v>45442</c:v>
                </c:pt>
                <c:pt idx="1091">
                  <c:v>45443</c:v>
                </c:pt>
                <c:pt idx="1092">
                  <c:v>45446</c:v>
                </c:pt>
                <c:pt idx="1093">
                  <c:v>45447</c:v>
                </c:pt>
                <c:pt idx="1094">
                  <c:v>45448</c:v>
                </c:pt>
                <c:pt idx="1095">
                  <c:v>45449</c:v>
                </c:pt>
                <c:pt idx="1096">
                  <c:v>45450</c:v>
                </c:pt>
                <c:pt idx="1097">
                  <c:v>45453</c:v>
                </c:pt>
                <c:pt idx="1098">
                  <c:v>45454</c:v>
                </c:pt>
                <c:pt idx="1099">
                  <c:v>45455</c:v>
                </c:pt>
                <c:pt idx="1100">
                  <c:v>45456</c:v>
                </c:pt>
                <c:pt idx="1101">
                  <c:v>45457</c:v>
                </c:pt>
                <c:pt idx="1102">
                  <c:v>45461</c:v>
                </c:pt>
                <c:pt idx="1103">
                  <c:v>45462</c:v>
                </c:pt>
                <c:pt idx="1104">
                  <c:v>45463</c:v>
                </c:pt>
                <c:pt idx="1105">
                  <c:v>45464</c:v>
                </c:pt>
                <c:pt idx="1106">
                  <c:v>45467</c:v>
                </c:pt>
                <c:pt idx="1107">
                  <c:v>45468</c:v>
                </c:pt>
                <c:pt idx="1108">
                  <c:v>45469</c:v>
                </c:pt>
                <c:pt idx="1109">
                  <c:v>45470</c:v>
                </c:pt>
                <c:pt idx="1110">
                  <c:v>45471</c:v>
                </c:pt>
                <c:pt idx="1111">
                  <c:v>45474</c:v>
                </c:pt>
                <c:pt idx="1112">
                  <c:v>45475</c:v>
                </c:pt>
                <c:pt idx="1113">
                  <c:v>45476</c:v>
                </c:pt>
                <c:pt idx="1114">
                  <c:v>45477</c:v>
                </c:pt>
                <c:pt idx="1115">
                  <c:v>45478</c:v>
                </c:pt>
                <c:pt idx="1116">
                  <c:v>45481</c:v>
                </c:pt>
                <c:pt idx="1117">
                  <c:v>45482</c:v>
                </c:pt>
                <c:pt idx="1118">
                  <c:v>45483</c:v>
                </c:pt>
                <c:pt idx="1119">
                  <c:v>45484</c:v>
                </c:pt>
                <c:pt idx="1120">
                  <c:v>45485</c:v>
                </c:pt>
                <c:pt idx="1121">
                  <c:v>45488</c:v>
                </c:pt>
                <c:pt idx="1122">
                  <c:v>45489</c:v>
                </c:pt>
                <c:pt idx="1123">
                  <c:v>45491</c:v>
                </c:pt>
                <c:pt idx="1124">
                  <c:v>45492</c:v>
                </c:pt>
                <c:pt idx="1125">
                  <c:v>45495</c:v>
                </c:pt>
                <c:pt idx="1126">
                  <c:v>45496</c:v>
                </c:pt>
                <c:pt idx="1127">
                  <c:v>45497</c:v>
                </c:pt>
                <c:pt idx="1128">
                  <c:v>45498</c:v>
                </c:pt>
                <c:pt idx="1129">
                  <c:v>45499</c:v>
                </c:pt>
                <c:pt idx="1130">
                  <c:v>45502</c:v>
                </c:pt>
                <c:pt idx="1131">
                  <c:v>45503</c:v>
                </c:pt>
                <c:pt idx="1132">
                  <c:v>45504</c:v>
                </c:pt>
                <c:pt idx="1133">
                  <c:v>45505</c:v>
                </c:pt>
                <c:pt idx="1134">
                  <c:v>45506</c:v>
                </c:pt>
                <c:pt idx="1135">
                  <c:v>45509</c:v>
                </c:pt>
                <c:pt idx="1136">
                  <c:v>45510</c:v>
                </c:pt>
                <c:pt idx="1137">
                  <c:v>45511</c:v>
                </c:pt>
                <c:pt idx="1138">
                  <c:v>45512</c:v>
                </c:pt>
                <c:pt idx="1139">
                  <c:v>45513</c:v>
                </c:pt>
                <c:pt idx="1140">
                  <c:v>45516</c:v>
                </c:pt>
                <c:pt idx="1141">
                  <c:v>45517</c:v>
                </c:pt>
                <c:pt idx="1142">
                  <c:v>45518</c:v>
                </c:pt>
                <c:pt idx="1143">
                  <c:v>45520</c:v>
                </c:pt>
                <c:pt idx="1144">
                  <c:v>45523</c:v>
                </c:pt>
                <c:pt idx="1145">
                  <c:v>45524</c:v>
                </c:pt>
                <c:pt idx="1146">
                  <c:v>45525</c:v>
                </c:pt>
                <c:pt idx="1147">
                  <c:v>45526</c:v>
                </c:pt>
                <c:pt idx="1148">
                  <c:v>45527</c:v>
                </c:pt>
                <c:pt idx="1149">
                  <c:v>45530</c:v>
                </c:pt>
                <c:pt idx="1150">
                  <c:v>45531</c:v>
                </c:pt>
                <c:pt idx="1151">
                  <c:v>45532</c:v>
                </c:pt>
                <c:pt idx="1152">
                  <c:v>45533</c:v>
                </c:pt>
                <c:pt idx="1153">
                  <c:v>45534</c:v>
                </c:pt>
                <c:pt idx="1154">
                  <c:v>45537</c:v>
                </c:pt>
                <c:pt idx="1155">
                  <c:v>45538</c:v>
                </c:pt>
                <c:pt idx="1156">
                  <c:v>45539</c:v>
                </c:pt>
                <c:pt idx="1157">
                  <c:v>45540</c:v>
                </c:pt>
                <c:pt idx="1158">
                  <c:v>45541</c:v>
                </c:pt>
                <c:pt idx="1159">
                  <c:v>45544</c:v>
                </c:pt>
                <c:pt idx="1160">
                  <c:v>45545</c:v>
                </c:pt>
                <c:pt idx="1161">
                  <c:v>45546</c:v>
                </c:pt>
                <c:pt idx="1162">
                  <c:v>45547</c:v>
                </c:pt>
                <c:pt idx="1163">
                  <c:v>45548</c:v>
                </c:pt>
                <c:pt idx="1164">
                  <c:v>45551</c:v>
                </c:pt>
                <c:pt idx="1165">
                  <c:v>45552</c:v>
                </c:pt>
                <c:pt idx="1166">
                  <c:v>45553</c:v>
                </c:pt>
                <c:pt idx="1167">
                  <c:v>45554</c:v>
                </c:pt>
                <c:pt idx="1168">
                  <c:v>45555</c:v>
                </c:pt>
                <c:pt idx="1169">
                  <c:v>45558</c:v>
                </c:pt>
                <c:pt idx="1170">
                  <c:v>45559</c:v>
                </c:pt>
                <c:pt idx="1171">
                  <c:v>45560</c:v>
                </c:pt>
                <c:pt idx="1172">
                  <c:v>45561</c:v>
                </c:pt>
                <c:pt idx="1173">
                  <c:v>45562</c:v>
                </c:pt>
                <c:pt idx="1174">
                  <c:v>45565</c:v>
                </c:pt>
                <c:pt idx="1175">
                  <c:v>45566</c:v>
                </c:pt>
                <c:pt idx="1176">
                  <c:v>45568</c:v>
                </c:pt>
                <c:pt idx="1177">
                  <c:v>45569</c:v>
                </c:pt>
                <c:pt idx="1178">
                  <c:v>45572</c:v>
                </c:pt>
                <c:pt idx="1179">
                  <c:v>45573</c:v>
                </c:pt>
                <c:pt idx="1180">
                  <c:v>45574</c:v>
                </c:pt>
                <c:pt idx="1181">
                  <c:v>45575</c:v>
                </c:pt>
                <c:pt idx="1182">
                  <c:v>45576</c:v>
                </c:pt>
                <c:pt idx="1183">
                  <c:v>45579</c:v>
                </c:pt>
                <c:pt idx="1184">
                  <c:v>45580</c:v>
                </c:pt>
                <c:pt idx="1185">
                  <c:v>45581</c:v>
                </c:pt>
                <c:pt idx="1186">
                  <c:v>45582</c:v>
                </c:pt>
                <c:pt idx="1187">
                  <c:v>45583</c:v>
                </c:pt>
                <c:pt idx="1188">
                  <c:v>45586</c:v>
                </c:pt>
                <c:pt idx="1189">
                  <c:v>45587</c:v>
                </c:pt>
                <c:pt idx="1190">
                  <c:v>45588</c:v>
                </c:pt>
                <c:pt idx="1191">
                  <c:v>45589</c:v>
                </c:pt>
                <c:pt idx="1192">
                  <c:v>45590</c:v>
                </c:pt>
                <c:pt idx="1193">
                  <c:v>45593</c:v>
                </c:pt>
                <c:pt idx="1194">
                  <c:v>45594</c:v>
                </c:pt>
                <c:pt idx="1195">
                  <c:v>45595</c:v>
                </c:pt>
                <c:pt idx="1196">
                  <c:v>45596</c:v>
                </c:pt>
                <c:pt idx="1197">
                  <c:v>45597</c:v>
                </c:pt>
                <c:pt idx="1198">
                  <c:v>45600</c:v>
                </c:pt>
                <c:pt idx="1199">
                  <c:v>45601</c:v>
                </c:pt>
                <c:pt idx="1200">
                  <c:v>45602</c:v>
                </c:pt>
                <c:pt idx="1201">
                  <c:v>45603</c:v>
                </c:pt>
                <c:pt idx="1202">
                  <c:v>45604</c:v>
                </c:pt>
                <c:pt idx="1203">
                  <c:v>45607</c:v>
                </c:pt>
                <c:pt idx="1204">
                  <c:v>45608</c:v>
                </c:pt>
                <c:pt idx="1205">
                  <c:v>45609</c:v>
                </c:pt>
                <c:pt idx="1206">
                  <c:v>45610</c:v>
                </c:pt>
                <c:pt idx="1207">
                  <c:v>45614</c:v>
                </c:pt>
                <c:pt idx="1208">
                  <c:v>45615</c:v>
                </c:pt>
                <c:pt idx="1209">
                  <c:v>45617</c:v>
                </c:pt>
                <c:pt idx="1210">
                  <c:v>45618</c:v>
                </c:pt>
                <c:pt idx="1211">
                  <c:v>45621</c:v>
                </c:pt>
                <c:pt idx="1212">
                  <c:v>45622</c:v>
                </c:pt>
                <c:pt idx="1213">
                  <c:v>45623</c:v>
                </c:pt>
                <c:pt idx="1214">
                  <c:v>45624</c:v>
                </c:pt>
                <c:pt idx="1215">
                  <c:v>45625</c:v>
                </c:pt>
                <c:pt idx="1216">
                  <c:v>45628</c:v>
                </c:pt>
                <c:pt idx="1217">
                  <c:v>45629</c:v>
                </c:pt>
                <c:pt idx="1218">
                  <c:v>45630</c:v>
                </c:pt>
                <c:pt idx="1219">
                  <c:v>45631</c:v>
                </c:pt>
                <c:pt idx="1220">
                  <c:v>45632</c:v>
                </c:pt>
                <c:pt idx="1221">
                  <c:v>45635</c:v>
                </c:pt>
                <c:pt idx="1222">
                  <c:v>45636</c:v>
                </c:pt>
                <c:pt idx="1223">
                  <c:v>45637</c:v>
                </c:pt>
                <c:pt idx="1224">
                  <c:v>45638</c:v>
                </c:pt>
                <c:pt idx="1225">
                  <c:v>45639</c:v>
                </c:pt>
                <c:pt idx="1226">
                  <c:v>45642</c:v>
                </c:pt>
                <c:pt idx="1227">
                  <c:v>45643</c:v>
                </c:pt>
                <c:pt idx="1228">
                  <c:v>45644</c:v>
                </c:pt>
                <c:pt idx="1229">
                  <c:v>45645</c:v>
                </c:pt>
                <c:pt idx="1230">
                  <c:v>45646</c:v>
                </c:pt>
                <c:pt idx="1231">
                  <c:v>45649</c:v>
                </c:pt>
                <c:pt idx="1232">
                  <c:v>45650</c:v>
                </c:pt>
                <c:pt idx="1233">
                  <c:v>45652</c:v>
                </c:pt>
                <c:pt idx="1234">
                  <c:v>45653</c:v>
                </c:pt>
                <c:pt idx="1235">
                  <c:v>45656</c:v>
                </c:pt>
                <c:pt idx="1236">
                  <c:v>45657</c:v>
                </c:pt>
                <c:pt idx="1237">
                  <c:v>45658</c:v>
                </c:pt>
                <c:pt idx="1238">
                  <c:v>45659</c:v>
                </c:pt>
                <c:pt idx="1239">
                  <c:v>45660</c:v>
                </c:pt>
                <c:pt idx="1240">
                  <c:v>45663</c:v>
                </c:pt>
                <c:pt idx="1241">
                  <c:v>45664</c:v>
                </c:pt>
                <c:pt idx="1242">
                  <c:v>45665</c:v>
                </c:pt>
                <c:pt idx="1243">
                  <c:v>45666</c:v>
                </c:pt>
                <c:pt idx="1244">
                  <c:v>45667</c:v>
                </c:pt>
                <c:pt idx="1245">
                  <c:v>45670</c:v>
                </c:pt>
                <c:pt idx="1246">
                  <c:v>45671</c:v>
                </c:pt>
                <c:pt idx="1247">
                  <c:v>45672</c:v>
                </c:pt>
                <c:pt idx="1248">
                  <c:v>45673</c:v>
                </c:pt>
                <c:pt idx="1249">
                  <c:v>45674</c:v>
                </c:pt>
                <c:pt idx="1250">
                  <c:v>45677</c:v>
                </c:pt>
                <c:pt idx="1251">
                  <c:v>45678</c:v>
                </c:pt>
                <c:pt idx="1252">
                  <c:v>45679</c:v>
                </c:pt>
                <c:pt idx="1253">
                  <c:v>45680</c:v>
                </c:pt>
                <c:pt idx="1254">
                  <c:v>45681</c:v>
                </c:pt>
                <c:pt idx="1255">
                  <c:v>45684</c:v>
                </c:pt>
                <c:pt idx="1256">
                  <c:v>45685</c:v>
                </c:pt>
                <c:pt idx="1257">
                  <c:v>45686</c:v>
                </c:pt>
                <c:pt idx="1258">
                  <c:v>45687</c:v>
                </c:pt>
                <c:pt idx="1259">
                  <c:v>45688</c:v>
                </c:pt>
                <c:pt idx="1260">
                  <c:v>45689</c:v>
                </c:pt>
                <c:pt idx="1261">
                  <c:v>45691</c:v>
                </c:pt>
                <c:pt idx="1262">
                  <c:v>45692</c:v>
                </c:pt>
                <c:pt idx="1263">
                  <c:v>45693</c:v>
                </c:pt>
                <c:pt idx="1264">
                  <c:v>45694</c:v>
                </c:pt>
                <c:pt idx="1265">
                  <c:v>45695</c:v>
                </c:pt>
                <c:pt idx="1266">
                  <c:v>45698</c:v>
                </c:pt>
                <c:pt idx="1267">
                  <c:v>45699</c:v>
                </c:pt>
                <c:pt idx="1268">
                  <c:v>45700</c:v>
                </c:pt>
                <c:pt idx="1269">
                  <c:v>45701</c:v>
                </c:pt>
                <c:pt idx="1270">
                  <c:v>45702</c:v>
                </c:pt>
                <c:pt idx="1271">
                  <c:v>45705</c:v>
                </c:pt>
                <c:pt idx="1272">
                  <c:v>45706</c:v>
                </c:pt>
                <c:pt idx="1273">
                  <c:v>45707</c:v>
                </c:pt>
                <c:pt idx="1274">
                  <c:v>45708</c:v>
                </c:pt>
                <c:pt idx="1275">
                  <c:v>45709</c:v>
                </c:pt>
                <c:pt idx="1276">
                  <c:v>45712</c:v>
                </c:pt>
                <c:pt idx="1277">
                  <c:v>45713</c:v>
                </c:pt>
                <c:pt idx="1278">
                  <c:v>45715</c:v>
                </c:pt>
                <c:pt idx="1279">
                  <c:v>45716</c:v>
                </c:pt>
                <c:pt idx="1280">
                  <c:v>45719</c:v>
                </c:pt>
                <c:pt idx="1281">
                  <c:v>45720</c:v>
                </c:pt>
                <c:pt idx="1282">
                  <c:v>45721</c:v>
                </c:pt>
                <c:pt idx="1283">
                  <c:v>45722</c:v>
                </c:pt>
                <c:pt idx="1284">
                  <c:v>45723</c:v>
                </c:pt>
                <c:pt idx="1285">
                  <c:v>45726</c:v>
                </c:pt>
                <c:pt idx="1286">
                  <c:v>45727</c:v>
                </c:pt>
                <c:pt idx="1287">
                  <c:v>45728</c:v>
                </c:pt>
                <c:pt idx="1288">
                  <c:v>45729</c:v>
                </c:pt>
                <c:pt idx="1289">
                  <c:v>45733</c:v>
                </c:pt>
                <c:pt idx="1290">
                  <c:v>45734</c:v>
                </c:pt>
                <c:pt idx="1291">
                  <c:v>45735</c:v>
                </c:pt>
                <c:pt idx="1292">
                  <c:v>45736</c:v>
                </c:pt>
                <c:pt idx="1293">
                  <c:v>45737</c:v>
                </c:pt>
                <c:pt idx="1294">
                  <c:v>45740</c:v>
                </c:pt>
                <c:pt idx="1295">
                  <c:v>45741</c:v>
                </c:pt>
                <c:pt idx="1296">
                  <c:v>45742</c:v>
                </c:pt>
                <c:pt idx="1297">
                  <c:v>45743</c:v>
                </c:pt>
                <c:pt idx="1298">
                  <c:v>45744</c:v>
                </c:pt>
                <c:pt idx="1299">
                  <c:v>45748</c:v>
                </c:pt>
                <c:pt idx="1300">
                  <c:v>45749</c:v>
                </c:pt>
                <c:pt idx="1301">
                  <c:v>45750</c:v>
                </c:pt>
                <c:pt idx="1302">
                  <c:v>45751</c:v>
                </c:pt>
                <c:pt idx="1303">
                  <c:v>45754</c:v>
                </c:pt>
                <c:pt idx="1304">
                  <c:v>45755</c:v>
                </c:pt>
                <c:pt idx="1305">
                  <c:v>45756</c:v>
                </c:pt>
                <c:pt idx="1306">
                  <c:v>45758</c:v>
                </c:pt>
                <c:pt idx="1307">
                  <c:v>45762</c:v>
                </c:pt>
                <c:pt idx="1308">
                  <c:v>45763</c:v>
                </c:pt>
                <c:pt idx="1309">
                  <c:v>45764</c:v>
                </c:pt>
                <c:pt idx="1310">
                  <c:v>45768</c:v>
                </c:pt>
                <c:pt idx="1311">
                  <c:v>45769</c:v>
                </c:pt>
                <c:pt idx="1312">
                  <c:v>45770</c:v>
                </c:pt>
                <c:pt idx="1313">
                  <c:v>45771</c:v>
                </c:pt>
                <c:pt idx="1314">
                  <c:v>45772</c:v>
                </c:pt>
                <c:pt idx="1315">
                  <c:v>45775</c:v>
                </c:pt>
                <c:pt idx="1316">
                  <c:v>45776</c:v>
                </c:pt>
                <c:pt idx="1317">
                  <c:v>45777</c:v>
                </c:pt>
                <c:pt idx="1318">
                  <c:v>45779</c:v>
                </c:pt>
                <c:pt idx="1319">
                  <c:v>45782</c:v>
                </c:pt>
                <c:pt idx="1320">
                  <c:v>45783</c:v>
                </c:pt>
                <c:pt idx="1321">
                  <c:v>45784</c:v>
                </c:pt>
                <c:pt idx="1322">
                  <c:v>45785</c:v>
                </c:pt>
                <c:pt idx="1323">
                  <c:v>45786</c:v>
                </c:pt>
                <c:pt idx="1324">
                  <c:v>45789</c:v>
                </c:pt>
                <c:pt idx="1325">
                  <c:v>45790</c:v>
                </c:pt>
                <c:pt idx="1326">
                  <c:v>45791</c:v>
                </c:pt>
                <c:pt idx="1327">
                  <c:v>45792</c:v>
                </c:pt>
                <c:pt idx="1328">
                  <c:v>45793</c:v>
                </c:pt>
                <c:pt idx="1329">
                  <c:v>45796</c:v>
                </c:pt>
                <c:pt idx="1330">
                  <c:v>45797</c:v>
                </c:pt>
                <c:pt idx="1331">
                  <c:v>45798</c:v>
                </c:pt>
                <c:pt idx="1332">
                  <c:v>45799</c:v>
                </c:pt>
                <c:pt idx="1333">
                  <c:v>45800</c:v>
                </c:pt>
                <c:pt idx="1334">
                  <c:v>45803</c:v>
                </c:pt>
                <c:pt idx="1335">
                  <c:v>45804</c:v>
                </c:pt>
                <c:pt idx="1336">
                  <c:v>45805</c:v>
                </c:pt>
                <c:pt idx="1337">
                  <c:v>45806</c:v>
                </c:pt>
                <c:pt idx="1338">
                  <c:v>45807</c:v>
                </c:pt>
                <c:pt idx="1339">
                  <c:v>45810</c:v>
                </c:pt>
                <c:pt idx="1340">
                  <c:v>45811</c:v>
                </c:pt>
                <c:pt idx="1341">
                  <c:v>45812</c:v>
                </c:pt>
                <c:pt idx="1342">
                  <c:v>45813</c:v>
                </c:pt>
                <c:pt idx="1343">
                  <c:v>45814</c:v>
                </c:pt>
                <c:pt idx="1344">
                  <c:v>45817</c:v>
                </c:pt>
                <c:pt idx="1345">
                  <c:v>45818</c:v>
                </c:pt>
                <c:pt idx="1346">
                  <c:v>45819</c:v>
                </c:pt>
                <c:pt idx="1347">
                  <c:v>45820</c:v>
                </c:pt>
                <c:pt idx="1348">
                  <c:v>45821</c:v>
                </c:pt>
                <c:pt idx="1349">
                  <c:v>45824</c:v>
                </c:pt>
                <c:pt idx="1350">
                  <c:v>45825</c:v>
                </c:pt>
                <c:pt idx="1351">
                  <c:v>45826</c:v>
                </c:pt>
                <c:pt idx="1352">
                  <c:v>45827</c:v>
                </c:pt>
                <c:pt idx="1353">
                  <c:v>45828</c:v>
                </c:pt>
                <c:pt idx="1354">
                  <c:v>45831</c:v>
                </c:pt>
                <c:pt idx="1355">
                  <c:v>45832</c:v>
                </c:pt>
                <c:pt idx="1356">
                  <c:v>45833</c:v>
                </c:pt>
                <c:pt idx="1357">
                  <c:v>45834</c:v>
                </c:pt>
                <c:pt idx="1358">
                  <c:v>45835</c:v>
                </c:pt>
                <c:pt idx="1359">
                  <c:v>45838</c:v>
                </c:pt>
                <c:pt idx="1360">
                  <c:v>45839</c:v>
                </c:pt>
                <c:pt idx="1361">
                  <c:v>45840</c:v>
                </c:pt>
                <c:pt idx="1362">
                  <c:v>45841</c:v>
                </c:pt>
                <c:pt idx="1363">
                  <c:v>45842</c:v>
                </c:pt>
                <c:pt idx="1364">
                  <c:v>45845</c:v>
                </c:pt>
                <c:pt idx="1365">
                  <c:v>45846</c:v>
                </c:pt>
                <c:pt idx="1366">
                  <c:v>45847</c:v>
                </c:pt>
                <c:pt idx="1367">
                  <c:v>45848</c:v>
                </c:pt>
                <c:pt idx="1368">
                  <c:v>45849</c:v>
                </c:pt>
                <c:pt idx="1369">
                  <c:v>45852</c:v>
                </c:pt>
                <c:pt idx="1370">
                  <c:v>45853</c:v>
                </c:pt>
                <c:pt idx="1371">
                  <c:v>45854</c:v>
                </c:pt>
                <c:pt idx="1372">
                  <c:v>45855</c:v>
                </c:pt>
                <c:pt idx="1373">
                  <c:v>45856</c:v>
                </c:pt>
                <c:pt idx="1374">
                  <c:v>45859</c:v>
                </c:pt>
                <c:pt idx="1375">
                  <c:v>45860</c:v>
                </c:pt>
                <c:pt idx="1376">
                  <c:v>45861</c:v>
                </c:pt>
                <c:pt idx="1377">
                  <c:v>45862</c:v>
                </c:pt>
                <c:pt idx="1378">
                  <c:v>45863</c:v>
                </c:pt>
                <c:pt idx="1379">
                  <c:v>45866</c:v>
                </c:pt>
                <c:pt idx="1380">
                  <c:v>45867</c:v>
                </c:pt>
                <c:pt idx="1381">
                  <c:v>45868</c:v>
                </c:pt>
                <c:pt idx="1382">
                  <c:v>45869</c:v>
                </c:pt>
                <c:pt idx="1383">
                  <c:v>45870</c:v>
                </c:pt>
                <c:pt idx="1384">
                  <c:v>45873</c:v>
                </c:pt>
                <c:pt idx="1385">
                  <c:v>45874</c:v>
                </c:pt>
                <c:pt idx="1386">
                  <c:v>45875</c:v>
                </c:pt>
                <c:pt idx="1387">
                  <c:v>45876</c:v>
                </c:pt>
                <c:pt idx="1388">
                  <c:v>45877</c:v>
                </c:pt>
                <c:pt idx="1389">
                  <c:v>45880</c:v>
                </c:pt>
                <c:pt idx="1390">
                  <c:v>45881</c:v>
                </c:pt>
                <c:pt idx="1391">
                  <c:v>45882</c:v>
                </c:pt>
                <c:pt idx="1392">
                  <c:v>45883</c:v>
                </c:pt>
                <c:pt idx="1393">
                  <c:v>45887</c:v>
                </c:pt>
                <c:pt idx="1394">
                  <c:v>45888</c:v>
                </c:pt>
                <c:pt idx="1395">
                  <c:v>45889</c:v>
                </c:pt>
                <c:pt idx="1396">
                  <c:v>45890</c:v>
                </c:pt>
                <c:pt idx="1397">
                  <c:v>45891</c:v>
                </c:pt>
                <c:pt idx="1398">
                  <c:v>45894</c:v>
                </c:pt>
                <c:pt idx="1399">
                  <c:v>45895</c:v>
                </c:pt>
                <c:pt idx="1400">
                  <c:v>45897</c:v>
                </c:pt>
                <c:pt idx="1401">
                  <c:v>45898</c:v>
                </c:pt>
                <c:pt idx="1402">
                  <c:v>45901</c:v>
                </c:pt>
                <c:pt idx="1403">
                  <c:v>45902</c:v>
                </c:pt>
                <c:pt idx="1404">
                  <c:v>45903</c:v>
                </c:pt>
                <c:pt idx="1405">
                  <c:v>45904</c:v>
                </c:pt>
                <c:pt idx="1406">
                  <c:v>45905</c:v>
                </c:pt>
                <c:pt idx="1407">
                  <c:v>45908</c:v>
                </c:pt>
                <c:pt idx="1408">
                  <c:v>45909</c:v>
                </c:pt>
                <c:pt idx="1409">
                  <c:v>45910</c:v>
                </c:pt>
                <c:pt idx="1410">
                  <c:v>45911</c:v>
                </c:pt>
                <c:pt idx="1411">
                  <c:v>45912</c:v>
                </c:pt>
                <c:pt idx="1412">
                  <c:v>45915</c:v>
                </c:pt>
                <c:pt idx="1413">
                  <c:v>45916</c:v>
                </c:pt>
                <c:pt idx="1414">
                  <c:v>45917</c:v>
                </c:pt>
                <c:pt idx="1415">
                  <c:v>45918</c:v>
                </c:pt>
                <c:pt idx="1416">
                  <c:v>45919</c:v>
                </c:pt>
                <c:pt idx="1417">
                  <c:v>45922</c:v>
                </c:pt>
                <c:pt idx="1418">
                  <c:v>45923</c:v>
                </c:pt>
                <c:pt idx="1419">
                  <c:v>45924</c:v>
                </c:pt>
                <c:pt idx="1420">
                  <c:v>45925</c:v>
                </c:pt>
                <c:pt idx="1421">
                  <c:v>45926</c:v>
                </c:pt>
                <c:pt idx="1422">
                  <c:v>45929</c:v>
                </c:pt>
                <c:pt idx="1423">
                  <c:v>45930</c:v>
                </c:pt>
                <c:pt idx="1424">
                  <c:v>45931</c:v>
                </c:pt>
                <c:pt idx="1425">
                  <c:v>45933</c:v>
                </c:pt>
                <c:pt idx="1426">
                  <c:v>45936</c:v>
                </c:pt>
                <c:pt idx="1427">
                  <c:v>45937</c:v>
                </c:pt>
                <c:pt idx="1428">
                  <c:v>45938</c:v>
                </c:pt>
                <c:pt idx="1429">
                  <c:v>45939</c:v>
                </c:pt>
                <c:pt idx="1430">
                  <c:v>45940</c:v>
                </c:pt>
                <c:pt idx="1431">
                  <c:v>45943</c:v>
                </c:pt>
                <c:pt idx="1432">
                  <c:v>45944</c:v>
                </c:pt>
                <c:pt idx="1433">
                  <c:v>45945</c:v>
                </c:pt>
                <c:pt idx="1434">
                  <c:v>45946</c:v>
                </c:pt>
                <c:pt idx="1435">
                  <c:v>45947</c:v>
                </c:pt>
                <c:pt idx="1436">
                  <c:v>45950</c:v>
                </c:pt>
                <c:pt idx="1437">
                  <c:v>45951</c:v>
                </c:pt>
                <c:pt idx="1438">
                  <c:v>45953</c:v>
                </c:pt>
                <c:pt idx="1439">
                  <c:v>45954</c:v>
                </c:pt>
                <c:pt idx="1440">
                  <c:v>45957</c:v>
                </c:pt>
                <c:pt idx="1441">
                  <c:v>45958</c:v>
                </c:pt>
                <c:pt idx="1442">
                  <c:v>45959</c:v>
                </c:pt>
                <c:pt idx="1443">
                  <c:v>45960</c:v>
                </c:pt>
                <c:pt idx="1444">
                  <c:v>45961</c:v>
                </c:pt>
                <c:pt idx="1445">
                  <c:v>45964</c:v>
                </c:pt>
                <c:pt idx="1446">
                  <c:v>45965</c:v>
                </c:pt>
                <c:pt idx="1447">
                  <c:v>45966</c:v>
                </c:pt>
                <c:pt idx="1448">
                  <c:v>45967</c:v>
                </c:pt>
                <c:pt idx="1449">
                  <c:v>45968</c:v>
                </c:pt>
                <c:pt idx="1450">
                  <c:v>45971</c:v>
                </c:pt>
                <c:pt idx="1451">
                  <c:v>45972</c:v>
                </c:pt>
                <c:pt idx="1452">
                  <c:v>45973</c:v>
                </c:pt>
                <c:pt idx="1453">
                  <c:v>45974</c:v>
                </c:pt>
                <c:pt idx="1454">
                  <c:v>45975</c:v>
                </c:pt>
                <c:pt idx="1455">
                  <c:v>45978</c:v>
                </c:pt>
                <c:pt idx="1456">
                  <c:v>45979</c:v>
                </c:pt>
                <c:pt idx="1457">
                  <c:v>45980</c:v>
                </c:pt>
                <c:pt idx="1458">
                  <c:v>45981</c:v>
                </c:pt>
                <c:pt idx="1459">
                  <c:v>45982</c:v>
                </c:pt>
                <c:pt idx="1460">
                  <c:v>45985</c:v>
                </c:pt>
                <c:pt idx="1461">
                  <c:v>45986</c:v>
                </c:pt>
                <c:pt idx="1462">
                  <c:v>45987</c:v>
                </c:pt>
                <c:pt idx="1463">
                  <c:v>45988</c:v>
                </c:pt>
                <c:pt idx="1464">
                  <c:v>45989</c:v>
                </c:pt>
                <c:pt idx="1465">
                  <c:v>45992</c:v>
                </c:pt>
                <c:pt idx="1466">
                  <c:v>45993</c:v>
                </c:pt>
                <c:pt idx="1467">
                  <c:v>45994</c:v>
                </c:pt>
                <c:pt idx="1468">
                  <c:v>45995</c:v>
                </c:pt>
                <c:pt idx="1469">
                  <c:v>45996</c:v>
                </c:pt>
                <c:pt idx="1470">
                  <c:v>45999</c:v>
                </c:pt>
                <c:pt idx="1471">
                  <c:v>46000</c:v>
                </c:pt>
                <c:pt idx="1472">
                  <c:v>46001</c:v>
                </c:pt>
                <c:pt idx="1473">
                  <c:v>46002</c:v>
                </c:pt>
                <c:pt idx="1474">
                  <c:v>46003</c:v>
                </c:pt>
                <c:pt idx="1475">
                  <c:v>46006</c:v>
                </c:pt>
                <c:pt idx="1476">
                  <c:v>46007</c:v>
                </c:pt>
                <c:pt idx="1477">
                  <c:v>46008</c:v>
                </c:pt>
                <c:pt idx="1478">
                  <c:v>46009</c:v>
                </c:pt>
                <c:pt idx="1479">
                  <c:v>46010</c:v>
                </c:pt>
                <c:pt idx="1480">
                  <c:v>46013</c:v>
                </c:pt>
                <c:pt idx="1481">
                  <c:v>46014</c:v>
                </c:pt>
                <c:pt idx="1482">
                  <c:v>46015</c:v>
                </c:pt>
                <c:pt idx="1483">
                  <c:v>46017</c:v>
                </c:pt>
                <c:pt idx="1484">
                  <c:v>46020</c:v>
                </c:pt>
                <c:pt idx="1485">
                  <c:v>46021</c:v>
                </c:pt>
              </c:numCache>
            </c:numRef>
          </c:cat>
          <c:val>
            <c:numRef>
              <c:f>Hitorical_Sim!$D$2:$D$1487</c:f>
              <c:numCache>
                <c:formatCode>0.00</c:formatCode>
                <c:ptCount val="1486"/>
                <c:pt idx="0">
                  <c:v>7.3552033579973669E-2</c:v>
                </c:pt>
                <c:pt idx="1">
                  <c:v>2.0633275907016198E-3</c:v>
                </c:pt>
                <c:pt idx="2">
                  <c:v>2.342670124287213E-2</c:v>
                </c:pt>
                <c:pt idx="3">
                  <c:v>-4.7091779153207785E-3</c:v>
                </c:pt>
                <c:pt idx="4">
                  <c:v>-2.4574710992030672E-2</c:v>
                </c:pt>
                <c:pt idx="5">
                  <c:v>1.4408529843946668E-2</c:v>
                </c:pt>
                <c:pt idx="6">
                  <c:v>1.7015927300163716E-3</c:v>
                </c:pt>
                <c:pt idx="7">
                  <c:v>6.6428046389404222E-2</c:v>
                </c:pt>
                <c:pt idx="8">
                  <c:v>-1.4420983143828954E-2</c:v>
                </c:pt>
                <c:pt idx="9">
                  <c:v>6.4377096748096441E-2</c:v>
                </c:pt>
                <c:pt idx="10">
                  <c:v>0</c:v>
                </c:pt>
                <c:pt idx="11">
                  <c:v>-1.0343752717277227E-2</c:v>
                </c:pt>
                <c:pt idx="12">
                  <c:v>-3.2005255123990051E-2</c:v>
                </c:pt>
                <c:pt idx="13">
                  <c:v>1.3486120665122343E-2</c:v>
                </c:pt>
                <c:pt idx="14">
                  <c:v>-8.446809066272409E-3</c:v>
                </c:pt>
                <c:pt idx="15">
                  <c:v>2.7271618434334396E-2</c:v>
                </c:pt>
                <c:pt idx="16">
                  <c:v>1.5170201575311343E-2</c:v>
                </c:pt>
                <c:pt idx="17">
                  <c:v>-9.3783324469505231E-3</c:v>
                </c:pt>
                <c:pt idx="18">
                  <c:v>-2.0575104853271173E-2</c:v>
                </c:pt>
                <c:pt idx="19">
                  <c:v>-3.7300876462590042E-3</c:v>
                </c:pt>
                <c:pt idx="20">
                  <c:v>-3.3890887157382137E-2</c:v>
                </c:pt>
                <c:pt idx="21">
                  <c:v>1.9312753478804641E-3</c:v>
                </c:pt>
                <c:pt idx="22">
                  <c:v>-0.1273950296033457</c:v>
                </c:pt>
                <c:pt idx="23">
                  <c:v>2.0246371236171411E-2</c:v>
                </c:pt>
                <c:pt idx="24">
                  <c:v>2.0896903950812635E-2</c:v>
                </c:pt>
                <c:pt idx="25">
                  <c:v>5.9531293810499215E-2</c:v>
                </c:pt>
                <c:pt idx="26">
                  <c:v>-6.959296337095299E-3</c:v>
                </c:pt>
                <c:pt idx="27">
                  <c:v>6.628982286837482E-3</c:v>
                </c:pt>
                <c:pt idx="28">
                  <c:v>-4.4586784886636761E-2</c:v>
                </c:pt>
                <c:pt idx="29">
                  <c:v>-1.1813870444172836E-2</c:v>
                </c:pt>
                <c:pt idx="30">
                  <c:v>-7.3673513509337823E-3</c:v>
                </c:pt>
                <c:pt idx="31">
                  <c:v>-3.6576248265482066E-2</c:v>
                </c:pt>
                <c:pt idx="32">
                  <c:v>-3.0030012182795149E-2</c:v>
                </c:pt>
                <c:pt idx="33">
                  <c:v>-2.5153809763093737E-2</c:v>
                </c:pt>
                <c:pt idx="34">
                  <c:v>2.4400778330025991E-2</c:v>
                </c:pt>
                <c:pt idx="35">
                  <c:v>1.0863488994106862E-2</c:v>
                </c:pt>
                <c:pt idx="36">
                  <c:v>-3.7582781781812825E-2</c:v>
                </c:pt>
                <c:pt idx="37">
                  <c:v>-3.1836007690442814E-2</c:v>
                </c:pt>
                <c:pt idx="38">
                  <c:v>-6.8593597905796097E-2</c:v>
                </c:pt>
                <c:pt idx="39">
                  <c:v>-2.7315692137109038E-2</c:v>
                </c:pt>
                <c:pt idx="40">
                  <c:v>-3.8535377252150567E-2</c:v>
                </c:pt>
                <c:pt idx="41">
                  <c:v>-6.8760627733880217E-3</c:v>
                </c:pt>
                <c:pt idx="42">
                  <c:v>8.2456486795069225E-3</c:v>
                </c:pt>
                <c:pt idx="43">
                  <c:v>-3.8600434304073734E-2</c:v>
                </c:pt>
                <c:pt idx="44">
                  <c:v>-4.7420809767468984E-4</c:v>
                </c:pt>
                <c:pt idx="45">
                  <c:v>-2.5950656582247305E-2</c:v>
                </c:pt>
                <c:pt idx="46">
                  <c:v>-5.6070767777004989E-2</c:v>
                </c:pt>
                <c:pt idx="47">
                  <c:v>2.491881578852656E-2</c:v>
                </c:pt>
                <c:pt idx="48">
                  <c:v>-9.5310219478344851E-2</c:v>
                </c:pt>
                <c:pt idx="49">
                  <c:v>-1.2229131914480723E-2</c:v>
                </c:pt>
                <c:pt idx="50">
                  <c:v>-8.0322432856581708E-2</c:v>
                </c:pt>
                <c:pt idx="51">
                  <c:v>1.6231138576803337E-2</c:v>
                </c:pt>
                <c:pt idx="52">
                  <c:v>7.5767773096161797E-2</c:v>
                </c:pt>
                <c:pt idx="53">
                  <c:v>-6.2734357966398521E-2</c:v>
                </c:pt>
                <c:pt idx="54">
                  <c:v>4.7135194353134062E-2</c:v>
                </c:pt>
                <c:pt idx="55">
                  <c:v>-0.10904823011076024</c:v>
                </c:pt>
                <c:pt idx="56">
                  <c:v>-2.0241068438960282E-2</c:v>
                </c:pt>
                <c:pt idx="57">
                  <c:v>5.2889550490020081E-2</c:v>
                </c:pt>
                <c:pt idx="58">
                  <c:v>0.13949825883998554</c:v>
                </c:pt>
                <c:pt idx="59">
                  <c:v>3.8774669031820641E-2</c:v>
                </c:pt>
                <c:pt idx="60">
                  <c:v>0.12876601700167647</c:v>
                </c:pt>
                <c:pt idx="61">
                  <c:v>1.3367055501029216E-3</c:v>
                </c:pt>
                <c:pt idx="62">
                  <c:v>-6.2463066174841257E-2</c:v>
                </c:pt>
                <c:pt idx="63">
                  <c:v>1.5052115419799453E-2</c:v>
                </c:pt>
                <c:pt idx="64">
                  <c:v>1.3447971629970131E-2</c:v>
                </c:pt>
                <c:pt idx="65">
                  <c:v>-2.0005467280507037E-2</c:v>
                </c:pt>
                <c:pt idx="66">
                  <c:v>2.5059303682960526E-2</c:v>
                </c:pt>
                <c:pt idx="67">
                  <c:v>0.10062901670207526</c:v>
                </c:pt>
                <c:pt idx="68">
                  <c:v>2.2131973729542346E-2</c:v>
                </c:pt>
                <c:pt idx="69">
                  <c:v>1.8474453351812664E-2</c:v>
                </c:pt>
                <c:pt idx="70">
                  <c:v>-9.1945958275621315E-3</c:v>
                </c:pt>
                <c:pt idx="71">
                  <c:v>-1.8646638067025292E-2</c:v>
                </c:pt>
                <c:pt idx="72">
                  <c:v>-3.412734942331299E-2</c:v>
                </c:pt>
                <c:pt idx="73">
                  <c:v>8.4640361093382493E-4</c:v>
                </c:pt>
                <c:pt idx="74">
                  <c:v>-3.8143364904984095E-3</c:v>
                </c:pt>
                <c:pt idx="75">
                  <c:v>-3.2365300390259685E-2</c:v>
                </c:pt>
                <c:pt idx="76">
                  <c:v>6.5771332349155276E-2</c:v>
                </c:pt>
                <c:pt idx="77">
                  <c:v>-2.0328432124649503E-2</c:v>
                </c:pt>
                <c:pt idx="78">
                  <c:v>5.433668047791617E-3</c:v>
                </c:pt>
                <c:pt idx="79">
                  <c:v>-8.34049889350578E-4</c:v>
                </c:pt>
                <c:pt idx="80">
                  <c:v>-5.3117426355734826E-2</c:v>
                </c:pt>
                <c:pt idx="81">
                  <c:v>9.4790099890193033E-2</c:v>
                </c:pt>
                <c:pt idx="82">
                  <c:v>1.1997279764599789E-3</c:v>
                </c:pt>
                <c:pt idx="83">
                  <c:v>-3.7048673649854189E-2</c:v>
                </c:pt>
                <c:pt idx="84">
                  <c:v>-2.6051966188878662E-2</c:v>
                </c:pt>
                <c:pt idx="85">
                  <c:v>1.3950790498126905E-2</c:v>
                </c:pt>
                <c:pt idx="86">
                  <c:v>5.860161875173373E-3</c:v>
                </c:pt>
                <c:pt idx="87">
                  <c:v>2.9173516014308993E-3</c:v>
                </c:pt>
                <c:pt idx="88">
                  <c:v>-2.9134505956794305E-2</c:v>
                </c:pt>
                <c:pt idx="89">
                  <c:v>3.4943603730924172E-2</c:v>
                </c:pt>
                <c:pt idx="90">
                  <c:v>-5.1794319299585355E-2</c:v>
                </c:pt>
                <c:pt idx="91">
                  <c:v>1.2126649391320856E-2</c:v>
                </c:pt>
                <c:pt idx="92">
                  <c:v>-9.9503825390435761E-3</c:v>
                </c:pt>
                <c:pt idx="93">
                  <c:v>4.3384450116719592E-3</c:v>
                </c:pt>
                <c:pt idx="94">
                  <c:v>2.5941019729057236E-3</c:v>
                </c:pt>
                <c:pt idx="95">
                  <c:v>-9.9806070916218185E-3</c:v>
                </c:pt>
                <c:pt idx="96">
                  <c:v>4.7856562749000638E-3</c:v>
                </c:pt>
                <c:pt idx="97">
                  <c:v>2.2742993209723793E-2</c:v>
                </c:pt>
                <c:pt idx="98">
                  <c:v>2.4723565371732724E-2</c:v>
                </c:pt>
                <c:pt idx="99">
                  <c:v>-3.1962244402484248E-2</c:v>
                </c:pt>
                <c:pt idx="100">
                  <c:v>2.9869295934457116E-3</c:v>
                </c:pt>
                <c:pt idx="101">
                  <c:v>0</c:v>
                </c:pt>
                <c:pt idx="102">
                  <c:v>-8.5253695837073887E-4</c:v>
                </c:pt>
                <c:pt idx="103">
                  <c:v>1.0604558791874249E-2</c:v>
                </c:pt>
                <c:pt idx="104">
                  <c:v>6.4538508638998696E-2</c:v>
                </c:pt>
                <c:pt idx="105">
                  <c:v>4.1075146064297866E-2</c:v>
                </c:pt>
                <c:pt idx="106">
                  <c:v>-3.2802470256331463E-2</c:v>
                </c:pt>
                <c:pt idx="107">
                  <c:v>-4.3703072423224056E-2</c:v>
                </c:pt>
                <c:pt idx="108">
                  <c:v>3.6817043483737349E-3</c:v>
                </c:pt>
                <c:pt idx="109">
                  <c:v>1.8608983733456985E-2</c:v>
                </c:pt>
                <c:pt idx="110">
                  <c:v>-7.6443807233041788E-3</c:v>
                </c:pt>
                <c:pt idx="111">
                  <c:v>3.3753382635224954E-2</c:v>
                </c:pt>
                <c:pt idx="112">
                  <c:v>4.6748466283827771E-3</c:v>
                </c:pt>
                <c:pt idx="113">
                  <c:v>-3.5202400595716651E-2</c:v>
                </c:pt>
                <c:pt idx="114">
                  <c:v>2.0107841136293011E-3</c:v>
                </c:pt>
                <c:pt idx="115">
                  <c:v>-1.1313096533182526E-2</c:v>
                </c:pt>
                <c:pt idx="116">
                  <c:v>-1.8868580901382472E-2</c:v>
                </c:pt>
                <c:pt idx="117">
                  <c:v>-8.6446928498533679E-2</c:v>
                </c:pt>
                <c:pt idx="118">
                  <c:v>2.9361594275057822E-2</c:v>
                </c:pt>
                <c:pt idx="119">
                  <c:v>-2.1944142269008063E-3</c:v>
                </c:pt>
                <c:pt idx="120">
                  <c:v>2.4735496500979844E-2</c:v>
                </c:pt>
                <c:pt idx="121">
                  <c:v>3.2886652333722004E-2</c:v>
                </c:pt>
                <c:pt idx="122">
                  <c:v>1.6575996156748165E-3</c:v>
                </c:pt>
                <c:pt idx="123">
                  <c:v>-1.3758775306426383E-2</c:v>
                </c:pt>
                <c:pt idx="124">
                  <c:v>-5.0505794227965447E-3</c:v>
                </c:pt>
                <c:pt idx="125">
                  <c:v>-8.0491252812365365E-3</c:v>
                </c:pt>
                <c:pt idx="126">
                  <c:v>5.0912256324656142E-3</c:v>
                </c:pt>
                <c:pt idx="127">
                  <c:v>-1.0636207673342651E-2</c:v>
                </c:pt>
                <c:pt idx="128">
                  <c:v>-1.9871030824417813E-2</c:v>
                </c:pt>
                <c:pt idx="129">
                  <c:v>-7.8844686325012844E-3</c:v>
                </c:pt>
                <c:pt idx="130">
                  <c:v>-1.5511038349845076E-2</c:v>
                </c:pt>
                <c:pt idx="131">
                  <c:v>-3.5793731448433941E-3</c:v>
                </c:pt>
                <c:pt idx="132">
                  <c:v>-9.0049609223463289E-3</c:v>
                </c:pt>
                <c:pt idx="133">
                  <c:v>3.160854552854741E-3</c:v>
                </c:pt>
                <c:pt idx="134">
                  <c:v>8.550741761874775E-2</c:v>
                </c:pt>
                <c:pt idx="135">
                  <c:v>1.8048146532036794E-2</c:v>
                </c:pt>
                <c:pt idx="136">
                  <c:v>-3.138162649394214E-2</c:v>
                </c:pt>
                <c:pt idx="137">
                  <c:v>2.2808303600059279E-2</c:v>
                </c:pt>
                <c:pt idx="138">
                  <c:v>-3.1656016262460118E-2</c:v>
                </c:pt>
                <c:pt idx="139">
                  <c:v>-5.5167452125004929E-3</c:v>
                </c:pt>
                <c:pt idx="140">
                  <c:v>-5.5472809990467194E-3</c:v>
                </c:pt>
                <c:pt idx="141">
                  <c:v>-4.7179198225406555E-3</c:v>
                </c:pt>
                <c:pt idx="142">
                  <c:v>-1.1675835761140401E-2</c:v>
                </c:pt>
                <c:pt idx="143">
                  <c:v>-1.9767854004288755E-2</c:v>
                </c:pt>
                <c:pt idx="144">
                  <c:v>-9.8084129889898907E-3</c:v>
                </c:pt>
                <c:pt idx="145">
                  <c:v>1.3351396445449804E-2</c:v>
                </c:pt>
                <c:pt idx="146">
                  <c:v>2.1430953144993947E-2</c:v>
                </c:pt>
                <c:pt idx="147">
                  <c:v>-8.6918769754430227E-3</c:v>
                </c:pt>
                <c:pt idx="148">
                  <c:v>9.9891395947793397E-3</c:v>
                </c:pt>
                <c:pt idx="149">
                  <c:v>1.501212515216763E-2</c:v>
                </c:pt>
                <c:pt idx="150">
                  <c:v>-5.97783368110061E-3</c:v>
                </c:pt>
                <c:pt idx="151">
                  <c:v>-6.8758744518783383E-3</c:v>
                </c:pt>
                <c:pt idx="152">
                  <c:v>1.1575719748026202E-2</c:v>
                </c:pt>
                <c:pt idx="153">
                  <c:v>-9.4218834822968334E-3</c:v>
                </c:pt>
                <c:pt idx="154">
                  <c:v>2.2549259217542427E-2</c:v>
                </c:pt>
                <c:pt idx="155">
                  <c:v>-8.8738177603706371E-3</c:v>
                </c:pt>
                <c:pt idx="156">
                  <c:v>3.389787235703697E-3</c:v>
                </c:pt>
                <c:pt idx="157">
                  <c:v>-1.3628778555892306E-2</c:v>
                </c:pt>
                <c:pt idx="158">
                  <c:v>5.132532822311975E-3</c:v>
                </c:pt>
                <c:pt idx="159">
                  <c:v>-1.5044322106557975E-2</c:v>
                </c:pt>
                <c:pt idx="160">
                  <c:v>7.3355764069836541E-3</c:v>
                </c:pt>
                <c:pt idx="161">
                  <c:v>2.6306148203130601E-2</c:v>
                </c:pt>
                <c:pt idx="162">
                  <c:v>-3.3557279719201838E-3</c:v>
                </c:pt>
                <c:pt idx="163">
                  <c:v>-8.4389530259166776E-3</c:v>
                </c:pt>
                <c:pt idx="164">
                  <c:v>-3.5802802498124023E-2</c:v>
                </c:pt>
                <c:pt idx="165">
                  <c:v>-7.9365454494237358E-3</c:v>
                </c:pt>
                <c:pt idx="166">
                  <c:v>4.8576494620864432E-3</c:v>
                </c:pt>
                <c:pt idx="167">
                  <c:v>-4.4070667062633123E-4</c:v>
                </c:pt>
                <c:pt idx="168">
                  <c:v>-6.189183039453241E-3</c:v>
                </c:pt>
                <c:pt idx="169">
                  <c:v>-9.8040418556394667E-3</c:v>
                </c:pt>
                <c:pt idx="170">
                  <c:v>-2.1272560157258237E-2</c:v>
                </c:pt>
                <c:pt idx="171">
                  <c:v>-1.614051860422824E-2</c:v>
                </c:pt>
                <c:pt idx="172">
                  <c:v>2.1615053813205498E-2</c:v>
                </c:pt>
                <c:pt idx="173">
                  <c:v>-7.7644244562481502E-3</c:v>
                </c:pt>
                <c:pt idx="174">
                  <c:v>2.4010118035651552E-2</c:v>
                </c:pt>
                <c:pt idx="175">
                  <c:v>-1.0348639298444786E-2</c:v>
                </c:pt>
                <c:pt idx="176">
                  <c:v>-1.9639891266688008E-2</c:v>
                </c:pt>
                <c:pt idx="177">
                  <c:v>3.6832676523343619E-3</c:v>
                </c:pt>
                <c:pt idx="178">
                  <c:v>4.1410057512038877E-2</c:v>
                </c:pt>
                <c:pt idx="179">
                  <c:v>-5.0180099644194009E-2</c:v>
                </c:pt>
                <c:pt idx="180">
                  <c:v>-2.4402863495339145E-2</c:v>
                </c:pt>
                <c:pt idx="181">
                  <c:v>-1.628385087374324E-2</c:v>
                </c:pt>
                <c:pt idx="182">
                  <c:v>-2.1474729056114888E-2</c:v>
                </c:pt>
                <c:pt idx="183">
                  <c:v>2.4367689957362788E-2</c:v>
                </c:pt>
                <c:pt idx="184">
                  <c:v>2.1905675625546142E-2</c:v>
                </c:pt>
                <c:pt idx="185">
                  <c:v>-6.6163023244634328E-3</c:v>
                </c:pt>
                <c:pt idx="186">
                  <c:v>-8.0933381423573016E-3</c:v>
                </c:pt>
                <c:pt idx="187">
                  <c:v>5.2443349691744853E-3</c:v>
                </c:pt>
                <c:pt idx="188">
                  <c:v>5.6899872769462919E-3</c:v>
                </c:pt>
                <c:pt idx="189">
                  <c:v>2.361113228691951E-3</c:v>
                </c:pt>
                <c:pt idx="190">
                  <c:v>-8.5267370297238999E-3</c:v>
                </c:pt>
                <c:pt idx="191">
                  <c:v>-6.20387468034747E-3</c:v>
                </c:pt>
                <c:pt idx="192">
                  <c:v>-5.7608589234667629E-3</c:v>
                </c:pt>
                <c:pt idx="193">
                  <c:v>-1.1135491378839405E-2</c:v>
                </c:pt>
                <c:pt idx="194">
                  <c:v>-5.3697028316023188E-3</c:v>
                </c:pt>
                <c:pt idx="195">
                  <c:v>-4.9068301423851142E-3</c:v>
                </c:pt>
                <c:pt idx="196">
                  <c:v>-5.4253981372293586E-3</c:v>
                </c:pt>
                <c:pt idx="197">
                  <c:v>5.4253981372293083E-3</c:v>
                </c:pt>
                <c:pt idx="198">
                  <c:v>4.6139827321044539E-2</c:v>
                </c:pt>
                <c:pt idx="199">
                  <c:v>-2.7620763869465579E-2</c:v>
                </c:pt>
                <c:pt idx="200">
                  <c:v>-2.901354411992566E-3</c:v>
                </c:pt>
                <c:pt idx="201">
                  <c:v>-2.9097967696278333E-3</c:v>
                </c:pt>
                <c:pt idx="202">
                  <c:v>-2.4313792959710489E-3</c:v>
                </c:pt>
                <c:pt idx="203">
                  <c:v>-2.4372282105863002E-3</c:v>
                </c:pt>
                <c:pt idx="204">
                  <c:v>-1.1288366767374811E-2</c:v>
                </c:pt>
                <c:pt idx="205">
                  <c:v>1.9723601080155811E-3</c:v>
                </c:pt>
                <c:pt idx="206">
                  <c:v>-4.4433130056244323E-3</c:v>
                </c:pt>
                <c:pt idx="207">
                  <c:v>1.9771569064317256E-3</c:v>
                </c:pt>
                <c:pt idx="208">
                  <c:v>-7.9326631118022493E-3</c:v>
                </c:pt>
                <c:pt idx="209">
                  <c:v>-2.9908700296881713E-3</c:v>
                </c:pt>
                <c:pt idx="210">
                  <c:v>-4.9946754611782226E-4</c:v>
                </c:pt>
                <c:pt idx="211">
                  <c:v>1.4873841056270735E-2</c:v>
                </c:pt>
                <c:pt idx="212">
                  <c:v>1.2714203500507492E-2</c:v>
                </c:pt>
                <c:pt idx="213">
                  <c:v>9.7129366655586229E-4</c:v>
                </c:pt>
                <c:pt idx="214">
                  <c:v>3.3923087319868168E-3</c:v>
                </c:pt>
                <c:pt idx="215">
                  <c:v>1.1544133167477891E-2</c:v>
                </c:pt>
                <c:pt idx="216">
                  <c:v>2.3883320983798329E-3</c:v>
                </c:pt>
                <c:pt idx="217">
                  <c:v>8.7210159985032301E-2</c:v>
                </c:pt>
                <c:pt idx="218">
                  <c:v>-2.1887200560342219E-3</c:v>
                </c:pt>
                <c:pt idx="219">
                  <c:v>2.7659529835536857E-2</c:v>
                </c:pt>
                <c:pt idx="220">
                  <c:v>-2.8974995683206762E-2</c:v>
                </c:pt>
                <c:pt idx="221">
                  <c:v>-1.68145697357793E-2</c:v>
                </c:pt>
                <c:pt idx="222">
                  <c:v>-3.5762436494761935E-3</c:v>
                </c:pt>
                <c:pt idx="223">
                  <c:v>1.2903456536917124E-2</c:v>
                </c:pt>
                <c:pt idx="224">
                  <c:v>1.7963221764503098E-2</c:v>
                </c:pt>
                <c:pt idx="225">
                  <c:v>2.2752688741917215E-2</c:v>
                </c:pt>
                <c:pt idx="226">
                  <c:v>3.389787235703697E-3</c:v>
                </c:pt>
                <c:pt idx="227">
                  <c:v>-5.5142710315321418E-3</c:v>
                </c:pt>
                <c:pt idx="228">
                  <c:v>-2.5554335106377215E-3</c:v>
                </c:pt>
                <c:pt idx="229">
                  <c:v>-6.8465204248100084E-3</c:v>
                </c:pt>
                <c:pt idx="230">
                  <c:v>1.5761979556393732E-2</c:v>
                </c:pt>
                <c:pt idx="231">
                  <c:v>-1.2332826200027642E-2</c:v>
                </c:pt>
                <c:pt idx="232">
                  <c:v>4.4358822499071547E-2</c:v>
                </c:pt>
                <c:pt idx="233">
                  <c:v>-1.0286110179245208E-2</c:v>
                </c:pt>
                <c:pt idx="234">
                  <c:v>4.8829535990859679E-2</c:v>
                </c:pt>
                <c:pt idx="235">
                  <c:v>1.8728652120658145E-2</c:v>
                </c:pt>
                <c:pt idx="236">
                  <c:v>1.9901123332241141E-2</c:v>
                </c:pt>
                <c:pt idx="237">
                  <c:v>7.5765515200647434E-4</c:v>
                </c:pt>
                <c:pt idx="238">
                  <c:v>-1.9499898120440017E-2</c:v>
                </c:pt>
                <c:pt idx="239">
                  <c:v>6.9258257012704228E-3</c:v>
                </c:pt>
                <c:pt idx="240">
                  <c:v>1.0299502571900817E-2</c:v>
                </c:pt>
                <c:pt idx="241">
                  <c:v>1.0570099915295263E-2</c:v>
                </c:pt>
                <c:pt idx="242">
                  <c:v>-9.1973612043388067E-2</c:v>
                </c:pt>
                <c:pt idx="243">
                  <c:v>-1.4514024437260076E-2</c:v>
                </c:pt>
                <c:pt idx="244">
                  <c:v>5.4462861996346326E-2</c:v>
                </c:pt>
                <c:pt idx="245">
                  <c:v>4.5242595853794781E-2</c:v>
                </c:pt>
                <c:pt idx="246">
                  <c:v>1.0904338719992355E-2</c:v>
                </c:pt>
                <c:pt idx="247">
                  <c:v>-2.4991762576681786E-2</c:v>
                </c:pt>
                <c:pt idx="248">
                  <c:v>-9.6321350631875819E-3</c:v>
                </c:pt>
                <c:pt idx="249">
                  <c:v>-2.3254586238505973E-3</c:v>
                </c:pt>
                <c:pt idx="250">
                  <c:v>3.0994113250592411E-3</c:v>
                </c:pt>
                <c:pt idx="251">
                  <c:v>3.0899565015803303E-3</c:v>
                </c:pt>
                <c:pt idx="252">
                  <c:v>-1.0856941045487744E-2</c:v>
                </c:pt>
                <c:pt idx="253">
                  <c:v>-1.1764835384000836E-2</c:v>
                </c:pt>
                <c:pt idx="254">
                  <c:v>1.4101283823253498E-2</c:v>
                </c:pt>
                <c:pt idx="255">
                  <c:v>8.1349983492011776E-3</c:v>
                </c:pt>
                <c:pt idx="256">
                  <c:v>3.7854588825346827E-2</c:v>
                </c:pt>
                <c:pt idx="257">
                  <c:v>-2.9762692880802737E-3</c:v>
                </c:pt>
                <c:pt idx="258">
                  <c:v>-1.6150527000664418E-2</c:v>
                </c:pt>
                <c:pt idx="259">
                  <c:v>2.6468937738514712E-3</c:v>
                </c:pt>
                <c:pt idx="260">
                  <c:v>-3.0287853412034809E-2</c:v>
                </c:pt>
                <c:pt idx="261">
                  <c:v>1.6216562521543274E-2</c:v>
                </c:pt>
                <c:pt idx="262">
                  <c:v>2.9436012730030579E-2</c:v>
                </c:pt>
                <c:pt idx="263">
                  <c:v>3.256178532669448E-2</c:v>
                </c:pt>
                <c:pt idx="264">
                  <c:v>-4.6903884636055014E-3</c:v>
                </c:pt>
                <c:pt idx="265">
                  <c:v>-5.0437217451868986E-2</c:v>
                </c:pt>
                <c:pt idx="266">
                  <c:v>-3.0510119745639854E-2</c:v>
                </c:pt>
                <c:pt idx="267">
                  <c:v>1.3632069939880908E-2</c:v>
                </c:pt>
                <c:pt idx="268">
                  <c:v>3.0899565015803303E-3</c:v>
                </c:pt>
                <c:pt idx="269">
                  <c:v>-2.0651281653601208E-2</c:v>
                </c:pt>
                <c:pt idx="270">
                  <c:v>8.5961023057117864E-2</c:v>
                </c:pt>
                <c:pt idx="271">
                  <c:v>-1.8228845750675644E-2</c:v>
                </c:pt>
                <c:pt idx="272">
                  <c:v>-1.4826217959782449E-2</c:v>
                </c:pt>
                <c:pt idx="273">
                  <c:v>3.2332126395409104E-2</c:v>
                </c:pt>
                <c:pt idx="274">
                  <c:v>-2.6746532584017216E-2</c:v>
                </c:pt>
                <c:pt idx="275">
                  <c:v>-1.858204308227251E-3</c:v>
                </c:pt>
                <c:pt idx="276">
                  <c:v>-2.4097577381862155E-2</c:v>
                </c:pt>
                <c:pt idx="277">
                  <c:v>9.104702239058687E-3</c:v>
                </c:pt>
                <c:pt idx="278">
                  <c:v>1.1322588728265865E-3</c:v>
                </c:pt>
                <c:pt idx="279">
                  <c:v>3.3386047595869224E-2</c:v>
                </c:pt>
                <c:pt idx="280">
                  <c:v>-4.3875728488412136E-3</c:v>
                </c:pt>
                <c:pt idx="281">
                  <c:v>-5.8802431717884717E-3</c:v>
                </c:pt>
                <c:pt idx="282">
                  <c:v>8.8073911904883694E-3</c:v>
                </c:pt>
                <c:pt idx="283">
                  <c:v>0.18219971991076211</c:v>
                </c:pt>
                <c:pt idx="284">
                  <c:v>0.13375977650938628</c:v>
                </c:pt>
                <c:pt idx="285">
                  <c:v>-0.21294002489156036</c:v>
                </c:pt>
                <c:pt idx="286">
                  <c:v>8.5251877273526289E-2</c:v>
                </c:pt>
                <c:pt idx="287">
                  <c:v>-3.6053776714102453E-2</c:v>
                </c:pt>
                <c:pt idx="288">
                  <c:v>1.3092498066944994E-2</c:v>
                </c:pt>
                <c:pt idx="289">
                  <c:v>-4.9518281228642949E-2</c:v>
                </c:pt>
                <c:pt idx="290">
                  <c:v>1.5499273339904184E-2</c:v>
                </c:pt>
                <c:pt idx="291">
                  <c:v>-1.0630105924455248E-2</c:v>
                </c:pt>
                <c:pt idx="292">
                  <c:v>-2.5937949245386405E-3</c:v>
                </c:pt>
                <c:pt idx="293">
                  <c:v>-1.0772168458580681E-2</c:v>
                </c:pt>
                <c:pt idx="294">
                  <c:v>-2.8968243368517024E-2</c:v>
                </c:pt>
                <c:pt idx="295">
                  <c:v>7.0433340655152499E-2</c:v>
                </c:pt>
                <c:pt idx="296">
                  <c:v>-3.7534534121475893E-2</c:v>
                </c:pt>
                <c:pt idx="297">
                  <c:v>3.1217430664527125E-2</c:v>
                </c:pt>
                <c:pt idx="298">
                  <c:v>4.3100699675609894E-2</c:v>
                </c:pt>
                <c:pt idx="299">
                  <c:v>-9.1464486931707254E-3</c:v>
                </c:pt>
                <c:pt idx="300">
                  <c:v>5.1048239900899274E-2</c:v>
                </c:pt>
                <c:pt idx="301">
                  <c:v>-2.2664627378152096E-2</c:v>
                </c:pt>
                <c:pt idx="302">
                  <c:v>-1.7720824228386681E-2</c:v>
                </c:pt>
                <c:pt idx="303">
                  <c:v>0</c:v>
                </c:pt>
                <c:pt idx="304">
                  <c:v>2.4544752504250443E-2</c:v>
                </c:pt>
                <c:pt idx="305">
                  <c:v>-2.8796118785236059E-2</c:v>
                </c:pt>
                <c:pt idx="306">
                  <c:v>-2.9650182093087521E-2</c:v>
                </c:pt>
                <c:pt idx="307">
                  <c:v>-5.0798436276253058E-2</c:v>
                </c:pt>
                <c:pt idx="308">
                  <c:v>7.8842954952090694E-3</c:v>
                </c:pt>
                <c:pt idx="309">
                  <c:v>-5.9075162739116172E-3</c:v>
                </c:pt>
                <c:pt idx="310">
                  <c:v>1.6000547703429818E-2</c:v>
                </c:pt>
                <c:pt idx="311">
                  <c:v>8.3870560147394184E-3</c:v>
                </c:pt>
                <c:pt idx="312">
                  <c:v>-1.9462166901975299E-2</c:v>
                </c:pt>
                <c:pt idx="313">
                  <c:v>-3.9383028453987088E-3</c:v>
                </c:pt>
                <c:pt idx="314">
                  <c:v>1.6631738293931581E-2</c:v>
                </c:pt>
                <c:pt idx="315">
                  <c:v>1.6995791529389574E-2</c:v>
                </c:pt>
                <c:pt idx="316">
                  <c:v>2.2946152735775847E-2</c:v>
                </c:pt>
                <c:pt idx="317">
                  <c:v>-9.8890192928852219E-2</c:v>
                </c:pt>
                <c:pt idx="318">
                  <c:v>2.4399703972807156E-2</c:v>
                </c:pt>
                <c:pt idx="319">
                  <c:v>-2.7836221901690765E-2</c:v>
                </c:pt>
                <c:pt idx="320">
                  <c:v>2.4818539246473273E-2</c:v>
                </c:pt>
                <c:pt idx="321">
                  <c:v>-3.0687641445172931E-2</c:v>
                </c:pt>
                <c:pt idx="322">
                  <c:v>2.8670888302338212E-2</c:v>
                </c:pt>
                <c:pt idx="323">
                  <c:v>1.403291253771621E-2</c:v>
                </c:pt>
                <c:pt idx="324">
                  <c:v>-1.2016159394881409E-2</c:v>
                </c:pt>
                <c:pt idx="325">
                  <c:v>3.3564206020421963E-4</c:v>
                </c:pt>
                <c:pt idx="326">
                  <c:v>3.3512961533135408E-3</c:v>
                </c:pt>
                <c:pt idx="327">
                  <c:v>-9.0740825536030512E-3</c:v>
                </c:pt>
                <c:pt idx="328">
                  <c:v>-1.2570344314181858E-2</c:v>
                </c:pt>
                <c:pt idx="329">
                  <c:v>-2.7387522849900529E-3</c:v>
                </c:pt>
                <c:pt idx="330">
                  <c:v>8.8736840336698757E-3</c:v>
                </c:pt>
                <c:pt idx="331">
                  <c:v>5.6157515705126969E-2</c:v>
                </c:pt>
                <c:pt idx="332">
                  <c:v>-9.0351608325915846E-3</c:v>
                </c:pt>
                <c:pt idx="333">
                  <c:v>-1.1082227419477142E-2</c:v>
                </c:pt>
                <c:pt idx="334">
                  <c:v>-9.2198233021029141E-3</c:v>
                </c:pt>
                <c:pt idx="335">
                  <c:v>7.9077801585448783E-3</c:v>
                </c:pt>
                <c:pt idx="336">
                  <c:v>3.0065360285256117E-2</c:v>
                </c:pt>
                <c:pt idx="337">
                  <c:v>-1.7671089722220836E-2</c:v>
                </c:pt>
                <c:pt idx="338">
                  <c:v>-1.1410154550088708E-2</c:v>
                </c:pt>
                <c:pt idx="339">
                  <c:v>-8.5611451143445434E-3</c:v>
                </c:pt>
                <c:pt idx="340">
                  <c:v>1.0853656469997204E-2</c:v>
                </c:pt>
                <c:pt idx="341">
                  <c:v>7.7094394052175996E-2</c:v>
                </c:pt>
                <c:pt idx="342">
                  <c:v>4.2307141913051844E-3</c:v>
                </c:pt>
                <c:pt idx="343">
                  <c:v>-1.0915905629826691E-2</c:v>
                </c:pt>
                <c:pt idx="344">
                  <c:v>-1.0419932708043155E-2</c:v>
                </c:pt>
                <c:pt idx="345">
                  <c:v>2.7948407179024103E-2</c:v>
                </c:pt>
                <c:pt idx="346">
                  <c:v>-1.5700637627733813E-2</c:v>
                </c:pt>
                <c:pt idx="347">
                  <c:v>-1.2247769551290248E-2</c:v>
                </c:pt>
                <c:pt idx="348">
                  <c:v>6.7548822109189223E-3</c:v>
                </c:pt>
                <c:pt idx="349">
                  <c:v>-6.1219819840604105E-4</c:v>
                </c:pt>
                <c:pt idx="350">
                  <c:v>-6.450616189063875E-3</c:v>
                </c:pt>
                <c:pt idx="351">
                  <c:v>1.7413056323115475E-2</c:v>
                </c:pt>
                <c:pt idx="352">
                  <c:v>2.6006366366079024E-2</c:v>
                </c:pt>
                <c:pt idx="353">
                  <c:v>2.7646145037538872E-2</c:v>
                </c:pt>
                <c:pt idx="354">
                  <c:v>1.4815108457638346E-2</c:v>
                </c:pt>
                <c:pt idx="355">
                  <c:v>-1.3380968203063635E-2</c:v>
                </c:pt>
                <c:pt idx="356">
                  <c:v>-3.9163292502378176E-2</c:v>
                </c:pt>
                <c:pt idx="357">
                  <c:v>5.6470775425980875E-3</c:v>
                </c:pt>
                <c:pt idx="358">
                  <c:v>6.7937870403183926E-3</c:v>
                </c:pt>
                <c:pt idx="359">
                  <c:v>-1.7820479235518258E-2</c:v>
                </c:pt>
                <c:pt idx="360">
                  <c:v>-5.7099650246028562E-3</c:v>
                </c:pt>
                <c:pt idx="361">
                  <c:v>4.8244590176966189E-2</c:v>
                </c:pt>
                <c:pt idx="362">
                  <c:v>-1.3589900349878992E-2</c:v>
                </c:pt>
                <c:pt idx="363">
                  <c:v>1.0137563841897238E-2</c:v>
                </c:pt>
                <c:pt idx="364">
                  <c:v>-1.305300074811459E-2</c:v>
                </c:pt>
                <c:pt idx="365">
                  <c:v>-9.9766802831303403E-3</c:v>
                </c:pt>
                <c:pt idx="366">
                  <c:v>-1.1866079608182341E-2</c:v>
                </c:pt>
                <c:pt idx="367">
                  <c:v>-1.0197932584280662E-2</c:v>
                </c:pt>
                <c:pt idx="368">
                  <c:v>-3.3217505679568647E-3</c:v>
                </c:pt>
                <c:pt idx="369">
                  <c:v>-9.0806766022356758E-4</c:v>
                </c:pt>
                <c:pt idx="370">
                  <c:v>4.5570163983524287E-2</c:v>
                </c:pt>
                <c:pt idx="371">
                  <c:v>-1.8981471167620053E-2</c:v>
                </c:pt>
                <c:pt idx="372">
                  <c:v>1.6664584398967976E-2</c:v>
                </c:pt>
                <c:pt idx="373">
                  <c:v>-5.799697458507238E-4</c:v>
                </c:pt>
                <c:pt idx="374">
                  <c:v>-1.3434851180361114E-2</c:v>
                </c:pt>
                <c:pt idx="375">
                  <c:v>-8.5634068979533098E-3</c:v>
                </c:pt>
                <c:pt idx="376">
                  <c:v>0</c:v>
                </c:pt>
                <c:pt idx="377">
                  <c:v>-1.4939036338627565E-2</c:v>
                </c:pt>
                <c:pt idx="378">
                  <c:v>4.2055814759658994E-3</c:v>
                </c:pt>
                <c:pt idx="379">
                  <c:v>-3.0022758957035751E-3</c:v>
                </c:pt>
                <c:pt idx="380">
                  <c:v>5.0982635525465515E-3</c:v>
                </c:pt>
                <c:pt idx="381">
                  <c:v>-5.098263552546574E-3</c:v>
                </c:pt>
                <c:pt idx="382">
                  <c:v>-4.2181580729402377E-3</c:v>
                </c:pt>
                <c:pt idx="383">
                  <c:v>-5.4495542004913402E-3</c:v>
                </c:pt>
                <c:pt idx="384">
                  <c:v>-3.6495408868514605E-3</c:v>
                </c:pt>
                <c:pt idx="385">
                  <c:v>-3.4721415893997146E-2</c:v>
                </c:pt>
                <c:pt idx="386">
                  <c:v>1.3784638241953527E-2</c:v>
                </c:pt>
                <c:pt idx="387">
                  <c:v>-1.3784638241953518E-2</c:v>
                </c:pt>
                <c:pt idx="388">
                  <c:v>4.412250095062363E-2</c:v>
                </c:pt>
                <c:pt idx="389">
                  <c:v>-2.8162301794115482E-2</c:v>
                </c:pt>
                <c:pt idx="390">
                  <c:v>2.2714301654245823E-2</c:v>
                </c:pt>
                <c:pt idx="391">
                  <c:v>-9.7591128152468305E-3</c:v>
                </c:pt>
                <c:pt idx="392">
                  <c:v>-8.6182149267405132E-3</c:v>
                </c:pt>
                <c:pt idx="393">
                  <c:v>6.1634096706480101E-3</c:v>
                </c:pt>
                <c:pt idx="394">
                  <c:v>-1.0810804262319833E-2</c:v>
                </c:pt>
                <c:pt idx="395">
                  <c:v>-2.5158610886381414E-2</c:v>
                </c:pt>
                <c:pt idx="396">
                  <c:v>-7.3517864801098979E-3</c:v>
                </c:pt>
                <c:pt idx="397">
                  <c:v>1.2824955024282802E-3</c:v>
                </c:pt>
                <c:pt idx="398">
                  <c:v>1.6007087645137823E-3</c:v>
                </c:pt>
                <c:pt idx="399">
                  <c:v>-2.7567816423835396E-2</c:v>
                </c:pt>
                <c:pt idx="400">
                  <c:v>-1.6244348166279905E-2</c:v>
                </c:pt>
                <c:pt idx="401">
                  <c:v>-6.3705744922305362E-3</c:v>
                </c:pt>
                <c:pt idx="402">
                  <c:v>-7.7663608028162258E-3</c:v>
                </c:pt>
                <c:pt idx="403">
                  <c:v>-2.1240847036011864E-2</c:v>
                </c:pt>
                <c:pt idx="404">
                  <c:v>-3.3090146663371622E-2</c:v>
                </c:pt>
                <c:pt idx="405">
                  <c:v>-1.3330903317249976E-2</c:v>
                </c:pt>
                <c:pt idx="406">
                  <c:v>-1.7563790532297958E-2</c:v>
                </c:pt>
                <c:pt idx="407">
                  <c:v>0.1681326896123439</c:v>
                </c:pt>
                <c:pt idx="408">
                  <c:v>-4.76053362989695E-2</c:v>
                </c:pt>
                <c:pt idx="409">
                  <c:v>7.1650822075890505E-2</c:v>
                </c:pt>
                <c:pt idx="410">
                  <c:v>3.089177659395383E-2</c:v>
                </c:pt>
                <c:pt idx="411">
                  <c:v>-5.9104387327593439E-4</c:v>
                </c:pt>
                <c:pt idx="412">
                  <c:v>-1.1591671876763632E-2</c:v>
                </c:pt>
                <c:pt idx="413">
                  <c:v>-3.312858658559182E-2</c:v>
                </c:pt>
                <c:pt idx="414">
                  <c:v>-1.1812492317006783E-2</c:v>
                </c:pt>
                <c:pt idx="415">
                  <c:v>-8.163223176451068E-3</c:v>
                </c:pt>
                <c:pt idx="416">
                  <c:v>1.3464906252052732E-2</c:v>
                </c:pt>
                <c:pt idx="417">
                  <c:v>-5.927285720334895E-3</c:v>
                </c:pt>
                <c:pt idx="418">
                  <c:v>2.499967113747505E-3</c:v>
                </c:pt>
                <c:pt idx="419">
                  <c:v>-1.2246992491795857E-2</c:v>
                </c:pt>
                <c:pt idx="420">
                  <c:v>6.2992965861371902E-3</c:v>
                </c:pt>
                <c:pt idx="421">
                  <c:v>5.3488711818665803E-2</c:v>
                </c:pt>
                <c:pt idx="422">
                  <c:v>2.3821116602828422E-2</c:v>
                </c:pt>
                <c:pt idx="423">
                  <c:v>2.9067026692787394E-4</c:v>
                </c:pt>
                <c:pt idx="424">
                  <c:v>2.4961764289445847E-2</c:v>
                </c:pt>
                <c:pt idx="425">
                  <c:v>-2.8376698412446145E-3</c:v>
                </c:pt>
                <c:pt idx="426">
                  <c:v>-3.8232169346160479E-2</c:v>
                </c:pt>
                <c:pt idx="427">
                  <c:v>-3.4543284220416699E-2</c:v>
                </c:pt>
                <c:pt idx="428">
                  <c:v>-1.1681667439257986E-2</c:v>
                </c:pt>
                <c:pt idx="429">
                  <c:v>9.2336226066973923E-3</c:v>
                </c:pt>
                <c:pt idx="430">
                  <c:v>-9.2336226066973871E-3</c:v>
                </c:pt>
                <c:pt idx="431">
                  <c:v>3.3956764349404689E-3</c:v>
                </c:pt>
                <c:pt idx="432">
                  <c:v>4.6117696566927704E-3</c:v>
                </c:pt>
                <c:pt idx="433">
                  <c:v>-4.6117696566928094E-3</c:v>
                </c:pt>
                <c:pt idx="434">
                  <c:v>5.8379461717568701E-3</c:v>
                </c:pt>
                <c:pt idx="435">
                  <c:v>-7.3800061926111507E-3</c:v>
                </c:pt>
                <c:pt idx="436">
                  <c:v>1.196518518891047E-2</c:v>
                </c:pt>
                <c:pt idx="437">
                  <c:v>3.9566945930104326E-3</c:v>
                </c:pt>
                <c:pt idx="438">
                  <c:v>-7.3170053735968068E-3</c:v>
                </c:pt>
                <c:pt idx="439">
                  <c:v>4.458480796272804E-2</c:v>
                </c:pt>
                <c:pt idx="440">
                  <c:v>-2.5490508471823096E-2</c:v>
                </c:pt>
                <c:pt idx="441">
                  <c:v>-1.0563029414694312E-2</c:v>
                </c:pt>
                <c:pt idx="442">
                  <c:v>-6.6970175006955653E-3</c:v>
                </c:pt>
                <c:pt idx="443">
                  <c:v>1.1841661584521771E-2</c:v>
                </c:pt>
                <c:pt idx="444">
                  <c:v>-1.0620725158270594E-2</c:v>
                </c:pt>
                <c:pt idx="445">
                  <c:v>2.4376983386049361E-3</c:v>
                </c:pt>
                <c:pt idx="446">
                  <c:v>-8.8646249024639193E-3</c:v>
                </c:pt>
                <c:pt idx="447">
                  <c:v>-8.633964726723467E-3</c:v>
                </c:pt>
                <c:pt idx="448">
                  <c:v>-1.4348417595259805E-2</c:v>
                </c:pt>
                <c:pt idx="449">
                  <c:v>6.2815693087755206E-4</c:v>
                </c:pt>
                <c:pt idx="450">
                  <c:v>1.1550095796497699E-2</c:v>
                </c:pt>
                <c:pt idx="451">
                  <c:v>-1.5009752558494282E-2</c:v>
                </c:pt>
                <c:pt idx="452">
                  <c:v>-9.4967925616257672E-3</c:v>
                </c:pt>
                <c:pt idx="453">
                  <c:v>-2.1215777049521965E-2</c:v>
                </c:pt>
                <c:pt idx="454">
                  <c:v>-1.0122590158786707E-2</c:v>
                </c:pt>
                <c:pt idx="455">
                  <c:v>4.5841748315958884E-3</c:v>
                </c:pt>
                <c:pt idx="456">
                  <c:v>-3.9279898920310521E-3</c:v>
                </c:pt>
                <c:pt idx="457">
                  <c:v>2.7496369223867247E-2</c:v>
                </c:pt>
                <c:pt idx="458">
                  <c:v>9.5701149676721614E-4</c:v>
                </c:pt>
                <c:pt idx="459">
                  <c:v>5.0872810571186535E-3</c:v>
                </c:pt>
                <c:pt idx="460">
                  <c:v>0</c:v>
                </c:pt>
                <c:pt idx="461">
                  <c:v>1.9011903630589014E-3</c:v>
                </c:pt>
                <c:pt idx="462">
                  <c:v>2.1917040115936388E-2</c:v>
                </c:pt>
                <c:pt idx="463">
                  <c:v>-1.2465129308161805E-2</c:v>
                </c:pt>
                <c:pt idx="464">
                  <c:v>-3.1859989744017506E-2</c:v>
                </c:pt>
                <c:pt idx="465">
                  <c:v>-2.9177896855534123E-3</c:v>
                </c:pt>
                <c:pt idx="466">
                  <c:v>7.7618990482557736E-3</c:v>
                </c:pt>
                <c:pt idx="467">
                  <c:v>-1.9519049159305944E-2</c:v>
                </c:pt>
                <c:pt idx="468">
                  <c:v>-5.2954516451960157E-2</c:v>
                </c:pt>
                <c:pt idx="469">
                  <c:v>1.2392469826658281E-2</c:v>
                </c:pt>
                <c:pt idx="470">
                  <c:v>5.4912991660890913E-2</c:v>
                </c:pt>
                <c:pt idx="471">
                  <c:v>-2.0612350787462052E-2</c:v>
                </c:pt>
                <c:pt idx="472">
                  <c:v>-1.7339573605914805E-2</c:v>
                </c:pt>
                <c:pt idx="473">
                  <c:v>-1.2864102142207704E-2</c:v>
                </c:pt>
                <c:pt idx="474">
                  <c:v>-1.3722153535574679E-2</c:v>
                </c:pt>
                <c:pt idx="475">
                  <c:v>1.0355413679338434E-3</c:v>
                </c:pt>
                <c:pt idx="476">
                  <c:v>1.0346879622865168E-3</c:v>
                </c:pt>
                <c:pt idx="477">
                  <c:v>3.0975472994190373E-3</c:v>
                </c:pt>
                <c:pt idx="478">
                  <c:v>-1.6981647073812174E-2</c:v>
                </c:pt>
                <c:pt idx="479">
                  <c:v>5.2291396981320615E-3</c:v>
                </c:pt>
                <c:pt idx="480">
                  <c:v>1.0721238481999597E-2</c:v>
                </c:pt>
                <c:pt idx="481">
                  <c:v>-1.3770807188560955E-3</c:v>
                </c:pt>
                <c:pt idx="482">
                  <c:v>6.5237960165570163E-3</c:v>
                </c:pt>
                <c:pt idx="483">
                  <c:v>-4.1154464040206278E-3</c:v>
                </c:pt>
                <c:pt idx="484">
                  <c:v>-1.0015556187638585E-2</c:v>
                </c:pt>
                <c:pt idx="485">
                  <c:v>-2.1046124229317842E-2</c:v>
                </c:pt>
                <c:pt idx="486">
                  <c:v>-7.8290861931216479E-3</c:v>
                </c:pt>
                <c:pt idx="487">
                  <c:v>-8.9720066933595983E-3</c:v>
                </c:pt>
                <c:pt idx="488">
                  <c:v>-2.5558131950809398E-2</c:v>
                </c:pt>
                <c:pt idx="489">
                  <c:v>1.3225755566455808E-2</c:v>
                </c:pt>
                <c:pt idx="490">
                  <c:v>4.7333129650798857E-3</c:v>
                </c:pt>
                <c:pt idx="491">
                  <c:v>-2.0921993093896221E-2</c:v>
                </c:pt>
                <c:pt idx="492">
                  <c:v>7.4158384847961391E-4</c:v>
                </c:pt>
                <c:pt idx="493">
                  <c:v>2.5911043783639611E-3</c:v>
                </c:pt>
                <c:pt idx="494">
                  <c:v>2.5188368286326351E-2</c:v>
                </c:pt>
                <c:pt idx="495">
                  <c:v>-2.0393957635938032E-2</c:v>
                </c:pt>
                <c:pt idx="496">
                  <c:v>-6.644480719372914E-3</c:v>
                </c:pt>
                <c:pt idx="497">
                  <c:v>3.8151603257660434E-2</c:v>
                </c:pt>
                <c:pt idx="498">
                  <c:v>-5.3618559338125442E-3</c:v>
                </c:pt>
                <c:pt idx="499">
                  <c:v>5.0053895751551968E-3</c:v>
                </c:pt>
                <c:pt idx="500">
                  <c:v>-6.4400337115888776E-3</c:v>
                </c:pt>
                <c:pt idx="501">
                  <c:v>-7.5662073648345169E-3</c:v>
                </c:pt>
                <c:pt idx="502">
                  <c:v>-7.2372199957993551E-4</c:v>
                </c:pt>
                <c:pt idx="503">
                  <c:v>2.8912945532503188E-3</c:v>
                </c:pt>
                <c:pt idx="504">
                  <c:v>6.1162708198096386E-3</c:v>
                </c:pt>
                <c:pt idx="505">
                  <c:v>1.988685900997875E-2</c:v>
                </c:pt>
                <c:pt idx="506">
                  <c:v>-5.9952535935684685E-3</c:v>
                </c:pt>
                <c:pt idx="507">
                  <c:v>3.5310563535598588E-3</c:v>
                </c:pt>
                <c:pt idx="508">
                  <c:v>-7.0747374249335573E-3</c:v>
                </c:pt>
                <c:pt idx="509">
                  <c:v>-3.2000854151322889E-3</c:v>
                </c:pt>
                <c:pt idx="510">
                  <c:v>4.9736076239632818E-3</c:v>
                </c:pt>
                <c:pt idx="511">
                  <c:v>-4.6174239693870158E-3</c:v>
                </c:pt>
                <c:pt idx="512">
                  <c:v>-1.8685328893098208E-2</c:v>
                </c:pt>
                <c:pt idx="513">
                  <c:v>-2.6090124352522458E-2</c:v>
                </c:pt>
                <c:pt idx="514">
                  <c:v>1.6248463352945264E-2</c:v>
                </c:pt>
                <c:pt idx="515">
                  <c:v>2.9261930806556472E-3</c:v>
                </c:pt>
                <c:pt idx="516">
                  <c:v>1.1258463102710321E-2</c:v>
                </c:pt>
                <c:pt idx="517">
                  <c:v>3.8956765023512516E-2</c:v>
                </c:pt>
                <c:pt idx="518">
                  <c:v>-3.1760055506200792E-2</c:v>
                </c:pt>
                <c:pt idx="519">
                  <c:v>8.568529882708998E-3</c:v>
                </c:pt>
                <c:pt idx="520">
                  <c:v>-1.288020097303655E-2</c:v>
                </c:pt>
                <c:pt idx="521">
                  <c:v>-1.3048382909567667E-2</c:v>
                </c:pt>
                <c:pt idx="522">
                  <c:v>-8.7944813609724896E-3</c:v>
                </c:pt>
                <c:pt idx="523">
                  <c:v>-3.6824654463888323E-4</c:v>
                </c:pt>
                <c:pt idx="524">
                  <c:v>2.07695180891737E-2</c:v>
                </c:pt>
                <c:pt idx="525">
                  <c:v>-3.6126999492099407E-3</c:v>
                </c:pt>
                <c:pt idx="526">
                  <c:v>-9.0892088544791173E-3</c:v>
                </c:pt>
                <c:pt idx="527">
                  <c:v>-3.1913655064810406E-2</c:v>
                </c:pt>
                <c:pt idx="528">
                  <c:v>-7.1902575116139884E-3</c:v>
                </c:pt>
                <c:pt idx="529">
                  <c:v>1.4703515236803908E-2</c:v>
                </c:pt>
                <c:pt idx="530">
                  <c:v>-8.2677094730277782E-3</c:v>
                </c:pt>
                <c:pt idx="531">
                  <c:v>-7.5757493799304756E-3</c:v>
                </c:pt>
                <c:pt idx="532">
                  <c:v>-3.6001636225441398E-2</c:v>
                </c:pt>
                <c:pt idx="533">
                  <c:v>-2.3934116785853745E-2</c:v>
                </c:pt>
                <c:pt idx="534">
                  <c:v>-4.4507966387050931E-3</c:v>
                </c:pt>
                <c:pt idx="535">
                  <c:v>-7.9738609810804245E-2</c:v>
                </c:pt>
                <c:pt idx="536">
                  <c:v>4.1296169320708967E-2</c:v>
                </c:pt>
                <c:pt idx="537">
                  <c:v>1.6841879299427523E-3</c:v>
                </c:pt>
                <c:pt idx="538">
                  <c:v>-6.7538378292446464E-3</c:v>
                </c:pt>
                <c:pt idx="539">
                  <c:v>-3.3941688046262987E-3</c:v>
                </c:pt>
                <c:pt idx="540">
                  <c:v>-1.6713505868589693E-2</c:v>
                </c:pt>
                <c:pt idx="541">
                  <c:v>-1.4802154902964364E-2</c:v>
                </c:pt>
                <c:pt idx="542">
                  <c:v>-1.5469901401701078E-2</c:v>
                </c:pt>
                <c:pt idx="543">
                  <c:v>2.5072671933254284E-2</c:v>
                </c:pt>
                <c:pt idx="544">
                  <c:v>1.7653964836398989E-2</c:v>
                </c:pt>
                <c:pt idx="545">
                  <c:v>-7.2820899203488339E-3</c:v>
                </c:pt>
                <c:pt idx="546">
                  <c:v>-2.5829349915785548E-3</c:v>
                </c:pt>
                <c:pt idx="547">
                  <c:v>-1.1270184009799995E-2</c:v>
                </c:pt>
                <c:pt idx="548">
                  <c:v>8.3991764789809201E-2</c:v>
                </c:pt>
                <c:pt idx="549">
                  <c:v>-2.4341958886878977E-2</c:v>
                </c:pt>
                <c:pt idx="550">
                  <c:v>-3.1708982291901069E-2</c:v>
                </c:pt>
                <c:pt idx="551">
                  <c:v>-1.7101778135101001E-2</c:v>
                </c:pt>
                <c:pt idx="552">
                  <c:v>-1.0403209417745295E-2</c:v>
                </c:pt>
                <c:pt idx="553">
                  <c:v>-8.3132650950989637E-3</c:v>
                </c:pt>
                <c:pt idx="554">
                  <c:v>-8.3830952217890126E-3</c:v>
                </c:pt>
                <c:pt idx="555">
                  <c:v>-1.4729149521174921E-2</c:v>
                </c:pt>
                <c:pt idx="556">
                  <c:v>-1.3496530088747023E-3</c:v>
                </c:pt>
                <c:pt idx="557">
                  <c:v>1.2972580983477972E-2</c:v>
                </c:pt>
                <c:pt idx="558">
                  <c:v>-7.5842980392309854E-3</c:v>
                </c:pt>
                <c:pt idx="559">
                  <c:v>2.4332169027312136E-2</c:v>
                </c:pt>
                <c:pt idx="560">
                  <c:v>1.9905426444039968E-2</c:v>
                </c:pt>
                <c:pt idx="561">
                  <c:v>1.1501751503111304E-2</c:v>
                </c:pt>
                <c:pt idx="562">
                  <c:v>3.0861502772974808E-2</c:v>
                </c:pt>
                <c:pt idx="563">
                  <c:v>1.7101384255127472E-2</c:v>
                </c:pt>
                <c:pt idx="564">
                  <c:v>-1.9568554393907922E-2</c:v>
                </c:pt>
                <c:pt idx="565">
                  <c:v>-5.3663781043772488E-3</c:v>
                </c:pt>
                <c:pt idx="566">
                  <c:v>-2.1758147225239406E-2</c:v>
                </c:pt>
                <c:pt idx="567">
                  <c:v>-8.0697045421698772E-3</c:v>
                </c:pt>
                <c:pt idx="568">
                  <c:v>-1.2012127342662037E-2</c:v>
                </c:pt>
                <c:pt idx="569">
                  <c:v>-4.75880952899783E-3</c:v>
                </c:pt>
                <c:pt idx="570">
                  <c:v>8.6694912083666814E-4</c:v>
                </c:pt>
                <c:pt idx="571">
                  <c:v>1.2989476958633081E-3</c:v>
                </c:pt>
                <c:pt idx="572">
                  <c:v>-5.2060825971650768E-3</c:v>
                </c:pt>
                <c:pt idx="573">
                  <c:v>-1.578287020211435E-2</c:v>
                </c:pt>
                <c:pt idx="574">
                  <c:v>7.9225721518610213E-3</c:v>
                </c:pt>
                <c:pt idx="575">
                  <c:v>-5.274804139399865E-3</c:v>
                </c:pt>
                <c:pt idx="576">
                  <c:v>-4.4076166472964857E-4</c:v>
                </c:pt>
                <c:pt idx="577">
                  <c:v>4.1033645649611317E-2</c:v>
                </c:pt>
                <c:pt idx="578">
                  <c:v>-1.3205733156825663E-2</c:v>
                </c:pt>
                <c:pt idx="579">
                  <c:v>-2.7827912492785618E-2</c:v>
                </c:pt>
                <c:pt idx="580">
                  <c:v>-1.3762707405524922E-2</c:v>
                </c:pt>
                <c:pt idx="581">
                  <c:v>8.0142860308012615E-3</c:v>
                </c:pt>
                <c:pt idx="582">
                  <c:v>-3.0619238275472849E-2</c:v>
                </c:pt>
                <c:pt idx="583">
                  <c:v>-2.0790721410013081E-2</c:v>
                </c:pt>
                <c:pt idx="584">
                  <c:v>-2.218654366431122E-2</c:v>
                </c:pt>
                <c:pt idx="585">
                  <c:v>-2.2201647976933431E-2</c:v>
                </c:pt>
                <c:pt idx="586">
                  <c:v>1.5016029646020706E-2</c:v>
                </c:pt>
                <c:pt idx="587">
                  <c:v>2.8805371433227749E-3</c:v>
                </c:pt>
                <c:pt idx="588">
                  <c:v>1.4279149185472418E-2</c:v>
                </c:pt>
                <c:pt idx="589">
                  <c:v>-1.4758662863262877E-2</c:v>
                </c:pt>
                <c:pt idx="590">
                  <c:v>-1.5466734006797007E-2</c:v>
                </c:pt>
                <c:pt idx="591">
                  <c:v>1.3546452565305787E-2</c:v>
                </c:pt>
                <c:pt idx="592">
                  <c:v>8.1360204949685374E-3</c:v>
                </c:pt>
                <c:pt idx="593">
                  <c:v>-4.5839427528860985E-2</c:v>
                </c:pt>
                <c:pt idx="594">
                  <c:v>-3.5037796240892136E-2</c:v>
                </c:pt>
                <c:pt idx="595">
                  <c:v>2.3494400433066578E-2</c:v>
                </c:pt>
                <c:pt idx="596">
                  <c:v>-1.3723165773240641E-2</c:v>
                </c:pt>
                <c:pt idx="597">
                  <c:v>1.8255994514452898E-2</c:v>
                </c:pt>
                <c:pt idx="598">
                  <c:v>1.8422232062506386E-2</c:v>
                </c:pt>
                <c:pt idx="599">
                  <c:v>2.2440004971980725E-2</c:v>
                </c:pt>
                <c:pt idx="600">
                  <c:v>-1.1645034604043477E-2</c:v>
                </c:pt>
                <c:pt idx="601">
                  <c:v>-2.2206635363830326E-2</c:v>
                </c:pt>
                <c:pt idx="602">
                  <c:v>-2.4754989422373717E-2</c:v>
                </c:pt>
                <c:pt idx="603">
                  <c:v>-9.766212764038943E-3</c:v>
                </c:pt>
                <c:pt idx="604">
                  <c:v>-6.7375322623713504E-3</c:v>
                </c:pt>
                <c:pt idx="605">
                  <c:v>-6.2597979952860767E-3</c:v>
                </c:pt>
                <c:pt idx="606">
                  <c:v>-1.9017911261533089E-2</c:v>
                </c:pt>
                <c:pt idx="607">
                  <c:v>-4.0822099841555916E-2</c:v>
                </c:pt>
                <c:pt idx="608">
                  <c:v>-8.3682009926030667E-3</c:v>
                </c:pt>
                <c:pt idx="609">
                  <c:v>0</c:v>
                </c:pt>
                <c:pt idx="610">
                  <c:v>-3.8839933213334732E-2</c:v>
                </c:pt>
                <c:pt idx="611">
                  <c:v>-1.7487148219300583E-3</c:v>
                </c:pt>
                <c:pt idx="612">
                  <c:v>-5.455361592071846E-2</c:v>
                </c:pt>
                <c:pt idx="613">
                  <c:v>1.6499135832276527E-2</c:v>
                </c:pt>
                <c:pt idx="614">
                  <c:v>-2.7651564439160975E-2</c:v>
                </c:pt>
                <c:pt idx="615">
                  <c:v>1.245362269170565E-3</c:v>
                </c:pt>
                <c:pt idx="616">
                  <c:v>1.1138722674075898E-2</c:v>
                </c:pt>
                <c:pt idx="617">
                  <c:v>8.5784148763238376E-3</c:v>
                </c:pt>
                <c:pt idx="618">
                  <c:v>-6.1200317385935116E-3</c:v>
                </c:pt>
                <c:pt idx="619">
                  <c:v>-1.2284361130989381E-3</c:v>
                </c:pt>
                <c:pt idx="620">
                  <c:v>-1.9237335962490491E-2</c:v>
                </c:pt>
                <c:pt idx="621">
                  <c:v>-1.5151797464404319E-2</c:v>
                </c:pt>
                <c:pt idx="622">
                  <c:v>4.2347462773944813E-2</c:v>
                </c:pt>
                <c:pt idx="623">
                  <c:v>-2.1572361314928012E-2</c:v>
                </c:pt>
                <c:pt idx="624">
                  <c:v>-1.8709562297360921E-3</c:v>
                </c:pt>
                <c:pt idx="625">
                  <c:v>9.9381278479927938E-3</c:v>
                </c:pt>
                <c:pt idx="626">
                  <c:v>-1.2368903188179382E-3</c:v>
                </c:pt>
                <c:pt idx="627">
                  <c:v>-1.2385199935873363E-3</c:v>
                </c:pt>
                <c:pt idx="628">
                  <c:v>1.9632554885549512E-2</c:v>
                </c:pt>
                <c:pt idx="629">
                  <c:v>-1.0995731974303466E-2</c:v>
                </c:pt>
                <c:pt idx="630">
                  <c:v>-9.8766827315583047E-3</c:v>
                </c:pt>
                <c:pt idx="631">
                  <c:v>-8.7228248290222681E-3</c:v>
                </c:pt>
                <c:pt idx="632">
                  <c:v>9.3428979242422983E-3</c:v>
                </c:pt>
                <c:pt idx="633">
                  <c:v>1.2935336237044823E-2</c:v>
                </c:pt>
                <c:pt idx="634">
                  <c:v>4.8839474669893869E-3</c:v>
                </c:pt>
                <c:pt idx="635">
                  <c:v>1.3910089056762814E-2</c:v>
                </c:pt>
                <c:pt idx="636">
                  <c:v>-4.8163189069904584E-3</c:v>
                </c:pt>
                <c:pt idx="637">
                  <c:v>-1.1532858716455039E-2</c:v>
                </c:pt>
                <c:pt idx="638">
                  <c:v>-1.1049733308630832E-2</c:v>
                </c:pt>
                <c:pt idx="639">
                  <c:v>2.4660586275061609E-3</c:v>
                </c:pt>
                <c:pt idx="640">
                  <c:v>-6.1606643010124408E-4</c:v>
                </c:pt>
                <c:pt idx="641">
                  <c:v>1.2247769551290538E-2</c:v>
                </c:pt>
                <c:pt idx="642">
                  <c:v>1.3901679814000738E-2</c:v>
                </c:pt>
                <c:pt idx="643">
                  <c:v>7.1770597794053393E-3</c:v>
                </c:pt>
                <c:pt idx="644">
                  <c:v>6.4612943115728946E-2</c:v>
                </c:pt>
                <c:pt idx="645">
                  <c:v>3.3463481599685062E-3</c:v>
                </c:pt>
                <c:pt idx="646">
                  <c:v>1.6689402511006499E-3</c:v>
                </c:pt>
                <c:pt idx="647">
                  <c:v>3.8836000964072546E-3</c:v>
                </c:pt>
                <c:pt idx="648">
                  <c:v>-2.1831382252559747E-2</c:v>
                </c:pt>
                <c:pt idx="649">
                  <c:v>-1.6991901372033903E-3</c:v>
                </c:pt>
                <c:pt idx="650">
                  <c:v>-2.838565146329229E-3</c:v>
                </c:pt>
                <c:pt idx="651">
                  <c:v>4.9899464062609408E-2</c:v>
                </c:pt>
                <c:pt idx="652">
                  <c:v>-7.055585375271318E-3</c:v>
                </c:pt>
                <c:pt idx="653">
                  <c:v>-2.7269244340064175E-3</c:v>
                </c:pt>
                <c:pt idx="654">
                  <c:v>-1.7631416813646609E-2</c:v>
                </c:pt>
                <c:pt idx="655">
                  <c:v>-3.8531597806560819E-2</c:v>
                </c:pt>
                <c:pt idx="656">
                  <c:v>1.3769572611197732E-2</c:v>
                </c:pt>
                <c:pt idx="657">
                  <c:v>-5.1413512432376572E-3</c:v>
                </c:pt>
                <c:pt idx="658">
                  <c:v>4.3301575994850079E-2</c:v>
                </c:pt>
                <c:pt idx="659">
                  <c:v>7.1155357764443372E-2</c:v>
                </c:pt>
                <c:pt idx="660">
                  <c:v>-2.3335265299983948E-2</c:v>
                </c:pt>
                <c:pt idx="661">
                  <c:v>1.9740800358349908E-2</c:v>
                </c:pt>
                <c:pt idx="662">
                  <c:v>-1.1381346442763727E-2</c:v>
                </c:pt>
                <c:pt idx="663">
                  <c:v>-2.3158828219851688E-2</c:v>
                </c:pt>
                <c:pt idx="664">
                  <c:v>1.2172576351957476E-2</c:v>
                </c:pt>
                <c:pt idx="665">
                  <c:v>0</c:v>
                </c:pt>
                <c:pt idx="666">
                  <c:v>-4.745594977723761E-3</c:v>
                </c:pt>
                <c:pt idx="667">
                  <c:v>6.8475685259455363E-3</c:v>
                </c:pt>
                <c:pt idx="668">
                  <c:v>-1.1615791601819889E-2</c:v>
                </c:pt>
                <c:pt idx="669">
                  <c:v>2.6517914327915636E-3</c:v>
                </c:pt>
                <c:pt idx="670">
                  <c:v>2.644861198051596E-3</c:v>
                </c:pt>
                <c:pt idx="671">
                  <c:v>-1.0621425186602225E-2</c:v>
                </c:pt>
                <c:pt idx="672">
                  <c:v>-1.0683485403086006E-3</c:v>
                </c:pt>
                <c:pt idx="673">
                  <c:v>-5.1546546940803573E-2</c:v>
                </c:pt>
                <c:pt idx="674">
                  <c:v>-5.6293438471221712E-4</c:v>
                </c:pt>
                <c:pt idx="675">
                  <c:v>-5.0804534900111649E-3</c:v>
                </c:pt>
                <c:pt idx="676">
                  <c:v>-9.0961740759117424E-3</c:v>
                </c:pt>
                <c:pt idx="677">
                  <c:v>1.3049895966311844E-2</c:v>
                </c:pt>
                <c:pt idx="678">
                  <c:v>-1.9926626672706369E-2</c:v>
                </c:pt>
                <c:pt idx="679">
                  <c:v>-4.2284648548111162E-2</c:v>
                </c:pt>
                <c:pt idx="680">
                  <c:v>-6.0168994656212794E-3</c:v>
                </c:pt>
                <c:pt idx="681">
                  <c:v>3.1484615123107955E-2</c:v>
                </c:pt>
                <c:pt idx="682">
                  <c:v>1.1688770887478424E-3</c:v>
                </c:pt>
                <c:pt idx="683">
                  <c:v>2.9163667535624183E-3</c:v>
                </c:pt>
                <c:pt idx="684">
                  <c:v>5.2280129771602873E-3</c:v>
                </c:pt>
                <c:pt idx="685">
                  <c:v>8.0785843116520737E-3</c:v>
                </c:pt>
                <c:pt idx="686">
                  <c:v>1.0860296768482755E-2</c:v>
                </c:pt>
                <c:pt idx="687">
                  <c:v>5.6837334996582536E-4</c:v>
                </c:pt>
                <c:pt idx="688">
                  <c:v>-1.1428670118448503E-2</c:v>
                </c:pt>
                <c:pt idx="689">
                  <c:v>-1.6222964042374673E-2</c:v>
                </c:pt>
                <c:pt idx="690">
                  <c:v>5.8397254488041855E-4</c:v>
                </c:pt>
                <c:pt idx="691">
                  <c:v>-4.6810799828358026E-3</c:v>
                </c:pt>
                <c:pt idx="692">
                  <c:v>4.0971074379553205E-3</c:v>
                </c:pt>
                <c:pt idx="693">
                  <c:v>0</c:v>
                </c:pt>
                <c:pt idx="694">
                  <c:v>6.9848979358561819E-3</c:v>
                </c:pt>
                <c:pt idx="695">
                  <c:v>-1.16073632563244E-3</c:v>
                </c:pt>
                <c:pt idx="696">
                  <c:v>-4.0732660527131983E-3</c:v>
                </c:pt>
                <c:pt idx="697">
                  <c:v>-3.5047700045744215E-3</c:v>
                </c:pt>
                <c:pt idx="698">
                  <c:v>6.9972994841031259E-3</c:v>
                </c:pt>
                <c:pt idx="699">
                  <c:v>-2.3270582834768335E-3</c:v>
                </c:pt>
                <c:pt idx="700">
                  <c:v>1.6748852552246157E-2</c:v>
                </c:pt>
                <c:pt idx="701">
                  <c:v>1.1955741278374678E-2</c:v>
                </c:pt>
                <c:pt idx="702">
                  <c:v>5.6433878747233004E-3</c:v>
                </c:pt>
                <c:pt idx="703">
                  <c:v>-3.3821917725803128E-3</c:v>
                </c:pt>
                <c:pt idx="704">
                  <c:v>-5.0948334057396554E-3</c:v>
                </c:pt>
                <c:pt idx="705">
                  <c:v>7.3509280333359421E-3</c:v>
                </c:pt>
                <c:pt idx="706">
                  <c:v>6.541835686502312E-2</c:v>
                </c:pt>
                <c:pt idx="707">
                  <c:v>1.7264365238149108E-2</c:v>
                </c:pt>
                <c:pt idx="708">
                  <c:v>1.2883488152469499E-2</c:v>
                </c:pt>
                <c:pt idx="709">
                  <c:v>4.5541987041817347E-2</c:v>
                </c:pt>
                <c:pt idx="710">
                  <c:v>-9.3390017941708293E-3</c:v>
                </c:pt>
                <c:pt idx="711">
                  <c:v>-6.0562814315526819E-2</c:v>
                </c:pt>
                <c:pt idx="712">
                  <c:v>-1.9068465978437754E-2</c:v>
                </c:pt>
                <c:pt idx="713">
                  <c:v>-1.4001369378336235E-2</c:v>
                </c:pt>
                <c:pt idx="714">
                  <c:v>-1.6280527281515402E-3</c:v>
                </c:pt>
                <c:pt idx="715">
                  <c:v>1.7232499523260073E-2</c:v>
                </c:pt>
                <c:pt idx="716">
                  <c:v>-1.6146751159507762E-2</c:v>
                </c:pt>
                <c:pt idx="717">
                  <c:v>3.6231973293970966E-2</c:v>
                </c:pt>
                <c:pt idx="718">
                  <c:v>-4.195133830514685E-3</c:v>
                </c:pt>
                <c:pt idx="719">
                  <c:v>1.3051641173127604E-2</c:v>
                </c:pt>
                <c:pt idx="720">
                  <c:v>0</c:v>
                </c:pt>
                <c:pt idx="721">
                  <c:v>4.9086473400116237E-2</c:v>
                </c:pt>
                <c:pt idx="722">
                  <c:v>0.12733945533485927</c:v>
                </c:pt>
                <c:pt idx="723">
                  <c:v>-5.1293269168478574E-2</c:v>
                </c:pt>
                <c:pt idx="724">
                  <c:v>-2.1277505366854067E-2</c:v>
                </c:pt>
                <c:pt idx="725">
                  <c:v>3.0389165621278823E-2</c:v>
                </c:pt>
                <c:pt idx="726">
                  <c:v>-2.7248700908499937E-3</c:v>
                </c:pt>
                <c:pt idx="727">
                  <c:v>-1.8820829939782797E-2</c:v>
                </c:pt>
                <c:pt idx="728">
                  <c:v>-1.3999228228789611E-2</c:v>
                </c:pt>
                <c:pt idx="729">
                  <c:v>-1.1342356214656931E-2</c:v>
                </c:pt>
                <c:pt idx="730">
                  <c:v>4.915233956710309E-2</c:v>
                </c:pt>
                <c:pt idx="731">
                  <c:v>2.5905833773828768E-2</c:v>
                </c:pt>
                <c:pt idx="732">
                  <c:v>-8.857434194569698E-3</c:v>
                </c:pt>
                <c:pt idx="733">
                  <c:v>8.5638814224008306E-2</c:v>
                </c:pt>
                <c:pt idx="734">
                  <c:v>2.1010903819843295E-2</c:v>
                </c:pt>
                <c:pt idx="735">
                  <c:v>-1.8971356013291613E-2</c:v>
                </c:pt>
                <c:pt idx="736">
                  <c:v>8.7724164455804568E-2</c:v>
                </c:pt>
                <c:pt idx="737">
                  <c:v>9.2885919164923513E-3</c:v>
                </c:pt>
                <c:pt idx="738">
                  <c:v>-0.11220502952722462</c:v>
                </c:pt>
                <c:pt idx="739">
                  <c:v>-2.7686211639712618E-2</c:v>
                </c:pt>
                <c:pt idx="740">
                  <c:v>-8.7978584021497011E-2</c:v>
                </c:pt>
                <c:pt idx="741">
                  <c:v>5.8189986112539636E-2</c:v>
                </c:pt>
                <c:pt idx="742">
                  <c:v>-5.2724222564262306E-3</c:v>
                </c:pt>
                <c:pt idx="743">
                  <c:v>3.0371066162039849E-2</c:v>
                </c:pt>
                <c:pt idx="744">
                  <c:v>-1.420288867084092E-2</c:v>
                </c:pt>
                <c:pt idx="745">
                  <c:v>8.6324753890964237E-2</c:v>
                </c:pt>
                <c:pt idx="746">
                  <c:v>3.4007713599459782E-2</c:v>
                </c:pt>
                <c:pt idx="747">
                  <c:v>1.2223087928621316E-2</c:v>
                </c:pt>
                <c:pt idx="748">
                  <c:v>4.6002159492479926E-2</c:v>
                </c:pt>
                <c:pt idx="749">
                  <c:v>-1.9034103978978263E-2</c:v>
                </c:pt>
                <c:pt idx="750">
                  <c:v>-5.663689482929999E-2</c:v>
                </c:pt>
                <c:pt idx="751">
                  <c:v>2.0515513253781554E-2</c:v>
                </c:pt>
                <c:pt idx="752">
                  <c:v>-2.7186172602271966E-2</c:v>
                </c:pt>
                <c:pt idx="753">
                  <c:v>1.018423067259995E-2</c:v>
                </c:pt>
                <c:pt idx="754">
                  <c:v>1.4316204343348026E-2</c:v>
                </c:pt>
                <c:pt idx="755">
                  <c:v>1.9191197471578056E-3</c:v>
                </c:pt>
                <c:pt idx="756">
                  <c:v>-1.4288681616881278E-2</c:v>
                </c:pt>
                <c:pt idx="757">
                  <c:v>-2.5208078184015298E-2</c:v>
                </c:pt>
                <c:pt idx="758">
                  <c:v>9.1324664360585492E-3</c:v>
                </c:pt>
                <c:pt idx="759">
                  <c:v>-2.4001098436585811E-2</c:v>
                </c:pt>
                <c:pt idx="760">
                  <c:v>6.8589322439451999E-3</c:v>
                </c:pt>
                <c:pt idx="761">
                  <c:v>-7.263957688847157E-3</c:v>
                </c:pt>
                <c:pt idx="762">
                  <c:v>2.2427841479810272E-2</c:v>
                </c:pt>
                <c:pt idx="763">
                  <c:v>-3.424299633482325E-2</c:v>
                </c:pt>
                <c:pt idx="764">
                  <c:v>-4.1419801734790249E-2</c:v>
                </c:pt>
                <c:pt idx="765">
                  <c:v>2.985736944036913E-3</c:v>
                </c:pt>
                <c:pt idx="766">
                  <c:v>1.1854459574023056E-2</c:v>
                </c:pt>
                <c:pt idx="767">
                  <c:v>-8.0604089729040498E-2</c:v>
                </c:pt>
                <c:pt idx="768">
                  <c:v>3.1882962043795712E-3</c:v>
                </c:pt>
                <c:pt idx="769">
                  <c:v>-1.4197586748407553E-2</c:v>
                </c:pt>
                <c:pt idx="770">
                  <c:v>2.7299321537218105E-2</c:v>
                </c:pt>
                <c:pt idx="771">
                  <c:v>-3.3777805005880616E-2</c:v>
                </c:pt>
                <c:pt idx="772">
                  <c:v>-8.859886795088116E-3</c:v>
                </c:pt>
                <c:pt idx="773">
                  <c:v>1.4040928356475251E-3</c:v>
                </c:pt>
                <c:pt idx="774">
                  <c:v>-4.2030988272927658E-2</c:v>
                </c:pt>
                <c:pt idx="775">
                  <c:v>-1.3258240773077093E-2</c:v>
                </c:pt>
                <c:pt idx="776">
                  <c:v>-3.4661574445756889E-3</c:v>
                </c:pt>
                <c:pt idx="777">
                  <c:v>5.4536957827536828E-2</c:v>
                </c:pt>
                <c:pt idx="778">
                  <c:v>1.2138392000024404E-2</c:v>
                </c:pt>
                <c:pt idx="779">
                  <c:v>-3.5422920461971673E-2</c:v>
                </c:pt>
                <c:pt idx="780">
                  <c:v>-5.785787733014869E-3</c:v>
                </c:pt>
                <c:pt idx="781">
                  <c:v>1.4878889421530083E-2</c:v>
                </c:pt>
                <c:pt idx="782">
                  <c:v>-2.1671788082896746E-2</c:v>
                </c:pt>
                <c:pt idx="783">
                  <c:v>-1.1260807698228351E-2</c:v>
                </c:pt>
                <c:pt idx="784">
                  <c:v>-1.6381608773522321E-2</c:v>
                </c:pt>
                <c:pt idx="785">
                  <c:v>-1.6145638220638102E-2</c:v>
                </c:pt>
                <c:pt idx="786">
                  <c:v>3.1541973127933741E-2</c:v>
                </c:pt>
                <c:pt idx="787">
                  <c:v>1.4677373608507053E-2</c:v>
                </c:pt>
                <c:pt idx="788">
                  <c:v>-1.813334133046271E-2</c:v>
                </c:pt>
                <c:pt idx="789">
                  <c:v>3.3077010798293546E-2</c:v>
                </c:pt>
                <c:pt idx="790">
                  <c:v>-8.6497450696616743E-3</c:v>
                </c:pt>
                <c:pt idx="791">
                  <c:v>-1.5564574348625617E-2</c:v>
                </c:pt>
                <c:pt idx="792">
                  <c:v>3.2789887551257425E-2</c:v>
                </c:pt>
                <c:pt idx="793">
                  <c:v>-1.2891088435734685E-2</c:v>
                </c:pt>
                <c:pt idx="794">
                  <c:v>-3.0246272457281002E-2</c:v>
                </c:pt>
                <c:pt idx="795">
                  <c:v>0</c:v>
                </c:pt>
                <c:pt idx="796">
                  <c:v>1.4847819617518803E-3</c:v>
                </c:pt>
                <c:pt idx="797">
                  <c:v>-1.9476280248695067E-2</c:v>
                </c:pt>
                <c:pt idx="798">
                  <c:v>1.2030225973000238E-2</c:v>
                </c:pt>
                <c:pt idx="799">
                  <c:v>-4.9949651788822177E-3</c:v>
                </c:pt>
                <c:pt idx="800">
                  <c:v>4.5996410012672552E-2</c:v>
                </c:pt>
                <c:pt idx="801">
                  <c:v>5.7224784222441724E-3</c:v>
                </c:pt>
                <c:pt idx="802">
                  <c:v>-2.3575819693928964E-2</c:v>
                </c:pt>
                <c:pt idx="803">
                  <c:v>-2.3148103562105459E-2</c:v>
                </c:pt>
                <c:pt idx="804">
                  <c:v>-2.0639951130283208E-2</c:v>
                </c:pt>
                <c:pt idx="805">
                  <c:v>-3.4147148534115615E-2</c:v>
                </c:pt>
                <c:pt idx="806">
                  <c:v>2.9558733055243706E-2</c:v>
                </c:pt>
                <c:pt idx="807">
                  <c:v>-5.6365993551231435E-3</c:v>
                </c:pt>
                <c:pt idx="808">
                  <c:v>1.5298541208855635E-2</c:v>
                </c:pt>
                <c:pt idx="809">
                  <c:v>2.9421206100371508E-2</c:v>
                </c:pt>
                <c:pt idx="810">
                  <c:v>-1.9674854810715807E-3</c:v>
                </c:pt>
                <c:pt idx="811">
                  <c:v>7.3583877727560025E-3</c:v>
                </c:pt>
                <c:pt idx="812">
                  <c:v>9.7701439871134585E-4</c:v>
                </c:pt>
                <c:pt idx="813">
                  <c:v>2.9254055267611007E-3</c:v>
                </c:pt>
                <c:pt idx="814">
                  <c:v>-1.9493447535549921E-3</c:v>
                </c:pt>
                <c:pt idx="815">
                  <c:v>6.3214691197249996E-3</c:v>
                </c:pt>
                <c:pt idx="816">
                  <c:v>0</c:v>
                </c:pt>
                <c:pt idx="817">
                  <c:v>1.6346549455963477E-2</c:v>
                </c:pt>
                <c:pt idx="818">
                  <c:v>-1.1510922812202423E-2</c:v>
                </c:pt>
                <c:pt idx="819">
                  <c:v>-7.2622753105495595E-3</c:v>
                </c:pt>
                <c:pt idx="820">
                  <c:v>4.8581634467051557E-4</c:v>
                </c:pt>
                <c:pt idx="821">
                  <c:v>9.7084881992473603E-4</c:v>
                </c:pt>
                <c:pt idx="822">
                  <c:v>2.6336323206503736E-2</c:v>
                </c:pt>
                <c:pt idx="823">
                  <c:v>-7.5902718734595469E-3</c:v>
                </c:pt>
                <c:pt idx="824">
                  <c:v>7.590271873459428E-3</c:v>
                </c:pt>
                <c:pt idx="825">
                  <c:v>4.4369442383257858E-2</c:v>
                </c:pt>
                <c:pt idx="826">
                  <c:v>-5.8943987578549692E-3</c:v>
                </c:pt>
                <c:pt idx="827">
                  <c:v>0.14140174624934673</c:v>
                </c:pt>
                <c:pt idx="828">
                  <c:v>-6.3565209836005179E-2</c:v>
                </c:pt>
                <c:pt idx="829">
                  <c:v>-2.5134432059500778E-2</c:v>
                </c:pt>
                <c:pt idx="830">
                  <c:v>-1.4338726783788457E-2</c:v>
                </c:pt>
                <c:pt idx="831">
                  <c:v>2.6345759601435384E-2</c:v>
                </c:pt>
                <c:pt idx="832">
                  <c:v>-1.2795912211918243E-3</c:v>
                </c:pt>
                <c:pt idx="833">
                  <c:v>-1.8088355831520065E-2</c:v>
                </c:pt>
                <c:pt idx="834">
                  <c:v>4.33654472408968E-3</c:v>
                </c:pt>
                <c:pt idx="835">
                  <c:v>2.8579367509027072E-2</c:v>
                </c:pt>
                <c:pt idx="836">
                  <c:v>4.6151162450424384E-3</c:v>
                </c:pt>
                <c:pt idx="837">
                  <c:v>3.7601899105654201E-3</c:v>
                </c:pt>
                <c:pt idx="838">
                  <c:v>-2.0645382400137361E-2</c:v>
                </c:pt>
                <c:pt idx="839">
                  <c:v>-9.4097806872179644E-3</c:v>
                </c:pt>
                <c:pt idx="840">
                  <c:v>2.575177304667043E-3</c:v>
                </c:pt>
                <c:pt idx="841">
                  <c:v>1.8684113688529444E-2</c:v>
                </c:pt>
                <c:pt idx="842">
                  <c:v>4.1981828141242636E-3</c:v>
                </c:pt>
                <c:pt idx="843">
                  <c:v>3.7633344656006818E-3</c:v>
                </c:pt>
                <c:pt idx="844">
                  <c:v>-9.6457510637997217E-3</c:v>
                </c:pt>
                <c:pt idx="845">
                  <c:v>6.7199159676679752E-3</c:v>
                </c:pt>
                <c:pt idx="846">
                  <c:v>-4.6151162450425E-3</c:v>
                </c:pt>
                <c:pt idx="847">
                  <c:v>5.0336359866433511E-3</c:v>
                </c:pt>
                <c:pt idx="848">
                  <c:v>-4.1929020632762931E-3</c:v>
                </c:pt>
                <c:pt idx="849">
                  <c:v>-9.7108457673378418E-3</c:v>
                </c:pt>
                <c:pt idx="850">
                  <c:v>3.3883772307743642E-3</c:v>
                </c:pt>
                <c:pt idx="851">
                  <c:v>2.4641035415267177E-2</c:v>
                </c:pt>
                <c:pt idx="852">
                  <c:v>-6.2073474052845735E-3</c:v>
                </c:pt>
                <c:pt idx="853">
                  <c:v>-2.097397739688078E-2</c:v>
                </c:pt>
                <c:pt idx="854">
                  <c:v>2.9631219098234787E-3</c:v>
                </c:pt>
                <c:pt idx="855">
                  <c:v>2.9541023676455127E-3</c:v>
                </c:pt>
                <c:pt idx="856">
                  <c:v>1.381071190475686E-2</c:v>
                </c:pt>
                <c:pt idx="857">
                  <c:v>-1.2477268060236235E-3</c:v>
                </c:pt>
                <c:pt idx="858">
                  <c:v>2.3849846787816514E-2</c:v>
                </c:pt>
                <c:pt idx="859">
                  <c:v>-8.1599619932327082E-3</c:v>
                </c:pt>
                <c:pt idx="860">
                  <c:v>4.4961428844278624E-3</c:v>
                </c:pt>
                <c:pt idx="861">
                  <c:v>-1.6862274878682488E-2</c:v>
                </c:pt>
                <c:pt idx="862">
                  <c:v>-1.8418319483905703E-2</c:v>
                </c:pt>
                <c:pt idx="863">
                  <c:v>-3.4382475345238209E-2</c:v>
                </c:pt>
                <c:pt idx="864">
                  <c:v>1.9056498703535131E-2</c:v>
                </c:pt>
                <c:pt idx="865">
                  <c:v>1.490345585890096E-2</c:v>
                </c:pt>
                <c:pt idx="866">
                  <c:v>-1.0195571241671524E-2</c:v>
                </c:pt>
                <c:pt idx="867">
                  <c:v>-1.2818454299712461E-3</c:v>
                </c:pt>
                <c:pt idx="868">
                  <c:v>4.6918875281039812E-3</c:v>
                </c:pt>
                <c:pt idx="869">
                  <c:v>-9.4057574220178294E-3</c:v>
                </c:pt>
                <c:pt idx="870">
                  <c:v>-2.1500543629556774E-3</c:v>
                </c:pt>
                <c:pt idx="871">
                  <c:v>1.7918508405586835E-2</c:v>
                </c:pt>
                <c:pt idx="872">
                  <c:v>3.3769348905708344E-3</c:v>
                </c:pt>
                <c:pt idx="873">
                  <c:v>1.1730432631203597E-2</c:v>
                </c:pt>
                <c:pt idx="874">
                  <c:v>-1.6674499825505653E-3</c:v>
                </c:pt>
                <c:pt idx="875">
                  <c:v>-1.6828294769998267E-2</c:v>
                </c:pt>
                <c:pt idx="876">
                  <c:v>-4.2516641669427752E-3</c:v>
                </c:pt>
                <c:pt idx="877">
                  <c:v>-5.1260951272825237E-3</c:v>
                </c:pt>
                <c:pt idx="878">
                  <c:v>1.2840398450007686E-3</c:v>
                </c:pt>
                <c:pt idx="879">
                  <c:v>-1.1182961928621457E-2</c:v>
                </c:pt>
                <c:pt idx="880">
                  <c:v>5.1768226615769046E-3</c:v>
                </c:pt>
                <c:pt idx="881">
                  <c:v>-4.302724585433644E-4</c:v>
                </c:pt>
                <c:pt idx="882">
                  <c:v>2.3820698334655499E-2</c:v>
                </c:pt>
                <c:pt idx="883">
                  <c:v>3.63226440236223E-2</c:v>
                </c:pt>
                <c:pt idx="884">
                  <c:v>3.2375386447231667E-3</c:v>
                </c:pt>
                <c:pt idx="885">
                  <c:v>-1.2604381832187237E-2</c:v>
                </c:pt>
                <c:pt idx="886">
                  <c:v>-4.1000702459526965E-3</c:v>
                </c:pt>
                <c:pt idx="887">
                  <c:v>-8.2194455395508841E-4</c:v>
                </c:pt>
                <c:pt idx="888">
                  <c:v>2.1961037890418058E-2</c:v>
                </c:pt>
                <c:pt idx="889">
                  <c:v>1.5169936836802331E-2</c:v>
                </c:pt>
                <c:pt idx="890">
                  <c:v>-1.9200597918239807E-2</c:v>
                </c:pt>
                <c:pt idx="891">
                  <c:v>-1.2599194342036484E-2</c:v>
                </c:pt>
                <c:pt idx="892">
                  <c:v>3.0610495292234415E-2</c:v>
                </c:pt>
                <c:pt idx="893">
                  <c:v>1.7302817098932756E-2</c:v>
                </c:pt>
                <c:pt idx="894">
                  <c:v>-9.0072890979782834E-3</c:v>
                </c:pt>
                <c:pt idx="895">
                  <c:v>-1.9689343353276995E-3</c:v>
                </c:pt>
                <c:pt idx="896">
                  <c:v>-4.7412200526059482E-3</c:v>
                </c:pt>
                <c:pt idx="897">
                  <c:v>-4.3659336849832479E-3</c:v>
                </c:pt>
                <c:pt idx="898">
                  <c:v>-4.7847002258518921E-3</c:v>
                </c:pt>
                <c:pt idx="899">
                  <c:v>-1.4493013732887774E-2</c:v>
                </c:pt>
                <c:pt idx="900">
                  <c:v>1.8481810264420643E-2</c:v>
                </c:pt>
                <c:pt idx="901">
                  <c:v>-7.191404816078913E-3</c:v>
                </c:pt>
                <c:pt idx="902">
                  <c:v>-6.8396788854144007E-3</c:v>
                </c:pt>
                <c:pt idx="903">
                  <c:v>5.765168668705288E-2</c:v>
                </c:pt>
                <c:pt idx="904">
                  <c:v>-1.1438271762343919E-3</c:v>
                </c:pt>
                <c:pt idx="905">
                  <c:v>-2.2918879034093767E-3</c:v>
                </c:pt>
                <c:pt idx="906">
                  <c:v>-1.7358206340507391E-2</c:v>
                </c:pt>
                <c:pt idx="907">
                  <c:v>1.1605551303874931E-2</c:v>
                </c:pt>
                <c:pt idx="908">
                  <c:v>-3.4674842261098945E-3</c:v>
                </c:pt>
                <c:pt idx="909">
                  <c:v>6.1561954726689593E-3</c:v>
                </c:pt>
                <c:pt idx="910">
                  <c:v>-9.2486247655237195E-3</c:v>
                </c:pt>
                <c:pt idx="911">
                  <c:v>6.1752643645458004E-3</c:v>
                </c:pt>
                <c:pt idx="912">
                  <c:v>2.5827480159867567E-2</c:v>
                </c:pt>
                <c:pt idx="913">
                  <c:v>5.608600672823958E-3</c:v>
                </c:pt>
                <c:pt idx="914">
                  <c:v>4.4642946975615837E-3</c:v>
                </c:pt>
                <c:pt idx="915">
                  <c:v>-3.7140070102296914E-4</c:v>
                </c:pt>
                <c:pt idx="916">
                  <c:v>-1.5061031702121006E-4</c:v>
                </c:pt>
                <c:pt idx="917">
                  <c:v>6.3850853881834528E-3</c:v>
                </c:pt>
                <c:pt idx="918">
                  <c:v>-6.656239705480671E-2</c:v>
                </c:pt>
                <c:pt idx="919">
                  <c:v>2.6847311311502812E-2</c:v>
                </c:pt>
                <c:pt idx="920">
                  <c:v>4.4197586592384416E-2</c:v>
                </c:pt>
                <c:pt idx="921">
                  <c:v>6.5283717641467953E-2</c:v>
                </c:pt>
                <c:pt idx="922">
                  <c:v>0</c:v>
                </c:pt>
                <c:pt idx="923">
                  <c:v>1.28363049762555E-2</c:v>
                </c:pt>
                <c:pt idx="924">
                  <c:v>-4.2604712130648453E-2</c:v>
                </c:pt>
                <c:pt idx="925">
                  <c:v>-5.7718836582943784E-3</c:v>
                </c:pt>
                <c:pt idx="926">
                  <c:v>1.3297529558079651E-2</c:v>
                </c:pt>
                <c:pt idx="927">
                  <c:v>-1.4021377142717681E-2</c:v>
                </c:pt>
                <c:pt idx="928">
                  <c:v>6.8554887883121186E-3</c:v>
                </c:pt>
                <c:pt idx="929">
                  <c:v>1.1085458625049144E-2</c:v>
                </c:pt>
                <c:pt idx="930">
                  <c:v>-7.1148730340065281E-4</c:v>
                </c:pt>
                <c:pt idx="931">
                  <c:v>-7.8601764853028881E-3</c:v>
                </c:pt>
                <c:pt idx="932">
                  <c:v>-2.7269336123426444E-2</c:v>
                </c:pt>
                <c:pt idx="933">
                  <c:v>1.0267850129731687E-2</c:v>
                </c:pt>
                <c:pt idx="934">
                  <c:v>1.7360211425948735E-2</c:v>
                </c:pt>
                <c:pt idx="935">
                  <c:v>-2.7996723467023452E-2</c:v>
                </c:pt>
                <c:pt idx="936">
                  <c:v>1.7181847175971644E-2</c:v>
                </c:pt>
                <c:pt idx="937">
                  <c:v>-5.816057032966949E-3</c:v>
                </c:pt>
                <c:pt idx="938">
                  <c:v>4.7282324615057353E-3</c:v>
                </c:pt>
                <c:pt idx="939">
                  <c:v>-8.3805209107846411E-3</c:v>
                </c:pt>
                <c:pt idx="940">
                  <c:v>4.0514630469307686E-2</c:v>
                </c:pt>
                <c:pt idx="941">
                  <c:v>1.755302230209354E-3</c:v>
                </c:pt>
                <c:pt idx="942">
                  <c:v>6.9906674608976958E-3</c:v>
                </c:pt>
                <c:pt idx="943">
                  <c:v>3.4814036277066467E-4</c:v>
                </c:pt>
                <c:pt idx="944">
                  <c:v>3.7920893544466878E-2</c:v>
                </c:pt>
                <c:pt idx="945">
                  <c:v>-7.3721225421213177E-2</c:v>
                </c:pt>
                <c:pt idx="946">
                  <c:v>-1.4906701403767587E-2</c:v>
                </c:pt>
                <c:pt idx="947">
                  <c:v>-6.9840068094712002E-3</c:v>
                </c:pt>
                <c:pt idx="948">
                  <c:v>8.81382517307348E-3</c:v>
                </c:pt>
                <c:pt idx="949">
                  <c:v>-4.3973161577008108E-3</c:v>
                </c:pt>
                <c:pt idx="950">
                  <c:v>1.9637131719779679E-2</c:v>
                </c:pt>
                <c:pt idx="951">
                  <c:v>-1.3048330821004067E-2</c:v>
                </c:pt>
                <c:pt idx="952">
                  <c:v>7.6322023690371596E-3</c:v>
                </c:pt>
                <c:pt idx="953">
                  <c:v>1.4471715929163555E-3</c:v>
                </c:pt>
                <c:pt idx="954">
                  <c:v>2.0397823138960786E-2</c:v>
                </c:pt>
                <c:pt idx="955">
                  <c:v>1.4419143665448044E-2</c:v>
                </c:pt>
                <c:pt idx="956">
                  <c:v>1.076581318921125E-2</c:v>
                </c:pt>
                <c:pt idx="957">
                  <c:v>-5.1747888504323339E-2</c:v>
                </c:pt>
                <c:pt idx="958">
                  <c:v>4.3557041370646359E-3</c:v>
                </c:pt>
                <c:pt idx="959">
                  <c:v>2.185293326917653E-2</c:v>
                </c:pt>
                <c:pt idx="960">
                  <c:v>1.5820479203328651E-2</c:v>
                </c:pt>
                <c:pt idx="961">
                  <c:v>3.5295708979684287E-2</c:v>
                </c:pt>
                <c:pt idx="962">
                  <c:v>2.2966456723267085E-2</c:v>
                </c:pt>
                <c:pt idx="963">
                  <c:v>1.987360925166639E-2</c:v>
                </c:pt>
                <c:pt idx="964">
                  <c:v>6.1914124485572583E-2</c:v>
                </c:pt>
                <c:pt idx="965">
                  <c:v>6.7698376662579163E-2</c:v>
                </c:pt>
                <c:pt idx="966">
                  <c:v>-1.2833515716921795E-2</c:v>
                </c:pt>
                <c:pt idx="967">
                  <c:v>0.18213017356593431</c:v>
                </c:pt>
                <c:pt idx="968">
                  <c:v>7.8643196577475288E-2</c:v>
                </c:pt>
                <c:pt idx="969">
                  <c:v>2.5759942326599145E-2</c:v>
                </c:pt>
                <c:pt idx="970">
                  <c:v>9.531013115779978E-2</c:v>
                </c:pt>
                <c:pt idx="971">
                  <c:v>-9.8548111679846034E-2</c:v>
                </c:pt>
                <c:pt idx="972">
                  <c:v>4.5024968624785333E-2</c:v>
                </c:pt>
                <c:pt idx="973">
                  <c:v>-4.1356048448351931E-2</c:v>
                </c:pt>
                <c:pt idx="974">
                  <c:v>-1.6945866154471342E-2</c:v>
                </c:pt>
                <c:pt idx="975">
                  <c:v>3.6571046598858847E-2</c:v>
                </c:pt>
                <c:pt idx="976">
                  <c:v>-3.6790175654915484E-2</c:v>
                </c:pt>
                <c:pt idx="977">
                  <c:v>0</c:v>
                </c:pt>
                <c:pt idx="978">
                  <c:v>3.7212625767595681E-2</c:v>
                </c:pt>
                <c:pt idx="979">
                  <c:v>-7.6304197638563569E-3</c:v>
                </c:pt>
                <c:pt idx="980">
                  <c:v>-1.9117802164246512E-2</c:v>
                </c:pt>
                <c:pt idx="981">
                  <c:v>-2.7706200219206674E-2</c:v>
                </c:pt>
                <c:pt idx="982">
                  <c:v>9.7626932201270913E-3</c:v>
                </c:pt>
                <c:pt idx="983">
                  <c:v>-4.4258136019406681E-3</c:v>
                </c:pt>
                <c:pt idx="984">
                  <c:v>-5.2823541467112989E-2</c:v>
                </c:pt>
                <c:pt idx="985">
                  <c:v>1.1853658428200832E-2</c:v>
                </c:pt>
                <c:pt idx="986">
                  <c:v>5.3002096445378642E-3</c:v>
                </c:pt>
                <c:pt idx="987">
                  <c:v>-2.2310984596128791E-2</c:v>
                </c:pt>
                <c:pt idx="988">
                  <c:v>2.3474083148942808E-3</c:v>
                </c:pt>
                <c:pt idx="989">
                  <c:v>9.3742260472760885E-4</c:v>
                </c:pt>
                <c:pt idx="990">
                  <c:v>-1.462973673851955E-2</c:v>
                </c:pt>
                <c:pt idx="991">
                  <c:v>2.9279535838198721E-2</c:v>
                </c:pt>
                <c:pt idx="992">
                  <c:v>-1.3713254433156586E-2</c:v>
                </c:pt>
                <c:pt idx="993">
                  <c:v>2.2446894530081685E-2</c:v>
                </c:pt>
                <c:pt idx="994">
                  <c:v>4.2340307920252222E-2</c:v>
                </c:pt>
                <c:pt idx="995">
                  <c:v>5.4686533055607525E-3</c:v>
                </c:pt>
                <c:pt idx="996">
                  <c:v>-3.146724866638119E-2</c:v>
                </c:pt>
                <c:pt idx="997">
                  <c:v>-3.3825563339889859E-3</c:v>
                </c:pt>
                <c:pt idx="998">
                  <c:v>-2.6320270586974972E-2</c:v>
                </c:pt>
                <c:pt idx="999">
                  <c:v>-9.3196888165215618E-3</c:v>
                </c:pt>
                <c:pt idx="1000">
                  <c:v>6.9978967632387881E-3</c:v>
                </c:pt>
                <c:pt idx="1001">
                  <c:v>8.5637650689606003E-3</c:v>
                </c:pt>
                <c:pt idx="1002">
                  <c:v>3.0191903220847829E-2</c:v>
                </c:pt>
                <c:pt idx="1003">
                  <c:v>-3.5842167807121454E-3</c:v>
                </c:pt>
                <c:pt idx="1004">
                  <c:v>-7.2072753086380031E-3</c:v>
                </c:pt>
                <c:pt idx="1005">
                  <c:v>9.3582542301097291E-2</c:v>
                </c:pt>
                <c:pt idx="1006">
                  <c:v>-6.7699774255876352E-2</c:v>
                </c:pt>
                <c:pt idx="1007">
                  <c:v>3.6973153171509315E-2</c:v>
                </c:pt>
                <c:pt idx="1008">
                  <c:v>-1.77754429858374E-2</c:v>
                </c:pt>
                <c:pt idx="1009">
                  <c:v>2.6440851419988781E-2</c:v>
                </c:pt>
                <c:pt idx="1010">
                  <c:v>3.5961745163107101E-2</c:v>
                </c:pt>
                <c:pt idx="1011">
                  <c:v>-1.2460653981526926E-2</c:v>
                </c:pt>
                <c:pt idx="1012">
                  <c:v>-1.4075928910331513E-2</c:v>
                </c:pt>
                <c:pt idx="1013">
                  <c:v>9.33709330371023E-3</c:v>
                </c:pt>
                <c:pt idx="1014">
                  <c:v>9.2828794418140001E-2</c:v>
                </c:pt>
                <c:pt idx="1015">
                  <c:v>3.8764594980808087E-2</c:v>
                </c:pt>
                <c:pt idx="1016">
                  <c:v>-1.2022060732630849E-2</c:v>
                </c:pt>
                <c:pt idx="1017">
                  <c:v>0.10942047056442339</c:v>
                </c:pt>
                <c:pt idx="1018">
                  <c:v>-4.5191196128901788E-2</c:v>
                </c:pt>
                <c:pt idx="1019">
                  <c:v>-0.16477581160509114</c:v>
                </c:pt>
                <c:pt idx="1020">
                  <c:v>-2.7736756936928904E-2</c:v>
                </c:pt>
                <c:pt idx="1021">
                  <c:v>4.4614780777842353E-2</c:v>
                </c:pt>
                <c:pt idx="1022">
                  <c:v>-1.4651537697758217E-2</c:v>
                </c:pt>
                <c:pt idx="1023">
                  <c:v>0.1448650653310406</c:v>
                </c:pt>
                <c:pt idx="1024">
                  <c:v>3.6411418774575009E-2</c:v>
                </c:pt>
                <c:pt idx="1025">
                  <c:v>-5.9592147712418789E-2</c:v>
                </c:pt>
                <c:pt idx="1026">
                  <c:v>1.431120741205277E-3</c:v>
                </c:pt>
                <c:pt idx="1027">
                  <c:v>9.6068619138068544E-3</c:v>
                </c:pt>
                <c:pt idx="1028">
                  <c:v>-9.4281157428232083E-3</c:v>
                </c:pt>
                <c:pt idx="1029">
                  <c:v>-5.1716686527148566E-2</c:v>
                </c:pt>
                <c:pt idx="1030">
                  <c:v>2.4357441698402666E-2</c:v>
                </c:pt>
                <c:pt idx="1031">
                  <c:v>-5.7266504762166624E-2</c:v>
                </c:pt>
                <c:pt idx="1032">
                  <c:v>4.0765299280636864E-3</c:v>
                </c:pt>
                <c:pt idx="1033">
                  <c:v>4.0620435491760663E-2</c:v>
                </c:pt>
                <c:pt idx="1034">
                  <c:v>2.570835495188557E-2</c:v>
                </c:pt>
                <c:pt idx="1035">
                  <c:v>-1.2037296744712787E-2</c:v>
                </c:pt>
                <c:pt idx="1036">
                  <c:v>-4.6188011584512051E-2</c:v>
                </c:pt>
                <c:pt idx="1037">
                  <c:v>-9.2665532112997089E-3</c:v>
                </c:pt>
                <c:pt idx="1038">
                  <c:v>-2.5536590934589851E-2</c:v>
                </c:pt>
                <c:pt idx="1039">
                  <c:v>-4.3096091935711352E-2</c:v>
                </c:pt>
                <c:pt idx="1040">
                  <c:v>-0.10043346320126491</c:v>
                </c:pt>
                <c:pt idx="1041">
                  <c:v>7.6254823888387196E-2</c:v>
                </c:pt>
                <c:pt idx="1042">
                  <c:v>-4.4790978457469703E-3</c:v>
                </c:pt>
                <c:pt idx="1043">
                  <c:v>-1.2475906430431319E-2</c:v>
                </c:pt>
                <c:pt idx="1044">
                  <c:v>-3.1888344059412238E-2</c:v>
                </c:pt>
                <c:pt idx="1045">
                  <c:v>1.3398779480451289E-3</c:v>
                </c:pt>
                <c:pt idx="1046">
                  <c:v>2.5340077329412347E-2</c:v>
                </c:pt>
                <c:pt idx="1047">
                  <c:v>1.1035574037549494E-2</c:v>
                </c:pt>
                <c:pt idx="1048">
                  <c:v>-2.859527631228282E-2</c:v>
                </c:pt>
                <c:pt idx="1049">
                  <c:v>2.2768091056688106E-2</c:v>
                </c:pt>
                <c:pt idx="1050">
                  <c:v>-1.7027251293567115E-2</c:v>
                </c:pt>
                <c:pt idx="1051">
                  <c:v>5.4206281995158347E-2</c:v>
                </c:pt>
                <c:pt idx="1052">
                  <c:v>1.0421401320234952E-3</c:v>
                </c:pt>
                <c:pt idx="1053">
                  <c:v>-3.547937128582708E-3</c:v>
                </c:pt>
                <c:pt idx="1054">
                  <c:v>-3.7704104334772073E-3</c:v>
                </c:pt>
                <c:pt idx="1055">
                  <c:v>3.7704104334772858E-3</c:v>
                </c:pt>
                <c:pt idx="1056">
                  <c:v>-1.6229600072435478E-2</c:v>
                </c:pt>
                <c:pt idx="1057">
                  <c:v>-1.197114859885145E-2</c:v>
                </c:pt>
                <c:pt idx="1058">
                  <c:v>-1.5604994482323841E-2</c:v>
                </c:pt>
                <c:pt idx="1059">
                  <c:v>-1.8519031927319192E-2</c:v>
                </c:pt>
                <c:pt idx="1060">
                  <c:v>-2.6608056657543008E-2</c:v>
                </c:pt>
                <c:pt idx="1061">
                  <c:v>1.2490169874825784E-2</c:v>
                </c:pt>
                <c:pt idx="1062">
                  <c:v>-5.6580180039179136E-3</c:v>
                </c:pt>
                <c:pt idx="1063">
                  <c:v>-6.1469032053654577E-3</c:v>
                </c:pt>
                <c:pt idx="1064">
                  <c:v>1.04499136251903E-2</c:v>
                </c:pt>
                <c:pt idx="1065">
                  <c:v>1.569538751322001E-2</c:v>
                </c:pt>
                <c:pt idx="1066">
                  <c:v>5.767582830980035E-3</c:v>
                </c:pt>
                <c:pt idx="1067">
                  <c:v>3.7530924222849704E-3</c:v>
                </c:pt>
                <c:pt idx="1068">
                  <c:v>7.5523630816595536E-2</c:v>
                </c:pt>
                <c:pt idx="1069">
                  <c:v>3.315884406492136E-2</c:v>
                </c:pt>
                <c:pt idx="1070">
                  <c:v>-2.3196420023908388E-2</c:v>
                </c:pt>
                <c:pt idx="1071">
                  <c:v>-3.2695397175647248E-2</c:v>
                </c:pt>
                <c:pt idx="1072">
                  <c:v>-3.0562643251480875E-2</c:v>
                </c:pt>
                <c:pt idx="1073">
                  <c:v>-1.8269304914647382E-2</c:v>
                </c:pt>
                <c:pt idx="1074">
                  <c:v>-2.6917445260332521E-2</c:v>
                </c:pt>
                <c:pt idx="1075">
                  <c:v>5.3968854007199508E-3</c:v>
                </c:pt>
                <c:pt idx="1076">
                  <c:v>-2.5438528468854055E-2</c:v>
                </c:pt>
                <c:pt idx="1077">
                  <c:v>1.2345850277002196E-2</c:v>
                </c:pt>
                <c:pt idx="1078">
                  <c:v>-5.4682753938728942E-3</c:v>
                </c:pt>
                <c:pt idx="1079">
                  <c:v>3.1927166979554382E-2</c:v>
                </c:pt>
                <c:pt idx="1080">
                  <c:v>3.3724488172218209E-2</c:v>
                </c:pt>
                <c:pt idx="1081">
                  <c:v>-2.5706173072240321E-3</c:v>
                </c:pt>
                <c:pt idx="1082">
                  <c:v>-1.0731383262352931E-3</c:v>
                </c:pt>
                <c:pt idx="1083">
                  <c:v>-5.1668340897285609E-3</c:v>
                </c:pt>
                <c:pt idx="1084">
                  <c:v>5.7661854884578562E-2</c:v>
                </c:pt>
                <c:pt idx="1085">
                  <c:v>6.70130865681979E-3</c:v>
                </c:pt>
                <c:pt idx="1086">
                  <c:v>-3.3336459659528896E-2</c:v>
                </c:pt>
                <c:pt idx="1087">
                  <c:v>-2.4143507264729094E-2</c:v>
                </c:pt>
                <c:pt idx="1088">
                  <c:v>-7.3149735857198327E-3</c:v>
                </c:pt>
                <c:pt idx="1089">
                  <c:v>1.3086110191624908E-2</c:v>
                </c:pt>
                <c:pt idx="1090">
                  <c:v>-2.5033628837630412E-2</c:v>
                </c:pt>
                <c:pt idx="1091">
                  <c:v>-2.1862218121378188E-4</c:v>
                </c:pt>
                <c:pt idx="1092">
                  <c:v>4.0900693158229549E-2</c:v>
                </c:pt>
                <c:pt idx="1093">
                  <c:v>-0.1752130757093644</c:v>
                </c:pt>
                <c:pt idx="1094">
                  <c:v>4.5690221428238552E-2</c:v>
                </c:pt>
                <c:pt idx="1095">
                  <c:v>3.6580772898331566E-2</c:v>
                </c:pt>
                <c:pt idx="1096">
                  <c:v>1.7574404541786735E-2</c:v>
                </c:pt>
                <c:pt idx="1097">
                  <c:v>8.0724710503333491E-2</c:v>
                </c:pt>
                <c:pt idx="1098">
                  <c:v>5.2453725274982516E-3</c:v>
                </c:pt>
                <c:pt idx="1099">
                  <c:v>-1.9117735682296464E-3</c:v>
                </c:pt>
                <c:pt idx="1100">
                  <c:v>5.7659200623869427E-3</c:v>
                </c:pt>
                <c:pt idx="1101">
                  <c:v>9.7958716161557543E-3</c:v>
                </c:pt>
                <c:pt idx="1102">
                  <c:v>-5.421232281102536E-3</c:v>
                </c:pt>
                <c:pt idx="1103">
                  <c:v>-2.0595236284086788E-2</c:v>
                </c:pt>
                <c:pt idx="1104">
                  <c:v>5.4045078694220698E-2</c:v>
                </c:pt>
                <c:pt idx="1105">
                  <c:v>5.8770199891675923E-3</c:v>
                </c:pt>
                <c:pt idx="1106">
                  <c:v>-2.8513692416231598E-2</c:v>
                </c:pt>
                <c:pt idx="1107">
                  <c:v>-2.7925288873415839E-2</c:v>
                </c:pt>
                <c:pt idx="1108">
                  <c:v>5.8476988546240227E-3</c:v>
                </c:pt>
                <c:pt idx="1109">
                  <c:v>-3.2938344318878182E-2</c:v>
                </c:pt>
                <c:pt idx="1110">
                  <c:v>1.9648119625622965E-2</c:v>
                </c:pt>
                <c:pt idx="1111">
                  <c:v>3.5449300015326625E-2</c:v>
                </c:pt>
                <c:pt idx="1112">
                  <c:v>-1.3368566092990445E-2</c:v>
                </c:pt>
                <c:pt idx="1113">
                  <c:v>1.2635022477997311E-2</c:v>
                </c:pt>
                <c:pt idx="1114">
                  <c:v>4.2029576313298442E-2</c:v>
                </c:pt>
                <c:pt idx="1115">
                  <c:v>6.79917278591496E-2</c:v>
                </c:pt>
                <c:pt idx="1116">
                  <c:v>7.2044971269958537E-3</c:v>
                </c:pt>
                <c:pt idx="1117">
                  <c:v>-1.6486416069212015E-2</c:v>
                </c:pt>
                <c:pt idx="1118">
                  <c:v>1.7537179341269884E-2</c:v>
                </c:pt>
                <c:pt idx="1119">
                  <c:v>3.8020796315097832E-2</c:v>
                </c:pt>
                <c:pt idx="1120">
                  <c:v>4.2794070821765865E-3</c:v>
                </c:pt>
                <c:pt idx="1121">
                  <c:v>-8.5422122762975356E-3</c:v>
                </c:pt>
                <c:pt idx="1122">
                  <c:v>1.5047888386559183E-2</c:v>
                </c:pt>
                <c:pt idx="1123">
                  <c:v>-3.3245332346449732E-2</c:v>
                </c:pt>
                <c:pt idx="1124">
                  <c:v>-5.5875418439565665E-2</c:v>
                </c:pt>
                <c:pt idx="1125">
                  <c:v>2.096999225854802E-2</c:v>
                </c:pt>
                <c:pt idx="1126">
                  <c:v>-5.8545113886575885E-2</c:v>
                </c:pt>
                <c:pt idx="1127">
                  <c:v>1.8887190662988298E-2</c:v>
                </c:pt>
                <c:pt idx="1128">
                  <c:v>-7.1329224210816868E-3</c:v>
                </c:pt>
                <c:pt idx="1129">
                  <c:v>0.12116524805588917</c:v>
                </c:pt>
                <c:pt idx="1130">
                  <c:v>-4.0039757050813932E-2</c:v>
                </c:pt>
                <c:pt idx="1131">
                  <c:v>1.8943284811815647E-2</c:v>
                </c:pt>
                <c:pt idx="1132">
                  <c:v>2.5030705946787746E-2</c:v>
                </c:pt>
                <c:pt idx="1133">
                  <c:v>-4.5509275507243659E-2</c:v>
                </c:pt>
                <c:pt idx="1134">
                  <c:v>-3.2211763752547223E-3</c:v>
                </c:pt>
                <c:pt idx="1135">
                  <c:v>-6.6129123329810205E-2</c:v>
                </c:pt>
                <c:pt idx="1136">
                  <c:v>-2.8750999682225664E-2</c:v>
                </c:pt>
                <c:pt idx="1137">
                  <c:v>3.7521273844107993E-2</c:v>
                </c:pt>
                <c:pt idx="1138">
                  <c:v>-1.183898360078684E-2</c:v>
                </c:pt>
                <c:pt idx="1139">
                  <c:v>-3.3398190189322975E-2</c:v>
                </c:pt>
                <c:pt idx="1140">
                  <c:v>-2.0060886635179423E-2</c:v>
                </c:pt>
                <c:pt idx="1141">
                  <c:v>-3.2749211031725754E-2</c:v>
                </c:pt>
                <c:pt idx="1142">
                  <c:v>-7.7773280649646439E-3</c:v>
                </c:pt>
                <c:pt idx="1143">
                  <c:v>5.2615499416424419E-3</c:v>
                </c:pt>
                <c:pt idx="1144">
                  <c:v>5.6119995697230828E-2</c:v>
                </c:pt>
                <c:pt idx="1145">
                  <c:v>2.6824846823866925E-2</c:v>
                </c:pt>
                <c:pt idx="1146">
                  <c:v>5.4880405307932985E-2</c:v>
                </c:pt>
                <c:pt idx="1147">
                  <c:v>-1.771255905432564E-2</c:v>
                </c:pt>
                <c:pt idx="1148">
                  <c:v>-1.6327700704701398E-2</c:v>
                </c:pt>
                <c:pt idx="1149">
                  <c:v>1.8903510803716668E-3</c:v>
                </c:pt>
                <c:pt idx="1150">
                  <c:v>1.6111178384336185E-2</c:v>
                </c:pt>
                <c:pt idx="1151">
                  <c:v>3.8951222813621189E-3</c:v>
                </c:pt>
                <c:pt idx="1152">
                  <c:v>-3.0447851857986385E-2</c:v>
                </c:pt>
                <c:pt idx="1153">
                  <c:v>1.0819192975068318E-2</c:v>
                </c:pt>
                <c:pt idx="1154">
                  <c:v>5.6619540876933015E-4</c:v>
                </c:pt>
                <c:pt idx="1155">
                  <c:v>9.9502856290770297E-3</c:v>
                </c:pt>
                <c:pt idx="1156">
                  <c:v>-2.1144853384732588E-2</c:v>
                </c:pt>
                <c:pt idx="1157">
                  <c:v>9.1169487811321864E-3</c:v>
                </c:pt>
                <c:pt idx="1158">
                  <c:v>-4.9972308620636965E-2</c:v>
                </c:pt>
                <c:pt idx="1159">
                  <c:v>2.9410906290987984E-2</c:v>
                </c:pt>
                <c:pt idx="1160">
                  <c:v>-3.7860020446763447E-2</c:v>
                </c:pt>
                <c:pt idx="1161">
                  <c:v>-4.0190847613087458E-2</c:v>
                </c:pt>
                <c:pt idx="1162">
                  <c:v>2.8608863657587354E-2</c:v>
                </c:pt>
                <c:pt idx="1163">
                  <c:v>-4.0879168321301398E-4</c:v>
                </c:pt>
                <c:pt idx="1164">
                  <c:v>-1.5037899305845016E-2</c:v>
                </c:pt>
                <c:pt idx="1165">
                  <c:v>-3.1182036669981468E-3</c:v>
                </c:pt>
                <c:pt idx="1166">
                  <c:v>-2.7225485331446076E-2</c:v>
                </c:pt>
                <c:pt idx="1167">
                  <c:v>-2.3561910491014578E-3</c:v>
                </c:pt>
                <c:pt idx="1168">
                  <c:v>-6.4357425194754101E-4</c:v>
                </c:pt>
                <c:pt idx="1169">
                  <c:v>1.5332540823660651E-2</c:v>
                </c:pt>
                <c:pt idx="1170">
                  <c:v>-1.0622608488153811E-2</c:v>
                </c:pt>
                <c:pt idx="1171">
                  <c:v>1.5891895294672487E-2</c:v>
                </c:pt>
                <c:pt idx="1172">
                  <c:v>-8.4442510396745656E-3</c:v>
                </c:pt>
                <c:pt idx="1173">
                  <c:v>-1.0228095066897161E-2</c:v>
                </c:pt>
                <c:pt idx="1174">
                  <c:v>-1.2934027593788753E-2</c:v>
                </c:pt>
                <c:pt idx="1175">
                  <c:v>6.2723252534330771E-3</c:v>
                </c:pt>
                <c:pt idx="1176">
                  <c:v>-2.6656534441599294E-2</c:v>
                </c:pt>
                <c:pt idx="1177">
                  <c:v>-2.7659834005381578E-2</c:v>
                </c:pt>
                <c:pt idx="1178">
                  <c:v>-6.8248457622155118E-2</c:v>
                </c:pt>
                <c:pt idx="1179">
                  <c:v>1.6437468369587142E-2</c:v>
                </c:pt>
                <c:pt idx="1180">
                  <c:v>2.7058058476598455E-2</c:v>
                </c:pt>
                <c:pt idx="1181">
                  <c:v>-1.5995137333685374E-2</c:v>
                </c:pt>
                <c:pt idx="1182">
                  <c:v>-5.6592721222836571E-3</c:v>
                </c:pt>
                <c:pt idx="1183">
                  <c:v>2.9881026988207406E-2</c:v>
                </c:pt>
                <c:pt idx="1184">
                  <c:v>-1.271705905754301E-2</c:v>
                </c:pt>
                <c:pt idx="1185">
                  <c:v>-6.8679962433207641E-3</c:v>
                </c:pt>
                <c:pt idx="1186">
                  <c:v>-1.5603719445890063E-2</c:v>
                </c:pt>
                <c:pt idx="1187">
                  <c:v>3.3982924373087316E-3</c:v>
                </c:pt>
                <c:pt idx="1188">
                  <c:v>-8.6862703908265337E-3</c:v>
                </c:pt>
                <c:pt idx="1189">
                  <c:v>-6.5737810025117763E-2</c:v>
                </c:pt>
                <c:pt idx="1190">
                  <c:v>1.815909279123477E-2</c:v>
                </c:pt>
                <c:pt idx="1191">
                  <c:v>1.6162602232268797E-3</c:v>
                </c:pt>
                <c:pt idx="1192">
                  <c:v>-4.0264884268458402E-2</c:v>
                </c:pt>
                <c:pt idx="1193">
                  <c:v>1.7912484214993096E-2</c:v>
                </c:pt>
                <c:pt idx="1194">
                  <c:v>1.4041383791851162E-2</c:v>
                </c:pt>
                <c:pt idx="1195">
                  <c:v>1.7954023621414201E-2</c:v>
                </c:pt>
                <c:pt idx="1196">
                  <c:v>-2.0858827776019322E-2</c:v>
                </c:pt>
                <c:pt idx="1197">
                  <c:v>1.8306432009307032E-2</c:v>
                </c:pt>
                <c:pt idx="1198">
                  <c:v>-5.0723777409804618E-2</c:v>
                </c:pt>
                <c:pt idx="1199">
                  <c:v>3.1627400434909044E-4</c:v>
                </c:pt>
                <c:pt idx="1200">
                  <c:v>2.0551521794054409E-2</c:v>
                </c:pt>
                <c:pt idx="1201">
                  <c:v>-2.8954154236590429E-3</c:v>
                </c:pt>
                <c:pt idx="1202">
                  <c:v>-4.1441433101915885E-2</c:v>
                </c:pt>
                <c:pt idx="1203">
                  <c:v>-2.5397272238567863E-3</c:v>
                </c:pt>
                <c:pt idx="1204">
                  <c:v>-2.049865809791071E-2</c:v>
                </c:pt>
                <c:pt idx="1205">
                  <c:v>-3.8450072547353505E-2</c:v>
                </c:pt>
                <c:pt idx="1206">
                  <c:v>1.0334418466055938E-2</c:v>
                </c:pt>
                <c:pt idx="1207">
                  <c:v>-4.8969692679977986E-3</c:v>
                </c:pt>
                <c:pt idx="1208">
                  <c:v>7.2231502190118081E-3</c:v>
                </c:pt>
                <c:pt idx="1209">
                  <c:v>-3.4007114059650095E-2</c:v>
                </c:pt>
                <c:pt idx="1210">
                  <c:v>2.5355971146391314E-2</c:v>
                </c:pt>
                <c:pt idx="1211">
                  <c:v>3.0733438056721213E-2</c:v>
                </c:pt>
                <c:pt idx="1212">
                  <c:v>4.7786601110316601E-2</c:v>
                </c:pt>
                <c:pt idx="1213">
                  <c:v>9.2579192743470918E-3</c:v>
                </c:pt>
                <c:pt idx="1214">
                  <c:v>1.3883023487245915E-2</c:v>
                </c:pt>
                <c:pt idx="1215">
                  <c:v>3.865234783645716E-3</c:v>
                </c:pt>
                <c:pt idx="1216">
                  <c:v>5.1306468655405906E-3</c:v>
                </c:pt>
                <c:pt idx="1217">
                  <c:v>1.0588025583476679E-2</c:v>
                </c:pt>
                <c:pt idx="1218">
                  <c:v>3.3607829038128187E-2</c:v>
                </c:pt>
                <c:pt idx="1219">
                  <c:v>2.2008067861526573E-3</c:v>
                </c:pt>
                <c:pt idx="1220">
                  <c:v>6.1853594407242684E-3</c:v>
                </c:pt>
                <c:pt idx="1221">
                  <c:v>1.1153358858978111E-2</c:v>
                </c:pt>
                <c:pt idx="1222">
                  <c:v>-9.0677414754887775E-3</c:v>
                </c:pt>
                <c:pt idx="1223">
                  <c:v>1.7482780215790219E-2</c:v>
                </c:pt>
                <c:pt idx="1224">
                  <c:v>-1.787049367384105E-2</c:v>
                </c:pt>
                <c:pt idx="1225">
                  <c:v>-2.0716198629908311E-2</c:v>
                </c:pt>
                <c:pt idx="1226">
                  <c:v>5.4692108523103529E-2</c:v>
                </c:pt>
                <c:pt idx="1227">
                  <c:v>-2.6875968658102527E-2</c:v>
                </c:pt>
                <c:pt idx="1228">
                  <c:v>-9.6300219144715936E-4</c:v>
                </c:pt>
                <c:pt idx="1229">
                  <c:v>-1.0752302217849201E-2</c:v>
                </c:pt>
                <c:pt idx="1230">
                  <c:v>4.1678670092005307E-2</c:v>
                </c:pt>
                <c:pt idx="1231">
                  <c:v>-5.6938673348527279E-2</c:v>
                </c:pt>
                <c:pt idx="1232">
                  <c:v>-2.1187028466382297E-2</c:v>
                </c:pt>
                <c:pt idx="1233">
                  <c:v>4.2515471395132821E-2</c:v>
                </c:pt>
                <c:pt idx="1234">
                  <c:v>5.2136322164771228E-3</c:v>
                </c:pt>
                <c:pt idx="1235">
                  <c:v>-4.0834032466252217E-2</c:v>
                </c:pt>
                <c:pt idx="1236">
                  <c:v>1.5626088368723302E-2</c:v>
                </c:pt>
                <c:pt idx="1237">
                  <c:v>2.0429808521925743E-2</c:v>
                </c:pt>
                <c:pt idx="1238">
                  <c:v>-8.4048443626298271E-3</c:v>
                </c:pt>
                <c:pt idx="1239">
                  <c:v>-1.5135369244247642E-3</c:v>
                </c:pt>
                <c:pt idx="1240">
                  <c:v>-5.1226413740403758E-2</c:v>
                </c:pt>
                <c:pt idx="1241">
                  <c:v>1.7890748361226096E-2</c:v>
                </c:pt>
                <c:pt idx="1242">
                  <c:v>-1.7479450156197639E-2</c:v>
                </c:pt>
                <c:pt idx="1243">
                  <c:v>5.0253716857623747E-3</c:v>
                </c:pt>
                <c:pt idx="1244">
                  <c:v>-3.5136919422302584E-2</c:v>
                </c:pt>
                <c:pt idx="1245">
                  <c:v>-8.0965839818992802E-2</c:v>
                </c:pt>
                <c:pt idx="1246">
                  <c:v>9.1558474038606716E-2</c:v>
                </c:pt>
                <c:pt idx="1247">
                  <c:v>-1.6810595944984595E-2</c:v>
                </c:pt>
                <c:pt idx="1248">
                  <c:v>2.2039076208323103E-2</c:v>
                </c:pt>
                <c:pt idx="1249">
                  <c:v>7.895386004741661E-3</c:v>
                </c:pt>
                <c:pt idx="1250">
                  <c:v>1.2085237769593788E-2</c:v>
                </c:pt>
                <c:pt idx="1251">
                  <c:v>-2.5838320695024581E-2</c:v>
                </c:pt>
                <c:pt idx="1252">
                  <c:v>-2.3135958918478843E-2</c:v>
                </c:pt>
                <c:pt idx="1253">
                  <c:v>2.2033775131251095E-2</c:v>
                </c:pt>
                <c:pt idx="1254">
                  <c:v>-2.9523620911555085E-2</c:v>
                </c:pt>
                <c:pt idx="1255">
                  <c:v>-5.9786566979329686E-2</c:v>
                </c:pt>
                <c:pt idx="1256">
                  <c:v>-2.2119267255786643E-2</c:v>
                </c:pt>
                <c:pt idx="1257">
                  <c:v>2.0797648325961017E-2</c:v>
                </c:pt>
                <c:pt idx="1258">
                  <c:v>2.1781410320871955E-2</c:v>
                </c:pt>
                <c:pt idx="1259">
                  <c:v>2.2747932817802654E-2</c:v>
                </c:pt>
                <c:pt idx="1260">
                  <c:v>-1.6131663221375964E-2</c:v>
                </c:pt>
                <c:pt idx="1261">
                  <c:v>-2.8742637418608798E-2</c:v>
                </c:pt>
                <c:pt idx="1262">
                  <c:v>1.6032219854151774E-2</c:v>
                </c:pt>
                <c:pt idx="1263">
                  <c:v>7.6680716927724438E-3</c:v>
                </c:pt>
                <c:pt idx="1264">
                  <c:v>-1.180145553245754E-3</c:v>
                </c:pt>
                <c:pt idx="1265">
                  <c:v>-9.8896125750366666E-3</c:v>
                </c:pt>
                <c:pt idx="1266">
                  <c:v>-2.5539163115055968E-2</c:v>
                </c:pt>
                <c:pt idx="1267">
                  <c:v>-4.3461872043148067E-2</c:v>
                </c:pt>
                <c:pt idx="1268">
                  <c:v>-1.3477231541471802E-2</c:v>
                </c:pt>
                <c:pt idx="1269">
                  <c:v>1.2334978724997902E-4</c:v>
                </c:pt>
                <c:pt idx="1270">
                  <c:v>-4.2130702521469478E-2</c:v>
                </c:pt>
                <c:pt idx="1271">
                  <c:v>-1.4839104880820582E-2</c:v>
                </c:pt>
                <c:pt idx="1272">
                  <c:v>4.5594429471150213E-3</c:v>
                </c:pt>
                <c:pt idx="1273">
                  <c:v>2.7939743146875067E-2</c:v>
                </c:pt>
                <c:pt idx="1274">
                  <c:v>1.7539876817142905E-2</c:v>
                </c:pt>
                <c:pt idx="1275">
                  <c:v>-3.9197331706235594E-3</c:v>
                </c:pt>
                <c:pt idx="1276">
                  <c:v>-2.4549167130705988E-2</c:v>
                </c:pt>
                <c:pt idx="1277">
                  <c:v>-2.4948015772307138E-3</c:v>
                </c:pt>
                <c:pt idx="1278">
                  <c:v>-3.0697694202615845E-2</c:v>
                </c:pt>
                <c:pt idx="1279">
                  <c:v>-6.3389906196707327E-2</c:v>
                </c:pt>
                <c:pt idx="1280">
                  <c:v>5.6136592788932826E-3</c:v>
                </c:pt>
                <c:pt idx="1281">
                  <c:v>5.9300439662477115E-3</c:v>
                </c:pt>
                <c:pt idx="1282">
                  <c:v>3.5801156629600393E-2</c:v>
                </c:pt>
                <c:pt idx="1283">
                  <c:v>4.3528218388283694E-3</c:v>
                </c:pt>
                <c:pt idx="1284">
                  <c:v>1.5449734539133151E-2</c:v>
                </c:pt>
                <c:pt idx="1285">
                  <c:v>-3.3044248975602958E-2</c:v>
                </c:pt>
                <c:pt idx="1286">
                  <c:v>-2.0422549211506495E-3</c:v>
                </c:pt>
                <c:pt idx="1287">
                  <c:v>-1.4898464374459788E-2</c:v>
                </c:pt>
                <c:pt idx="1288">
                  <c:v>-2.978890367599487E-3</c:v>
                </c:pt>
                <c:pt idx="1289">
                  <c:v>-1.3831813005228509E-2</c:v>
                </c:pt>
                <c:pt idx="1290">
                  <c:v>0</c:v>
                </c:pt>
                <c:pt idx="1291">
                  <c:v>7.263461322108801E-2</c:v>
                </c:pt>
                <c:pt idx="1292">
                  <c:v>3.3307595443022417E-3</c:v>
                </c:pt>
                <c:pt idx="1293">
                  <c:v>7.3269288788158263E-2</c:v>
                </c:pt>
                <c:pt idx="1294">
                  <c:v>3.2665974326609344E-3</c:v>
                </c:pt>
                <c:pt idx="1295">
                  <c:v>-2.9915237690252963E-2</c:v>
                </c:pt>
                <c:pt idx="1296">
                  <c:v>-1.4731443395684411E-2</c:v>
                </c:pt>
                <c:pt idx="1297">
                  <c:v>-8.2130270923306528E-4</c:v>
                </c:pt>
                <c:pt idx="1298">
                  <c:v>-2.3662934893767727E-2</c:v>
                </c:pt>
                <c:pt idx="1299">
                  <c:v>2.2208266368962493E-2</c:v>
                </c:pt>
                <c:pt idx="1300">
                  <c:v>6.3095467655269995E-3</c:v>
                </c:pt>
                <c:pt idx="1301">
                  <c:v>3.0415094666837273E-2</c:v>
                </c:pt>
                <c:pt idx="1302">
                  <c:v>-5.6024875275467206E-2</c:v>
                </c:pt>
                <c:pt idx="1303">
                  <c:v>-3.186323467321521E-2</c:v>
                </c:pt>
                <c:pt idx="1304">
                  <c:v>4.5959642336208778E-2</c:v>
                </c:pt>
                <c:pt idx="1305">
                  <c:v>-1.3644832621001662E-2</c:v>
                </c:pt>
                <c:pt idx="1306">
                  <c:v>7.9660927616864649E-3</c:v>
                </c:pt>
                <c:pt idx="1307">
                  <c:v>3.1802749680275071E-2</c:v>
                </c:pt>
                <c:pt idx="1308">
                  <c:v>3.3343554783564648E-2</c:v>
                </c:pt>
                <c:pt idx="1309">
                  <c:v>3.3543779139303176E-2</c:v>
                </c:pt>
                <c:pt idx="1310">
                  <c:v>1.3324663911792023E-3</c:v>
                </c:pt>
                <c:pt idx="1311">
                  <c:v>-3.7704123070899914E-3</c:v>
                </c:pt>
                <c:pt idx="1312">
                  <c:v>1.3794167931184535E-2</c:v>
                </c:pt>
                <c:pt idx="1313">
                  <c:v>-1.7211641714491189E-4</c:v>
                </c:pt>
                <c:pt idx="1314">
                  <c:v>-3.4409685519580527E-2</c:v>
                </c:pt>
                <c:pt idx="1315">
                  <c:v>1.302823599513458E-2</c:v>
                </c:pt>
                <c:pt idx="1316">
                  <c:v>3.2159676573231669E-3</c:v>
                </c:pt>
                <c:pt idx="1317">
                  <c:v>4.5434303530831905E-3</c:v>
                </c:pt>
                <c:pt idx="1318">
                  <c:v>-7.349613246258044E-3</c:v>
                </c:pt>
                <c:pt idx="1319">
                  <c:v>-1.8751127701268717E-3</c:v>
                </c:pt>
                <c:pt idx="1320">
                  <c:v>-2.7231205419685253E-2</c:v>
                </c:pt>
                <c:pt idx="1321">
                  <c:v>1.5057484784581675E-3</c:v>
                </c:pt>
                <c:pt idx="1322">
                  <c:v>-6.5815189534244155E-3</c:v>
                </c:pt>
                <c:pt idx="1323">
                  <c:v>-2.8948371961777009E-2</c:v>
                </c:pt>
                <c:pt idx="1324">
                  <c:v>5.0048417000620307E-2</c:v>
                </c:pt>
                <c:pt idx="1325">
                  <c:v>2.7554497420680748E-2</c:v>
                </c:pt>
                <c:pt idx="1326">
                  <c:v>-3.8157399959843643E-3</c:v>
                </c:pt>
                <c:pt idx="1327">
                  <c:v>1.2891566818643565E-2</c:v>
                </c:pt>
                <c:pt idx="1328">
                  <c:v>2.3453299200582596E-2</c:v>
                </c:pt>
                <c:pt idx="1329">
                  <c:v>1.265493938293938E-2</c:v>
                </c:pt>
                <c:pt idx="1330">
                  <c:v>-3.730980967704732E-2</c:v>
                </c:pt>
                <c:pt idx="1331">
                  <c:v>2.543660220659183E-2</c:v>
                </c:pt>
                <c:pt idx="1332">
                  <c:v>-1.4334558664911274E-2</c:v>
                </c:pt>
                <c:pt idx="1333">
                  <c:v>3.2475598421852089E-2</c:v>
                </c:pt>
                <c:pt idx="1334">
                  <c:v>1.0522751418820992E-2</c:v>
                </c:pt>
                <c:pt idx="1335">
                  <c:v>-9.4818934352698201E-3</c:v>
                </c:pt>
                <c:pt idx="1336">
                  <c:v>1.8982099715888327E-2</c:v>
                </c:pt>
                <c:pt idx="1337">
                  <c:v>5.0373006241615711E-3</c:v>
                </c:pt>
                <c:pt idx="1338">
                  <c:v>-3.3196228655805763E-3</c:v>
                </c:pt>
                <c:pt idx="1339">
                  <c:v>7.7463857655218869E-3</c:v>
                </c:pt>
                <c:pt idx="1340">
                  <c:v>-1.8313697183137329E-2</c:v>
                </c:pt>
                <c:pt idx="1341">
                  <c:v>6.4291543678529116E-3</c:v>
                </c:pt>
                <c:pt idx="1342">
                  <c:v>1.5920865583175407E-2</c:v>
                </c:pt>
                <c:pt idx="1343">
                  <c:v>1.8016653245529923E-2</c:v>
                </c:pt>
                <c:pt idx="1344">
                  <c:v>3.122266489488933E-4</c:v>
                </c:pt>
                <c:pt idx="1345">
                  <c:v>1.2566400381812158E-2</c:v>
                </c:pt>
                <c:pt idx="1346">
                  <c:v>2.2007947693348698E-2</c:v>
                </c:pt>
                <c:pt idx="1347">
                  <c:v>-3.8641722764858777E-2</c:v>
                </c:pt>
                <c:pt idx="1348">
                  <c:v>-2.5990622526248348E-2</c:v>
                </c:pt>
                <c:pt idx="1349">
                  <c:v>2.356904489309843E-3</c:v>
                </c:pt>
                <c:pt idx="1350">
                  <c:v>-2.1086487324563665E-2</c:v>
                </c:pt>
                <c:pt idx="1351">
                  <c:v>-3.3934899465595234E-3</c:v>
                </c:pt>
                <c:pt idx="1352">
                  <c:v>-2.7796549310686203E-2</c:v>
                </c:pt>
                <c:pt idx="1353">
                  <c:v>4.3625392201109614E-2</c:v>
                </c:pt>
                <c:pt idx="1354">
                  <c:v>3.34036953923078E-3</c:v>
                </c:pt>
                <c:pt idx="1355">
                  <c:v>2.5784137306254706E-3</c:v>
                </c:pt>
                <c:pt idx="1356">
                  <c:v>2.044410280496289E-2</c:v>
                </c:pt>
                <c:pt idx="1357">
                  <c:v>-2.4583511771744618E-2</c:v>
                </c:pt>
                <c:pt idx="1358">
                  <c:v>-1.0505920585951112E-2</c:v>
                </c:pt>
                <c:pt idx="1359">
                  <c:v>4.6742684402817605E-2</c:v>
                </c:pt>
                <c:pt idx="1360">
                  <c:v>-8.0329968030520057E-3</c:v>
                </c:pt>
                <c:pt idx="1361">
                  <c:v>-8.890342774241819E-3</c:v>
                </c:pt>
                <c:pt idx="1362">
                  <c:v>-1.3030349101E-2</c:v>
                </c:pt>
                <c:pt idx="1363">
                  <c:v>-3.6469465773972397E-3</c:v>
                </c:pt>
                <c:pt idx="1364">
                  <c:v>5.7859450216704439E-3</c:v>
                </c:pt>
                <c:pt idx="1365">
                  <c:v>6.7613048643627906E-3</c:v>
                </c:pt>
                <c:pt idx="1366">
                  <c:v>4.3413150859633537E-3</c:v>
                </c:pt>
                <c:pt idx="1367">
                  <c:v>-1.3670000654648583E-2</c:v>
                </c:pt>
                <c:pt idx="1368">
                  <c:v>-1.7286526372631464E-2</c:v>
                </c:pt>
                <c:pt idx="1369">
                  <c:v>-8.7218683638473204E-4</c:v>
                </c:pt>
                <c:pt idx="1370">
                  <c:v>9.3906813220342635E-3</c:v>
                </c:pt>
                <c:pt idx="1371">
                  <c:v>3.5595321899619518E-3</c:v>
                </c:pt>
                <c:pt idx="1372">
                  <c:v>1.3450272165938619E-3</c:v>
                </c:pt>
                <c:pt idx="1373">
                  <c:v>-2.7457374229092201E-3</c:v>
                </c:pt>
                <c:pt idx="1374">
                  <c:v>-8.9352216140966539E-3</c:v>
                </c:pt>
                <c:pt idx="1375">
                  <c:v>2.1191612996266642E-3</c:v>
                </c:pt>
                <c:pt idx="1376">
                  <c:v>5.7912030362075768E-3</c:v>
                </c:pt>
                <c:pt idx="1377">
                  <c:v>-9.8704555735600451E-3</c:v>
                </c:pt>
                <c:pt idx="1378">
                  <c:v>-1.9482158827208981E-2</c:v>
                </c:pt>
                <c:pt idx="1379">
                  <c:v>-3.2304653666746945E-2</c:v>
                </c:pt>
                <c:pt idx="1380">
                  <c:v>-4.0259713327424366E-3</c:v>
                </c:pt>
                <c:pt idx="1381">
                  <c:v>0.16354137434820698</c:v>
                </c:pt>
                <c:pt idx="1382">
                  <c:v>-2.2617512151358203E-2</c:v>
                </c:pt>
                <c:pt idx="1383">
                  <c:v>-5.6846345347491493E-2</c:v>
                </c:pt>
                <c:pt idx="1384">
                  <c:v>-6.538242910963386E-3</c:v>
                </c:pt>
                <c:pt idx="1385">
                  <c:v>5.7259177388377498E-2</c:v>
                </c:pt>
                <c:pt idx="1386">
                  <c:v>-4.175412043522099E-2</c:v>
                </c:pt>
                <c:pt idx="1387">
                  <c:v>1.8675531368589088E-2</c:v>
                </c:pt>
                <c:pt idx="1388">
                  <c:v>-1.6629738064712928E-2</c:v>
                </c:pt>
                <c:pt idx="1389">
                  <c:v>-1.2444132044885543E-2</c:v>
                </c:pt>
                <c:pt idx="1390">
                  <c:v>-1.9827036903190595E-2</c:v>
                </c:pt>
                <c:pt idx="1391">
                  <c:v>7.064836256021936E-3</c:v>
                </c:pt>
                <c:pt idx="1392">
                  <c:v>-9.1777974628695948E-3</c:v>
                </c:pt>
                <c:pt idx="1393">
                  <c:v>5.6308317818954137E-2</c:v>
                </c:pt>
                <c:pt idx="1394">
                  <c:v>-6.9966458047744677E-3</c:v>
                </c:pt>
                <c:pt idx="1395">
                  <c:v>-5.0721896268517098E-3</c:v>
                </c:pt>
                <c:pt idx="1396">
                  <c:v>3.1463297737188783E-2</c:v>
                </c:pt>
                <c:pt idx="1397">
                  <c:v>-1.39239172705147E-2</c:v>
                </c:pt>
                <c:pt idx="1398">
                  <c:v>-1.3241810180126665E-2</c:v>
                </c:pt>
                <c:pt idx="1399">
                  <c:v>-1.5778699704718832E-2</c:v>
                </c:pt>
                <c:pt idx="1400">
                  <c:v>6.904435270449252E-3</c:v>
                </c:pt>
                <c:pt idx="1401">
                  <c:v>-1.8837671258126451E-2</c:v>
                </c:pt>
                <c:pt idx="1402">
                  <c:v>1.3978171083608272E-2</c:v>
                </c:pt>
                <c:pt idx="1403">
                  <c:v>1.0214228342613138E-2</c:v>
                </c:pt>
                <c:pt idx="1404">
                  <c:v>3.6350984631176884E-2</c:v>
                </c:pt>
                <c:pt idx="1405">
                  <c:v>1.1536984836253183E-2</c:v>
                </c:pt>
                <c:pt idx="1406">
                  <c:v>-2.8942072697353622E-2</c:v>
                </c:pt>
                <c:pt idx="1407">
                  <c:v>-7.989052608451383E-3</c:v>
                </c:pt>
                <c:pt idx="1408">
                  <c:v>-1.1188466023884043E-2</c:v>
                </c:pt>
                <c:pt idx="1409">
                  <c:v>7.4555645382423054E-3</c:v>
                </c:pt>
                <c:pt idx="1410">
                  <c:v>5.1912773712734045E-5</c:v>
                </c:pt>
                <c:pt idx="1411">
                  <c:v>-1.5582567307856243E-4</c:v>
                </c:pt>
                <c:pt idx="1412">
                  <c:v>3.2155783375561026E-3</c:v>
                </c:pt>
                <c:pt idx="1413">
                  <c:v>-1.658334060330441E-3</c:v>
                </c:pt>
                <c:pt idx="1414">
                  <c:v>-1.037619813468735E-4</c:v>
                </c:pt>
                <c:pt idx="1415">
                  <c:v>1.630987304775678E-2</c:v>
                </c:pt>
                <c:pt idx="1416">
                  <c:v>2.6887111887264139E-2</c:v>
                </c:pt>
                <c:pt idx="1417">
                  <c:v>-1.1994715952373182E-2</c:v>
                </c:pt>
                <c:pt idx="1418">
                  <c:v>-1.3923218154007107E-2</c:v>
                </c:pt>
                <c:pt idx="1419">
                  <c:v>-1.5817415733876679E-3</c:v>
                </c:pt>
                <c:pt idx="1420">
                  <c:v>-6.3007441626491524E-3</c:v>
                </c:pt>
                <c:pt idx="1421">
                  <c:v>-3.5089519159341991E-2</c:v>
                </c:pt>
                <c:pt idx="1422">
                  <c:v>9.5759094111674728E-4</c:v>
                </c:pt>
                <c:pt idx="1423">
                  <c:v>5.4617350429707594E-3</c:v>
                </c:pt>
                <c:pt idx="1424">
                  <c:v>7.3237206465601697E-3</c:v>
                </c:pt>
                <c:pt idx="1425">
                  <c:v>9.9686333794877548E-4</c:v>
                </c:pt>
                <c:pt idx="1426">
                  <c:v>1.1575296345279743E-2</c:v>
                </c:pt>
                <c:pt idx="1427">
                  <c:v>3.6285446327880851E-4</c:v>
                </c:pt>
                <c:pt idx="1428">
                  <c:v>-1.5142278837065678E-2</c:v>
                </c:pt>
                <c:pt idx="1429">
                  <c:v>-3.6897164067644398E-3</c:v>
                </c:pt>
                <c:pt idx="1430">
                  <c:v>1.831361401480127E-2</c:v>
                </c:pt>
                <c:pt idx="1431">
                  <c:v>-9.4288594414604649E-3</c:v>
                </c:pt>
                <c:pt idx="1432">
                  <c:v>-1.2535082465788539E-2</c:v>
                </c:pt>
                <c:pt idx="1433">
                  <c:v>-8.4829487915594334E-4</c:v>
                </c:pt>
                <c:pt idx="1434">
                  <c:v>5.3025851000328107E-4</c:v>
                </c:pt>
                <c:pt idx="1435">
                  <c:v>-8.9466604144273383E-3</c:v>
                </c:pt>
                <c:pt idx="1436">
                  <c:v>-3.3757828860136998E-3</c:v>
                </c:pt>
                <c:pt idx="1437">
                  <c:v>7.2198944482385133E-3</c:v>
                </c:pt>
                <c:pt idx="1438">
                  <c:v>2.4481967445063968E-3</c:v>
                </c:pt>
                <c:pt idx="1439">
                  <c:v>-5.650623166063207E-3</c:v>
                </c:pt>
                <c:pt idx="1440">
                  <c:v>1.5647265489627287E-2</c:v>
                </c:pt>
                <c:pt idx="1441">
                  <c:v>-4.8006655035047014E-3</c:v>
                </c:pt>
                <c:pt idx="1442">
                  <c:v>9.5784746059379821E-3</c:v>
                </c:pt>
                <c:pt idx="1443">
                  <c:v>-6.8324388077064362E-3</c:v>
                </c:pt>
                <c:pt idx="1444">
                  <c:v>-1.353912622619661E-2</c:v>
                </c:pt>
                <c:pt idx="1445">
                  <c:v>-2.2051380954576073E-2</c:v>
                </c:pt>
                <c:pt idx="1446">
                  <c:v>-4.2167815737514276E-3</c:v>
                </c:pt>
                <c:pt idx="1447">
                  <c:v>0</c:v>
                </c:pt>
                <c:pt idx="1448">
                  <c:v>2.028427107404791E-3</c:v>
                </c:pt>
                <c:pt idx="1449">
                  <c:v>-3.6761621551177903E-3</c:v>
                </c:pt>
                <c:pt idx="1450">
                  <c:v>7.8844169180194209E-3</c:v>
                </c:pt>
                <c:pt idx="1451">
                  <c:v>-3.2776502167194983E-3</c:v>
                </c:pt>
                <c:pt idx="1452">
                  <c:v>1.3586427536412484E-2</c:v>
                </c:pt>
                <c:pt idx="1453">
                  <c:v>-4.0565813926169191E-3</c:v>
                </c:pt>
                <c:pt idx="1454">
                  <c:v>-2.4635653219961251E-2</c:v>
                </c:pt>
                <c:pt idx="1455">
                  <c:v>4.8763790993315978E-3</c:v>
                </c:pt>
                <c:pt idx="1456">
                  <c:v>5.4577467346131813E-3</c:v>
                </c:pt>
                <c:pt idx="1457">
                  <c:v>-1.830945006841261E-2</c:v>
                </c:pt>
                <c:pt idx="1458">
                  <c:v>-5.1085169629589483E-3</c:v>
                </c:pt>
                <c:pt idx="1459">
                  <c:v>-1.8002123251636401E-2</c:v>
                </c:pt>
                <c:pt idx="1460">
                  <c:v>-9.1529659027296973E-3</c:v>
                </c:pt>
                <c:pt idx="1461">
                  <c:v>5.7796773765158094E-5</c:v>
                </c:pt>
                <c:pt idx="1462">
                  <c:v>1.5601325243175276E-3</c:v>
                </c:pt>
                <c:pt idx="1463">
                  <c:v>-1.2841871122339442E-2</c:v>
                </c:pt>
                <c:pt idx="1464">
                  <c:v>-1.814691978339496E-3</c:v>
                </c:pt>
                <c:pt idx="1465">
                  <c:v>-7.704773334041696E-3</c:v>
                </c:pt>
                <c:pt idx="1466">
                  <c:v>-1.062478196217362E-2</c:v>
                </c:pt>
                <c:pt idx="1467">
                  <c:v>-1.5333591952970849E-2</c:v>
                </c:pt>
                <c:pt idx="1468">
                  <c:v>-1.0293372648654155E-2</c:v>
                </c:pt>
                <c:pt idx="1469">
                  <c:v>-2.473081634404508E-2</c:v>
                </c:pt>
                <c:pt idx="1470">
                  <c:v>-1.9389866269572887E-2</c:v>
                </c:pt>
                <c:pt idx="1471">
                  <c:v>1.8259589041646845E-2</c:v>
                </c:pt>
                <c:pt idx="1472">
                  <c:v>6.6374544172424594E-3</c:v>
                </c:pt>
                <c:pt idx="1473">
                  <c:v>1.3513768379819683E-2</c:v>
                </c:pt>
                <c:pt idx="1474">
                  <c:v>5.6905216948576941E-2</c:v>
                </c:pt>
                <c:pt idx="1475">
                  <c:v>-2.7838559285173342E-2</c:v>
                </c:pt>
                <c:pt idx="1476">
                  <c:v>-4.7360376566619074E-3</c:v>
                </c:pt>
                <c:pt idx="1477">
                  <c:v>-2.543958965531708E-2</c:v>
                </c:pt>
                <c:pt idx="1478">
                  <c:v>-2.0362414606716322E-2</c:v>
                </c:pt>
                <c:pt idx="1479">
                  <c:v>-2.0464655059550446E-2</c:v>
                </c:pt>
                <c:pt idx="1480">
                  <c:v>-1.4682869279194179E-2</c:v>
                </c:pt>
                <c:pt idx="1481">
                  <c:v>-4.4407305181964228E-3</c:v>
                </c:pt>
                <c:pt idx="1482">
                  <c:v>-1.5167712322343731E-2</c:v>
                </c:pt>
                <c:pt idx="1483">
                  <c:v>2.1886461943942472E-2</c:v>
                </c:pt>
                <c:pt idx="1484">
                  <c:v>-5.9335982749203148E-3</c:v>
                </c:pt>
                <c:pt idx="1485">
                  <c:v>1.0458439829308832E-3</c:v>
                </c:pt>
              </c:numCache>
            </c:numRef>
          </c:val>
          <c:smooth val="0"/>
          <c:extLst>
            <c:ext xmlns:c16="http://schemas.microsoft.com/office/drawing/2014/chart" uri="{C3380CC4-5D6E-409C-BE32-E72D297353CC}">
              <c16:uniqueId val="{00000000-8E7B-4CF9-AA7B-87CC2228C700}"/>
            </c:ext>
          </c:extLst>
        </c:ser>
        <c:dLbls>
          <c:showLegendKey val="0"/>
          <c:showVal val="0"/>
          <c:showCatName val="0"/>
          <c:showSerName val="0"/>
          <c:showPercent val="0"/>
          <c:showBubbleSize val="0"/>
        </c:dLbls>
        <c:smooth val="0"/>
        <c:axId val="1620662576"/>
        <c:axId val="1620659216"/>
      </c:lineChart>
      <c:dateAx>
        <c:axId val="1620662576"/>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20659216"/>
        <c:crosses val="autoZero"/>
        <c:auto val="1"/>
        <c:lblOffset val="100"/>
        <c:baseTimeUnit val="days"/>
      </c:dateAx>
      <c:valAx>
        <c:axId val="1620659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6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171450</xdr:rowOff>
    </xdr:from>
    <xdr:to>
      <xdr:col>11</xdr:col>
      <xdr:colOff>603250</xdr:colOff>
      <xdr:row>15</xdr:row>
      <xdr:rowOff>139700</xdr:rowOff>
    </xdr:to>
    <xdr:graphicFrame macro="">
      <xdr:nvGraphicFramePr>
        <xdr:cNvPr id="3" name="Chart 2">
          <a:extLst>
            <a:ext uri="{FF2B5EF4-FFF2-40B4-BE49-F238E27FC236}">
              <a16:creationId xmlns:a16="http://schemas.microsoft.com/office/drawing/2014/main" id="{0F136CEC-017A-4750-A681-B28CD5CC5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0</xdr:rowOff>
    </xdr:from>
    <xdr:to>
      <xdr:col>12</xdr:col>
      <xdr:colOff>6350</xdr:colOff>
      <xdr:row>31</xdr:row>
      <xdr:rowOff>146050</xdr:rowOff>
    </xdr:to>
    <xdr:graphicFrame macro="">
      <xdr:nvGraphicFramePr>
        <xdr:cNvPr id="5" name="Chart 4">
          <a:extLst>
            <a:ext uri="{FF2B5EF4-FFF2-40B4-BE49-F238E27FC236}">
              <a16:creationId xmlns:a16="http://schemas.microsoft.com/office/drawing/2014/main" id="{6D629691-01B0-43FC-B43F-1EF1EA704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33</xdr:row>
      <xdr:rowOff>0</xdr:rowOff>
    </xdr:from>
    <xdr:to>
      <xdr:col>12</xdr:col>
      <xdr:colOff>12700</xdr:colOff>
      <xdr:row>47</xdr:row>
      <xdr:rowOff>146050</xdr:rowOff>
    </xdr:to>
    <xdr:graphicFrame macro="">
      <xdr:nvGraphicFramePr>
        <xdr:cNvPr id="7" name="Chart 6">
          <a:extLst>
            <a:ext uri="{FF2B5EF4-FFF2-40B4-BE49-F238E27FC236}">
              <a16:creationId xmlns:a16="http://schemas.microsoft.com/office/drawing/2014/main" id="{E1EBAE96-921B-44B6-B220-A9C67DE26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6639-F140-4259-9F95-CC2FD6CB24D5}">
  <dimension ref="A1:L25"/>
  <sheetViews>
    <sheetView topLeftCell="A11" zoomScale="87" zoomScaleNormal="87" workbookViewId="0">
      <selection activeCell="M15" sqref="M15"/>
    </sheetView>
  </sheetViews>
  <sheetFormatPr defaultRowHeight="14.5" x14ac:dyDescent="0.35"/>
  <cols>
    <col min="1" max="1" width="26.08984375" bestFit="1" customWidth="1"/>
    <col min="3" max="3" width="12" bestFit="1" customWidth="1"/>
    <col min="5" max="6" width="14" bestFit="1" customWidth="1"/>
    <col min="7" max="7" width="11.81640625" bestFit="1" customWidth="1"/>
    <col min="9" max="9" width="41.26953125" bestFit="1" customWidth="1"/>
  </cols>
  <sheetData>
    <row r="1" spans="1:12" x14ac:dyDescent="0.35">
      <c r="A1" s="43" t="s">
        <v>95</v>
      </c>
      <c r="B1" s="43"/>
      <c r="C1" s="43"/>
      <c r="D1" s="43"/>
      <c r="E1" s="43"/>
      <c r="F1" s="43"/>
      <c r="G1" s="43"/>
      <c r="H1" s="43"/>
      <c r="I1" s="43"/>
      <c r="J1" s="43"/>
      <c r="K1" s="18"/>
      <c r="L1" s="18"/>
    </row>
    <row r="3" spans="1:12" ht="15" thickBot="1" x14ac:dyDescent="0.4"/>
    <row r="4" spans="1:12" x14ac:dyDescent="0.35">
      <c r="A4" s="50" t="s">
        <v>96</v>
      </c>
      <c r="B4" s="20"/>
      <c r="C4" s="49"/>
      <c r="E4" s="16" t="s">
        <v>102</v>
      </c>
    </row>
    <row r="5" spans="1:12" x14ac:dyDescent="0.35">
      <c r="A5" s="44" t="s">
        <v>97</v>
      </c>
      <c r="B5" s="35"/>
      <c r="C5" s="45">
        <f>'Backtest_&amp;_ES'!W3</f>
        <v>-677619.41967174294</v>
      </c>
      <c r="E5" t="s">
        <v>103</v>
      </c>
      <c r="F5" s="51" t="s">
        <v>104</v>
      </c>
      <c r="G5" s="52" t="s">
        <v>105</v>
      </c>
    </row>
    <row r="6" spans="1:12" x14ac:dyDescent="0.35">
      <c r="A6" s="44" t="s">
        <v>98</v>
      </c>
      <c r="B6" s="35"/>
      <c r="C6" s="45">
        <f>'Backtest_&amp;_ES'!W4</f>
        <v>-1952221.5480742916</v>
      </c>
      <c r="E6" t="s">
        <v>79</v>
      </c>
      <c r="F6" s="53">
        <v>-2.8615355844815199E-2</v>
      </c>
      <c r="G6" s="35" t="s">
        <v>106</v>
      </c>
    </row>
    <row r="7" spans="1:12" x14ac:dyDescent="0.35">
      <c r="A7" s="44" t="s">
        <v>99</v>
      </c>
      <c r="B7" s="35"/>
      <c r="C7" s="46">
        <f>'Backtest_&amp;_ES'!T6</f>
        <v>2.8810000000000002</v>
      </c>
      <c r="E7" t="s">
        <v>77</v>
      </c>
      <c r="F7" s="53">
        <v>-2.9946586280742149E-2</v>
      </c>
      <c r="G7" s="35" t="s">
        <v>107</v>
      </c>
    </row>
    <row r="8" spans="1:12" ht="15" thickBot="1" x14ac:dyDescent="0.4">
      <c r="A8" s="47" t="s">
        <v>100</v>
      </c>
      <c r="B8" s="7"/>
      <c r="C8" s="48" t="s">
        <v>101</v>
      </c>
      <c r="E8" t="s">
        <v>78</v>
      </c>
      <c r="F8" s="53">
        <v>-4.0921914945959044E-2</v>
      </c>
      <c r="G8" s="35" t="s">
        <v>108</v>
      </c>
    </row>
    <row r="10" spans="1:12" x14ac:dyDescent="0.35">
      <c r="A10" s="16" t="s">
        <v>109</v>
      </c>
    </row>
    <row r="11" spans="1:12" x14ac:dyDescent="0.35">
      <c r="A11" s="16" t="s">
        <v>9</v>
      </c>
      <c r="B11" s="16" t="s">
        <v>60</v>
      </c>
    </row>
    <row r="12" spans="1:12" x14ac:dyDescent="0.35">
      <c r="A12" t="s">
        <v>110</v>
      </c>
      <c r="B12" s="12">
        <v>-4.5469402937474979E-2</v>
      </c>
    </row>
    <row r="13" spans="1:12" x14ac:dyDescent="0.35">
      <c r="A13" t="s">
        <v>111</v>
      </c>
      <c r="B13" s="12">
        <v>-6.7761941967174291E-2</v>
      </c>
    </row>
    <row r="14" spans="1:12" x14ac:dyDescent="0.35">
      <c r="A14" t="s">
        <v>112</v>
      </c>
      <c r="B14" s="12">
        <f>Hitorical_Sim!T7</f>
        <v>0.2641776757388174</v>
      </c>
    </row>
    <row r="15" spans="1:12" x14ac:dyDescent="0.35">
      <c r="A15" t="s">
        <v>113</v>
      </c>
      <c r="B15" s="12">
        <f ca="1">B13-((0.75*'Backtest_&amp;_ES'!$M$4)+(0.2*'Backtest_&amp;_ES'!$N$4)+(0.05*'Backtest_&amp;_ES'!$O$4))</f>
        <v>1.8729352714955891E-2</v>
      </c>
    </row>
    <row r="16" spans="1:12" x14ac:dyDescent="0.35">
      <c r="A16" t="s">
        <v>114</v>
      </c>
      <c r="B16" t="s">
        <v>115</v>
      </c>
      <c r="C16" t="s">
        <v>116</v>
      </c>
    </row>
    <row r="18" spans="1:10" x14ac:dyDescent="0.35">
      <c r="A18" t="s">
        <v>117</v>
      </c>
    </row>
    <row r="19" spans="1:10" ht="14.5" customHeight="1" x14ac:dyDescent="0.35">
      <c r="A19" s="54" t="s">
        <v>118</v>
      </c>
      <c r="B19" s="55"/>
      <c r="C19" s="55"/>
      <c r="D19" s="55"/>
      <c r="E19" s="55"/>
      <c r="F19" s="55"/>
      <c r="G19" s="55"/>
      <c r="H19" s="55"/>
      <c r="I19" s="55"/>
      <c r="J19" s="56"/>
    </row>
    <row r="20" spans="1:10" x14ac:dyDescent="0.35">
      <c r="A20" s="57"/>
      <c r="B20" s="58"/>
      <c r="C20" s="58"/>
      <c r="D20" s="58"/>
      <c r="E20" s="58"/>
      <c r="F20" s="58"/>
      <c r="G20" s="58"/>
      <c r="H20" s="58"/>
      <c r="I20" s="58"/>
      <c r="J20" s="59"/>
    </row>
    <row r="21" spans="1:10" x14ac:dyDescent="0.35">
      <c r="A21" s="22"/>
      <c r="B21" s="35"/>
      <c r="C21" s="35"/>
      <c r="D21" s="35"/>
      <c r="E21" s="35"/>
      <c r="F21" s="35"/>
      <c r="G21" s="35"/>
      <c r="H21" s="35"/>
      <c r="I21" s="35"/>
      <c r="J21" s="21"/>
    </row>
    <row r="22" spans="1:10" x14ac:dyDescent="0.35">
      <c r="A22" s="57" t="s">
        <v>119</v>
      </c>
      <c r="B22" s="58"/>
      <c r="C22" s="58"/>
      <c r="D22" s="58"/>
      <c r="E22" s="58"/>
      <c r="F22" s="58"/>
      <c r="G22" s="58"/>
      <c r="H22" s="58"/>
      <c r="I22" s="58"/>
      <c r="J22" s="59"/>
    </row>
    <row r="23" spans="1:10" x14ac:dyDescent="0.35">
      <c r="A23" s="57"/>
      <c r="B23" s="58"/>
      <c r="C23" s="58"/>
      <c r="D23" s="58"/>
      <c r="E23" s="58"/>
      <c r="F23" s="58"/>
      <c r="G23" s="58"/>
      <c r="H23" s="58"/>
      <c r="I23" s="58"/>
      <c r="J23" s="59"/>
    </row>
    <row r="24" spans="1:10" x14ac:dyDescent="0.35">
      <c r="A24" s="22"/>
      <c r="B24" s="35"/>
      <c r="C24" s="35"/>
      <c r="D24" s="35"/>
      <c r="E24" s="35"/>
      <c r="F24" s="35"/>
      <c r="G24" s="35"/>
      <c r="H24" s="35"/>
      <c r="I24" s="35"/>
      <c r="J24" s="21"/>
    </row>
    <row r="25" spans="1:10" x14ac:dyDescent="0.35">
      <c r="A25" s="60" t="s">
        <v>120</v>
      </c>
      <c r="B25" s="23"/>
      <c r="C25" s="23"/>
      <c r="D25" s="23"/>
      <c r="E25" s="23"/>
      <c r="F25" s="23"/>
      <c r="G25" s="23"/>
      <c r="H25" s="23"/>
      <c r="I25" s="23"/>
      <c r="J25" s="24"/>
    </row>
  </sheetData>
  <mergeCells count="3">
    <mergeCell ref="A19:J20"/>
    <mergeCell ref="A22:J23"/>
    <mergeCell ref="A1:J1"/>
  </mergeCells>
  <conditionalFormatting sqref="E5:F8">
    <cfRule type="dataBar" priority="1">
      <dataBar>
        <cfvo type="min"/>
        <cfvo type="max"/>
        <color rgb="FF63C384"/>
      </dataBar>
      <extLst>
        <ext xmlns:x14="http://schemas.microsoft.com/office/spreadsheetml/2009/9/main" uri="{B025F937-C7B1-47D3-B67F-A62EFF666E3E}">
          <x14:id>{F7A5E799-6D3F-49B5-9EA1-07FFBC40B146}</x14:id>
        </ext>
      </extLst>
    </cfRule>
  </conditionalFormatting>
  <pageMargins left="0.74803149606299213" right="0.74803149606299213" top="0.98425196850393704" bottom="0.98425196850393704" header="0.51181102362204722" footer="0.51181102362204722"/>
  <pageSetup scale="57" orientation="portrait" r:id="rId1"/>
  <colBreaks count="1" manualBreakCount="1">
    <brk id="10" max="1048575" man="1"/>
  </colBreaks>
  <extLst>
    <ext xmlns:x14="http://schemas.microsoft.com/office/spreadsheetml/2009/9/main" uri="{78C0D931-6437-407d-A8EE-F0AAD7539E65}">
      <x14:conditionalFormattings>
        <x14:conditionalFormatting xmlns:xm="http://schemas.microsoft.com/office/excel/2006/main">
          <x14:cfRule type="dataBar" id="{F7A5E799-6D3F-49B5-9EA1-07FFBC40B146}">
            <x14:dataBar minLength="0" maxLength="100" border="1" negativeBarBorderColorSameAsPositive="0">
              <x14:cfvo type="autoMin"/>
              <x14:cfvo type="autoMax"/>
              <x14:borderColor rgb="FF63C384"/>
              <x14:negativeFillColor rgb="FFFF0000"/>
              <x14:negativeBorderColor rgb="FFFF0000"/>
              <x14:axisColor rgb="FF000000"/>
            </x14:dataBar>
          </x14:cfRule>
          <xm:sqref>E5:F8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489"/>
  <sheetViews>
    <sheetView showGridLines="0" topLeftCell="A2" workbookViewId="0">
      <selection activeCell="A2" sqref="A2:D2"/>
    </sheetView>
  </sheetViews>
  <sheetFormatPr defaultRowHeight="14.5" x14ac:dyDescent="0.35"/>
  <cols>
    <col min="1" max="1" width="10.08984375" style="2" bestFit="1" customWidth="1"/>
  </cols>
  <sheetData>
    <row r="2" spans="1:4" s="1" customFormat="1" x14ac:dyDescent="0.35">
      <c r="A2" s="27" t="s">
        <v>0</v>
      </c>
      <c r="B2" s="27" t="s">
        <v>1</v>
      </c>
      <c r="C2" s="27" t="s">
        <v>2</v>
      </c>
      <c r="D2" s="27" t="s">
        <v>3</v>
      </c>
    </row>
    <row r="3" spans="1:4" x14ac:dyDescent="0.35">
      <c r="A3" s="3">
        <v>43831</v>
      </c>
      <c r="B3">
        <v>1333.798828125</v>
      </c>
      <c r="C3">
        <v>205.0345764160156</v>
      </c>
      <c r="D3">
        <v>130.34233093261719</v>
      </c>
    </row>
    <row r="4" spans="1:4" x14ac:dyDescent="0.35">
      <c r="A4" s="3">
        <v>43832</v>
      </c>
      <c r="B4">
        <v>1309.971923828125</v>
      </c>
      <c r="C4">
        <v>220.95213317871091</v>
      </c>
      <c r="D4">
        <v>140.2906494140625</v>
      </c>
    </row>
    <row r="5" spans="1:4" x14ac:dyDescent="0.35">
      <c r="A5" s="3">
        <v>43833</v>
      </c>
      <c r="B5">
        <v>1336.254150390625</v>
      </c>
      <c r="C5">
        <v>218.42695617675781</v>
      </c>
      <c r="D5">
        <v>140.5804138183594</v>
      </c>
    </row>
    <row r="6" spans="1:4" x14ac:dyDescent="0.35">
      <c r="A6" s="3">
        <v>43836</v>
      </c>
      <c r="B6">
        <v>1333.943603515625</v>
      </c>
      <c r="C6">
        <v>215.31559753417969</v>
      </c>
      <c r="D6">
        <v>143.9126281738281</v>
      </c>
    </row>
    <row r="7" spans="1:4" x14ac:dyDescent="0.35">
      <c r="A7" s="3">
        <v>43837</v>
      </c>
      <c r="B7">
        <v>1337.98681640625</v>
      </c>
      <c r="C7">
        <v>218.29168701171881</v>
      </c>
      <c r="D7">
        <v>143.23651123046881</v>
      </c>
    </row>
    <row r="8" spans="1:4" x14ac:dyDescent="0.35">
      <c r="A8" s="3">
        <v>43838</v>
      </c>
      <c r="B8">
        <v>1339.671630859375</v>
      </c>
      <c r="C8">
        <v>215.22540283203131</v>
      </c>
      <c r="D8">
        <v>139.75941467285159</v>
      </c>
    </row>
    <row r="9" spans="1:4" x14ac:dyDescent="0.35">
      <c r="A9" s="3">
        <v>43839</v>
      </c>
      <c r="B9">
        <v>1329.081665039063</v>
      </c>
      <c r="C9">
        <v>220.77177429199219</v>
      </c>
      <c r="D9">
        <v>141.7877197265625</v>
      </c>
    </row>
    <row r="10" spans="1:4" x14ac:dyDescent="0.35">
      <c r="A10" s="3">
        <v>43840</v>
      </c>
      <c r="B10">
        <v>1323.546142578125</v>
      </c>
      <c r="C10">
        <v>219.86991882324219</v>
      </c>
      <c r="D10">
        <v>142.02919006347659</v>
      </c>
    </row>
    <row r="11" spans="1:4" x14ac:dyDescent="0.35">
      <c r="A11" s="3">
        <v>43843</v>
      </c>
      <c r="B11">
        <v>1303.28076171875</v>
      </c>
      <c r="C11">
        <v>232.5859375</v>
      </c>
      <c r="D11">
        <v>151.7843322753906</v>
      </c>
    </row>
    <row r="12" spans="1:4" x14ac:dyDescent="0.35">
      <c r="A12" s="3">
        <v>43844</v>
      </c>
      <c r="B12">
        <v>1318.395385742188</v>
      </c>
      <c r="C12">
        <v>230.7822265625</v>
      </c>
      <c r="D12">
        <v>149.61116027832031</v>
      </c>
    </row>
    <row r="13" spans="1:4" x14ac:dyDescent="0.35">
      <c r="A13" s="3">
        <v>43845</v>
      </c>
      <c r="B13">
        <v>1308.816528320313</v>
      </c>
      <c r="C13">
        <v>238.9890441894531</v>
      </c>
      <c r="D13">
        <v>159.5594787597656</v>
      </c>
    </row>
    <row r="14" spans="1:4" x14ac:dyDescent="0.35">
      <c r="A14" s="3">
        <v>43846</v>
      </c>
      <c r="B14">
        <v>1361.8623046875</v>
      </c>
      <c r="C14">
        <v>235.38166809082031</v>
      </c>
      <c r="D14">
        <v>159.5594787597656</v>
      </c>
    </row>
    <row r="15" spans="1:4" x14ac:dyDescent="0.35">
      <c r="A15" s="3">
        <v>43847</v>
      </c>
      <c r="B15">
        <v>1359.840576171875</v>
      </c>
      <c r="C15">
        <v>232.4957275390625</v>
      </c>
      <c r="D15">
        <v>157.91754150390631</v>
      </c>
    </row>
    <row r="16" spans="1:4" x14ac:dyDescent="0.35">
      <c r="A16" s="3">
        <v>43850</v>
      </c>
      <c r="B16">
        <v>1304.24365234375</v>
      </c>
      <c r="C16">
        <v>229.8353271484375</v>
      </c>
      <c r="D16">
        <v>152.94337463378909</v>
      </c>
    </row>
    <row r="17" spans="1:4" x14ac:dyDescent="0.35">
      <c r="A17" s="3">
        <v>43851</v>
      </c>
      <c r="B17">
        <v>1280.368286132813</v>
      </c>
      <c r="C17">
        <v>230.60186767578131</v>
      </c>
      <c r="D17">
        <v>155.01995849609381</v>
      </c>
    </row>
    <row r="18" spans="1:4" x14ac:dyDescent="0.35">
      <c r="A18" s="3">
        <v>43852</v>
      </c>
      <c r="B18">
        <v>1264.627807617188</v>
      </c>
      <c r="C18">
        <v>224.51441955566409</v>
      </c>
      <c r="D18">
        <v>153.71604919433591</v>
      </c>
    </row>
    <row r="19" spans="1:4" x14ac:dyDescent="0.35">
      <c r="A19" s="3">
        <v>43853</v>
      </c>
      <c r="B19">
        <v>1283.11181640625</v>
      </c>
      <c r="C19">
        <v>230.24113464355469</v>
      </c>
      <c r="D19">
        <v>157.9658203125</v>
      </c>
    </row>
    <row r="20" spans="1:4" x14ac:dyDescent="0.35">
      <c r="A20" s="3">
        <v>43854</v>
      </c>
      <c r="B20">
        <v>1300.007446289063</v>
      </c>
      <c r="C20">
        <v>239.93595886230469</v>
      </c>
      <c r="D20">
        <v>160.3804626464844</v>
      </c>
    </row>
    <row r="21" spans="1:4" x14ac:dyDescent="0.35">
      <c r="A21" s="3">
        <v>43857</v>
      </c>
      <c r="B21">
        <v>1288.888427734375</v>
      </c>
      <c r="C21">
        <v>234.29942321777341</v>
      </c>
      <c r="D21">
        <v>158.8833923339844</v>
      </c>
    </row>
    <row r="22" spans="1:4" x14ac:dyDescent="0.35">
      <c r="A22" s="3">
        <v>43858</v>
      </c>
      <c r="B22">
        <v>1287.4921875</v>
      </c>
      <c r="C22">
        <v>234.3896179199219</v>
      </c>
      <c r="D22">
        <v>155.64775085449219</v>
      </c>
    </row>
    <row r="23" spans="1:4" x14ac:dyDescent="0.35">
      <c r="A23" s="3">
        <v>43859</v>
      </c>
      <c r="B23">
        <v>1274.495483398438</v>
      </c>
      <c r="C23">
        <v>230.24113464355469</v>
      </c>
      <c r="D23">
        <v>155.06825256347659</v>
      </c>
    </row>
    <row r="24" spans="1:4" x14ac:dyDescent="0.35">
      <c r="A24" s="3">
        <v>43860</v>
      </c>
      <c r="B24">
        <v>1278.442504882813</v>
      </c>
      <c r="C24">
        <v>223.07145690917969</v>
      </c>
      <c r="D24">
        <v>149.9009094238281</v>
      </c>
    </row>
    <row r="25" spans="1:4" x14ac:dyDescent="0.35">
      <c r="A25" s="3">
        <v>43861</v>
      </c>
      <c r="B25">
        <v>1269.248779296875</v>
      </c>
      <c r="C25">
        <v>225.46134948730469</v>
      </c>
      <c r="D25">
        <v>150.19068908691409</v>
      </c>
    </row>
    <row r="26" spans="1:4" x14ac:dyDescent="0.35">
      <c r="A26" s="3">
        <v>43864</v>
      </c>
      <c r="B26">
        <v>1252.160522460938</v>
      </c>
      <c r="C26">
        <v>211.61802673339841</v>
      </c>
      <c r="D26">
        <v>132.22575378417969</v>
      </c>
    </row>
    <row r="27" spans="1:4" x14ac:dyDescent="0.35">
      <c r="A27" s="3">
        <v>43865</v>
      </c>
      <c r="B27">
        <v>1265.301513671875</v>
      </c>
      <c r="C27">
        <v>219.46409606933591</v>
      </c>
      <c r="D27">
        <v>134.93013000488281</v>
      </c>
    </row>
    <row r="28" spans="1:4" x14ac:dyDescent="0.35">
      <c r="A28" s="3">
        <v>43866</v>
      </c>
      <c r="B28">
        <v>1286.4814453125</v>
      </c>
      <c r="C28">
        <v>230.06077575683591</v>
      </c>
      <c r="D28">
        <v>137.7794189453125</v>
      </c>
    </row>
    <row r="29" spans="1:4" x14ac:dyDescent="0.35">
      <c r="A29" s="3">
        <v>43867</v>
      </c>
      <c r="B29">
        <v>1326.2900390625</v>
      </c>
      <c r="C29">
        <v>230.5116882324219</v>
      </c>
      <c r="D29">
        <v>146.23066711425781</v>
      </c>
    </row>
    <row r="30" spans="1:4" x14ac:dyDescent="0.35">
      <c r="A30" s="3">
        <v>43868</v>
      </c>
      <c r="B30">
        <v>1330.188842773438</v>
      </c>
      <c r="C30">
        <v>245.30195617675781</v>
      </c>
      <c r="D30">
        <v>145.21653747558591</v>
      </c>
    </row>
    <row r="31" spans="1:4" x14ac:dyDescent="0.35">
      <c r="A31" s="3">
        <v>43871</v>
      </c>
      <c r="B31">
        <v>1325.904541015625</v>
      </c>
      <c r="C31">
        <v>240.16142272949219</v>
      </c>
      <c r="D31">
        <v>146.182373046875</v>
      </c>
    </row>
    <row r="32" spans="1:4" x14ac:dyDescent="0.35">
      <c r="A32" s="3">
        <v>43872</v>
      </c>
      <c r="B32">
        <v>1317.48095703125</v>
      </c>
      <c r="C32">
        <v>212.6551513671875</v>
      </c>
      <c r="D32">
        <v>139.8077392578125</v>
      </c>
    </row>
    <row r="33" spans="1:4" x14ac:dyDescent="0.35">
      <c r="A33" s="3">
        <v>43873</v>
      </c>
      <c r="B33">
        <v>1300.874267578125</v>
      </c>
      <c r="C33">
        <v>214.54902648925781</v>
      </c>
      <c r="D33">
        <v>138.16578674316409</v>
      </c>
    </row>
    <row r="34" spans="1:4" x14ac:dyDescent="0.35">
      <c r="A34" s="3">
        <v>43874</v>
      </c>
      <c r="B34">
        <v>1297.119506835938</v>
      </c>
      <c r="C34">
        <v>206.1167907714844</v>
      </c>
      <c r="D34">
        <v>137.151611328125</v>
      </c>
    </row>
    <row r="35" spans="1:4" x14ac:dyDescent="0.35">
      <c r="A35" s="3">
        <v>43875</v>
      </c>
      <c r="B35">
        <v>1303.136596679688</v>
      </c>
      <c r="C35">
        <v>196.60231018066409</v>
      </c>
      <c r="D35">
        <v>132.22575378417969</v>
      </c>
    </row>
    <row r="36" spans="1:4" x14ac:dyDescent="0.35">
      <c r="A36" s="3">
        <v>43878</v>
      </c>
      <c r="B36">
        <v>1288.743774414063</v>
      </c>
      <c r="C36">
        <v>192.09307861328131</v>
      </c>
      <c r="D36">
        <v>128.31404113769531</v>
      </c>
    </row>
    <row r="37" spans="1:4" x14ac:dyDescent="0.35">
      <c r="A37" s="3">
        <v>43879</v>
      </c>
      <c r="B37">
        <v>1289.465942382813</v>
      </c>
      <c r="C37">
        <v>187.4485778808594</v>
      </c>
      <c r="D37">
        <v>125.126708984375</v>
      </c>
    </row>
    <row r="38" spans="1:4" x14ac:dyDescent="0.35">
      <c r="A38" s="3">
        <v>43880</v>
      </c>
      <c r="B38">
        <v>1305.013793945313</v>
      </c>
      <c r="C38">
        <v>195.3397216796875</v>
      </c>
      <c r="D38">
        <v>128.21745300292969</v>
      </c>
    </row>
    <row r="39" spans="1:4" x14ac:dyDescent="0.35">
      <c r="A39" s="3">
        <v>43881</v>
      </c>
      <c r="B39">
        <v>1295.290283203125</v>
      </c>
      <c r="C39">
        <v>189.79338073730469</v>
      </c>
      <c r="D39">
        <v>129.61793518066409</v>
      </c>
    </row>
    <row r="40" spans="1:4" x14ac:dyDescent="0.35">
      <c r="A40" s="3">
        <v>43885</v>
      </c>
      <c r="B40">
        <v>1256.444580078125</v>
      </c>
      <c r="C40">
        <v>180.77491760253909</v>
      </c>
      <c r="D40">
        <v>124.83693695068359</v>
      </c>
    </row>
    <row r="41" spans="1:4" x14ac:dyDescent="0.35">
      <c r="A41" s="3">
        <v>43886</v>
      </c>
      <c r="B41">
        <v>1238.923217773438</v>
      </c>
      <c r="C41">
        <v>179.19667053222659</v>
      </c>
      <c r="D41">
        <v>120.9252243041992</v>
      </c>
    </row>
    <row r="42" spans="1:4" x14ac:dyDescent="0.35">
      <c r="A42" s="3">
        <v>43887</v>
      </c>
      <c r="B42">
        <v>1189.391357421875</v>
      </c>
      <c r="C42">
        <v>171.3957214355469</v>
      </c>
      <c r="D42">
        <v>112.9086151123047</v>
      </c>
    </row>
    <row r="43" spans="1:4" x14ac:dyDescent="0.35">
      <c r="A43" s="3">
        <v>43888</v>
      </c>
      <c r="B43">
        <v>1204.120727539063</v>
      </c>
      <c r="C43">
        <v>161.2950439453125</v>
      </c>
      <c r="D43">
        <v>109.8661804199219</v>
      </c>
    </row>
    <row r="44" spans="1:4" x14ac:dyDescent="0.35">
      <c r="A44" s="3">
        <v>43889</v>
      </c>
      <c r="B44">
        <v>1190.546630859375</v>
      </c>
      <c r="C44">
        <v>147.63209533691409</v>
      </c>
      <c r="D44">
        <v>105.7129821777344</v>
      </c>
    </row>
    <row r="45" spans="1:4" x14ac:dyDescent="0.35">
      <c r="A45" s="3">
        <v>43892</v>
      </c>
      <c r="B45">
        <v>1154.396240234375</v>
      </c>
      <c r="C45">
        <v>148.44377136230469</v>
      </c>
      <c r="D45">
        <v>104.98858642578131</v>
      </c>
    </row>
    <row r="46" spans="1:4" x14ac:dyDescent="0.35">
      <c r="A46" s="3">
        <v>43893</v>
      </c>
      <c r="B46">
        <v>1165.804443359375</v>
      </c>
      <c r="C46">
        <v>150.38273620605469</v>
      </c>
      <c r="D46">
        <v>105.8578643798828</v>
      </c>
    </row>
    <row r="47" spans="1:4" x14ac:dyDescent="0.35">
      <c r="A47" s="3">
        <v>43894</v>
      </c>
      <c r="B47">
        <v>1169.222290039063</v>
      </c>
      <c r="C47">
        <v>147.54193115234381</v>
      </c>
      <c r="D47">
        <v>101.8495635986328</v>
      </c>
    </row>
    <row r="48" spans="1:4" x14ac:dyDescent="0.35">
      <c r="A48" s="3">
        <v>43895</v>
      </c>
      <c r="B48">
        <v>1215.673461914063</v>
      </c>
      <c r="C48">
        <v>146.2793273925781</v>
      </c>
      <c r="D48">
        <v>101.8012771606445</v>
      </c>
    </row>
    <row r="49" spans="1:4" x14ac:dyDescent="0.35">
      <c r="A49" s="3">
        <v>43896</v>
      </c>
      <c r="B49">
        <v>1217.261962890625</v>
      </c>
      <c r="C49">
        <v>143.4836120605469</v>
      </c>
      <c r="D49">
        <v>99.193450927734375</v>
      </c>
    </row>
    <row r="50" spans="1:4" x14ac:dyDescent="0.35">
      <c r="A50" s="3">
        <v>43899</v>
      </c>
      <c r="B50">
        <v>1162.868286132813</v>
      </c>
      <c r="C50">
        <v>137.21577453613281</v>
      </c>
      <c r="D50">
        <v>93.784652709960938</v>
      </c>
    </row>
    <row r="51" spans="1:4" x14ac:dyDescent="0.35">
      <c r="A51" s="3">
        <v>43901</v>
      </c>
      <c r="B51">
        <v>1145.683837890625</v>
      </c>
      <c r="C51">
        <v>137.08052062988281</v>
      </c>
      <c r="D51">
        <v>96.151016235351563</v>
      </c>
    </row>
    <row r="52" spans="1:4" x14ac:dyDescent="0.35">
      <c r="A52" s="3">
        <v>43902</v>
      </c>
      <c r="B52">
        <v>1062.986083984375</v>
      </c>
      <c r="C52">
        <v>123.37245178222661</v>
      </c>
      <c r="D52">
        <v>87.410011291503906</v>
      </c>
    </row>
    <row r="53" spans="1:4" x14ac:dyDescent="0.35">
      <c r="A53" s="3">
        <v>43903</v>
      </c>
      <c r="B53">
        <v>1083.684692382813</v>
      </c>
      <c r="C53">
        <v>126.0329055786133</v>
      </c>
      <c r="D53">
        <v>86.347572326660156</v>
      </c>
    </row>
    <row r="54" spans="1:4" x14ac:dyDescent="0.35">
      <c r="A54" s="3">
        <v>43906</v>
      </c>
      <c r="B54">
        <v>1047.245849609375</v>
      </c>
      <c r="C54">
        <v>118.682861328125</v>
      </c>
      <c r="D54">
        <v>79.683158874511719</v>
      </c>
    </row>
    <row r="55" spans="1:4" x14ac:dyDescent="0.35">
      <c r="A55" s="3">
        <v>43907</v>
      </c>
      <c r="B55">
        <v>1035.163818359375</v>
      </c>
      <c r="C55">
        <v>112.6855850219727</v>
      </c>
      <c r="D55">
        <v>80.987060546875</v>
      </c>
    </row>
    <row r="56" spans="1:4" x14ac:dyDescent="0.35">
      <c r="A56" s="3">
        <v>43908</v>
      </c>
      <c r="B56">
        <v>958.675537109375</v>
      </c>
      <c r="C56">
        <v>103.62204742431641</v>
      </c>
      <c r="D56">
        <v>87.361717224121094</v>
      </c>
    </row>
    <row r="57" spans="1:4" x14ac:dyDescent="0.35">
      <c r="A57" s="3">
        <v>43909</v>
      </c>
      <c r="B57">
        <v>991.02301025390625</v>
      </c>
      <c r="C57">
        <v>93.295913696289063</v>
      </c>
      <c r="D57">
        <v>82.049507141113281</v>
      </c>
    </row>
    <row r="58" spans="1:4" x14ac:dyDescent="0.35">
      <c r="A58" s="3">
        <v>43910</v>
      </c>
      <c r="B58">
        <v>967.003173828125</v>
      </c>
      <c r="C58">
        <v>85.630218505859375</v>
      </c>
      <c r="D58">
        <v>86.009521484375</v>
      </c>
    </row>
    <row r="59" spans="1:4" x14ac:dyDescent="0.35">
      <c r="A59" s="3">
        <v>43913</v>
      </c>
      <c r="B59">
        <v>795.4947509765625</v>
      </c>
      <c r="C59">
        <v>81.391548156738281</v>
      </c>
      <c r="D59">
        <v>77.123634338378906</v>
      </c>
    </row>
    <row r="60" spans="1:4" x14ac:dyDescent="0.35">
      <c r="A60" s="3">
        <v>43914</v>
      </c>
      <c r="B60">
        <v>819.22576904296875</v>
      </c>
      <c r="C60">
        <v>77.333244323730469</v>
      </c>
      <c r="D60">
        <v>75.578262329101563</v>
      </c>
    </row>
    <row r="61" spans="1:4" x14ac:dyDescent="0.35">
      <c r="A61" s="3">
        <v>43915</v>
      </c>
      <c r="B61">
        <v>948.2301025390625</v>
      </c>
      <c r="C61">
        <v>81.166084289550781</v>
      </c>
      <c r="D61">
        <v>79.683158874511719</v>
      </c>
    </row>
    <row r="62" spans="1:4" x14ac:dyDescent="0.35">
      <c r="A62" s="3">
        <v>43916</v>
      </c>
      <c r="B62">
        <v>1055.910278320313</v>
      </c>
      <c r="C62">
        <v>85.089118957519531</v>
      </c>
      <c r="D62">
        <v>91.611473083496094</v>
      </c>
    </row>
    <row r="63" spans="1:4" x14ac:dyDescent="0.35">
      <c r="A63" s="3">
        <v>43917</v>
      </c>
      <c r="B63">
        <v>984.6209716796875</v>
      </c>
      <c r="C63">
        <v>89.327789306640625</v>
      </c>
      <c r="D63">
        <v>95.233444213867188</v>
      </c>
    </row>
    <row r="64" spans="1:4" x14ac:dyDescent="0.35">
      <c r="A64" s="3">
        <v>43920</v>
      </c>
      <c r="B64">
        <v>989.3863525390625</v>
      </c>
      <c r="C64">
        <v>93.205718994140625</v>
      </c>
      <c r="D64">
        <v>108.32080078125</v>
      </c>
    </row>
    <row r="65" spans="1:4" x14ac:dyDescent="0.35">
      <c r="A65" s="3">
        <v>43921</v>
      </c>
      <c r="B65">
        <v>1041.325317382813</v>
      </c>
      <c r="C65">
        <v>94.874137878417969</v>
      </c>
      <c r="D65">
        <v>108.465690612793</v>
      </c>
    </row>
    <row r="66" spans="1:4" x14ac:dyDescent="0.35">
      <c r="A66" s="3">
        <v>43922</v>
      </c>
      <c r="B66">
        <v>1064.5263671875</v>
      </c>
      <c r="C66">
        <v>94.964324951171875</v>
      </c>
      <c r="D66">
        <v>101.89785003662109</v>
      </c>
    </row>
    <row r="67" spans="1:4" x14ac:dyDescent="0.35">
      <c r="A67" s="3">
        <v>43924</v>
      </c>
      <c r="B67">
        <v>1006.089538574219</v>
      </c>
      <c r="C67">
        <v>98.436431884765625</v>
      </c>
      <c r="D67">
        <v>103.443229675293</v>
      </c>
    </row>
    <row r="68" spans="1:4" x14ac:dyDescent="0.35">
      <c r="A68" s="3">
        <v>43928</v>
      </c>
      <c r="B68">
        <v>1111.410888671875</v>
      </c>
      <c r="C68">
        <v>100.7361297607422</v>
      </c>
      <c r="D68">
        <v>104.84372711181641</v>
      </c>
    </row>
    <row r="69" spans="1:4" x14ac:dyDescent="0.35">
      <c r="A69" s="3">
        <v>43929</v>
      </c>
      <c r="B69">
        <v>1108.041381835938</v>
      </c>
      <c r="C69">
        <v>100.1950302124023</v>
      </c>
      <c r="D69">
        <v>102.7671203613281</v>
      </c>
    </row>
    <row r="70" spans="1:4" x14ac:dyDescent="0.35">
      <c r="A70" s="3">
        <v>43930</v>
      </c>
      <c r="B70">
        <v>1125.41845703125</v>
      </c>
      <c r="C70">
        <v>105.11009216308589</v>
      </c>
      <c r="D70">
        <v>105.3749313354492</v>
      </c>
    </row>
    <row r="71" spans="1:4" x14ac:dyDescent="0.35">
      <c r="A71" s="3">
        <v>43934</v>
      </c>
      <c r="B71">
        <v>1103.949951171875</v>
      </c>
      <c r="C71">
        <v>106.8686828613281</v>
      </c>
      <c r="D71">
        <v>116.5305862426758</v>
      </c>
    </row>
    <row r="72" spans="1:4" x14ac:dyDescent="0.35">
      <c r="A72" s="3">
        <v>43936</v>
      </c>
      <c r="B72">
        <v>1109.870483398438</v>
      </c>
      <c r="C72">
        <v>112.0542907714844</v>
      </c>
      <c r="D72">
        <v>119.1383895874023</v>
      </c>
    </row>
    <row r="73" spans="1:4" x14ac:dyDescent="0.35">
      <c r="A73" s="3">
        <v>43937</v>
      </c>
      <c r="B73">
        <v>1114.106567382813</v>
      </c>
      <c r="C73">
        <v>117.64573669433589</v>
      </c>
      <c r="D73">
        <v>121.35986328125</v>
      </c>
    </row>
    <row r="74" spans="1:4" x14ac:dyDescent="0.35">
      <c r="A74" s="3">
        <v>43938</v>
      </c>
      <c r="B74">
        <v>1154.685180664063</v>
      </c>
      <c r="C74">
        <v>123.5077209472656</v>
      </c>
      <c r="D74">
        <v>120.24912261962891</v>
      </c>
    </row>
    <row r="75" spans="1:4" x14ac:dyDescent="0.35">
      <c r="A75" s="3">
        <v>43941</v>
      </c>
      <c r="B75">
        <v>1145.924438476563</v>
      </c>
      <c r="C75">
        <v>127.6111297607422</v>
      </c>
      <c r="D75">
        <v>118.0276565551758</v>
      </c>
    </row>
    <row r="76" spans="1:4" x14ac:dyDescent="0.35">
      <c r="A76" s="3">
        <v>43942</v>
      </c>
      <c r="B76">
        <v>1115.983642578125</v>
      </c>
      <c r="C76">
        <v>131.62434387207031</v>
      </c>
      <c r="D76">
        <v>114.06764221191411</v>
      </c>
    </row>
    <row r="77" spans="1:4" x14ac:dyDescent="0.35">
      <c r="A77" s="3">
        <v>43943</v>
      </c>
      <c r="B77">
        <v>1096.922119140625</v>
      </c>
      <c r="C77">
        <v>131.62434387207031</v>
      </c>
      <c r="D77">
        <v>114.1642303466797</v>
      </c>
    </row>
    <row r="78" spans="1:4" x14ac:dyDescent="0.35">
      <c r="A78" s="3">
        <v>43944</v>
      </c>
      <c r="B78">
        <v>1146.453735351563</v>
      </c>
      <c r="C78">
        <v>128.15223693847659</v>
      </c>
      <c r="D78">
        <v>113.72959899902339</v>
      </c>
    </row>
    <row r="79" spans="1:4" x14ac:dyDescent="0.35">
      <c r="A79" s="3">
        <v>43945</v>
      </c>
      <c r="B79">
        <v>1094.130249023438</v>
      </c>
      <c r="C79">
        <v>121.74913024902339</v>
      </c>
      <c r="D79">
        <v>110.1076354980469</v>
      </c>
    </row>
    <row r="80" spans="1:4" x14ac:dyDescent="0.35">
      <c r="A80" s="3">
        <v>43948</v>
      </c>
      <c r="B80">
        <v>1149.486450195313</v>
      </c>
      <c r="C80">
        <v>124.13901519775391</v>
      </c>
      <c r="D80">
        <v>117.5930252075195</v>
      </c>
    </row>
    <row r="81" spans="1:4" x14ac:dyDescent="0.35">
      <c r="A81" s="3">
        <v>43949</v>
      </c>
      <c r="B81">
        <v>1150.882568359375</v>
      </c>
      <c r="C81">
        <v>119.4494247436523</v>
      </c>
      <c r="D81">
        <v>115.226676940918</v>
      </c>
    </row>
    <row r="82" spans="1:4" x14ac:dyDescent="0.35">
      <c r="A82" s="3">
        <v>43950</v>
      </c>
      <c r="B82">
        <v>1185.347534179688</v>
      </c>
      <c r="C82">
        <v>123.5528259277344</v>
      </c>
      <c r="D82">
        <v>115.8544845581055</v>
      </c>
    </row>
    <row r="83" spans="1:4" x14ac:dyDescent="0.35">
      <c r="A83" s="3">
        <v>43951</v>
      </c>
      <c r="B83">
        <v>1242.485107421875</v>
      </c>
      <c r="C83">
        <v>126.25836181640631</v>
      </c>
      <c r="D83">
        <v>115.7578964233398</v>
      </c>
    </row>
    <row r="84" spans="1:4" x14ac:dyDescent="0.35">
      <c r="A84" s="3">
        <v>43955</v>
      </c>
      <c r="B84">
        <v>1163.782836914063</v>
      </c>
      <c r="C84">
        <v>119.945442199707</v>
      </c>
      <c r="D84">
        <v>109.7695846557617</v>
      </c>
    </row>
    <row r="85" spans="1:4" x14ac:dyDescent="0.35">
      <c r="A85" s="3">
        <v>43956</v>
      </c>
      <c r="B85">
        <v>1168.115112304688</v>
      </c>
      <c r="C85">
        <v>117.4653625488281</v>
      </c>
      <c r="D85">
        <v>120.6837615966797</v>
      </c>
    </row>
    <row r="86" spans="1:4" x14ac:dyDescent="0.35">
      <c r="A86" s="3">
        <v>43957</v>
      </c>
      <c r="B86">
        <v>1166.959838867188</v>
      </c>
      <c r="C86">
        <v>117.8261032104492</v>
      </c>
      <c r="D86">
        <v>120.82863616943359</v>
      </c>
    </row>
    <row r="87" spans="1:4" x14ac:dyDescent="0.35">
      <c r="A87" s="3">
        <v>43958</v>
      </c>
      <c r="B87">
        <v>1165.082641601563</v>
      </c>
      <c r="C87">
        <v>114.8500137329102</v>
      </c>
      <c r="D87">
        <v>116.4340057373047</v>
      </c>
    </row>
    <row r="88" spans="1:4" x14ac:dyDescent="0.35">
      <c r="A88" s="3">
        <v>43959</v>
      </c>
      <c r="B88">
        <v>1189.1025390625</v>
      </c>
      <c r="C88">
        <v>116.3380584716797</v>
      </c>
      <c r="D88">
        <v>113.43984222412109</v>
      </c>
    </row>
    <row r="89" spans="1:4" x14ac:dyDescent="0.35">
      <c r="A89" s="3">
        <v>43962</v>
      </c>
      <c r="B89">
        <v>1248.935302734375</v>
      </c>
      <c r="C89">
        <v>117.3751754760742</v>
      </c>
      <c r="D89">
        <v>115.03350830078131</v>
      </c>
    </row>
    <row r="90" spans="1:4" x14ac:dyDescent="0.35">
      <c r="A90" s="3">
        <v>43963</v>
      </c>
      <c r="B90">
        <v>1283.593139648438</v>
      </c>
      <c r="C90">
        <v>122.3804168701172</v>
      </c>
      <c r="D90">
        <v>115.709602355957</v>
      </c>
    </row>
    <row r="91" spans="1:4" x14ac:dyDescent="0.35">
      <c r="A91" s="3">
        <v>43964</v>
      </c>
      <c r="B91">
        <v>1270.885131835938</v>
      </c>
      <c r="C91">
        <v>120.26109313964839</v>
      </c>
      <c r="D91">
        <v>116.0476608276367</v>
      </c>
    </row>
    <row r="92" spans="1:4" x14ac:dyDescent="0.35">
      <c r="A92" s="3">
        <v>43965</v>
      </c>
      <c r="B92">
        <v>1197.141235351563</v>
      </c>
      <c r="C92">
        <v>117.9613876342773</v>
      </c>
      <c r="D92">
        <v>112.715446472168</v>
      </c>
    </row>
    <row r="93" spans="1:4" x14ac:dyDescent="0.35">
      <c r="A93" s="3">
        <v>43966</v>
      </c>
      <c r="B93">
        <v>1187.417724609375</v>
      </c>
      <c r="C93">
        <v>122.69606781005859</v>
      </c>
      <c r="D93">
        <v>116.7237548828125</v>
      </c>
    </row>
    <row r="94" spans="1:4" x14ac:dyDescent="0.35">
      <c r="A94" s="3">
        <v>43969</v>
      </c>
      <c r="B94">
        <v>1122.530639648438</v>
      </c>
      <c r="C94">
        <v>116.9242630004883</v>
      </c>
      <c r="D94">
        <v>110.8320236206055</v>
      </c>
    </row>
    <row r="95" spans="1:4" x14ac:dyDescent="0.35">
      <c r="A95" s="3">
        <v>43970</v>
      </c>
      <c r="B95">
        <v>1176.972290039063</v>
      </c>
      <c r="C95">
        <v>111.7837371826172</v>
      </c>
      <c r="D95">
        <v>112.18422698974609</v>
      </c>
    </row>
    <row r="96" spans="1:4" x14ac:dyDescent="0.35">
      <c r="A96" s="3">
        <v>43971</v>
      </c>
      <c r="B96">
        <v>1188.9580078125</v>
      </c>
      <c r="C96">
        <v>112.55030822753911</v>
      </c>
      <c r="D96">
        <v>111.073486328125</v>
      </c>
    </row>
    <row r="97" spans="1:4" x14ac:dyDescent="0.35">
      <c r="A97" s="3">
        <v>43972</v>
      </c>
      <c r="B97">
        <v>1202.77294921875</v>
      </c>
      <c r="C97">
        <v>112.50522613525391</v>
      </c>
      <c r="D97">
        <v>111.55641937255859</v>
      </c>
    </row>
    <row r="98" spans="1:4" x14ac:dyDescent="0.35">
      <c r="A98" s="3">
        <v>43973</v>
      </c>
      <c r="B98">
        <v>1191.9423828125</v>
      </c>
      <c r="C98">
        <v>111.5582809448242</v>
      </c>
      <c r="D98">
        <v>111.8461837768555</v>
      </c>
    </row>
    <row r="99" spans="1:4" x14ac:dyDescent="0.35">
      <c r="A99" s="3">
        <v>43977</v>
      </c>
      <c r="B99">
        <v>1187.369262695313</v>
      </c>
      <c r="C99">
        <v>109.7545852661133</v>
      </c>
      <c r="D99">
        <v>110.7354431152344</v>
      </c>
    </row>
    <row r="100" spans="1:4" x14ac:dyDescent="0.35">
      <c r="A100" s="3">
        <v>43978</v>
      </c>
      <c r="B100">
        <v>1186.599243164063</v>
      </c>
      <c r="C100">
        <v>114.3990936279297</v>
      </c>
      <c r="D100">
        <v>111.2666549682617</v>
      </c>
    </row>
    <row r="101" spans="1:4" x14ac:dyDescent="0.35">
      <c r="A101" s="3">
        <v>43979</v>
      </c>
      <c r="B101">
        <v>1207.490356445313</v>
      </c>
      <c r="C101">
        <v>119.945442199707</v>
      </c>
      <c r="D101">
        <v>113.82618713378911</v>
      </c>
    </row>
    <row r="102" spans="1:4" x14ac:dyDescent="0.35">
      <c r="A102" s="3">
        <v>43980</v>
      </c>
      <c r="B102">
        <v>1252.20849609375</v>
      </c>
      <c r="C102">
        <v>124.9055862426758</v>
      </c>
      <c r="D102">
        <v>116.6754531860352</v>
      </c>
    </row>
    <row r="103" spans="1:4" x14ac:dyDescent="0.35">
      <c r="A103" s="3">
        <v>43983</v>
      </c>
      <c r="B103">
        <v>1254.03759765625</v>
      </c>
      <c r="C103">
        <v>125.762336730957</v>
      </c>
      <c r="D103">
        <v>113.0052108764648</v>
      </c>
    </row>
    <row r="104" spans="1:4" x14ac:dyDescent="0.35">
      <c r="A104" s="3">
        <v>43984</v>
      </c>
      <c r="B104">
        <v>1246.336059570313</v>
      </c>
      <c r="C104">
        <v>124.77032470703131</v>
      </c>
      <c r="D104">
        <v>113.3432540893555</v>
      </c>
    </row>
    <row r="105" spans="1:4" x14ac:dyDescent="0.35">
      <c r="A105" s="3">
        <v>43985</v>
      </c>
      <c r="B105">
        <v>1224.1455078125</v>
      </c>
      <c r="C105">
        <v>122.47060394287109</v>
      </c>
      <c r="D105">
        <v>113.3432540893555</v>
      </c>
    </row>
    <row r="106" spans="1:4" x14ac:dyDescent="0.35">
      <c r="A106" s="3">
        <v>43986</v>
      </c>
      <c r="B106">
        <v>1234.013549804688</v>
      </c>
      <c r="C106">
        <v>120.53163909912109</v>
      </c>
      <c r="D106">
        <v>113.2466659545898</v>
      </c>
    </row>
    <row r="107" spans="1:4" x14ac:dyDescent="0.35">
      <c r="A107" s="3">
        <v>43987</v>
      </c>
      <c r="B107">
        <v>1254.182250976563</v>
      </c>
      <c r="C107">
        <v>124.3194046020508</v>
      </c>
      <c r="D107">
        <v>114.453987121582</v>
      </c>
    </row>
    <row r="108" spans="1:4" x14ac:dyDescent="0.35">
      <c r="A108" s="3">
        <v>43990</v>
      </c>
      <c r="B108">
        <v>1241.618774414063</v>
      </c>
      <c r="C108">
        <v>136.71977233886719</v>
      </c>
      <c r="D108">
        <v>122.08425140380859</v>
      </c>
    </row>
    <row r="109" spans="1:4" x14ac:dyDescent="0.35">
      <c r="A109" s="3">
        <v>43991</v>
      </c>
      <c r="B109">
        <v>1265.349853515625</v>
      </c>
      <c r="C109">
        <v>141.40936279296881</v>
      </c>
      <c r="D109">
        <v>127.2032928466797</v>
      </c>
    </row>
    <row r="110" spans="1:4" x14ac:dyDescent="0.35">
      <c r="A110" s="3">
        <v>43992</v>
      </c>
      <c r="B110">
        <v>1268.863525390625</v>
      </c>
      <c r="C110">
        <v>138.88420104980469</v>
      </c>
      <c r="D110">
        <v>123.09840393066411</v>
      </c>
    </row>
    <row r="111" spans="1:4" x14ac:dyDescent="0.35">
      <c r="A111" s="3">
        <v>43993</v>
      </c>
      <c r="B111">
        <v>1251.342529296875</v>
      </c>
      <c r="C111">
        <v>135.4571838378906</v>
      </c>
      <c r="D111">
        <v>117.83448791503911</v>
      </c>
    </row>
    <row r="112" spans="1:4" x14ac:dyDescent="0.35">
      <c r="A112" s="3">
        <v>43994</v>
      </c>
      <c r="B112">
        <v>1252.738037109375</v>
      </c>
      <c r="C112">
        <v>131.1283264160156</v>
      </c>
      <c r="D112">
        <v>118.2691192626953</v>
      </c>
    </row>
    <row r="113" spans="1:4" x14ac:dyDescent="0.35">
      <c r="A113" s="3">
        <v>43997</v>
      </c>
      <c r="B113">
        <v>1269.970581054688</v>
      </c>
      <c r="C113">
        <v>128.19731140136719</v>
      </c>
      <c r="D113">
        <v>120.490592956543</v>
      </c>
    </row>
    <row r="114" spans="1:4" x14ac:dyDescent="0.35">
      <c r="A114" s="3">
        <v>43998</v>
      </c>
      <c r="B114">
        <v>1312.2822265625</v>
      </c>
      <c r="C114">
        <v>132.30072021484381</v>
      </c>
      <c r="D114">
        <v>119.5730285644531</v>
      </c>
    </row>
    <row r="115" spans="1:4" x14ac:dyDescent="0.35">
      <c r="A115" s="3">
        <v>43999</v>
      </c>
      <c r="B115">
        <v>1284.65234375</v>
      </c>
      <c r="C115">
        <v>139.8311462402344</v>
      </c>
      <c r="D115">
        <v>123.6779098510742</v>
      </c>
    </row>
    <row r="116" spans="1:4" x14ac:dyDescent="0.35">
      <c r="A116" s="3">
        <v>44000</v>
      </c>
      <c r="B116">
        <v>1228.140502929688</v>
      </c>
      <c r="C116">
        <v>140.2369689941406</v>
      </c>
      <c r="D116">
        <v>124.257438659668</v>
      </c>
    </row>
    <row r="117" spans="1:4" x14ac:dyDescent="0.35">
      <c r="A117" s="3">
        <v>44001</v>
      </c>
      <c r="B117">
        <v>1222.797729492188</v>
      </c>
      <c r="C117">
        <v>138.25291442871091</v>
      </c>
      <c r="D117">
        <v>119.95937347412109</v>
      </c>
    </row>
    <row r="118" spans="1:4" x14ac:dyDescent="0.35">
      <c r="A118" s="3">
        <v>44004</v>
      </c>
      <c r="B118">
        <v>1224.193603515625</v>
      </c>
      <c r="C118">
        <v>139.33512878417969</v>
      </c>
      <c r="D118">
        <v>120.20082855224609</v>
      </c>
    </row>
    <row r="119" spans="1:4" x14ac:dyDescent="0.35">
      <c r="A119" s="3">
        <v>44005</v>
      </c>
      <c r="B119">
        <v>1242.340454101563</v>
      </c>
      <c r="C119">
        <v>139.3802185058594</v>
      </c>
      <c r="D119">
        <v>118.84864807128911</v>
      </c>
    </row>
    <row r="120" spans="1:4" x14ac:dyDescent="0.35">
      <c r="A120" s="3">
        <v>44006</v>
      </c>
      <c r="B120">
        <v>1244.891967773438</v>
      </c>
      <c r="C120">
        <v>137.8019714355469</v>
      </c>
      <c r="D120">
        <v>116.6271667480469</v>
      </c>
    </row>
    <row r="121" spans="1:4" x14ac:dyDescent="0.35">
      <c r="A121" s="3">
        <v>44007</v>
      </c>
      <c r="B121">
        <v>1226.504028320313</v>
      </c>
      <c r="C121">
        <v>141.0035400390625</v>
      </c>
      <c r="D121">
        <v>106.9685974121094</v>
      </c>
    </row>
    <row r="122" spans="1:4" x14ac:dyDescent="0.35">
      <c r="A122" s="3">
        <v>44008</v>
      </c>
      <c r="B122">
        <v>1215.480834960938</v>
      </c>
      <c r="C122">
        <v>139.69584655761719</v>
      </c>
      <c r="D122">
        <v>110.1559295654297</v>
      </c>
    </row>
    <row r="123" spans="1:4" x14ac:dyDescent="0.35">
      <c r="A123" s="3">
        <v>44011</v>
      </c>
      <c r="B123">
        <v>1193.675415039063</v>
      </c>
      <c r="C123">
        <v>134.3298645019531</v>
      </c>
      <c r="D123">
        <v>109.9144668579102</v>
      </c>
    </row>
    <row r="124" spans="1:4" x14ac:dyDescent="0.35">
      <c r="A124" s="3">
        <v>44012</v>
      </c>
      <c r="B124">
        <v>1219.379760742188</v>
      </c>
      <c r="C124">
        <v>134.46516418457031</v>
      </c>
      <c r="D124">
        <v>112.6671600341797</v>
      </c>
    </row>
    <row r="125" spans="1:4" x14ac:dyDescent="0.35">
      <c r="A125" s="3">
        <v>44013</v>
      </c>
      <c r="B125">
        <v>1219.379760742188</v>
      </c>
      <c r="C125">
        <v>136.99031066894531</v>
      </c>
      <c r="D125">
        <v>116.4340057373047</v>
      </c>
    </row>
    <row r="126" spans="1:4" x14ac:dyDescent="0.35">
      <c r="A126" s="3">
        <v>44014</v>
      </c>
      <c r="B126">
        <v>1241.041137695313</v>
      </c>
      <c r="C126">
        <v>137.53141784667969</v>
      </c>
      <c r="D126">
        <v>116.6271667480469</v>
      </c>
    </row>
    <row r="127" spans="1:4" x14ac:dyDescent="0.35">
      <c r="A127" s="3">
        <v>44015</v>
      </c>
      <c r="B127">
        <v>1231.606567382813</v>
      </c>
      <c r="C127">
        <v>138.6587219238281</v>
      </c>
      <c r="D127">
        <v>115.03350830078131</v>
      </c>
    </row>
    <row r="128" spans="1:4" x14ac:dyDescent="0.35">
      <c r="A128" s="3">
        <v>44018</v>
      </c>
      <c r="B128">
        <v>1239.067626953125</v>
      </c>
      <c r="C128">
        <v>137.48634338378909</v>
      </c>
      <c r="D128">
        <v>114.453987121582</v>
      </c>
    </row>
    <row r="129" spans="1:4" x14ac:dyDescent="0.35">
      <c r="A129" s="3">
        <v>44019</v>
      </c>
      <c r="B129">
        <v>1226.215087890625</v>
      </c>
      <c r="C129">
        <v>136.49430847167969</v>
      </c>
      <c r="D129">
        <v>113.5364303588867</v>
      </c>
    </row>
    <row r="130" spans="1:4" x14ac:dyDescent="0.35">
      <c r="A130" s="3">
        <v>44020</v>
      </c>
      <c r="B130">
        <v>1240.3671875</v>
      </c>
      <c r="C130">
        <v>145.06184387207031</v>
      </c>
      <c r="D130">
        <v>114.11594390869141</v>
      </c>
    </row>
    <row r="131" spans="1:4" x14ac:dyDescent="0.35">
      <c r="A131" s="3">
        <v>44021</v>
      </c>
      <c r="B131">
        <v>1223.712158203125</v>
      </c>
      <c r="C131">
        <v>143.6639709472656</v>
      </c>
      <c r="D131">
        <v>112.9086151123047</v>
      </c>
    </row>
    <row r="132" spans="1:4" x14ac:dyDescent="0.35">
      <c r="A132" s="3">
        <v>44022</v>
      </c>
      <c r="B132">
        <v>1213.122314453125</v>
      </c>
      <c r="C132">
        <v>139.9664001464844</v>
      </c>
      <c r="D132">
        <v>110.68714904785161</v>
      </c>
    </row>
    <row r="133" spans="1:4" x14ac:dyDescent="0.35">
      <c r="A133" s="3">
        <v>44025</v>
      </c>
      <c r="B133">
        <v>1226.359741210938</v>
      </c>
      <c r="C133">
        <v>138.11763000488281</v>
      </c>
      <c r="D133">
        <v>109.81787109375</v>
      </c>
    </row>
    <row r="134" spans="1:4" x14ac:dyDescent="0.35">
      <c r="A134" s="3">
        <v>44026</v>
      </c>
      <c r="B134">
        <v>1213.459106445313</v>
      </c>
      <c r="C134">
        <v>137.53141784667969</v>
      </c>
      <c r="D134">
        <v>108.12762451171881</v>
      </c>
    </row>
    <row r="135" spans="1:4" x14ac:dyDescent="0.35">
      <c r="A135" s="3">
        <v>44027</v>
      </c>
      <c r="B135">
        <v>1205.9501953125</v>
      </c>
      <c r="C135">
        <v>133.65348815917969</v>
      </c>
      <c r="D135">
        <v>107.7412872314453</v>
      </c>
    </row>
    <row r="136" spans="1:4" x14ac:dyDescent="0.35">
      <c r="A136" s="3">
        <v>44028</v>
      </c>
      <c r="B136">
        <v>1203.10986328125</v>
      </c>
      <c r="C136">
        <v>131.75962829589841</v>
      </c>
      <c r="D136">
        <v>106.7754364013672</v>
      </c>
    </row>
    <row r="137" spans="1:4" x14ac:dyDescent="0.35">
      <c r="A137" s="3">
        <v>44029</v>
      </c>
      <c r="B137">
        <v>1240.271118164063</v>
      </c>
      <c r="C137">
        <v>132.6163635253906</v>
      </c>
      <c r="D137">
        <v>107.1134719848633</v>
      </c>
    </row>
    <row r="138" spans="1:4" x14ac:dyDescent="0.35">
      <c r="A138" s="3">
        <v>44032</v>
      </c>
      <c r="B138">
        <v>1272.136840820313</v>
      </c>
      <c r="C138">
        <v>145.87348937988281</v>
      </c>
      <c r="D138">
        <v>116.6754531860352</v>
      </c>
    </row>
    <row r="139" spans="1:4" x14ac:dyDescent="0.35">
      <c r="A139" s="3">
        <v>44033</v>
      </c>
      <c r="B139">
        <v>1284.507934570313</v>
      </c>
      <c r="C139">
        <v>142.89741516113281</v>
      </c>
      <c r="D139">
        <v>118.8003463745117</v>
      </c>
    </row>
    <row r="140" spans="1:4" x14ac:dyDescent="0.35">
      <c r="A140" s="3">
        <v>44034</v>
      </c>
      <c r="B140">
        <v>1246.095458984375</v>
      </c>
      <c r="C140">
        <v>138.56854248046881</v>
      </c>
      <c r="D140">
        <v>115.1300888061523</v>
      </c>
    </row>
    <row r="141" spans="1:4" x14ac:dyDescent="0.35">
      <c r="A141" s="3">
        <v>44035</v>
      </c>
      <c r="B141">
        <v>1235.2646484375</v>
      </c>
      <c r="C141">
        <v>140.3271484375</v>
      </c>
      <c r="D141">
        <v>117.7861862182617</v>
      </c>
    </row>
    <row r="142" spans="1:4" x14ac:dyDescent="0.35">
      <c r="A142" s="3">
        <v>44036</v>
      </c>
      <c r="B142">
        <v>1249.175903320313</v>
      </c>
      <c r="C142">
        <v>138.43327331542969</v>
      </c>
      <c r="D142">
        <v>114.11594390869141</v>
      </c>
    </row>
    <row r="143" spans="1:4" x14ac:dyDescent="0.35">
      <c r="A143" s="3">
        <v>44039</v>
      </c>
      <c r="B143">
        <v>1257.840576171875</v>
      </c>
      <c r="C143">
        <v>134.23968505859381</v>
      </c>
      <c r="D143">
        <v>113.4881286621094</v>
      </c>
    </row>
    <row r="144" spans="1:4" x14ac:dyDescent="0.35">
      <c r="A144" s="3">
        <v>44040</v>
      </c>
      <c r="B144">
        <v>1270.50048828125</v>
      </c>
      <c r="C144">
        <v>132.39091491699219</v>
      </c>
      <c r="D144">
        <v>112.8603210449219</v>
      </c>
    </row>
    <row r="145" spans="1:4" x14ac:dyDescent="0.35">
      <c r="A145" s="3">
        <v>44041</v>
      </c>
      <c r="B145">
        <v>1253.36376953125</v>
      </c>
      <c r="C145">
        <v>132.79673767089841</v>
      </c>
      <c r="D145">
        <v>112.3291091918945</v>
      </c>
    </row>
    <row r="146" spans="1:4" x14ac:dyDescent="0.35">
      <c r="A146" s="3">
        <v>44042</v>
      </c>
      <c r="B146">
        <v>1272.136840820313</v>
      </c>
      <c r="C146">
        <v>130.72247314453131</v>
      </c>
      <c r="D146">
        <v>111.0251998901367</v>
      </c>
    </row>
    <row r="147" spans="1:4" x14ac:dyDescent="0.35">
      <c r="A147" s="3">
        <v>44043</v>
      </c>
      <c r="B147">
        <v>1255.00048828125</v>
      </c>
      <c r="C147">
        <v>129.73048400878909</v>
      </c>
      <c r="D147">
        <v>108.8520202636719</v>
      </c>
    </row>
    <row r="148" spans="1:4" x14ac:dyDescent="0.35">
      <c r="A148" s="3">
        <v>44046</v>
      </c>
      <c r="B148">
        <v>1269.778076171875</v>
      </c>
      <c r="C148">
        <v>129.73048400878909</v>
      </c>
      <c r="D148">
        <v>107.78957366943359</v>
      </c>
    </row>
    <row r="149" spans="1:4" x14ac:dyDescent="0.35">
      <c r="A149" s="3">
        <v>44047</v>
      </c>
      <c r="B149">
        <v>1299.333984375</v>
      </c>
      <c r="C149">
        <v>128.46788024902341</v>
      </c>
      <c r="D149">
        <v>109.2383651733398</v>
      </c>
    </row>
    <row r="150" spans="1:4" x14ac:dyDescent="0.35">
      <c r="A150" s="3">
        <v>44048</v>
      </c>
      <c r="B150">
        <v>1300.344604492188</v>
      </c>
      <c r="C150">
        <v>129.1893615722656</v>
      </c>
      <c r="D150">
        <v>111.60471343994141</v>
      </c>
    </row>
    <row r="151" spans="1:4" x14ac:dyDescent="0.35">
      <c r="A151" s="3">
        <v>44049</v>
      </c>
      <c r="B151">
        <v>1324.653198242188</v>
      </c>
      <c r="C151">
        <v>126.979850769043</v>
      </c>
      <c r="D151">
        <v>110.6388626098633</v>
      </c>
    </row>
    <row r="152" spans="1:4" x14ac:dyDescent="0.35">
      <c r="A152" s="3">
        <v>44050</v>
      </c>
      <c r="B152">
        <v>1305.783935546875</v>
      </c>
      <c r="C152">
        <v>127.0700149536133</v>
      </c>
      <c r="D152">
        <v>111.7495880126953</v>
      </c>
    </row>
    <row r="153" spans="1:4" x14ac:dyDescent="0.35">
      <c r="A153" s="3">
        <v>44053</v>
      </c>
      <c r="B153">
        <v>1331.00732421875</v>
      </c>
      <c r="C153">
        <v>134.8258972167969</v>
      </c>
      <c r="D153">
        <v>113.43984222412109</v>
      </c>
    </row>
    <row r="154" spans="1:4" x14ac:dyDescent="0.35">
      <c r="A154" s="3">
        <v>44054</v>
      </c>
      <c r="B154">
        <v>1298.611694335938</v>
      </c>
      <c r="C154">
        <v>132.48109436035159</v>
      </c>
      <c r="D154">
        <v>112.7637405395508</v>
      </c>
    </row>
    <row r="155" spans="1:4" x14ac:dyDescent="0.35">
      <c r="A155" s="3">
        <v>44055</v>
      </c>
      <c r="B155">
        <v>1326.482177734375</v>
      </c>
      <c r="C155">
        <v>128.9187927246094</v>
      </c>
      <c r="D155">
        <v>111.9910507202148</v>
      </c>
    </row>
    <row r="156" spans="1:4" x14ac:dyDescent="0.35">
      <c r="A156" s="3">
        <v>44056</v>
      </c>
      <c r="B156">
        <v>1313.293090820313</v>
      </c>
      <c r="C156">
        <v>127.97186279296881</v>
      </c>
      <c r="D156">
        <v>113.2949600219727</v>
      </c>
    </row>
    <row r="157" spans="1:4" x14ac:dyDescent="0.35">
      <c r="A157" s="3">
        <v>44057</v>
      </c>
      <c r="B157">
        <v>1260.921142578125</v>
      </c>
      <c r="C157">
        <v>127.97186279296881</v>
      </c>
      <c r="D157">
        <v>112.23252105712891</v>
      </c>
    </row>
    <row r="158" spans="1:4" x14ac:dyDescent="0.35">
      <c r="A158" s="3">
        <v>44060</v>
      </c>
      <c r="B158">
        <v>1246.720947265625</v>
      </c>
      <c r="C158">
        <v>127.1151123046875</v>
      </c>
      <c r="D158">
        <v>114.7920303344727</v>
      </c>
    </row>
    <row r="159" spans="1:4" x14ac:dyDescent="0.35">
      <c r="A159" s="3">
        <v>44061</v>
      </c>
      <c r="B159">
        <v>1286.288696289063</v>
      </c>
      <c r="C159">
        <v>126.979850769043</v>
      </c>
      <c r="D159">
        <v>113.77789306640631</v>
      </c>
    </row>
    <row r="160" spans="1:4" x14ac:dyDescent="0.35">
      <c r="A160" s="3">
        <v>44062</v>
      </c>
      <c r="B160">
        <v>1261.78759765625</v>
      </c>
      <c r="C160">
        <v>131.4439697265625</v>
      </c>
      <c r="D160">
        <v>114.1642303466797</v>
      </c>
    </row>
    <row r="161" spans="1:4" x14ac:dyDescent="0.35">
      <c r="A161" s="3">
        <v>44063</v>
      </c>
      <c r="B161">
        <v>1249.946044921875</v>
      </c>
      <c r="C161">
        <v>129.23445129394531</v>
      </c>
      <c r="D161">
        <v>112.6188659667969</v>
      </c>
    </row>
    <row r="162" spans="1:4" x14ac:dyDescent="0.35">
      <c r="A162" s="3">
        <v>44064</v>
      </c>
      <c r="B162">
        <v>1243.303466796875</v>
      </c>
      <c r="C162">
        <v>131.26361083984381</v>
      </c>
      <c r="D162">
        <v>113.198371887207</v>
      </c>
    </row>
    <row r="163" spans="1:4" x14ac:dyDescent="0.35">
      <c r="A163" s="3">
        <v>44067</v>
      </c>
      <c r="B163">
        <v>1227.611206054688</v>
      </c>
      <c r="C163">
        <v>137.08052062988281</v>
      </c>
      <c r="D163">
        <v>111.5081253051758</v>
      </c>
    </row>
    <row r="164" spans="1:4" x14ac:dyDescent="0.35">
      <c r="A164" s="3">
        <v>44068</v>
      </c>
      <c r="B164">
        <v>1218.176391601563</v>
      </c>
      <c r="C164">
        <v>134.91609191894531</v>
      </c>
      <c r="D164">
        <v>112.3291091918945</v>
      </c>
    </row>
    <row r="165" spans="1:4" x14ac:dyDescent="0.35">
      <c r="A165" s="3">
        <v>44069</v>
      </c>
      <c r="B165">
        <v>1217.117553710938</v>
      </c>
      <c r="C165">
        <v>138.25291442871091</v>
      </c>
      <c r="D165">
        <v>115.32326507568359</v>
      </c>
    </row>
    <row r="166" spans="1:4" x14ac:dyDescent="0.35">
      <c r="A166" s="3">
        <v>44070</v>
      </c>
      <c r="B166">
        <v>1229.055419921875</v>
      </c>
      <c r="C166">
        <v>141.77009582519531</v>
      </c>
      <c r="D166">
        <v>114.9369201660156</v>
      </c>
    </row>
    <row r="167" spans="1:4" x14ac:dyDescent="0.35">
      <c r="A167" s="3">
        <v>44071</v>
      </c>
      <c r="B167">
        <v>1236.034912109375</v>
      </c>
      <c r="C167">
        <v>139.42529296875</v>
      </c>
      <c r="D167">
        <v>113.97105407714839</v>
      </c>
    </row>
    <row r="168" spans="1:4" x14ac:dyDescent="0.35">
      <c r="A168" s="3">
        <v>44074</v>
      </c>
      <c r="B168">
        <v>1209.84912109375</v>
      </c>
      <c r="C168">
        <v>132.25563049316409</v>
      </c>
      <c r="D168">
        <v>109.96275329589839</v>
      </c>
    </row>
    <row r="169" spans="1:4" x14ac:dyDescent="0.35">
      <c r="A169" s="3">
        <v>44075</v>
      </c>
      <c r="B169">
        <v>1212.496459960938</v>
      </c>
      <c r="C169">
        <v>132.34580993652341</v>
      </c>
      <c r="D169">
        <v>109.09348297119141</v>
      </c>
    </row>
    <row r="170" spans="1:4" x14ac:dyDescent="0.35">
      <c r="A170" s="3">
        <v>44076</v>
      </c>
      <c r="B170">
        <v>1214.99951171875</v>
      </c>
      <c r="C170">
        <v>133.65348815917969</v>
      </c>
      <c r="D170">
        <v>109.6247100830078</v>
      </c>
    </row>
    <row r="171" spans="1:4" x14ac:dyDescent="0.35">
      <c r="A171" s="3">
        <v>44077</v>
      </c>
      <c r="B171">
        <v>1240.22265625</v>
      </c>
      <c r="C171">
        <v>133.157470703125</v>
      </c>
      <c r="D171">
        <v>109.5764083862305</v>
      </c>
    </row>
    <row r="172" spans="1:4" x14ac:dyDescent="0.35">
      <c r="A172" s="3">
        <v>44078</v>
      </c>
      <c r="B172">
        <v>1242.100219726563</v>
      </c>
      <c r="C172">
        <v>129.45991516113281</v>
      </c>
      <c r="D172">
        <v>108.9003143310547</v>
      </c>
    </row>
    <row r="173" spans="1:4" x14ac:dyDescent="0.35">
      <c r="A173" s="3">
        <v>44081</v>
      </c>
      <c r="B173">
        <v>1235.2646484375</v>
      </c>
      <c r="C173">
        <v>130.6773986816406</v>
      </c>
      <c r="D173">
        <v>107.83786773681641</v>
      </c>
    </row>
    <row r="174" spans="1:4" x14ac:dyDescent="0.35">
      <c r="A174" s="3">
        <v>44082</v>
      </c>
      <c r="B174">
        <v>1216.925048828125</v>
      </c>
      <c r="C174">
        <v>125.176155090332</v>
      </c>
      <c r="D174">
        <v>105.5681076049805</v>
      </c>
    </row>
    <row r="175" spans="1:4" x14ac:dyDescent="0.35">
      <c r="A175" s="3">
        <v>44083</v>
      </c>
      <c r="B175">
        <v>1172.543701171875</v>
      </c>
      <c r="C175">
        <v>120.57672119140631</v>
      </c>
      <c r="D175">
        <v>103.8778610229492</v>
      </c>
    </row>
    <row r="176" spans="1:4" x14ac:dyDescent="0.35">
      <c r="A176" s="3">
        <v>44084</v>
      </c>
      <c r="B176">
        <v>1206.575805664063</v>
      </c>
      <c r="C176">
        <v>122.9215393066406</v>
      </c>
      <c r="D176">
        <v>106.1476287841797</v>
      </c>
    </row>
    <row r="177" spans="1:4" x14ac:dyDescent="0.35">
      <c r="A177" s="3">
        <v>44085</v>
      </c>
      <c r="B177">
        <v>1249.801879882813</v>
      </c>
      <c r="C177">
        <v>121.3432998657227</v>
      </c>
      <c r="D177">
        <v>105.32664489746089</v>
      </c>
    </row>
    <row r="178" spans="1:4" x14ac:dyDescent="0.35">
      <c r="A178" s="3">
        <v>44088</v>
      </c>
      <c r="B178">
        <v>1256.685302734375</v>
      </c>
      <c r="C178">
        <v>120.8923873901367</v>
      </c>
      <c r="D178">
        <v>107.8861541748047</v>
      </c>
    </row>
    <row r="179" spans="1:4" x14ac:dyDescent="0.35">
      <c r="A179" s="3">
        <v>44089</v>
      </c>
      <c r="B179">
        <v>1255.866943359375</v>
      </c>
      <c r="C179">
        <v>120.53163909912109</v>
      </c>
      <c r="D179">
        <v>106.7754364013672</v>
      </c>
    </row>
    <row r="180" spans="1:4" x14ac:dyDescent="0.35">
      <c r="A180" s="3">
        <v>44090</v>
      </c>
      <c r="B180">
        <v>1267.227172851563</v>
      </c>
      <c r="C180">
        <v>120.6218338012695</v>
      </c>
      <c r="D180">
        <v>104.69883728027339</v>
      </c>
    </row>
    <row r="181" spans="1:4" x14ac:dyDescent="0.35">
      <c r="A181" s="3">
        <v>44091</v>
      </c>
      <c r="B181">
        <v>1233.724487304688</v>
      </c>
      <c r="C181">
        <v>119.9905471801758</v>
      </c>
      <c r="D181">
        <v>105.08518218994141</v>
      </c>
    </row>
    <row r="182" spans="1:4" x14ac:dyDescent="0.35">
      <c r="A182" s="3">
        <v>44092</v>
      </c>
      <c r="B182">
        <v>1247.635864257813</v>
      </c>
      <c r="C182">
        <v>116.3380584716797</v>
      </c>
      <c r="D182">
        <v>109.5281219482422</v>
      </c>
    </row>
    <row r="183" spans="1:4" x14ac:dyDescent="0.35">
      <c r="A183" s="3">
        <v>44095</v>
      </c>
      <c r="B183">
        <v>1228.429565429688</v>
      </c>
      <c r="C183">
        <v>112.640495300293</v>
      </c>
      <c r="D183">
        <v>104.167610168457</v>
      </c>
    </row>
    <row r="184" spans="1:4" x14ac:dyDescent="0.35">
      <c r="A184" s="3">
        <v>44096</v>
      </c>
      <c r="B184">
        <v>1207.971801757813</v>
      </c>
      <c r="C184">
        <v>111.0622634887695</v>
      </c>
      <c r="D184">
        <v>101.65638732910161</v>
      </c>
    </row>
    <row r="185" spans="1:4" x14ac:dyDescent="0.35">
      <c r="A185" s="3">
        <v>44097</v>
      </c>
      <c r="B185">
        <v>1211.244873046875</v>
      </c>
      <c r="C185">
        <v>109.88986968994141</v>
      </c>
      <c r="D185">
        <v>100.0144348144531</v>
      </c>
    </row>
    <row r="186" spans="1:4" x14ac:dyDescent="0.35">
      <c r="A186" s="3">
        <v>44098</v>
      </c>
      <c r="B186">
        <v>1204.650146484375</v>
      </c>
      <c r="C186">
        <v>109.3036575317383</v>
      </c>
      <c r="D186">
        <v>97.889549255371094</v>
      </c>
    </row>
    <row r="187" spans="1:4" x14ac:dyDescent="0.35">
      <c r="A187" s="3">
        <v>44099</v>
      </c>
      <c r="B187">
        <v>1222.701293945313</v>
      </c>
      <c r="C187">
        <v>111.7837371826172</v>
      </c>
      <c r="D187">
        <v>100.3041915893555</v>
      </c>
    </row>
    <row r="188" spans="1:4" x14ac:dyDescent="0.35">
      <c r="A188" s="3">
        <v>44102</v>
      </c>
      <c r="B188">
        <v>1221.209106445313</v>
      </c>
      <c r="C188">
        <v>113.1365051269531</v>
      </c>
      <c r="D188">
        <v>102.5256652832031</v>
      </c>
    </row>
    <row r="189" spans="1:4" x14ac:dyDescent="0.35">
      <c r="A189" s="3">
        <v>44103</v>
      </c>
      <c r="B189">
        <v>1203.880004882813</v>
      </c>
      <c r="C189">
        <v>110.7466278076172</v>
      </c>
      <c r="D189">
        <v>101.8495635986328</v>
      </c>
    </row>
    <row r="190" spans="1:4" x14ac:dyDescent="0.35">
      <c r="A190" s="3">
        <v>44104</v>
      </c>
      <c r="B190">
        <v>1251.053588867188</v>
      </c>
      <c r="C190">
        <v>109.0331115722656</v>
      </c>
      <c r="D190">
        <v>101.02858734130859</v>
      </c>
    </row>
    <row r="191" spans="1:4" x14ac:dyDescent="0.35">
      <c r="A191" s="3">
        <v>44105</v>
      </c>
      <c r="B191">
        <v>1252.786010742188</v>
      </c>
      <c r="C191">
        <v>109.9800491333008</v>
      </c>
      <c r="D191">
        <v>101.5598068237305</v>
      </c>
    </row>
    <row r="192" spans="1:4" x14ac:dyDescent="0.35">
      <c r="A192" s="3">
        <v>44109</v>
      </c>
      <c r="B192">
        <v>1207.634521484375</v>
      </c>
      <c r="C192">
        <v>114.35400390625</v>
      </c>
      <c r="D192">
        <v>102.1393280029297</v>
      </c>
    </row>
    <row r="193" spans="1:4" x14ac:dyDescent="0.35">
      <c r="A193" s="3">
        <v>44110</v>
      </c>
      <c r="B193">
        <v>1189.19873046875</v>
      </c>
      <c r="C193">
        <v>113.31687927246089</v>
      </c>
      <c r="D193">
        <v>102.3807754516602</v>
      </c>
    </row>
    <row r="194" spans="1:4" x14ac:dyDescent="0.35">
      <c r="A194" s="3">
        <v>44111</v>
      </c>
      <c r="B194">
        <v>1227.322143554688</v>
      </c>
      <c r="C194">
        <v>112.1444778442383</v>
      </c>
      <c r="D194">
        <v>101.5115127563477</v>
      </c>
    </row>
    <row r="195" spans="1:4" x14ac:dyDescent="0.35">
      <c r="A195" s="3">
        <v>44112</v>
      </c>
      <c r="B195">
        <v>1205.035278320313</v>
      </c>
      <c r="C195">
        <v>110.16041564941411</v>
      </c>
      <c r="D195">
        <v>100.8836975097656</v>
      </c>
    </row>
    <row r="196" spans="1:4" x14ac:dyDescent="0.35">
      <c r="A196" s="3">
        <v>44113</v>
      </c>
      <c r="B196">
        <v>1201.040161132813</v>
      </c>
      <c r="C196">
        <v>109.9800491333008</v>
      </c>
      <c r="D196">
        <v>100.3041915893555</v>
      </c>
    </row>
    <row r="197" spans="1:4" x14ac:dyDescent="0.35">
      <c r="A197" s="3">
        <v>44116</v>
      </c>
      <c r="B197">
        <v>1162.964599609375</v>
      </c>
      <c r="C197">
        <v>110.250602722168</v>
      </c>
      <c r="D197">
        <v>99.193450927734375</v>
      </c>
    </row>
    <row r="198" spans="1:4" x14ac:dyDescent="0.35">
      <c r="A198" s="3">
        <v>44117</v>
      </c>
      <c r="B198">
        <v>1157.5732421875</v>
      </c>
      <c r="C198">
        <v>109.93495941162109</v>
      </c>
      <c r="D198">
        <v>98.662239074707031</v>
      </c>
    </row>
    <row r="199" spans="1:4" x14ac:dyDescent="0.35">
      <c r="A199" s="3">
        <v>44118</v>
      </c>
      <c r="B199">
        <v>1200.751342773438</v>
      </c>
      <c r="C199">
        <v>109.70949554443359</v>
      </c>
      <c r="D199">
        <v>98.179306030273438</v>
      </c>
    </row>
    <row r="200" spans="1:4" x14ac:dyDescent="0.35">
      <c r="A200" s="3">
        <v>44119</v>
      </c>
      <c r="B200">
        <v>1204.0244140625</v>
      </c>
      <c r="C200">
        <v>107.8607177734375</v>
      </c>
      <c r="D200">
        <v>97.648086547851563</v>
      </c>
    </row>
    <row r="201" spans="1:4" x14ac:dyDescent="0.35">
      <c r="A201" s="3">
        <v>44120</v>
      </c>
      <c r="B201">
        <v>1192.7607421875</v>
      </c>
      <c r="C201">
        <v>107.4097900390625</v>
      </c>
      <c r="D201">
        <v>98.179306030273438</v>
      </c>
    </row>
    <row r="202" spans="1:4" x14ac:dyDescent="0.35">
      <c r="A202" s="3">
        <v>44123</v>
      </c>
      <c r="B202">
        <v>1207.345825195313</v>
      </c>
      <c r="C202">
        <v>113.4070663452148</v>
      </c>
      <c r="D202">
        <v>102.81541442871089</v>
      </c>
    </row>
    <row r="203" spans="1:4" x14ac:dyDescent="0.35">
      <c r="A203" s="3">
        <v>44124</v>
      </c>
      <c r="B203">
        <v>1199.355346679688</v>
      </c>
      <c r="C203">
        <v>111.287727355957</v>
      </c>
      <c r="D203">
        <v>100.0144348144531</v>
      </c>
    </row>
    <row r="204" spans="1:4" x14ac:dyDescent="0.35">
      <c r="A204" s="3">
        <v>44125</v>
      </c>
      <c r="B204">
        <v>1194.445556640625</v>
      </c>
      <c r="C204">
        <v>110.0702362060547</v>
      </c>
      <c r="D204">
        <v>99.724678039550781</v>
      </c>
    </row>
    <row r="205" spans="1:4" x14ac:dyDescent="0.35">
      <c r="A205" s="3">
        <v>44126</v>
      </c>
      <c r="B205">
        <v>1209.127075195313</v>
      </c>
      <c r="C205">
        <v>109.21347808837891</v>
      </c>
      <c r="D205">
        <v>99.434921264648438</v>
      </c>
    </row>
    <row r="206" spans="1:4" x14ac:dyDescent="0.35">
      <c r="A206" s="3">
        <v>44127</v>
      </c>
      <c r="B206">
        <v>1210.908081054688</v>
      </c>
      <c r="C206">
        <v>109.57421875</v>
      </c>
      <c r="D206">
        <v>99.193450927734375</v>
      </c>
    </row>
    <row r="207" spans="1:4" x14ac:dyDescent="0.35">
      <c r="A207" s="3">
        <v>44130</v>
      </c>
      <c r="B207">
        <v>1208.164184570313</v>
      </c>
      <c r="C207">
        <v>108.0861740112305</v>
      </c>
      <c r="D207">
        <v>98.951988220214844</v>
      </c>
    </row>
    <row r="208" spans="1:4" x14ac:dyDescent="0.35">
      <c r="A208" s="3">
        <v>44131</v>
      </c>
      <c r="B208">
        <v>1202.33984375</v>
      </c>
      <c r="C208">
        <v>108.8076553344727</v>
      </c>
      <c r="D208">
        <v>97.841262817382813</v>
      </c>
    </row>
    <row r="209" spans="1:4" x14ac:dyDescent="0.35">
      <c r="A209" s="3">
        <v>44132</v>
      </c>
      <c r="B209">
        <v>1184.722045898438</v>
      </c>
      <c r="C209">
        <v>107.4999694824219</v>
      </c>
      <c r="D209">
        <v>98.034431457519531</v>
      </c>
    </row>
    <row r="210" spans="1:4" x14ac:dyDescent="0.35">
      <c r="A210" s="3">
        <v>44133</v>
      </c>
      <c r="B210">
        <v>1196.370849609375</v>
      </c>
      <c r="C210">
        <v>106.55303955078131</v>
      </c>
      <c r="D210">
        <v>97.599800109863281</v>
      </c>
    </row>
    <row r="211" spans="1:4" x14ac:dyDescent="0.35">
      <c r="A211" s="3">
        <v>44134</v>
      </c>
      <c r="B211">
        <v>1189.920532226563</v>
      </c>
      <c r="C211">
        <v>106.2824783325195</v>
      </c>
      <c r="D211">
        <v>97.792961120605469</v>
      </c>
    </row>
    <row r="212" spans="1:4" x14ac:dyDescent="0.35">
      <c r="A212" s="3">
        <v>44137</v>
      </c>
      <c r="B212">
        <v>1179.37890625</v>
      </c>
      <c r="C212">
        <v>109.66440582275391</v>
      </c>
      <c r="D212">
        <v>97.020271301269531</v>
      </c>
    </row>
    <row r="213" spans="1:4" x14ac:dyDescent="0.35">
      <c r="A213" s="3">
        <v>44138</v>
      </c>
      <c r="B213">
        <v>1180.43798828125</v>
      </c>
      <c r="C213">
        <v>110.20550537109381</v>
      </c>
      <c r="D213">
        <v>96.73052978515625</v>
      </c>
    </row>
    <row r="214" spans="1:4" x14ac:dyDescent="0.35">
      <c r="A214" s="3">
        <v>44139</v>
      </c>
      <c r="B214">
        <v>1185.395874023438</v>
      </c>
      <c r="C214">
        <v>109.9800491333008</v>
      </c>
      <c r="D214">
        <v>96.682228088378906</v>
      </c>
    </row>
    <row r="215" spans="1:4" x14ac:dyDescent="0.35">
      <c r="A215" s="3">
        <v>44140</v>
      </c>
      <c r="B215">
        <v>1197.285522460938</v>
      </c>
      <c r="C215">
        <v>109.2585754394531</v>
      </c>
      <c r="D215">
        <v>98.131011962890625</v>
      </c>
    </row>
    <row r="216" spans="1:4" x14ac:dyDescent="0.35">
      <c r="A216" s="3">
        <v>44141</v>
      </c>
      <c r="B216">
        <v>1213.459106445313</v>
      </c>
      <c r="C216">
        <v>109.43894195556641</v>
      </c>
      <c r="D216">
        <v>99.386634826660156</v>
      </c>
    </row>
    <row r="217" spans="1:4" x14ac:dyDescent="0.35">
      <c r="A217" s="3">
        <v>44144</v>
      </c>
      <c r="B217">
        <v>1223.90478515625</v>
      </c>
      <c r="C217">
        <v>109.7545852661133</v>
      </c>
      <c r="D217">
        <v>99.48321533203125</v>
      </c>
    </row>
    <row r="218" spans="1:4" x14ac:dyDescent="0.35">
      <c r="A218" s="3">
        <v>44145</v>
      </c>
      <c r="B218">
        <v>1221.931030273438</v>
      </c>
      <c r="C218">
        <v>110.7917098999023</v>
      </c>
      <c r="D218">
        <v>99.821266174316406</v>
      </c>
    </row>
    <row r="219" spans="1:4" x14ac:dyDescent="0.35">
      <c r="A219" s="3">
        <v>44146</v>
      </c>
      <c r="B219">
        <v>1218.176391601563</v>
      </c>
      <c r="C219">
        <v>111.37791442871089</v>
      </c>
      <c r="D219">
        <v>100.9802932739258</v>
      </c>
    </row>
    <row r="220" spans="1:4" x14ac:dyDescent="0.35">
      <c r="A220" s="3">
        <v>44147</v>
      </c>
      <c r="B220">
        <v>1212.400024414063</v>
      </c>
      <c r="C220">
        <v>112.50522613525391</v>
      </c>
      <c r="D220">
        <v>101.2217559814453</v>
      </c>
    </row>
    <row r="221" spans="1:4" x14ac:dyDescent="0.35">
      <c r="A221" s="3">
        <v>44148</v>
      </c>
      <c r="B221">
        <v>1248.935302734375</v>
      </c>
      <c r="C221">
        <v>114.21872711181641</v>
      </c>
      <c r="D221">
        <v>110.445686340332</v>
      </c>
    </row>
    <row r="222" spans="1:4" x14ac:dyDescent="0.35">
      <c r="A222" s="3">
        <v>44149</v>
      </c>
      <c r="B222">
        <v>1247.587646484375</v>
      </c>
      <c r="C222">
        <v>114.3990936279297</v>
      </c>
      <c r="D222">
        <v>110.204216003418</v>
      </c>
    </row>
    <row r="223" spans="1:4" x14ac:dyDescent="0.35">
      <c r="A223" s="3">
        <v>44152</v>
      </c>
      <c r="B223">
        <v>1279.64599609375</v>
      </c>
      <c r="C223">
        <v>113.677619934082</v>
      </c>
      <c r="D223">
        <v>113.2949600219727</v>
      </c>
    </row>
    <row r="224" spans="1:4" x14ac:dyDescent="0.35">
      <c r="A224" s="3">
        <v>44153</v>
      </c>
      <c r="B224">
        <v>1262.365356445313</v>
      </c>
      <c r="C224">
        <v>113.04632568359381</v>
      </c>
      <c r="D224">
        <v>110.05934143066411</v>
      </c>
    </row>
    <row r="225" spans="1:4" x14ac:dyDescent="0.35">
      <c r="A225" s="3">
        <v>44154</v>
      </c>
      <c r="B225">
        <v>1248.117065429688</v>
      </c>
      <c r="C225">
        <v>113.09141540527339</v>
      </c>
      <c r="D225">
        <v>108.2242126464844</v>
      </c>
    </row>
    <row r="226" spans="1:4" x14ac:dyDescent="0.35">
      <c r="A226" s="3">
        <v>44155</v>
      </c>
      <c r="B226">
        <v>1305.73583984375</v>
      </c>
      <c r="C226">
        <v>113.4070663452148</v>
      </c>
      <c r="D226">
        <v>107.83786773681641</v>
      </c>
    </row>
    <row r="227" spans="1:4" x14ac:dyDescent="0.35">
      <c r="A227" s="3">
        <v>44158</v>
      </c>
      <c r="B227">
        <v>1302.41455078125</v>
      </c>
      <c r="C227">
        <v>117.7359237670898</v>
      </c>
      <c r="D227">
        <v>109.2383651733398</v>
      </c>
    </row>
    <row r="228" spans="1:4" x14ac:dyDescent="0.35">
      <c r="A228" s="3">
        <v>44159</v>
      </c>
      <c r="B228">
        <v>1321.091186523438</v>
      </c>
      <c r="C228">
        <v>123.59792327880859</v>
      </c>
      <c r="D228">
        <v>111.21836853027339</v>
      </c>
    </row>
    <row r="229" spans="1:4" x14ac:dyDescent="0.35">
      <c r="A229" s="3">
        <v>44160</v>
      </c>
      <c r="B229">
        <v>1331.2958984375</v>
      </c>
      <c r="C229">
        <v>125.8074493408203</v>
      </c>
      <c r="D229">
        <v>113.77789306640631</v>
      </c>
    </row>
    <row r="230" spans="1:4" x14ac:dyDescent="0.35">
      <c r="A230" s="3">
        <v>44161</v>
      </c>
      <c r="B230">
        <v>1402.729736328125</v>
      </c>
      <c r="C230">
        <v>124.4095840454102</v>
      </c>
      <c r="D230">
        <v>114.1642303466797</v>
      </c>
    </row>
    <row r="231" spans="1:4" x14ac:dyDescent="0.35">
      <c r="A231" s="3">
        <v>44162</v>
      </c>
      <c r="B231">
        <v>1397.290161132813</v>
      </c>
      <c r="C231">
        <v>127.1151123046875</v>
      </c>
      <c r="D231">
        <v>113.5364303588867</v>
      </c>
    </row>
    <row r="232" spans="1:4" x14ac:dyDescent="0.35">
      <c r="A232" s="3">
        <v>44166</v>
      </c>
      <c r="B232">
        <v>1416.30419921875</v>
      </c>
      <c r="C232">
        <v>126.25836181640631</v>
      </c>
      <c r="D232">
        <v>113.2466659545898</v>
      </c>
    </row>
    <row r="233" spans="1:4" x14ac:dyDescent="0.35">
      <c r="A233" s="3">
        <v>44167</v>
      </c>
      <c r="B233">
        <v>1464.825073242188</v>
      </c>
      <c r="C233">
        <v>125.9427108764648</v>
      </c>
      <c r="D233">
        <v>112.4739685058594</v>
      </c>
    </row>
    <row r="234" spans="1:4" x14ac:dyDescent="0.35">
      <c r="A234" s="3">
        <v>44168</v>
      </c>
      <c r="B234">
        <v>1426.845825195313</v>
      </c>
      <c r="C234">
        <v>126.9347381591797</v>
      </c>
      <c r="D234">
        <v>114.2608261108398</v>
      </c>
    </row>
    <row r="235" spans="1:4" x14ac:dyDescent="0.35">
      <c r="A235" s="3">
        <v>44169</v>
      </c>
      <c r="B235">
        <v>1396.18310546875</v>
      </c>
      <c r="C235">
        <v>125.762336730957</v>
      </c>
      <c r="D235">
        <v>112.8603210449219</v>
      </c>
    </row>
    <row r="236" spans="1:4" x14ac:dyDescent="0.35">
      <c r="A236" s="3">
        <v>44172</v>
      </c>
      <c r="B236">
        <v>1388.962890625</v>
      </c>
      <c r="C236">
        <v>127.56601715087891</v>
      </c>
      <c r="D236">
        <v>117.9793701171875</v>
      </c>
    </row>
    <row r="237" spans="1:4" x14ac:dyDescent="0.35">
      <c r="A237" s="3">
        <v>44173</v>
      </c>
      <c r="B237">
        <v>1409.805541992188</v>
      </c>
      <c r="C237">
        <v>128.64825439453131</v>
      </c>
      <c r="D237">
        <v>116.7720413208008</v>
      </c>
    </row>
    <row r="238" spans="1:4" x14ac:dyDescent="0.35">
      <c r="A238" s="3">
        <v>44174</v>
      </c>
      <c r="B238">
        <v>1399.216064453125</v>
      </c>
      <c r="C238">
        <v>130.81268310546881</v>
      </c>
      <c r="D238">
        <v>122.6154708862305</v>
      </c>
    </row>
    <row r="239" spans="1:4" x14ac:dyDescent="0.35">
      <c r="A239" s="3">
        <v>44175</v>
      </c>
      <c r="B239">
        <v>1395.7021484375</v>
      </c>
      <c r="C239">
        <v>129.8206481933594</v>
      </c>
      <c r="D239">
        <v>124.93353271484381</v>
      </c>
    </row>
    <row r="240" spans="1:4" x14ac:dyDescent="0.35">
      <c r="A240" s="3">
        <v>44176</v>
      </c>
      <c r="B240">
        <v>1411.8759765625</v>
      </c>
      <c r="C240">
        <v>128.2875061035156</v>
      </c>
      <c r="D240">
        <v>127.4447555541992</v>
      </c>
    </row>
    <row r="241" spans="1:4" x14ac:dyDescent="0.35">
      <c r="A241" s="3">
        <v>44179</v>
      </c>
      <c r="B241">
        <v>1434.210815429688</v>
      </c>
      <c r="C241">
        <v>128.7384338378906</v>
      </c>
      <c r="D241">
        <v>127.5413513183594</v>
      </c>
    </row>
    <row r="242" spans="1:4" x14ac:dyDescent="0.35">
      <c r="A242" s="3">
        <v>44180</v>
      </c>
      <c r="B242">
        <v>1401.429931640625</v>
      </c>
      <c r="C242">
        <v>127.0249328613281</v>
      </c>
      <c r="D242">
        <v>125.0783996582031</v>
      </c>
    </row>
    <row r="243" spans="1:4" x14ac:dyDescent="0.35">
      <c r="A243" s="3">
        <v>44181</v>
      </c>
      <c r="B243">
        <v>1424.198364257813</v>
      </c>
      <c r="C243">
        <v>127.47585296630859</v>
      </c>
      <c r="D243">
        <v>125.9476776123047</v>
      </c>
    </row>
    <row r="244" spans="1:4" x14ac:dyDescent="0.35">
      <c r="A244" s="3">
        <v>44182</v>
      </c>
      <c r="B244">
        <v>1422.465576171875</v>
      </c>
      <c r="C244">
        <v>131.0832214355469</v>
      </c>
      <c r="D244">
        <v>127.251579284668</v>
      </c>
    </row>
    <row r="245" spans="1:4" x14ac:dyDescent="0.35">
      <c r="A245" s="3">
        <v>44183</v>
      </c>
      <c r="B245">
        <v>1406.965698242188</v>
      </c>
      <c r="C245">
        <v>128.64825439453131</v>
      </c>
      <c r="D245">
        <v>128.60377502441409</v>
      </c>
    </row>
    <row r="246" spans="1:4" x14ac:dyDescent="0.35">
      <c r="A246" s="3">
        <v>44186</v>
      </c>
      <c r="B246">
        <v>1379.28759765625</v>
      </c>
      <c r="C246">
        <v>120.6669158935547</v>
      </c>
      <c r="D246">
        <v>117.3032608032227</v>
      </c>
    </row>
    <row r="247" spans="1:4" x14ac:dyDescent="0.35">
      <c r="A247" s="3">
        <v>44187</v>
      </c>
      <c r="B247">
        <v>1403.45166015625</v>
      </c>
      <c r="C247">
        <v>123.5528259277344</v>
      </c>
      <c r="D247">
        <v>115.61301422119141</v>
      </c>
    </row>
    <row r="248" spans="1:4" x14ac:dyDescent="0.35">
      <c r="A248" s="3">
        <v>44188</v>
      </c>
      <c r="B248">
        <v>1403.8369140625</v>
      </c>
      <c r="C248">
        <v>127.3856658935547</v>
      </c>
      <c r="D248">
        <v>122.08425140380859</v>
      </c>
    </row>
    <row r="249" spans="1:4" x14ac:dyDescent="0.35">
      <c r="A249" s="3">
        <v>44189</v>
      </c>
      <c r="B249">
        <v>1428.72314453125</v>
      </c>
      <c r="C249">
        <v>127.20530700683589</v>
      </c>
      <c r="D249">
        <v>127.73451232910161</v>
      </c>
    </row>
    <row r="250" spans="1:4" x14ac:dyDescent="0.35">
      <c r="A250" s="3">
        <v>44193</v>
      </c>
      <c r="B250">
        <v>1441.816040039063</v>
      </c>
      <c r="C250">
        <v>127.47585296630859</v>
      </c>
      <c r="D250">
        <v>129.13499450683591</v>
      </c>
    </row>
    <row r="251" spans="1:4" x14ac:dyDescent="0.35">
      <c r="A251" s="3">
        <v>44194</v>
      </c>
      <c r="B251">
        <v>1453.994750976563</v>
      </c>
      <c r="C251">
        <v>126.43873596191411</v>
      </c>
      <c r="D251">
        <v>125.9476776123047</v>
      </c>
    </row>
    <row r="252" spans="1:4" x14ac:dyDescent="0.35">
      <c r="A252" s="3">
        <v>44195</v>
      </c>
      <c r="B252">
        <v>1453.802124023438</v>
      </c>
      <c r="C252">
        <v>125.762336730957</v>
      </c>
      <c r="D252">
        <v>124.7403564453125</v>
      </c>
    </row>
    <row r="253" spans="1:4" x14ac:dyDescent="0.35">
      <c r="A253" s="3">
        <v>44196</v>
      </c>
      <c r="B253">
        <v>1464.151000976563</v>
      </c>
      <c r="C253">
        <v>125.4467010498047</v>
      </c>
      <c r="D253">
        <v>124.4506149291992</v>
      </c>
    </row>
    <row r="254" spans="1:4" x14ac:dyDescent="0.35">
      <c r="A254" s="3">
        <v>44197</v>
      </c>
      <c r="B254">
        <v>1462.562622070313</v>
      </c>
      <c r="C254">
        <v>126.43873596191411</v>
      </c>
      <c r="D254">
        <v>124.83693695068359</v>
      </c>
    </row>
    <row r="255" spans="1:4" x14ac:dyDescent="0.35">
      <c r="A255" s="3">
        <v>44200</v>
      </c>
      <c r="B255">
        <v>1491.684692382813</v>
      </c>
      <c r="C255">
        <v>127.9267654418945</v>
      </c>
      <c r="D255">
        <v>125.223274230957</v>
      </c>
    </row>
    <row r="256" spans="1:4" x14ac:dyDescent="0.35">
      <c r="A256" s="3">
        <v>44201</v>
      </c>
      <c r="B256">
        <v>1525.187744140625</v>
      </c>
      <c r="C256">
        <v>127.52093505859381</v>
      </c>
      <c r="D256">
        <v>123.8710861206055</v>
      </c>
    </row>
    <row r="257" spans="1:4" x14ac:dyDescent="0.35">
      <c r="A257" s="3">
        <v>44202</v>
      </c>
      <c r="B257">
        <v>1551.614135742188</v>
      </c>
      <c r="C257">
        <v>126.1230850219727</v>
      </c>
      <c r="D257">
        <v>122.42230224609381</v>
      </c>
    </row>
    <row r="258" spans="1:4" x14ac:dyDescent="0.35">
      <c r="A258" s="3">
        <v>44203</v>
      </c>
      <c r="B258">
        <v>1512.623901367188</v>
      </c>
      <c r="C258">
        <v>127.43076324462891</v>
      </c>
      <c r="D258">
        <v>124.1608428955078</v>
      </c>
    </row>
    <row r="259" spans="1:4" x14ac:dyDescent="0.35">
      <c r="A259" s="3">
        <v>44204</v>
      </c>
      <c r="B259">
        <v>1545.308471679688</v>
      </c>
      <c r="C259">
        <v>130.4519348144531</v>
      </c>
      <c r="D259">
        <v>125.1750106811523</v>
      </c>
    </row>
    <row r="260" spans="1:4" x14ac:dyDescent="0.35">
      <c r="A260" s="3">
        <v>44207</v>
      </c>
      <c r="B260">
        <v>1549.688842773438</v>
      </c>
      <c r="C260">
        <v>132.84184265136719</v>
      </c>
      <c r="D260">
        <v>130.00428771972659</v>
      </c>
    </row>
    <row r="261" spans="1:4" x14ac:dyDescent="0.35">
      <c r="A261" s="3">
        <v>44208</v>
      </c>
      <c r="B261">
        <v>1507.569580078125</v>
      </c>
      <c r="C261">
        <v>133.65348815917969</v>
      </c>
      <c r="D261">
        <v>129.61793518066409</v>
      </c>
    </row>
    <row r="262" spans="1:4" x14ac:dyDescent="0.35">
      <c r="A262" s="3">
        <v>44209</v>
      </c>
      <c r="B262">
        <v>1491.251831054688</v>
      </c>
      <c r="C262">
        <v>130.4519348144531</v>
      </c>
      <c r="D262">
        <v>127.5413513183594</v>
      </c>
    </row>
    <row r="263" spans="1:4" x14ac:dyDescent="0.35">
      <c r="A263" s="3">
        <v>44210</v>
      </c>
      <c r="B263">
        <v>1496.739135742188</v>
      </c>
      <c r="C263">
        <v>130.31666564941409</v>
      </c>
      <c r="D263">
        <v>127.8793869018555</v>
      </c>
    </row>
    <row r="264" spans="1:4" x14ac:dyDescent="0.35">
      <c r="A264" s="3">
        <v>44211</v>
      </c>
      <c r="B264">
        <v>1493.032836914063</v>
      </c>
      <c r="C264">
        <v>128.10713195800781</v>
      </c>
      <c r="D264">
        <v>124.0642623901367</v>
      </c>
    </row>
    <row r="265" spans="1:4" x14ac:dyDescent="0.35">
      <c r="A265" s="3">
        <v>44214</v>
      </c>
      <c r="B265">
        <v>1466.75048828125</v>
      </c>
      <c r="C265">
        <v>125.08596038818359</v>
      </c>
      <c r="D265">
        <v>126.0925598144531</v>
      </c>
    </row>
    <row r="266" spans="1:4" x14ac:dyDescent="0.35">
      <c r="A266" s="3">
        <v>44215</v>
      </c>
      <c r="B266">
        <v>1453.705688476563</v>
      </c>
      <c r="C266">
        <v>126.30344390869141</v>
      </c>
      <c r="D266">
        <v>129.85939025878909</v>
      </c>
    </row>
    <row r="267" spans="1:4" x14ac:dyDescent="0.35">
      <c r="A267" s="3">
        <v>44216</v>
      </c>
      <c r="B267">
        <v>1439.168579101563</v>
      </c>
      <c r="C267">
        <v>126.8445587158203</v>
      </c>
      <c r="D267">
        <v>134.1574401855469</v>
      </c>
    </row>
    <row r="268" spans="1:4" x14ac:dyDescent="0.35">
      <c r="A268" s="3">
        <v>44217</v>
      </c>
      <c r="B268">
        <v>1408.313354492188</v>
      </c>
      <c r="C268">
        <v>124.9055862426758</v>
      </c>
      <c r="D268">
        <v>133.5296630859375</v>
      </c>
    </row>
    <row r="269" spans="1:4" x14ac:dyDescent="0.35">
      <c r="A269" s="3">
        <v>44218</v>
      </c>
      <c r="B269">
        <v>1385.304565429688</v>
      </c>
      <c r="C269">
        <v>122.9666366577148</v>
      </c>
      <c r="D269">
        <v>126.9618225097656</v>
      </c>
    </row>
    <row r="270" spans="1:4" x14ac:dyDescent="0.35">
      <c r="A270" s="3">
        <v>44221</v>
      </c>
      <c r="B270">
        <v>1384.630493164063</v>
      </c>
      <c r="C270">
        <v>120.6218338012695</v>
      </c>
      <c r="D270">
        <v>123.1466979980469</v>
      </c>
    </row>
    <row r="271" spans="1:4" x14ac:dyDescent="0.35">
      <c r="A271" s="3">
        <v>44223</v>
      </c>
      <c r="B271">
        <v>1327.39697265625</v>
      </c>
      <c r="C271">
        <v>119.6297988891602</v>
      </c>
      <c r="D271">
        <v>124.83693695068359</v>
      </c>
    </row>
    <row r="272" spans="1:4" x14ac:dyDescent="0.35">
      <c r="A272" s="3">
        <v>44224</v>
      </c>
      <c r="B272">
        <v>1320.128662109375</v>
      </c>
      <c r="C272">
        <v>120.2159957885742</v>
      </c>
      <c r="D272">
        <v>125.223274230957</v>
      </c>
    </row>
    <row r="273" spans="1:4" x14ac:dyDescent="0.35">
      <c r="A273" s="3">
        <v>44225</v>
      </c>
      <c r="B273">
        <v>1266.456909179688</v>
      </c>
      <c r="C273">
        <v>118.9534072875977</v>
      </c>
      <c r="D273">
        <v>122.6637725830078</v>
      </c>
    </row>
    <row r="274" spans="1:4" x14ac:dyDescent="0.35">
      <c r="A274" s="3">
        <v>44228</v>
      </c>
      <c r="B274">
        <v>1314.448486328125</v>
      </c>
      <c r="C274">
        <v>125.0408630371094</v>
      </c>
      <c r="D274">
        <v>133.67454528808591</v>
      </c>
    </row>
    <row r="275" spans="1:4" x14ac:dyDescent="0.35">
      <c r="A275" s="3">
        <v>44229</v>
      </c>
      <c r="B275">
        <v>1336.20556640625</v>
      </c>
      <c r="C275">
        <v>125.0408630371094</v>
      </c>
      <c r="D275">
        <v>131.2598876953125</v>
      </c>
    </row>
    <row r="276" spans="1:4" x14ac:dyDescent="0.35">
      <c r="A276" s="3">
        <v>44230</v>
      </c>
      <c r="B276">
        <v>1382.849731445313</v>
      </c>
      <c r="C276">
        <v>124.2292175292969</v>
      </c>
      <c r="D276">
        <v>129.3281555175781</v>
      </c>
    </row>
    <row r="277" spans="1:4" x14ac:dyDescent="0.35">
      <c r="A277" s="3">
        <v>44231</v>
      </c>
      <c r="B277">
        <v>1415.4375</v>
      </c>
      <c r="C277">
        <v>126.43873596191411</v>
      </c>
      <c r="D277">
        <v>133.57794189453131</v>
      </c>
    </row>
    <row r="278" spans="1:4" x14ac:dyDescent="0.35">
      <c r="A278" s="3">
        <v>44232</v>
      </c>
      <c r="B278">
        <v>1413.031127929688</v>
      </c>
      <c r="C278">
        <v>124.86048889160161</v>
      </c>
      <c r="D278">
        <v>130.05255126953131</v>
      </c>
    </row>
    <row r="279" spans="1:4" x14ac:dyDescent="0.35">
      <c r="A279" s="3">
        <v>44235</v>
      </c>
      <c r="B279">
        <v>1418.085083007813</v>
      </c>
      <c r="C279">
        <v>124.2742919921875</v>
      </c>
      <c r="D279">
        <v>129.81111145019531</v>
      </c>
    </row>
    <row r="280" spans="1:4" x14ac:dyDescent="0.35">
      <c r="A280" s="3">
        <v>44236</v>
      </c>
      <c r="B280">
        <v>1456.401611328125</v>
      </c>
      <c r="C280">
        <v>121.5687713623047</v>
      </c>
      <c r="D280">
        <v>126.7203674316406</v>
      </c>
    </row>
    <row r="281" spans="1:4" x14ac:dyDescent="0.35">
      <c r="A281" s="3">
        <v>44237</v>
      </c>
      <c r="B281">
        <v>1445.041381835938</v>
      </c>
      <c r="C281">
        <v>123.6429977416992</v>
      </c>
      <c r="D281">
        <v>127.8793869018555</v>
      </c>
    </row>
    <row r="282" spans="1:4" x14ac:dyDescent="0.35">
      <c r="A282" s="3">
        <v>44238</v>
      </c>
      <c r="B282">
        <v>1441.960693359375</v>
      </c>
      <c r="C282">
        <v>124.3194046020508</v>
      </c>
      <c r="D282">
        <v>128.0242614746094</v>
      </c>
    </row>
    <row r="283" spans="1:4" x14ac:dyDescent="0.35">
      <c r="A283" s="3">
        <v>44239</v>
      </c>
      <c r="B283">
        <v>1439.168579101563</v>
      </c>
      <c r="C283">
        <v>128.55805969238281</v>
      </c>
      <c r="D283">
        <v>132.3706359863281</v>
      </c>
    </row>
    <row r="284" spans="1:4" x14ac:dyDescent="0.35">
      <c r="A284" s="3">
        <v>44242</v>
      </c>
      <c r="B284">
        <v>1441.864135742188</v>
      </c>
      <c r="C284">
        <v>129.68536376953131</v>
      </c>
      <c r="D284">
        <v>131.79112243652341</v>
      </c>
    </row>
    <row r="285" spans="1:4" x14ac:dyDescent="0.35">
      <c r="A285" s="3">
        <v>44243</v>
      </c>
      <c r="B285">
        <v>1448.795654296875</v>
      </c>
      <c r="C285">
        <v>128.01695251464841</v>
      </c>
      <c r="D285">
        <v>131.0184326171875</v>
      </c>
    </row>
    <row r="286" spans="1:4" x14ac:dyDescent="0.35">
      <c r="A286" s="3">
        <v>44244</v>
      </c>
      <c r="B286">
        <v>1442.0087890625</v>
      </c>
      <c r="C286">
        <v>128.46788024902341</v>
      </c>
      <c r="D286">
        <v>132.1774597167969</v>
      </c>
    </row>
    <row r="287" spans="1:4" x14ac:dyDescent="0.35">
      <c r="A287" s="3">
        <v>44245</v>
      </c>
      <c r="B287">
        <v>1442.345703125</v>
      </c>
      <c r="C287">
        <v>154.12538146972659</v>
      </c>
      <c r="D287">
        <v>158.5936279296875</v>
      </c>
    </row>
    <row r="288" spans="1:4" x14ac:dyDescent="0.35">
      <c r="A288" s="3">
        <v>44246</v>
      </c>
      <c r="B288">
        <v>1438.061401367188</v>
      </c>
      <c r="C288">
        <v>184.92340087890631</v>
      </c>
      <c r="D288">
        <v>181.291259765625</v>
      </c>
    </row>
    <row r="289" spans="1:4" x14ac:dyDescent="0.35">
      <c r="A289" s="3">
        <v>44249</v>
      </c>
      <c r="B289">
        <v>1411.490478515625</v>
      </c>
      <c r="C289">
        <v>167.87852478027341</v>
      </c>
      <c r="D289">
        <v>146.52043151855469</v>
      </c>
    </row>
    <row r="290" spans="1:4" x14ac:dyDescent="0.35">
      <c r="A290" s="3">
        <v>44250</v>
      </c>
      <c r="B290">
        <v>1443.548950195313</v>
      </c>
      <c r="C290">
        <v>177.0773620605469</v>
      </c>
      <c r="D290">
        <v>159.5594787597656</v>
      </c>
    </row>
    <row r="291" spans="1:4" x14ac:dyDescent="0.35">
      <c r="A291" s="3">
        <v>44251</v>
      </c>
      <c r="B291">
        <v>1430.792846679688</v>
      </c>
      <c r="C291">
        <v>176.8518981933594</v>
      </c>
      <c r="D291">
        <v>153.90922546386719</v>
      </c>
    </row>
    <row r="292" spans="1:4" x14ac:dyDescent="0.35">
      <c r="A292" s="3">
        <v>44252</v>
      </c>
      <c r="B292">
        <v>1427.086303710938</v>
      </c>
      <c r="C292">
        <v>178.9712219238281</v>
      </c>
      <c r="D292">
        <v>155.9375305175781</v>
      </c>
    </row>
    <row r="293" spans="1:4" x14ac:dyDescent="0.35">
      <c r="A293" s="3">
        <v>44253</v>
      </c>
      <c r="B293">
        <v>1372.83740234375</v>
      </c>
      <c r="C293">
        <v>170.49388122558591</v>
      </c>
      <c r="D293">
        <v>148.4038391113281</v>
      </c>
    </row>
    <row r="294" spans="1:4" x14ac:dyDescent="0.35">
      <c r="A294" s="3">
        <v>44256</v>
      </c>
      <c r="B294">
        <v>1373.896240234375</v>
      </c>
      <c r="C294">
        <v>178.24974060058591</v>
      </c>
      <c r="D294">
        <v>150.72190856933591</v>
      </c>
    </row>
    <row r="295" spans="1:4" x14ac:dyDescent="0.35">
      <c r="A295" s="3">
        <v>44257</v>
      </c>
      <c r="B295">
        <v>1377.843505859375</v>
      </c>
      <c r="C295">
        <v>182.17279052734381</v>
      </c>
      <c r="D295">
        <v>149.1282043457031</v>
      </c>
    </row>
    <row r="296" spans="1:4" x14ac:dyDescent="0.35">
      <c r="A296" s="3">
        <v>44258</v>
      </c>
      <c r="B296">
        <v>1441.094116210938</v>
      </c>
      <c r="C296">
        <v>178.65557861328131</v>
      </c>
      <c r="D296">
        <v>148.74189758300781</v>
      </c>
    </row>
    <row r="297" spans="1:4" x14ac:dyDescent="0.35">
      <c r="A297" s="3">
        <v>44259</v>
      </c>
      <c r="B297">
        <v>1416.448608398438</v>
      </c>
      <c r="C297">
        <v>179.87306213378909</v>
      </c>
      <c r="D297">
        <v>147.1482238769531</v>
      </c>
    </row>
    <row r="298" spans="1:4" x14ac:dyDescent="0.35">
      <c r="A298" s="3">
        <v>44260</v>
      </c>
      <c r="B298">
        <v>1439.794555664063</v>
      </c>
      <c r="C298">
        <v>177.43809509277341</v>
      </c>
      <c r="D298">
        <v>142.9467468261719</v>
      </c>
    </row>
    <row r="299" spans="1:4" x14ac:dyDescent="0.35">
      <c r="A299" s="3">
        <v>44263</v>
      </c>
      <c r="B299">
        <v>1426.268188476563</v>
      </c>
      <c r="C299">
        <v>182.2178649902344</v>
      </c>
      <c r="D299">
        <v>153.37800598144531</v>
      </c>
    </row>
    <row r="300" spans="1:4" x14ac:dyDescent="0.35">
      <c r="A300" s="3">
        <v>44264</v>
      </c>
      <c r="B300">
        <v>1413.512329101563</v>
      </c>
      <c r="C300">
        <v>181.09056091308591</v>
      </c>
      <c r="D300">
        <v>147.72773742675781</v>
      </c>
    </row>
    <row r="301" spans="1:4" x14ac:dyDescent="0.35">
      <c r="A301" s="3">
        <v>44265</v>
      </c>
      <c r="B301">
        <v>1416.255981445313</v>
      </c>
      <c r="C301">
        <v>180.9552917480469</v>
      </c>
      <c r="D301">
        <v>152.41215515136719</v>
      </c>
    </row>
    <row r="302" spans="1:4" x14ac:dyDescent="0.35">
      <c r="A302" s="3">
        <v>44267</v>
      </c>
      <c r="B302">
        <v>1416.352294921875</v>
      </c>
      <c r="C302">
        <v>187.40348815917969</v>
      </c>
      <c r="D302">
        <v>159.1248474121094</v>
      </c>
    </row>
    <row r="303" spans="1:4" x14ac:dyDescent="0.35">
      <c r="A303" s="3">
        <v>44270</v>
      </c>
      <c r="B303">
        <v>1410.286987304688</v>
      </c>
      <c r="C303">
        <v>188.7111511230469</v>
      </c>
      <c r="D303">
        <v>157.6760559082031</v>
      </c>
    </row>
    <row r="304" spans="1:4" x14ac:dyDescent="0.35">
      <c r="A304" s="3">
        <v>44271</v>
      </c>
      <c r="B304">
        <v>1437.3876953125</v>
      </c>
      <c r="C304">
        <v>203.59159851074219</v>
      </c>
      <c r="D304">
        <v>165.93412780761719</v>
      </c>
    </row>
    <row r="305" spans="1:4" x14ac:dyDescent="0.35">
      <c r="A305" s="3">
        <v>44272</v>
      </c>
      <c r="B305">
        <v>1420.106811523438</v>
      </c>
      <c r="C305">
        <v>204.9894714355469</v>
      </c>
      <c r="D305">
        <v>162.21559143066409</v>
      </c>
    </row>
    <row r="306" spans="1:4" x14ac:dyDescent="0.35">
      <c r="A306" s="3">
        <v>44273</v>
      </c>
      <c r="B306">
        <v>1388.395385742188</v>
      </c>
      <c r="C306">
        <v>203.68180847167969</v>
      </c>
      <c r="D306">
        <v>159.36631774902341</v>
      </c>
    </row>
    <row r="307" spans="1:4" x14ac:dyDescent="0.35">
      <c r="A307" s="3">
        <v>44274</v>
      </c>
      <c r="B307">
        <v>1386.802490234375</v>
      </c>
      <c r="C307">
        <v>197.6394348144531</v>
      </c>
      <c r="D307">
        <v>159.36631774902341</v>
      </c>
    </row>
    <row r="308" spans="1:4" x14ac:dyDescent="0.35">
      <c r="A308" s="3">
        <v>44277</v>
      </c>
      <c r="B308">
        <v>1384.871948242188</v>
      </c>
      <c r="C308">
        <v>198.09034729003909</v>
      </c>
      <c r="D308">
        <v>163.3263244628906</v>
      </c>
    </row>
    <row r="309" spans="1:4" x14ac:dyDescent="0.35">
      <c r="A309" s="3">
        <v>44278</v>
      </c>
      <c r="B309">
        <v>1388.299072265625</v>
      </c>
      <c r="C309">
        <v>194.4378967285156</v>
      </c>
      <c r="D309">
        <v>158.69023132324219</v>
      </c>
    </row>
    <row r="310" spans="1:4" x14ac:dyDescent="0.35">
      <c r="A310" s="3">
        <v>44279</v>
      </c>
      <c r="B310">
        <v>1354.222412109375</v>
      </c>
      <c r="C310">
        <v>190.9206848144531</v>
      </c>
      <c r="D310">
        <v>154.0541076660156</v>
      </c>
    </row>
    <row r="311" spans="1:4" x14ac:dyDescent="0.35">
      <c r="A311" s="3">
        <v>44280</v>
      </c>
      <c r="B311">
        <v>1340.128662109375</v>
      </c>
      <c r="C311">
        <v>184.42738342285159</v>
      </c>
      <c r="D311">
        <v>146.42384338378909</v>
      </c>
    </row>
    <row r="312" spans="1:4" x14ac:dyDescent="0.35">
      <c r="A312" s="3">
        <v>44281</v>
      </c>
      <c r="B312">
        <v>1351.471557617188</v>
      </c>
      <c r="C312">
        <v>182.9393615722656</v>
      </c>
      <c r="D312">
        <v>147.5828552246094</v>
      </c>
    </row>
    <row r="313" spans="1:4" x14ac:dyDescent="0.35">
      <c r="A313" s="3">
        <v>44285</v>
      </c>
      <c r="B313">
        <v>1383.279052734375</v>
      </c>
      <c r="C313">
        <v>165.66900634765631</v>
      </c>
      <c r="D313">
        <v>146.71357727050781</v>
      </c>
    </row>
    <row r="314" spans="1:4" x14ac:dyDescent="0.35">
      <c r="A314" s="3">
        <v>44286</v>
      </c>
      <c r="B314">
        <v>1383.520629882813</v>
      </c>
      <c r="C314">
        <v>179.8279724121094</v>
      </c>
      <c r="D314">
        <v>149.0799560546875</v>
      </c>
    </row>
    <row r="315" spans="1:4" x14ac:dyDescent="0.35">
      <c r="A315" s="3">
        <v>44287</v>
      </c>
      <c r="B315">
        <v>1387.767944335938</v>
      </c>
      <c r="C315">
        <v>187.76422119140631</v>
      </c>
      <c r="D315">
        <v>150.33555603027341</v>
      </c>
    </row>
    <row r="316" spans="1:4" x14ac:dyDescent="0.35">
      <c r="A316" s="3">
        <v>44291</v>
      </c>
      <c r="B316">
        <v>1361.752197265625</v>
      </c>
      <c r="C316">
        <v>183.2549743652344</v>
      </c>
      <c r="D316">
        <v>147.43798828125</v>
      </c>
    </row>
    <row r="317" spans="1:4" x14ac:dyDescent="0.35">
      <c r="A317" s="3">
        <v>44292</v>
      </c>
      <c r="B317">
        <v>1377.4873046875</v>
      </c>
      <c r="C317">
        <v>182.84916687011719</v>
      </c>
      <c r="D317">
        <v>146.85847473144531</v>
      </c>
    </row>
    <row r="318" spans="1:4" x14ac:dyDescent="0.35">
      <c r="A318" s="3">
        <v>44293</v>
      </c>
      <c r="B318">
        <v>1399.25537109375</v>
      </c>
      <c r="C318">
        <v>184.56266784667969</v>
      </c>
      <c r="D318">
        <v>149.3214111328125</v>
      </c>
    </row>
    <row r="319" spans="1:4" x14ac:dyDescent="0.35">
      <c r="A319" s="3">
        <v>44294</v>
      </c>
      <c r="B319">
        <v>1380.9140625</v>
      </c>
      <c r="C319">
        <v>192.58909606933591</v>
      </c>
      <c r="D319">
        <v>151.88093566894531</v>
      </c>
    </row>
    <row r="320" spans="1:4" x14ac:dyDescent="0.35">
      <c r="A320" s="3">
        <v>44295</v>
      </c>
      <c r="B320">
        <v>1370.391723632813</v>
      </c>
      <c r="C320">
        <v>190.9206848144531</v>
      </c>
      <c r="D320">
        <v>155.40631103515631</v>
      </c>
    </row>
    <row r="321" spans="1:4" x14ac:dyDescent="0.35">
      <c r="A321" s="3">
        <v>44298</v>
      </c>
      <c r="B321">
        <v>1304.218139648438</v>
      </c>
      <c r="C321">
        <v>177.0773620605469</v>
      </c>
      <c r="D321">
        <v>140.7735900878906</v>
      </c>
    </row>
    <row r="322" spans="1:4" x14ac:dyDescent="0.35">
      <c r="A322" s="3">
        <v>44299</v>
      </c>
      <c r="B322">
        <v>1316.718994140625</v>
      </c>
      <c r="C322">
        <v>185.68995666503909</v>
      </c>
      <c r="D322">
        <v>144.25067138671881</v>
      </c>
    </row>
    <row r="323" spans="1:4" x14ac:dyDescent="0.35">
      <c r="A323" s="3">
        <v>44301</v>
      </c>
      <c r="B323">
        <v>1338.535766601563</v>
      </c>
      <c r="C323">
        <v>181.49639892578131</v>
      </c>
      <c r="D323">
        <v>140.2906494140625</v>
      </c>
    </row>
    <row r="324" spans="1:4" x14ac:dyDescent="0.35">
      <c r="A324" s="3">
        <v>44302</v>
      </c>
      <c r="B324">
        <v>1368.026977539063</v>
      </c>
      <c r="C324">
        <v>189.1620788574219</v>
      </c>
      <c r="D324">
        <v>143.81602478027341</v>
      </c>
    </row>
    <row r="325" spans="1:4" x14ac:dyDescent="0.35">
      <c r="A325" s="3">
        <v>44305</v>
      </c>
      <c r="B325">
        <v>1313.533569335938</v>
      </c>
      <c r="C325">
        <v>183.16481018066409</v>
      </c>
      <c r="D325">
        <v>139.46968078613281</v>
      </c>
    </row>
    <row r="326" spans="1:4" x14ac:dyDescent="0.35">
      <c r="A326" s="3">
        <v>44306</v>
      </c>
      <c r="B326">
        <v>1350.505859375</v>
      </c>
      <c r="C326">
        <v>183.48045349121091</v>
      </c>
      <c r="D326">
        <v>143.5262756347656</v>
      </c>
    </row>
    <row r="327" spans="1:4" x14ac:dyDescent="0.35">
      <c r="A327" s="3">
        <v>44308</v>
      </c>
      <c r="B327">
        <v>1332.213012695313</v>
      </c>
      <c r="C327">
        <v>183.43534851074219</v>
      </c>
      <c r="D327">
        <v>145.5545654296875</v>
      </c>
    </row>
    <row r="328" spans="1:4" x14ac:dyDescent="0.35">
      <c r="A328" s="3">
        <v>44309</v>
      </c>
      <c r="B328">
        <v>1333.322875976563</v>
      </c>
      <c r="C328">
        <v>182.84916687011719</v>
      </c>
      <c r="D328">
        <v>143.81602478027341</v>
      </c>
    </row>
    <row r="329" spans="1:4" x14ac:dyDescent="0.35">
      <c r="A329" s="3">
        <v>44312</v>
      </c>
      <c r="B329">
        <v>1401.28271484375</v>
      </c>
      <c r="C329">
        <v>182.17279052734381</v>
      </c>
      <c r="D329">
        <v>143.86430358886719</v>
      </c>
    </row>
    <row r="330" spans="1:4" x14ac:dyDescent="0.35">
      <c r="A330" s="3">
        <v>44313</v>
      </c>
      <c r="B330">
        <v>1389.795288085938</v>
      </c>
      <c r="C330">
        <v>186.18598937988281</v>
      </c>
      <c r="D330">
        <v>144.34724426269531</v>
      </c>
    </row>
    <row r="331" spans="1:4" x14ac:dyDescent="0.35">
      <c r="A331" s="3">
        <v>44314</v>
      </c>
      <c r="B331">
        <v>1375.50830078125</v>
      </c>
      <c r="C331">
        <v>185.64488220214841</v>
      </c>
      <c r="D331">
        <v>143.04335021972659</v>
      </c>
    </row>
    <row r="332" spans="1:4" x14ac:dyDescent="0.35">
      <c r="A332" s="3">
        <v>44315</v>
      </c>
      <c r="B332">
        <v>1368.702514648438</v>
      </c>
      <c r="C332">
        <v>182.3531494140625</v>
      </c>
      <c r="D332">
        <v>141.2565002441406</v>
      </c>
    </row>
    <row r="333" spans="1:4" x14ac:dyDescent="0.35">
      <c r="A333" s="3">
        <v>44316</v>
      </c>
      <c r="B333">
        <v>1364.985961914063</v>
      </c>
      <c r="C333">
        <v>184.65284729003909</v>
      </c>
      <c r="D333">
        <v>140.87016296386719</v>
      </c>
    </row>
    <row r="334" spans="1:4" x14ac:dyDescent="0.35">
      <c r="A334" s="3">
        <v>44319</v>
      </c>
      <c r="B334">
        <v>1385.837524414063</v>
      </c>
      <c r="C334">
        <v>184.65284729003909</v>
      </c>
      <c r="D334">
        <v>142.1257629394531</v>
      </c>
    </row>
    <row r="335" spans="1:4" x14ac:dyDescent="0.35">
      <c r="A335" s="3">
        <v>44320</v>
      </c>
      <c r="B335">
        <v>1393.173706054688</v>
      </c>
      <c r="C335">
        <v>188.2602233886719</v>
      </c>
      <c r="D335">
        <v>150.33555603027341</v>
      </c>
    </row>
    <row r="336" spans="1:4" x14ac:dyDescent="0.35">
      <c r="A336" s="3">
        <v>44321</v>
      </c>
      <c r="B336">
        <v>1401.379272460938</v>
      </c>
      <c r="C336">
        <v>185.59979248046881</v>
      </c>
      <c r="D336">
        <v>148.9833679199219</v>
      </c>
    </row>
    <row r="337" spans="1:4" x14ac:dyDescent="0.35">
      <c r="A337" s="3">
        <v>44322</v>
      </c>
      <c r="B337">
        <v>1403.358032226563</v>
      </c>
      <c r="C337">
        <v>184.3822937011719</v>
      </c>
      <c r="D337">
        <v>147.34141540527341</v>
      </c>
    </row>
    <row r="338" spans="1:4" x14ac:dyDescent="0.35">
      <c r="A338" s="3">
        <v>44323</v>
      </c>
      <c r="B338">
        <v>1399.68994140625</v>
      </c>
      <c r="C338">
        <v>183.88627624511719</v>
      </c>
      <c r="D338">
        <v>145.98919677734381</v>
      </c>
    </row>
    <row r="339" spans="1:4" x14ac:dyDescent="0.35">
      <c r="A339" s="3">
        <v>44326</v>
      </c>
      <c r="B339">
        <v>1445.495239257813</v>
      </c>
      <c r="C339">
        <v>180.77491760253909</v>
      </c>
      <c r="D339">
        <v>147.1482238769531</v>
      </c>
    </row>
    <row r="340" spans="1:4" x14ac:dyDescent="0.35">
      <c r="A340" s="3">
        <v>44327</v>
      </c>
      <c r="B340">
        <v>1433.331665039063</v>
      </c>
      <c r="C340">
        <v>182.2178649902344</v>
      </c>
      <c r="D340">
        <v>151.63946533203131</v>
      </c>
    </row>
    <row r="341" spans="1:4" x14ac:dyDescent="0.35">
      <c r="A341" s="3">
        <v>44328</v>
      </c>
      <c r="B341">
        <v>1430.33935546875</v>
      </c>
      <c r="C341">
        <v>181.40620422363281</v>
      </c>
      <c r="D341">
        <v>148.9833679199219</v>
      </c>
    </row>
    <row r="342" spans="1:4" x14ac:dyDescent="0.35">
      <c r="A342" s="3">
        <v>44330</v>
      </c>
      <c r="B342">
        <v>1422.037475585938</v>
      </c>
      <c r="C342">
        <v>180.32398986816409</v>
      </c>
      <c r="D342">
        <v>147.29310607910159</v>
      </c>
    </row>
    <row r="343" spans="1:4" x14ac:dyDescent="0.35">
      <c r="A343" s="3">
        <v>44333</v>
      </c>
      <c r="B343">
        <v>1424.354248046875</v>
      </c>
      <c r="C343">
        <v>176.04022216796881</v>
      </c>
      <c r="D343">
        <v>146.03749084472659</v>
      </c>
    </row>
    <row r="344" spans="1:4" x14ac:dyDescent="0.35">
      <c r="A344" s="3">
        <v>44334</v>
      </c>
      <c r="B344">
        <v>1435.504028320313</v>
      </c>
      <c r="C344">
        <v>177.75373840332031</v>
      </c>
      <c r="D344">
        <v>147.63116455078131</v>
      </c>
    </row>
    <row r="345" spans="1:4" x14ac:dyDescent="0.35">
      <c r="A345" s="3">
        <v>44335</v>
      </c>
      <c r="B345">
        <v>1452.783447265625</v>
      </c>
      <c r="C345">
        <v>177.8890075683594</v>
      </c>
      <c r="D345">
        <v>159.4629211425781</v>
      </c>
    </row>
    <row r="346" spans="1:4" x14ac:dyDescent="0.35">
      <c r="A346" s="3">
        <v>44336</v>
      </c>
      <c r="B346">
        <v>1474.889526367188</v>
      </c>
      <c r="C346">
        <v>176.6264343261719</v>
      </c>
      <c r="D346">
        <v>160.13899230957031</v>
      </c>
    </row>
    <row r="347" spans="1:4" x14ac:dyDescent="0.35">
      <c r="A347" s="3">
        <v>44337</v>
      </c>
      <c r="B347">
        <v>1474.455322265625</v>
      </c>
      <c r="C347">
        <v>175.00311279296881</v>
      </c>
      <c r="D347">
        <v>158.40043640136719</v>
      </c>
    </row>
    <row r="348" spans="1:4" x14ac:dyDescent="0.35">
      <c r="A348" s="3">
        <v>44340</v>
      </c>
      <c r="B348">
        <v>1441.730102539063</v>
      </c>
      <c r="C348">
        <v>174.4169006347656</v>
      </c>
      <c r="D348">
        <v>156.75848388671881</v>
      </c>
    </row>
    <row r="349" spans="1:4" x14ac:dyDescent="0.35">
      <c r="A349" s="3">
        <v>44341</v>
      </c>
      <c r="B349">
        <v>1428.553344726563</v>
      </c>
      <c r="C349">
        <v>174.6423645019531</v>
      </c>
      <c r="D349">
        <v>161.20143127441409</v>
      </c>
    </row>
    <row r="350" spans="1:4" x14ac:dyDescent="0.35">
      <c r="A350" s="3">
        <v>44342</v>
      </c>
      <c r="B350">
        <v>1425.657470703125</v>
      </c>
      <c r="C350">
        <v>174.4169006347656</v>
      </c>
      <c r="D350">
        <v>158.69023132324219</v>
      </c>
    </row>
    <row r="351" spans="1:4" x14ac:dyDescent="0.35">
      <c r="A351" s="3">
        <v>44343</v>
      </c>
      <c r="B351">
        <v>1396.262817382813</v>
      </c>
      <c r="C351">
        <v>171.2153625488281</v>
      </c>
      <c r="D351">
        <v>156.75848388671881</v>
      </c>
    </row>
    <row r="352" spans="1:4" x14ac:dyDescent="0.35">
      <c r="A352" s="3">
        <v>44344</v>
      </c>
      <c r="B352">
        <v>1432.608154296875</v>
      </c>
      <c r="C352">
        <v>174.01106262207031</v>
      </c>
      <c r="D352">
        <v>157.8209533691406</v>
      </c>
    </row>
    <row r="353" spans="1:4" x14ac:dyDescent="0.35">
      <c r="A353" s="3">
        <v>44347</v>
      </c>
      <c r="B353">
        <v>1420.879272460938</v>
      </c>
      <c r="C353">
        <v>177.48320007324219</v>
      </c>
      <c r="D353">
        <v>157.724365234375</v>
      </c>
    </row>
    <row r="354" spans="1:4" x14ac:dyDescent="0.35">
      <c r="A354" s="3">
        <v>44348</v>
      </c>
      <c r="B354">
        <v>1415.955810546875</v>
      </c>
      <c r="C354">
        <v>177.43809509277341</v>
      </c>
      <c r="D354">
        <v>156.71022033691409</v>
      </c>
    </row>
    <row r="355" spans="1:4" x14ac:dyDescent="0.35">
      <c r="A355" s="3">
        <v>44349</v>
      </c>
      <c r="B355">
        <v>1416.245361328125</v>
      </c>
      <c r="C355">
        <v>177.84391784667969</v>
      </c>
      <c r="D355">
        <v>159.4629211425781</v>
      </c>
    </row>
    <row r="356" spans="1:4" x14ac:dyDescent="0.35">
      <c r="A356" s="3">
        <v>44350</v>
      </c>
      <c r="B356">
        <v>1423.678344726563</v>
      </c>
      <c r="C356">
        <v>180.36909484863281</v>
      </c>
      <c r="D356">
        <v>163.66436767578131</v>
      </c>
    </row>
    <row r="357" spans="1:4" x14ac:dyDescent="0.35">
      <c r="A357" s="3">
        <v>44351</v>
      </c>
      <c r="B357">
        <v>1397.324829101563</v>
      </c>
      <c r="C357">
        <v>180.9552917480469</v>
      </c>
      <c r="D357">
        <v>168.25218200683591</v>
      </c>
    </row>
    <row r="358" spans="1:4" x14ac:dyDescent="0.35">
      <c r="A358" s="3">
        <v>44354</v>
      </c>
      <c r="B358">
        <v>1394.2841796875</v>
      </c>
      <c r="C358">
        <v>181.40620422363281</v>
      </c>
      <c r="D358">
        <v>170.76341247558591</v>
      </c>
    </row>
    <row r="359" spans="1:4" x14ac:dyDescent="0.35">
      <c r="A359" s="3">
        <v>44355</v>
      </c>
      <c r="B359">
        <v>1416.824462890625</v>
      </c>
      <c r="C359">
        <v>179.73779296875</v>
      </c>
      <c r="D359">
        <v>168.49365234375</v>
      </c>
    </row>
    <row r="360" spans="1:4" x14ac:dyDescent="0.35">
      <c r="A360" s="3">
        <v>44356</v>
      </c>
      <c r="B360">
        <v>1422.809814453125</v>
      </c>
      <c r="C360">
        <v>176.58131408691409</v>
      </c>
      <c r="D360">
        <v>162.0224304199219</v>
      </c>
    </row>
    <row r="361" spans="1:4" x14ac:dyDescent="0.35">
      <c r="A361" s="3">
        <v>44357</v>
      </c>
      <c r="B361">
        <v>1449.597900390625</v>
      </c>
      <c r="C361">
        <v>177.12245178222659</v>
      </c>
      <c r="D361">
        <v>162.9399719238281</v>
      </c>
    </row>
    <row r="362" spans="1:4" x14ac:dyDescent="0.35">
      <c r="A362" s="3">
        <v>44358</v>
      </c>
      <c r="B362">
        <v>1463.209106445313</v>
      </c>
      <c r="C362">
        <v>177.16752624511719</v>
      </c>
      <c r="D362">
        <v>164.05072021484381</v>
      </c>
    </row>
    <row r="363" spans="1:4" x14ac:dyDescent="0.35">
      <c r="A363" s="3">
        <v>44361</v>
      </c>
      <c r="B363">
        <v>1452.156127929688</v>
      </c>
      <c r="C363">
        <v>174.77763366699219</v>
      </c>
      <c r="D363">
        <v>161.15315246582031</v>
      </c>
    </row>
    <row r="364" spans="1:4" x14ac:dyDescent="0.35">
      <c r="A364" s="3">
        <v>44362</v>
      </c>
      <c r="B364">
        <v>1450.901000976563</v>
      </c>
      <c r="C364">
        <v>175.72459411621091</v>
      </c>
      <c r="D364">
        <v>160.235595703125</v>
      </c>
    </row>
    <row r="365" spans="1:4" x14ac:dyDescent="0.35">
      <c r="A365" s="3">
        <v>44363</v>
      </c>
      <c r="B365">
        <v>1463.643310546875</v>
      </c>
      <c r="C365">
        <v>181.4512939453125</v>
      </c>
      <c r="D365">
        <v>168.1556091308594</v>
      </c>
    </row>
    <row r="366" spans="1:4" x14ac:dyDescent="0.35">
      <c r="A366" s="3">
        <v>44364</v>
      </c>
      <c r="B366">
        <v>1455.824096679688</v>
      </c>
      <c r="C366">
        <v>183.48045349121091</v>
      </c>
      <c r="D366">
        <v>165.88584899902341</v>
      </c>
    </row>
    <row r="367" spans="1:4" x14ac:dyDescent="0.35">
      <c r="A367" s="3">
        <v>44365</v>
      </c>
      <c r="B367">
        <v>1480.826416015625</v>
      </c>
      <c r="C367">
        <v>181.85711669921881</v>
      </c>
      <c r="D367">
        <v>167.5760803222656</v>
      </c>
    </row>
    <row r="368" spans="1:4" x14ac:dyDescent="0.35">
      <c r="A368" s="3">
        <v>44368</v>
      </c>
      <c r="B368">
        <v>1474.406860351563</v>
      </c>
      <c r="C368">
        <v>179.10650634765631</v>
      </c>
      <c r="D368">
        <v>165.4029235839844</v>
      </c>
    </row>
    <row r="369" spans="1:4" x14ac:dyDescent="0.35">
      <c r="A369" s="3">
        <v>44369</v>
      </c>
      <c r="B369">
        <v>1472.138305664063</v>
      </c>
      <c r="C369">
        <v>179.91816711425781</v>
      </c>
      <c r="D369">
        <v>163.7609558105469</v>
      </c>
    </row>
    <row r="370" spans="1:4" x14ac:dyDescent="0.35">
      <c r="A370" s="3">
        <v>44370</v>
      </c>
      <c r="B370">
        <v>1480.440307617188</v>
      </c>
      <c r="C370">
        <v>179.19667053222659</v>
      </c>
      <c r="D370">
        <v>161.82923889160159</v>
      </c>
    </row>
    <row r="371" spans="1:4" x14ac:dyDescent="0.35">
      <c r="A371" s="3">
        <v>44371</v>
      </c>
      <c r="B371">
        <v>1472.379638671875</v>
      </c>
      <c r="C371">
        <v>179.24177551269531</v>
      </c>
      <c r="D371">
        <v>160.18730163574219</v>
      </c>
    </row>
    <row r="372" spans="1:4" x14ac:dyDescent="0.35">
      <c r="A372" s="3">
        <v>44372</v>
      </c>
      <c r="B372">
        <v>1495.451171875</v>
      </c>
      <c r="C372">
        <v>178.88105773925781</v>
      </c>
      <c r="D372">
        <v>159.65608215332031</v>
      </c>
    </row>
    <row r="373" spans="1:4" x14ac:dyDescent="0.35">
      <c r="A373" s="3">
        <v>44375</v>
      </c>
      <c r="B373">
        <v>1542.94580078125</v>
      </c>
      <c r="C373">
        <v>179.19667053222659</v>
      </c>
      <c r="D373">
        <v>159.51116943359381</v>
      </c>
    </row>
    <row r="374" spans="1:4" x14ac:dyDescent="0.35">
      <c r="A374" s="3">
        <v>44376</v>
      </c>
      <c r="B374">
        <v>1527.066284179688</v>
      </c>
      <c r="C374">
        <v>184.24702453613281</v>
      </c>
      <c r="D374">
        <v>166.94828796386719</v>
      </c>
    </row>
    <row r="375" spans="1:4" x14ac:dyDescent="0.35">
      <c r="A375" s="3">
        <v>44377</v>
      </c>
      <c r="B375">
        <v>1512.682739257813</v>
      </c>
      <c r="C375">
        <v>188.03477478027341</v>
      </c>
      <c r="D375">
        <v>163.80924987792969</v>
      </c>
    </row>
    <row r="376" spans="1:4" x14ac:dyDescent="0.35">
      <c r="A376" s="3">
        <v>44378</v>
      </c>
      <c r="B376">
        <v>1504.766967773438</v>
      </c>
      <c r="C376">
        <v>185.55470275878909</v>
      </c>
      <c r="D376">
        <v>166.56193542480469</v>
      </c>
    </row>
    <row r="377" spans="1:4" x14ac:dyDescent="0.35">
      <c r="A377" s="3">
        <v>44379</v>
      </c>
      <c r="B377">
        <v>1499.602172851563</v>
      </c>
      <c r="C377">
        <v>180.45927429199219</v>
      </c>
      <c r="D377">
        <v>166.4653625488281</v>
      </c>
    </row>
    <row r="378" spans="1:4" x14ac:dyDescent="0.35">
      <c r="A378" s="3">
        <v>44382</v>
      </c>
      <c r="B378">
        <v>1512.344604492188</v>
      </c>
      <c r="C378">
        <v>179.5123596191406</v>
      </c>
      <c r="D378">
        <v>164.24388122558591</v>
      </c>
    </row>
    <row r="379" spans="1:4" x14ac:dyDescent="0.35">
      <c r="A379" s="3">
        <v>44383</v>
      </c>
      <c r="B379">
        <v>1514.082275390625</v>
      </c>
      <c r="C379">
        <v>183.20989990234381</v>
      </c>
      <c r="D379">
        <v>162.84339904785159</v>
      </c>
    </row>
    <row r="380" spans="1:4" x14ac:dyDescent="0.35">
      <c r="A380" s="3">
        <v>44384</v>
      </c>
      <c r="B380">
        <v>1534.016479492188</v>
      </c>
      <c r="C380">
        <v>179.06141662597659</v>
      </c>
      <c r="D380">
        <v>162.84339904785159</v>
      </c>
    </row>
    <row r="381" spans="1:4" x14ac:dyDescent="0.35">
      <c r="A381" s="3">
        <v>44385</v>
      </c>
      <c r="B381">
        <v>1514.806396484375</v>
      </c>
      <c r="C381">
        <v>177.25773620605469</v>
      </c>
      <c r="D381">
        <v>160.42875671386719</v>
      </c>
    </row>
    <row r="382" spans="1:4" x14ac:dyDescent="0.35">
      <c r="A382" s="3">
        <v>44386</v>
      </c>
      <c r="B382">
        <v>1514.22705078125</v>
      </c>
      <c r="C382">
        <v>175.36384582519531</v>
      </c>
      <c r="D382">
        <v>161.10487365722659</v>
      </c>
    </row>
    <row r="383" spans="1:4" x14ac:dyDescent="0.35">
      <c r="A383" s="3">
        <v>44389</v>
      </c>
      <c r="B383">
        <v>1530.058837890625</v>
      </c>
      <c r="C383">
        <v>172.7935791015625</v>
      </c>
      <c r="D383">
        <v>160.6219177246094</v>
      </c>
    </row>
    <row r="384" spans="1:4" x14ac:dyDescent="0.35">
      <c r="A384" s="3">
        <v>44390</v>
      </c>
      <c r="B384">
        <v>1489.707397460938</v>
      </c>
      <c r="C384">
        <v>170.80952453613281</v>
      </c>
      <c r="D384">
        <v>161.4429016113281</v>
      </c>
    </row>
    <row r="385" spans="1:4" x14ac:dyDescent="0.35">
      <c r="A385" s="3">
        <v>44391</v>
      </c>
      <c r="B385">
        <v>1478.557861328125</v>
      </c>
      <c r="C385">
        <v>168.96075439453131</v>
      </c>
      <c r="D385">
        <v>160.6219177246094</v>
      </c>
    </row>
    <row r="386" spans="1:4" x14ac:dyDescent="0.35">
      <c r="A386" s="3">
        <v>44392</v>
      </c>
      <c r="B386">
        <v>1494.292846679688</v>
      </c>
      <c r="C386">
        <v>166.6610412597656</v>
      </c>
      <c r="D386">
        <v>159.94581604003909</v>
      </c>
    </row>
    <row r="387" spans="1:4" x14ac:dyDescent="0.35">
      <c r="A387" s="3">
        <v>44393</v>
      </c>
      <c r="B387">
        <v>1468.711303710938</v>
      </c>
      <c r="C387">
        <v>166.751220703125</v>
      </c>
      <c r="D387">
        <v>159.07655334472659</v>
      </c>
    </row>
    <row r="388" spans="1:4" x14ac:dyDescent="0.35">
      <c r="A388" s="3">
        <v>44396</v>
      </c>
      <c r="B388">
        <v>1438.110229492188</v>
      </c>
      <c r="C388">
        <v>165.26318359375</v>
      </c>
      <c r="D388">
        <v>158.49705505371091</v>
      </c>
    </row>
    <row r="389" spans="1:4" x14ac:dyDescent="0.35">
      <c r="A389" s="3">
        <v>44397</v>
      </c>
      <c r="B389">
        <v>1425.995239257813</v>
      </c>
      <c r="C389">
        <v>159.53645324707031</v>
      </c>
      <c r="D389">
        <v>153.0882568359375</v>
      </c>
    </row>
    <row r="390" spans="1:4" x14ac:dyDescent="0.35">
      <c r="A390" s="3">
        <v>44399</v>
      </c>
      <c r="B390">
        <v>1490.335083007813</v>
      </c>
      <c r="C390">
        <v>157.37202453613281</v>
      </c>
      <c r="D390">
        <v>155.213134765625</v>
      </c>
    </row>
    <row r="391" spans="1:4" x14ac:dyDescent="0.35">
      <c r="A391" s="3">
        <v>44400</v>
      </c>
      <c r="B391">
        <v>1433.331665039063</v>
      </c>
      <c r="C391">
        <v>156.6956481933594</v>
      </c>
      <c r="D391">
        <v>153.0882568359375</v>
      </c>
    </row>
    <row r="392" spans="1:4" x14ac:dyDescent="0.35">
      <c r="A392" s="3">
        <v>44403</v>
      </c>
      <c r="B392">
        <v>1405.481811523438</v>
      </c>
      <c r="C392">
        <v>157.642578125</v>
      </c>
      <c r="D392">
        <v>159.99412536621091</v>
      </c>
    </row>
    <row r="393" spans="1:4" x14ac:dyDescent="0.35">
      <c r="A393" s="3">
        <v>44404</v>
      </c>
      <c r="B393">
        <v>1423.051025390625</v>
      </c>
      <c r="C393">
        <v>157.8229675292969</v>
      </c>
      <c r="D393">
        <v>155.5511779785156</v>
      </c>
    </row>
    <row r="394" spans="1:4" x14ac:dyDescent="0.35">
      <c r="A394" s="3">
        <v>44405</v>
      </c>
      <c r="B394">
        <v>1447.37744140625</v>
      </c>
      <c r="C394">
        <v>161.83616638183591</v>
      </c>
      <c r="D394">
        <v>159.1248474121094</v>
      </c>
    </row>
    <row r="395" spans="1:4" x14ac:dyDescent="0.35">
      <c r="A395" s="3">
        <v>44406</v>
      </c>
      <c r="B395">
        <v>1444.09521484375</v>
      </c>
      <c r="C395">
        <v>161.52052307128909</v>
      </c>
      <c r="D395">
        <v>157.57948303222659</v>
      </c>
    </row>
    <row r="396" spans="1:4" x14ac:dyDescent="0.35">
      <c r="A396" s="3">
        <v>44407</v>
      </c>
      <c r="B396">
        <v>1424.595703125</v>
      </c>
      <c r="C396">
        <v>162.78309631347659</v>
      </c>
      <c r="D396">
        <v>156.2272644042969</v>
      </c>
    </row>
    <row r="397" spans="1:4" x14ac:dyDescent="0.35">
      <c r="A397" s="3">
        <v>44410</v>
      </c>
      <c r="B397">
        <v>1408.624145507813</v>
      </c>
      <c r="C397">
        <v>160.934326171875</v>
      </c>
      <c r="D397">
        <v>157.19313049316409</v>
      </c>
    </row>
    <row r="398" spans="1:4" x14ac:dyDescent="0.35">
      <c r="A398" s="3">
        <v>44411</v>
      </c>
      <c r="B398">
        <v>1402.816528320313</v>
      </c>
      <c r="C398">
        <v>159.17573547363281</v>
      </c>
      <c r="D398">
        <v>155.5028991699219</v>
      </c>
    </row>
    <row r="399" spans="1:4" x14ac:dyDescent="0.35">
      <c r="A399" s="3">
        <v>44412</v>
      </c>
      <c r="B399">
        <v>1398.992919921875</v>
      </c>
      <c r="C399">
        <v>157.14656066894531</v>
      </c>
      <c r="D399">
        <v>151.63946533203131</v>
      </c>
    </row>
    <row r="400" spans="1:4" x14ac:dyDescent="0.35">
      <c r="A400" s="3">
        <v>44413</v>
      </c>
      <c r="B400">
        <v>1400.154541015625</v>
      </c>
      <c r="C400">
        <v>154.3057556152344</v>
      </c>
      <c r="D400">
        <v>150.52873229980469</v>
      </c>
    </row>
    <row r="401" spans="1:4" x14ac:dyDescent="0.35">
      <c r="A401" s="3">
        <v>44414</v>
      </c>
      <c r="B401">
        <v>1399.573852539063</v>
      </c>
      <c r="C401">
        <v>154.48612976074219</v>
      </c>
      <c r="D401">
        <v>150.72190856933591</v>
      </c>
    </row>
    <row r="402" spans="1:4" x14ac:dyDescent="0.35">
      <c r="A402" s="3">
        <v>44417</v>
      </c>
      <c r="B402">
        <v>1392.411010742188</v>
      </c>
      <c r="C402">
        <v>153.17845153808591</v>
      </c>
      <c r="D402">
        <v>150.96336364746091</v>
      </c>
    </row>
    <row r="403" spans="1:4" x14ac:dyDescent="0.35">
      <c r="A403" s="3">
        <v>44418</v>
      </c>
      <c r="B403">
        <v>1390.765258789063</v>
      </c>
      <c r="C403">
        <v>151.14930725097659</v>
      </c>
      <c r="D403">
        <v>146.85847473144531</v>
      </c>
    </row>
    <row r="404" spans="1:4" x14ac:dyDescent="0.35">
      <c r="A404" s="3">
        <v>44419</v>
      </c>
      <c r="B404">
        <v>1395.4599609375</v>
      </c>
      <c r="C404">
        <v>148.1732177734375</v>
      </c>
      <c r="D404">
        <v>144.49212646484381</v>
      </c>
    </row>
    <row r="405" spans="1:4" x14ac:dyDescent="0.35">
      <c r="A405" s="3">
        <v>44420</v>
      </c>
      <c r="B405">
        <v>1403.590698242188</v>
      </c>
      <c r="C405">
        <v>150.1121826171875</v>
      </c>
      <c r="D405">
        <v>143.5745544433594</v>
      </c>
    </row>
    <row r="406" spans="1:4" x14ac:dyDescent="0.35">
      <c r="A406" s="3">
        <v>44421</v>
      </c>
      <c r="B406">
        <v>1403.590698242188</v>
      </c>
      <c r="C406">
        <v>149.07505798339841</v>
      </c>
      <c r="D406">
        <v>142.46382141113281</v>
      </c>
    </row>
    <row r="407" spans="1:4" x14ac:dyDescent="0.35">
      <c r="A407" s="3">
        <v>44424</v>
      </c>
      <c r="B407">
        <v>1395.121215820313</v>
      </c>
      <c r="C407">
        <v>142.67195129394531</v>
      </c>
      <c r="D407">
        <v>139.46968078613281</v>
      </c>
    </row>
    <row r="408" spans="1:4" x14ac:dyDescent="0.35">
      <c r="A408" s="3">
        <v>44425</v>
      </c>
      <c r="B408">
        <v>1404.4619140625</v>
      </c>
      <c r="C408">
        <v>140.1918640136719</v>
      </c>
      <c r="D408">
        <v>134.93013000488281</v>
      </c>
    </row>
    <row r="409" spans="1:4" x14ac:dyDescent="0.35">
      <c r="A409" s="3">
        <v>44426</v>
      </c>
      <c r="B409">
        <v>1436.840209960938</v>
      </c>
      <c r="C409">
        <v>135.72772216796881</v>
      </c>
      <c r="D409">
        <v>133.14332580566409</v>
      </c>
    </row>
    <row r="410" spans="1:4" x14ac:dyDescent="0.35">
      <c r="A410" s="3">
        <v>44428</v>
      </c>
      <c r="B410">
        <v>1425.079345703125</v>
      </c>
      <c r="C410">
        <v>132.79673767089841</v>
      </c>
      <c r="D410">
        <v>130.82524108886719</v>
      </c>
    </row>
    <row r="411" spans="1:4" x14ac:dyDescent="0.35">
      <c r="A411" s="3">
        <v>44431</v>
      </c>
      <c r="B411">
        <v>1438.292236328125</v>
      </c>
      <c r="C411">
        <v>126.07798767089839</v>
      </c>
      <c r="D411">
        <v>154.77850341796881</v>
      </c>
    </row>
    <row r="412" spans="1:4" x14ac:dyDescent="0.35">
      <c r="A412" s="3">
        <v>44432</v>
      </c>
      <c r="B412">
        <v>1418.303833007813</v>
      </c>
      <c r="C412">
        <v>125.8525314331055</v>
      </c>
      <c r="D412">
        <v>147.5828552246094</v>
      </c>
    </row>
    <row r="413" spans="1:4" x14ac:dyDescent="0.35">
      <c r="A413" s="3">
        <v>44433</v>
      </c>
      <c r="B413">
        <v>1417.529418945313</v>
      </c>
      <c r="C413">
        <v>142.08575439453131</v>
      </c>
      <c r="D413">
        <v>158.54533386230469</v>
      </c>
    </row>
    <row r="414" spans="1:4" x14ac:dyDescent="0.35">
      <c r="A414" s="3">
        <v>44434</v>
      </c>
      <c r="B414">
        <v>1424.014770507813</v>
      </c>
      <c r="C414">
        <v>145.10693359375</v>
      </c>
      <c r="D414">
        <v>163.51951599121091</v>
      </c>
    </row>
    <row r="415" spans="1:4" x14ac:dyDescent="0.35">
      <c r="A415" s="3">
        <v>44435</v>
      </c>
      <c r="B415">
        <v>1507.791748046875</v>
      </c>
      <c r="C415">
        <v>139.65077209472659</v>
      </c>
      <c r="D415">
        <v>163.42289733886719</v>
      </c>
    </row>
    <row r="416" spans="1:4" x14ac:dyDescent="0.35">
      <c r="A416" s="3">
        <v>44438</v>
      </c>
      <c r="B416">
        <v>1534.362182617188</v>
      </c>
      <c r="C416">
        <v>135.68266296386719</v>
      </c>
      <c r="D416">
        <v>161.53948974609381</v>
      </c>
    </row>
    <row r="417" spans="1:4" x14ac:dyDescent="0.35">
      <c r="A417" s="3">
        <v>44439</v>
      </c>
      <c r="B417">
        <v>1543.509643554688</v>
      </c>
      <c r="C417">
        <v>133.6985778808594</v>
      </c>
      <c r="D417">
        <v>156.27558898925781</v>
      </c>
    </row>
    <row r="418" spans="1:4" x14ac:dyDescent="0.35">
      <c r="A418" s="3">
        <v>44440</v>
      </c>
      <c r="B418">
        <v>1581.11474609375</v>
      </c>
      <c r="C418">
        <v>135.2317199707031</v>
      </c>
      <c r="D418">
        <v>154.44044494628909</v>
      </c>
    </row>
    <row r="419" spans="1:4" x14ac:dyDescent="0.35">
      <c r="A419" s="3">
        <v>44441</v>
      </c>
      <c r="B419">
        <v>1576.710571289063</v>
      </c>
      <c r="C419">
        <v>135.18663024902341</v>
      </c>
      <c r="D419">
        <v>153.1848449707031</v>
      </c>
    </row>
    <row r="420" spans="1:4" x14ac:dyDescent="0.35">
      <c r="A420" s="3">
        <v>44442</v>
      </c>
      <c r="B420">
        <v>1577.533325195313</v>
      </c>
      <c r="C420">
        <v>134.7807922363281</v>
      </c>
      <c r="D420">
        <v>155.26141357421881</v>
      </c>
    </row>
    <row r="421" spans="1:4" x14ac:dyDescent="0.35">
      <c r="A421" s="3">
        <v>44445</v>
      </c>
      <c r="B421">
        <v>1513.260864257813</v>
      </c>
      <c r="C421">
        <v>133.29273986816409</v>
      </c>
      <c r="D421">
        <v>154.34385681152341</v>
      </c>
    </row>
    <row r="422" spans="1:4" x14ac:dyDescent="0.35">
      <c r="A422" s="3">
        <v>44446</v>
      </c>
      <c r="B422">
        <v>1538.766479492188</v>
      </c>
      <c r="C422">
        <v>132.66148376464841</v>
      </c>
      <c r="D422">
        <v>154.7301940917969</v>
      </c>
    </row>
    <row r="423" spans="1:4" x14ac:dyDescent="0.35">
      <c r="A423" s="3">
        <v>44447</v>
      </c>
      <c r="B423">
        <v>1559.141967773438</v>
      </c>
      <c r="C423">
        <v>130.72247314453131</v>
      </c>
      <c r="D423">
        <v>152.8467712402344</v>
      </c>
    </row>
    <row r="424" spans="1:4" x14ac:dyDescent="0.35">
      <c r="A424" s="3">
        <v>44448</v>
      </c>
      <c r="B424">
        <v>1569.692749023438</v>
      </c>
      <c r="C424">
        <v>130.0461120605469</v>
      </c>
      <c r="D424">
        <v>153.81263732910159</v>
      </c>
    </row>
    <row r="425" spans="1:4" x14ac:dyDescent="0.35">
      <c r="A425" s="3">
        <v>44452</v>
      </c>
      <c r="B425">
        <v>1584.405883789063</v>
      </c>
      <c r="C425">
        <v>130.00102233886719</v>
      </c>
      <c r="D425">
        <v>162.2638854980469</v>
      </c>
    </row>
    <row r="426" spans="1:4" x14ac:dyDescent="0.35">
      <c r="A426" s="3">
        <v>44453</v>
      </c>
      <c r="B426">
        <v>1562.96533203125</v>
      </c>
      <c r="C426">
        <v>133.42803955078131</v>
      </c>
      <c r="D426">
        <v>166.17559814453131</v>
      </c>
    </row>
    <row r="427" spans="1:4" x14ac:dyDescent="0.35">
      <c r="A427" s="3">
        <v>44454</v>
      </c>
      <c r="B427">
        <v>1559.384033203125</v>
      </c>
      <c r="C427">
        <v>132.9320068359375</v>
      </c>
      <c r="D427">
        <v>166.2239074707031</v>
      </c>
    </row>
    <row r="428" spans="1:4" x14ac:dyDescent="0.35">
      <c r="A428" s="3">
        <v>44455</v>
      </c>
      <c r="B428">
        <v>1564.465698242188</v>
      </c>
      <c r="C428">
        <v>132.79673767089841</v>
      </c>
      <c r="D428">
        <v>170.42536926269531</v>
      </c>
    </row>
    <row r="429" spans="1:4" x14ac:dyDescent="0.35">
      <c r="A429" s="3">
        <v>44456</v>
      </c>
      <c r="B429">
        <v>1552.559814453125</v>
      </c>
      <c r="C429">
        <v>133.29273986816409</v>
      </c>
      <c r="D429">
        <v>169.94244384765631</v>
      </c>
    </row>
    <row r="430" spans="1:4" x14ac:dyDescent="0.35">
      <c r="A430" s="3">
        <v>44459</v>
      </c>
      <c r="B430">
        <v>1575.984619140625</v>
      </c>
      <c r="C430">
        <v>131.57923889160159</v>
      </c>
      <c r="D430">
        <v>163.56781005859381</v>
      </c>
    </row>
    <row r="431" spans="1:4" x14ac:dyDescent="0.35">
      <c r="A431" s="3">
        <v>44460</v>
      </c>
      <c r="B431">
        <v>1585.5673828125</v>
      </c>
      <c r="C431">
        <v>130.5421142578125</v>
      </c>
      <c r="D431">
        <v>158.01411437988281</v>
      </c>
    </row>
    <row r="432" spans="1:4" x14ac:dyDescent="0.35">
      <c r="A432" s="3">
        <v>44461</v>
      </c>
      <c r="B432">
        <v>1575.548828125</v>
      </c>
      <c r="C432">
        <v>129.7755432128906</v>
      </c>
      <c r="D432">
        <v>156.1789855957031</v>
      </c>
    </row>
    <row r="433" spans="1:4" x14ac:dyDescent="0.35">
      <c r="A433" s="3">
        <v>44462</v>
      </c>
      <c r="B433">
        <v>1526.231323242188</v>
      </c>
      <c r="C433">
        <v>129.1893615722656</v>
      </c>
      <c r="D433">
        <v>157.62776184082031</v>
      </c>
    </row>
    <row r="434" spans="1:4" x14ac:dyDescent="0.35">
      <c r="A434" s="3">
        <v>44463</v>
      </c>
      <c r="B434">
        <v>1536.298217773438</v>
      </c>
      <c r="C434">
        <v>131.62434387207031</v>
      </c>
      <c r="D434">
        <v>156.1789855957031</v>
      </c>
    </row>
    <row r="435" spans="1:4" x14ac:dyDescent="0.35">
      <c r="A435" s="3">
        <v>44466</v>
      </c>
      <c r="B435">
        <v>1517.03564453125</v>
      </c>
      <c r="C435">
        <v>129.8206481933594</v>
      </c>
      <c r="D435">
        <v>156.71022033691409</v>
      </c>
    </row>
    <row r="436" spans="1:4" x14ac:dyDescent="0.35">
      <c r="A436" s="3">
        <v>44467</v>
      </c>
      <c r="B436">
        <v>1512.389404296875</v>
      </c>
      <c r="C436">
        <v>128.64825439453131</v>
      </c>
      <c r="D436">
        <v>157.4346008300781</v>
      </c>
    </row>
    <row r="437" spans="1:4" x14ac:dyDescent="0.35">
      <c r="A437" s="3">
        <v>44468</v>
      </c>
      <c r="B437">
        <v>1549.123657226563</v>
      </c>
      <c r="C437">
        <v>124.09393310546881</v>
      </c>
      <c r="D437">
        <v>156.71022033691409</v>
      </c>
    </row>
    <row r="438" spans="1:4" x14ac:dyDescent="0.35">
      <c r="A438" s="3">
        <v>44469</v>
      </c>
      <c r="B438">
        <v>1538.57275390625</v>
      </c>
      <c r="C438">
        <v>130.81268310546881</v>
      </c>
      <c r="D438">
        <v>157.62776184082031</v>
      </c>
    </row>
    <row r="439" spans="1:4" x14ac:dyDescent="0.35">
      <c r="A439" s="3">
        <v>44470</v>
      </c>
      <c r="B439">
        <v>1531.845703125</v>
      </c>
      <c r="C439">
        <v>130.0461120605469</v>
      </c>
      <c r="D439">
        <v>156.46875</v>
      </c>
    </row>
    <row r="440" spans="1:4" x14ac:dyDescent="0.35">
      <c r="A440" s="3">
        <v>44473</v>
      </c>
      <c r="B440">
        <v>1526.231323242188</v>
      </c>
      <c r="C440">
        <v>130.0461120605469</v>
      </c>
      <c r="D440">
        <v>158.3521728515625</v>
      </c>
    </row>
    <row r="441" spans="1:4" x14ac:dyDescent="0.35">
      <c r="A441" s="3">
        <v>44474</v>
      </c>
      <c r="B441">
        <v>1499.079956054688</v>
      </c>
      <c r="C441">
        <v>130.63232421875</v>
      </c>
      <c r="D441">
        <v>158.97996520996091</v>
      </c>
    </row>
    <row r="442" spans="1:4" x14ac:dyDescent="0.35">
      <c r="A442" s="3">
        <v>44475</v>
      </c>
      <c r="B442">
        <v>1503.726196289063</v>
      </c>
      <c r="C442">
        <v>129.23445129394531</v>
      </c>
      <c r="D442">
        <v>157.8209533691406</v>
      </c>
    </row>
    <row r="443" spans="1:4" x14ac:dyDescent="0.35">
      <c r="A443" s="3">
        <v>44476</v>
      </c>
      <c r="B443">
        <v>1498.934936523438</v>
      </c>
      <c r="C443">
        <v>131.35377502441409</v>
      </c>
      <c r="D443">
        <v>165.01658630371091</v>
      </c>
    </row>
    <row r="444" spans="1:4" x14ac:dyDescent="0.35">
      <c r="A444" s="3">
        <v>44477</v>
      </c>
      <c r="B444">
        <v>1480.398559570313</v>
      </c>
      <c r="C444">
        <v>131.75962829589841</v>
      </c>
      <c r="D444">
        <v>160.86338806152341</v>
      </c>
    </row>
    <row r="445" spans="1:4" x14ac:dyDescent="0.35">
      <c r="A445" s="3">
        <v>44480</v>
      </c>
      <c r="B445">
        <v>1487.367797851563</v>
      </c>
      <c r="C445">
        <v>131.53416442871091</v>
      </c>
      <c r="D445">
        <v>159.1731262207031</v>
      </c>
    </row>
    <row r="446" spans="1:4" x14ac:dyDescent="0.35">
      <c r="A446" s="3">
        <v>44481</v>
      </c>
      <c r="B446">
        <v>1483.83447265625</v>
      </c>
      <c r="C446">
        <v>131.57923889160159</v>
      </c>
      <c r="D446">
        <v>158.11070251464841</v>
      </c>
    </row>
    <row r="447" spans="1:4" x14ac:dyDescent="0.35">
      <c r="A447" s="3">
        <v>44482</v>
      </c>
      <c r="B447">
        <v>1471.638427734375</v>
      </c>
      <c r="C447">
        <v>134.91609191894531</v>
      </c>
      <c r="D447">
        <v>159.99412536621091</v>
      </c>
    </row>
    <row r="448" spans="1:4" x14ac:dyDescent="0.35">
      <c r="A448" s="3">
        <v>44483</v>
      </c>
      <c r="B448">
        <v>1471.541625976563</v>
      </c>
      <c r="C448">
        <v>133.4731140136719</v>
      </c>
      <c r="D448">
        <v>158.3038635253906</v>
      </c>
    </row>
    <row r="449" spans="1:4" x14ac:dyDescent="0.35">
      <c r="A449" s="3">
        <v>44487</v>
      </c>
      <c r="B449">
        <v>1470.76708984375</v>
      </c>
      <c r="C449">
        <v>132.34580993652341</v>
      </c>
      <c r="D449">
        <v>158.69023132324219</v>
      </c>
    </row>
    <row r="450" spans="1:4" x14ac:dyDescent="0.35">
      <c r="A450" s="3">
        <v>44488</v>
      </c>
      <c r="B450">
        <v>1480.204711914063</v>
      </c>
      <c r="C450">
        <v>130.09120178222659</v>
      </c>
      <c r="D450">
        <v>157.28971862792969</v>
      </c>
    </row>
    <row r="451" spans="1:4" x14ac:dyDescent="0.35">
      <c r="A451" s="3">
        <v>44489</v>
      </c>
      <c r="B451">
        <v>1456.199462890625</v>
      </c>
      <c r="C451">
        <v>127.0700149536133</v>
      </c>
      <c r="D451">
        <v>155.9375305175781</v>
      </c>
    </row>
    <row r="452" spans="1:4" x14ac:dyDescent="0.35">
      <c r="A452" s="3">
        <v>44490</v>
      </c>
      <c r="B452">
        <v>1457.16748046875</v>
      </c>
      <c r="C452">
        <v>126.66416931152339</v>
      </c>
      <c r="D452">
        <v>153.71604919433591</v>
      </c>
    </row>
    <row r="453" spans="1:4" x14ac:dyDescent="0.35">
      <c r="A453" s="3">
        <v>44491</v>
      </c>
      <c r="B453">
        <v>1452.472900390625</v>
      </c>
      <c r="C453">
        <v>125.3114318847656</v>
      </c>
      <c r="D453">
        <v>153.81263732910159</v>
      </c>
    </row>
    <row r="454" spans="1:4" x14ac:dyDescent="0.35">
      <c r="A454" s="3">
        <v>44494</v>
      </c>
      <c r="B454">
        <v>1448.988159179688</v>
      </c>
      <c r="C454">
        <v>122.65097808837891</v>
      </c>
      <c r="D454">
        <v>155.5994873046875</v>
      </c>
    </row>
    <row r="455" spans="1:4" x14ac:dyDescent="0.35">
      <c r="A455" s="3">
        <v>44495</v>
      </c>
      <c r="B455">
        <v>1457.506225585938</v>
      </c>
      <c r="C455">
        <v>123.0568084716797</v>
      </c>
      <c r="D455">
        <v>153.28141784667969</v>
      </c>
    </row>
    <row r="456" spans="1:4" x14ac:dyDescent="0.35">
      <c r="A456" s="3">
        <v>44496</v>
      </c>
      <c r="B456">
        <v>1452.327514648438</v>
      </c>
      <c r="C456">
        <v>123.77829742431641</v>
      </c>
      <c r="D456">
        <v>151.83262634277341</v>
      </c>
    </row>
    <row r="457" spans="1:4" x14ac:dyDescent="0.35">
      <c r="A457" s="3">
        <v>44497</v>
      </c>
      <c r="B457">
        <v>1424.644165039063</v>
      </c>
      <c r="C457">
        <v>121.5687713623047</v>
      </c>
      <c r="D457">
        <v>148.64530944824219</v>
      </c>
    </row>
    <row r="458" spans="1:4" x14ac:dyDescent="0.35">
      <c r="A458" s="3">
        <v>44498</v>
      </c>
      <c r="B458">
        <v>1437.989501953125</v>
      </c>
      <c r="C458">
        <v>120.2159957885742</v>
      </c>
      <c r="D458">
        <v>147.1482238769531</v>
      </c>
    </row>
    <row r="459" spans="1:4" x14ac:dyDescent="0.35">
      <c r="A459" s="3">
        <v>44501</v>
      </c>
      <c r="B459">
        <v>1473.125244140625</v>
      </c>
      <c r="C459">
        <v>120.1258163452148</v>
      </c>
      <c r="D459">
        <v>147.82432556152341</v>
      </c>
    </row>
    <row r="460" spans="1:4" x14ac:dyDescent="0.35">
      <c r="A460" s="3">
        <v>44502</v>
      </c>
      <c r="B460">
        <v>1464.050170898438</v>
      </c>
      <c r="C460">
        <v>122.6058807373047</v>
      </c>
      <c r="D460">
        <v>147.24481201171881</v>
      </c>
    </row>
    <row r="461" spans="1:4" x14ac:dyDescent="0.35">
      <c r="A461" s="3">
        <v>44503</v>
      </c>
      <c r="B461">
        <v>1483.365112304688</v>
      </c>
      <c r="C461">
        <v>122.3804168701172</v>
      </c>
      <c r="D461">
        <v>151.34968566894531</v>
      </c>
    </row>
    <row r="462" spans="1:4" x14ac:dyDescent="0.35">
      <c r="A462" s="3">
        <v>44504</v>
      </c>
      <c r="B462">
        <v>1483.704711914063</v>
      </c>
      <c r="C462">
        <v>124.2742919921875</v>
      </c>
      <c r="D462">
        <v>151.4945983886719</v>
      </c>
    </row>
    <row r="463" spans="1:4" x14ac:dyDescent="0.35">
      <c r="A463" s="3">
        <v>44508</v>
      </c>
      <c r="B463">
        <v>1466.427978515625</v>
      </c>
      <c r="C463">
        <v>126.0329055786133</v>
      </c>
      <c r="D463">
        <v>152.26725769042969</v>
      </c>
    </row>
    <row r="464" spans="1:4" x14ac:dyDescent="0.35">
      <c r="A464" s="3">
        <v>44509</v>
      </c>
      <c r="B464">
        <v>1464.535400390625</v>
      </c>
      <c r="C464">
        <v>126.07798767089839</v>
      </c>
      <c r="D464">
        <v>152.26725769042969</v>
      </c>
    </row>
    <row r="465" spans="1:4" x14ac:dyDescent="0.35">
      <c r="A465" s="3">
        <v>44510</v>
      </c>
      <c r="B465">
        <v>1482.491577148438</v>
      </c>
      <c r="C465">
        <v>126.52890777587891</v>
      </c>
      <c r="D465">
        <v>152.55702209472659</v>
      </c>
    </row>
    <row r="466" spans="1:4" x14ac:dyDescent="0.35">
      <c r="A466" s="3">
        <v>44511</v>
      </c>
      <c r="B466">
        <v>1463.467895507813</v>
      </c>
      <c r="C466">
        <v>133.42803955078131</v>
      </c>
      <c r="D466">
        <v>155.9375305175781</v>
      </c>
    </row>
    <row r="467" spans="1:4" x14ac:dyDescent="0.35">
      <c r="A467" s="3">
        <v>44512</v>
      </c>
      <c r="B467">
        <v>1465.845825195313</v>
      </c>
      <c r="C467">
        <v>132.8869323730469</v>
      </c>
      <c r="D467">
        <v>154.00581359863281</v>
      </c>
    </row>
    <row r="468" spans="1:4" x14ac:dyDescent="0.35">
      <c r="A468" s="3">
        <v>44515</v>
      </c>
      <c r="B468">
        <v>1491.372680664063</v>
      </c>
      <c r="C468">
        <v>130.2715759277344</v>
      </c>
      <c r="D468">
        <v>149.17652893066409</v>
      </c>
    </row>
    <row r="469" spans="1:4" x14ac:dyDescent="0.35">
      <c r="A469" s="3">
        <v>44516</v>
      </c>
      <c r="B469">
        <v>1475.309204101563</v>
      </c>
      <c r="C469">
        <v>130.0461120605469</v>
      </c>
      <c r="D469">
        <v>148.74189758300781</v>
      </c>
    </row>
    <row r="470" spans="1:4" x14ac:dyDescent="0.35">
      <c r="A470" s="3">
        <v>44517</v>
      </c>
      <c r="B470">
        <v>1484.044555664063</v>
      </c>
      <c r="C470">
        <v>128.9187927246094</v>
      </c>
      <c r="D470">
        <v>149.9009094238281</v>
      </c>
    </row>
    <row r="471" spans="1:4" x14ac:dyDescent="0.35">
      <c r="A471" s="3">
        <v>44518</v>
      </c>
      <c r="B471">
        <v>1467.884155273438</v>
      </c>
      <c r="C471">
        <v>131.57923889160159</v>
      </c>
      <c r="D471">
        <v>147.00335693359381</v>
      </c>
    </row>
    <row r="472" spans="1:4" x14ac:dyDescent="0.35">
      <c r="A472" s="3">
        <v>44522</v>
      </c>
      <c r="B472">
        <v>1419.354248046875</v>
      </c>
      <c r="C472">
        <v>128.242431640625</v>
      </c>
      <c r="D472">
        <v>139.42138671875</v>
      </c>
    </row>
    <row r="473" spans="1:4" x14ac:dyDescent="0.35">
      <c r="A473" s="3">
        <v>44523</v>
      </c>
      <c r="B473">
        <v>1415.617309570313</v>
      </c>
      <c r="C473">
        <v>128.87370300292969</v>
      </c>
      <c r="D473">
        <v>141.159912109375</v>
      </c>
    </row>
    <row r="474" spans="1:4" x14ac:dyDescent="0.35">
      <c r="A474" s="3">
        <v>44524</v>
      </c>
      <c r="B474">
        <v>1444.152954101563</v>
      </c>
      <c r="C474">
        <v>133.11238098144531</v>
      </c>
      <c r="D474">
        <v>149.1282043457031</v>
      </c>
    </row>
    <row r="475" spans="1:4" x14ac:dyDescent="0.35">
      <c r="A475" s="3">
        <v>44525</v>
      </c>
      <c r="B475">
        <v>1449.054443359375</v>
      </c>
      <c r="C475">
        <v>131.03816223144531</v>
      </c>
      <c r="D475">
        <v>146.0857849121094</v>
      </c>
    </row>
    <row r="476" spans="1:4" x14ac:dyDescent="0.35">
      <c r="A476" s="3">
        <v>44526</v>
      </c>
      <c r="B476">
        <v>1410.909912109375</v>
      </c>
      <c r="C476">
        <v>127.65622711181641</v>
      </c>
      <c r="D476">
        <v>143.5745544433594</v>
      </c>
    </row>
    <row r="477" spans="1:4" x14ac:dyDescent="0.35">
      <c r="A477" s="3">
        <v>44529</v>
      </c>
      <c r="B477">
        <v>1392.080444335938</v>
      </c>
      <c r="C477">
        <v>128.10713195800781</v>
      </c>
      <c r="D477">
        <v>141.73942565917969</v>
      </c>
    </row>
    <row r="478" spans="1:4" x14ac:dyDescent="0.35">
      <c r="A478" s="3">
        <v>44530</v>
      </c>
      <c r="B478">
        <v>1395.089233398438</v>
      </c>
      <c r="C478">
        <v>127.8366012573242</v>
      </c>
      <c r="D478">
        <v>139.8077392578125</v>
      </c>
    </row>
    <row r="479" spans="1:4" x14ac:dyDescent="0.35">
      <c r="A479" s="3">
        <v>44531</v>
      </c>
      <c r="B479">
        <v>1398.146484375</v>
      </c>
      <c r="C479">
        <v>129.279541015625</v>
      </c>
      <c r="D479">
        <v>139.95259094238281</v>
      </c>
    </row>
    <row r="480" spans="1:4" x14ac:dyDescent="0.35">
      <c r="A480" s="3">
        <v>44532</v>
      </c>
      <c r="B480">
        <v>1420.664428710938</v>
      </c>
      <c r="C480">
        <v>128.37770080566409</v>
      </c>
      <c r="D480">
        <v>140.09747314453131</v>
      </c>
    </row>
    <row r="481" spans="1:4" x14ac:dyDescent="0.35">
      <c r="A481" s="3">
        <v>44533</v>
      </c>
      <c r="B481">
        <v>1406.784912109375</v>
      </c>
      <c r="C481">
        <v>127.43076324462891</v>
      </c>
      <c r="D481">
        <v>140.5321044921875</v>
      </c>
    </row>
    <row r="482" spans="1:4" x14ac:dyDescent="0.35">
      <c r="A482" s="3">
        <v>44536</v>
      </c>
      <c r="B482">
        <v>1377.667114257813</v>
      </c>
      <c r="C482">
        <v>126.52890777587891</v>
      </c>
      <c r="D482">
        <v>138.16578674316409</v>
      </c>
    </row>
    <row r="483" spans="1:4" x14ac:dyDescent="0.35">
      <c r="A483" s="3">
        <v>44537</v>
      </c>
      <c r="B483">
        <v>1374.706665039063</v>
      </c>
      <c r="C483">
        <v>126.75437927246089</v>
      </c>
      <c r="D483">
        <v>138.8901672363281</v>
      </c>
    </row>
    <row r="484" spans="1:4" x14ac:dyDescent="0.35">
      <c r="A484" s="3">
        <v>44538</v>
      </c>
      <c r="B484">
        <v>1402.514404296875</v>
      </c>
      <c r="C484">
        <v>127.97186279296881</v>
      </c>
      <c r="D484">
        <v>140.38725280761719</v>
      </c>
    </row>
    <row r="485" spans="1:4" x14ac:dyDescent="0.35">
      <c r="A485" s="3">
        <v>44539</v>
      </c>
      <c r="B485">
        <v>1395.331787109375</v>
      </c>
      <c r="C485">
        <v>127.3405838012695</v>
      </c>
      <c r="D485">
        <v>140.1940612792969</v>
      </c>
    </row>
    <row r="486" spans="1:4" x14ac:dyDescent="0.35">
      <c r="A486" s="3">
        <v>44540</v>
      </c>
      <c r="B486">
        <v>1397.564331054688</v>
      </c>
      <c r="C486">
        <v>126.43873596191411</v>
      </c>
      <c r="D486">
        <v>141.11164855957031</v>
      </c>
    </row>
    <row r="487" spans="1:4" x14ac:dyDescent="0.35">
      <c r="A487" s="3">
        <v>44543</v>
      </c>
      <c r="B487">
        <v>1379.17138671875</v>
      </c>
      <c r="C487">
        <v>125.3114318847656</v>
      </c>
      <c r="D487">
        <v>140.5321044921875</v>
      </c>
    </row>
    <row r="488" spans="1:4" x14ac:dyDescent="0.35">
      <c r="A488" s="3">
        <v>44544</v>
      </c>
      <c r="B488">
        <v>1392.759643554688</v>
      </c>
      <c r="C488">
        <v>125.762336730957</v>
      </c>
      <c r="D488">
        <v>139.1316223144531</v>
      </c>
    </row>
    <row r="489" spans="1:4" x14ac:dyDescent="0.35">
      <c r="A489" s="3">
        <v>44545</v>
      </c>
      <c r="B489">
        <v>1359.322631835938</v>
      </c>
      <c r="C489">
        <v>124.95069885253911</v>
      </c>
      <c r="D489">
        <v>136.2340393066406</v>
      </c>
    </row>
    <row r="490" spans="1:4" x14ac:dyDescent="0.35">
      <c r="A490" s="3">
        <v>44546</v>
      </c>
      <c r="B490">
        <v>1367.038940429688</v>
      </c>
      <c r="C490">
        <v>124.13901519775391</v>
      </c>
      <c r="D490">
        <v>135.17161560058591</v>
      </c>
    </row>
    <row r="491" spans="1:4" x14ac:dyDescent="0.35">
      <c r="A491" s="3">
        <v>44547</v>
      </c>
      <c r="B491">
        <v>1318.800170898438</v>
      </c>
      <c r="C491">
        <v>126.3936386108398</v>
      </c>
      <c r="D491">
        <v>133.96427917480469</v>
      </c>
    </row>
    <row r="492" spans="1:4" x14ac:dyDescent="0.35">
      <c r="A492" s="3">
        <v>44550</v>
      </c>
      <c r="B492">
        <v>1311.666381835938</v>
      </c>
      <c r="C492">
        <v>120.6218338012695</v>
      </c>
      <c r="D492">
        <v>130.58378601074219</v>
      </c>
    </row>
    <row r="493" spans="1:4" x14ac:dyDescent="0.35">
      <c r="A493" s="3">
        <v>44551</v>
      </c>
      <c r="B493">
        <v>1329.3310546875</v>
      </c>
      <c r="C493">
        <v>122.2902526855469</v>
      </c>
      <c r="D493">
        <v>132.32232666015631</v>
      </c>
    </row>
    <row r="494" spans="1:4" x14ac:dyDescent="0.35">
      <c r="A494" s="3">
        <v>44552</v>
      </c>
      <c r="B494">
        <v>1305.648559570313</v>
      </c>
      <c r="C494">
        <v>122.47060394287109</v>
      </c>
      <c r="D494">
        <v>132.95013427734381</v>
      </c>
    </row>
    <row r="495" spans="1:4" x14ac:dyDescent="0.35">
      <c r="A495" s="3">
        <v>44553</v>
      </c>
      <c r="B495">
        <v>1314.044189453125</v>
      </c>
      <c r="C495">
        <v>121.6589431762695</v>
      </c>
      <c r="D495">
        <v>130.19744873046881</v>
      </c>
    </row>
    <row r="496" spans="1:4" x14ac:dyDescent="0.35">
      <c r="A496" s="3">
        <v>44554</v>
      </c>
      <c r="B496">
        <v>1300.941284179688</v>
      </c>
      <c r="C496">
        <v>121.2531204223633</v>
      </c>
      <c r="D496">
        <v>130.2940368652344</v>
      </c>
    </row>
    <row r="497" spans="1:4" x14ac:dyDescent="0.35">
      <c r="A497" s="3">
        <v>44557</v>
      </c>
      <c r="B497">
        <v>1307.056030273438</v>
      </c>
      <c r="C497">
        <v>121.97459411621089</v>
      </c>
      <c r="D497">
        <v>130.632080078125</v>
      </c>
    </row>
    <row r="498" spans="1:4" x14ac:dyDescent="0.35">
      <c r="A498" s="3">
        <v>44558</v>
      </c>
      <c r="B498">
        <v>1348.451782226563</v>
      </c>
      <c r="C498">
        <v>122.47060394287109</v>
      </c>
      <c r="D498">
        <v>133.96427917480469</v>
      </c>
    </row>
    <row r="499" spans="1:4" x14ac:dyDescent="0.35">
      <c r="A499" s="3">
        <v>44559</v>
      </c>
      <c r="B499">
        <v>1339.619384765625</v>
      </c>
      <c r="C499">
        <v>121.5687713623047</v>
      </c>
      <c r="D499">
        <v>131.2598876953125</v>
      </c>
    </row>
    <row r="500" spans="1:4" x14ac:dyDescent="0.35">
      <c r="A500" s="3">
        <v>44560</v>
      </c>
      <c r="B500">
        <v>1333.456176757813</v>
      </c>
      <c r="C500">
        <v>120.98255920410161</v>
      </c>
      <c r="D500">
        <v>130.390625</v>
      </c>
    </row>
    <row r="501" spans="1:4" x14ac:dyDescent="0.35">
      <c r="A501" s="3">
        <v>44561</v>
      </c>
      <c r="B501">
        <v>1360.05078125</v>
      </c>
      <c r="C501">
        <v>126.979850769043</v>
      </c>
      <c r="D501">
        <v>135.46134948730469</v>
      </c>
    </row>
    <row r="502" spans="1:4" x14ac:dyDescent="0.35">
      <c r="A502" s="3">
        <v>44564</v>
      </c>
      <c r="B502">
        <v>1368.349365234375</v>
      </c>
      <c r="C502">
        <v>126.3485565185547</v>
      </c>
      <c r="D502">
        <v>134.7369689941406</v>
      </c>
    </row>
    <row r="503" spans="1:4" x14ac:dyDescent="0.35">
      <c r="A503" s="3">
        <v>44565</v>
      </c>
      <c r="B503">
        <v>1381.743286132813</v>
      </c>
      <c r="C503">
        <v>125.6270751953125</v>
      </c>
      <c r="D503">
        <v>135.41307067871091</v>
      </c>
    </row>
    <row r="504" spans="1:4" x14ac:dyDescent="0.35">
      <c r="A504" s="3">
        <v>44566</v>
      </c>
      <c r="B504">
        <v>1406.930786132813</v>
      </c>
      <c r="C504">
        <v>128.64825439453131</v>
      </c>
      <c r="D504">
        <v>134.54380798339841</v>
      </c>
    </row>
    <row r="505" spans="1:4" x14ac:dyDescent="0.35">
      <c r="A505" s="3">
        <v>44567</v>
      </c>
      <c r="B505">
        <v>1406.34814453125</v>
      </c>
      <c r="C505">
        <v>126.6191024780273</v>
      </c>
      <c r="D505">
        <v>133.5296630859375</v>
      </c>
    </row>
    <row r="506" spans="1:4" x14ac:dyDescent="0.35">
      <c r="A506" s="3">
        <v>44568</v>
      </c>
      <c r="B506">
        <v>1404.018798828125</v>
      </c>
      <c r="C506">
        <v>126.1681671142578</v>
      </c>
      <c r="D506">
        <v>133.43305969238281</v>
      </c>
    </row>
    <row r="507" spans="1:4" x14ac:dyDescent="0.35">
      <c r="A507" s="3">
        <v>44571</v>
      </c>
      <c r="B507">
        <v>1402.3203125</v>
      </c>
      <c r="C507">
        <v>129.3246154785156</v>
      </c>
      <c r="D507">
        <v>133.81941223144531</v>
      </c>
    </row>
    <row r="508" spans="1:4" x14ac:dyDescent="0.35">
      <c r="A508" s="3">
        <v>44572</v>
      </c>
      <c r="B508">
        <v>1384.606811523438</v>
      </c>
      <c r="C508">
        <v>127.56601715087891</v>
      </c>
      <c r="D508">
        <v>134.64039611816409</v>
      </c>
    </row>
    <row r="509" spans="1:4" x14ac:dyDescent="0.35">
      <c r="A509" s="3">
        <v>44573</v>
      </c>
      <c r="B509">
        <v>1385.140625</v>
      </c>
      <c r="C509">
        <v>128.7384338378906</v>
      </c>
      <c r="D509">
        <v>137.34477233886719</v>
      </c>
    </row>
    <row r="510" spans="1:4" x14ac:dyDescent="0.35">
      <c r="A510" s="3">
        <v>44574</v>
      </c>
      <c r="B510">
        <v>1368.54345703125</v>
      </c>
      <c r="C510">
        <v>127.97186279296881</v>
      </c>
      <c r="D510">
        <v>136.52381896972659</v>
      </c>
    </row>
    <row r="511" spans="1:4" x14ac:dyDescent="0.35">
      <c r="A511" s="3">
        <v>44575</v>
      </c>
      <c r="B511">
        <v>1373.93017578125</v>
      </c>
      <c r="C511">
        <v>127.3856658935547</v>
      </c>
      <c r="D511">
        <v>137.0067443847656</v>
      </c>
    </row>
    <row r="512" spans="1:4" x14ac:dyDescent="0.35">
      <c r="A512" s="3">
        <v>44578</v>
      </c>
      <c r="B512">
        <v>1390.236206054688</v>
      </c>
      <c r="C512">
        <v>127.43076324462891</v>
      </c>
      <c r="D512">
        <v>136.04087829589841</v>
      </c>
    </row>
    <row r="513" spans="1:4" x14ac:dyDescent="0.35">
      <c r="A513" s="3">
        <v>44579</v>
      </c>
      <c r="B513">
        <v>1405.037841796875</v>
      </c>
      <c r="C513">
        <v>126.5740203857422</v>
      </c>
      <c r="D513">
        <v>135.6062316894531</v>
      </c>
    </row>
    <row r="514" spans="1:4" x14ac:dyDescent="0.35">
      <c r="A514" s="3">
        <v>44580</v>
      </c>
      <c r="B514">
        <v>1381.161254882813</v>
      </c>
      <c r="C514">
        <v>127.1151123046875</v>
      </c>
      <c r="D514">
        <v>136.28236389160159</v>
      </c>
    </row>
    <row r="515" spans="1:4" x14ac:dyDescent="0.35">
      <c r="A515" s="3">
        <v>44581</v>
      </c>
      <c r="B515">
        <v>1345.63720703125</v>
      </c>
      <c r="C515">
        <v>126.21327972412109</v>
      </c>
      <c r="D515">
        <v>135.654541015625</v>
      </c>
    </row>
    <row r="516" spans="1:4" x14ac:dyDescent="0.35">
      <c r="A516" s="3">
        <v>44582</v>
      </c>
      <c r="B516">
        <v>1341.02685546875</v>
      </c>
      <c r="C516">
        <v>123.9586563110352</v>
      </c>
      <c r="D516">
        <v>133.14332580566409</v>
      </c>
    </row>
    <row r="517" spans="1:4" x14ac:dyDescent="0.35">
      <c r="A517" s="3">
        <v>44585</v>
      </c>
      <c r="B517">
        <v>1291.865966796875</v>
      </c>
      <c r="C517">
        <v>120.847282409668</v>
      </c>
      <c r="D517">
        <v>129.71452331542969</v>
      </c>
    </row>
    <row r="518" spans="1:4" x14ac:dyDescent="0.35">
      <c r="A518" s="3">
        <v>44586</v>
      </c>
      <c r="B518">
        <v>1306.57080078125</v>
      </c>
      <c r="C518">
        <v>120.6218338012695</v>
      </c>
      <c r="D518">
        <v>131.83940124511719</v>
      </c>
    </row>
    <row r="519" spans="1:4" x14ac:dyDescent="0.35">
      <c r="A519" s="3">
        <v>44588</v>
      </c>
      <c r="B519">
        <v>1332.825317382813</v>
      </c>
      <c r="C519">
        <v>121.97459411621089</v>
      </c>
      <c r="D519">
        <v>132.22575378417969</v>
      </c>
    </row>
    <row r="520" spans="1:4" x14ac:dyDescent="0.35">
      <c r="A520" s="3">
        <v>44589</v>
      </c>
      <c r="B520">
        <v>1332.825317382813</v>
      </c>
      <c r="C520">
        <v>125.1310577392578</v>
      </c>
      <c r="D520">
        <v>133.72282409667969</v>
      </c>
    </row>
    <row r="521" spans="1:4" x14ac:dyDescent="0.35">
      <c r="A521" s="3">
        <v>44592</v>
      </c>
      <c r="B521">
        <v>1328.845703125</v>
      </c>
      <c r="C521">
        <v>128.87370300292969</v>
      </c>
      <c r="D521">
        <v>139.0350341796875</v>
      </c>
    </row>
    <row r="522" spans="1:4" x14ac:dyDescent="0.35">
      <c r="A522" s="3">
        <v>44593</v>
      </c>
      <c r="B522">
        <v>1328.894287109375</v>
      </c>
      <c r="C522">
        <v>126.1681671142578</v>
      </c>
      <c r="D522">
        <v>134.68865966796881</v>
      </c>
    </row>
    <row r="523" spans="1:4" x14ac:dyDescent="0.35">
      <c r="A523" s="3">
        <v>44594</v>
      </c>
      <c r="B523">
        <v>1343.25927734375</v>
      </c>
      <c r="C523">
        <v>127.65622711181641</v>
      </c>
      <c r="D523">
        <v>135.84770202636719</v>
      </c>
    </row>
    <row r="524" spans="1:4" x14ac:dyDescent="0.35">
      <c r="A524" s="3">
        <v>44595</v>
      </c>
      <c r="B524">
        <v>1343.696166992188</v>
      </c>
      <c r="C524">
        <v>126.0329055786133</v>
      </c>
      <c r="D524">
        <v>134.10917663574219</v>
      </c>
    </row>
    <row r="525" spans="1:4" x14ac:dyDescent="0.35">
      <c r="A525" s="3">
        <v>44596</v>
      </c>
      <c r="B525">
        <v>1324.720825195313</v>
      </c>
      <c r="C525">
        <v>125.4917831420898</v>
      </c>
      <c r="D525">
        <v>132.3706359863281</v>
      </c>
    </row>
    <row r="526" spans="1:4" x14ac:dyDescent="0.35">
      <c r="A526" s="3">
        <v>44599</v>
      </c>
      <c r="B526">
        <v>1297.689697265625</v>
      </c>
      <c r="C526">
        <v>124.13901519775391</v>
      </c>
      <c r="D526">
        <v>131.21160888671881</v>
      </c>
    </row>
    <row r="527" spans="1:4" x14ac:dyDescent="0.35">
      <c r="A527" s="3">
        <v>44600</v>
      </c>
      <c r="B527">
        <v>1326.031127929688</v>
      </c>
      <c r="C527">
        <v>122.9215393066406</v>
      </c>
      <c r="D527">
        <v>131.1632995605469</v>
      </c>
    </row>
    <row r="528" spans="1:4" x14ac:dyDescent="0.35">
      <c r="A528" s="3">
        <v>44601</v>
      </c>
      <c r="B528">
        <v>1326.662109375</v>
      </c>
      <c r="C528">
        <v>123.86846923828131</v>
      </c>
      <c r="D528">
        <v>133.9159851074219</v>
      </c>
    </row>
    <row r="529" spans="1:4" x14ac:dyDescent="0.35">
      <c r="A529" s="3">
        <v>44602</v>
      </c>
      <c r="B529">
        <v>1304.7265625</v>
      </c>
      <c r="C529">
        <v>126.25836181640631</v>
      </c>
      <c r="D529">
        <v>133.43305969238281</v>
      </c>
    </row>
    <row r="530" spans="1:4" x14ac:dyDescent="0.35">
      <c r="A530" s="3">
        <v>44603</v>
      </c>
      <c r="B530">
        <v>1303.998413085938</v>
      </c>
      <c r="C530">
        <v>122.0197067260742</v>
      </c>
      <c r="D530">
        <v>132.22575378417969</v>
      </c>
    </row>
    <row r="531" spans="1:4" x14ac:dyDescent="0.35">
      <c r="A531" s="3">
        <v>44606</v>
      </c>
      <c r="B531">
        <v>1247.946533203125</v>
      </c>
      <c r="C531">
        <v>118.1417617797852</v>
      </c>
      <c r="D531">
        <v>128.07257080078131</v>
      </c>
    </row>
    <row r="532" spans="1:4" x14ac:dyDescent="0.35">
      <c r="A532" s="3">
        <v>44607</v>
      </c>
      <c r="B532">
        <v>1257.021484375</v>
      </c>
      <c r="C532">
        <v>118.81813049316411</v>
      </c>
      <c r="D532">
        <v>127.1549987792969</v>
      </c>
    </row>
    <row r="533" spans="1:4" x14ac:dyDescent="0.35">
      <c r="A533" s="3">
        <v>44608</v>
      </c>
      <c r="B533">
        <v>1249.2568359375</v>
      </c>
      <c r="C533">
        <v>119.58470153808589</v>
      </c>
      <c r="D533">
        <v>129.03843688964841</v>
      </c>
    </row>
    <row r="534" spans="1:4" x14ac:dyDescent="0.35">
      <c r="A534" s="3">
        <v>44609</v>
      </c>
      <c r="B534">
        <v>1258.86572265625</v>
      </c>
      <c r="C534">
        <v>118.7730407714844</v>
      </c>
      <c r="D534">
        <v>127.9759826660156</v>
      </c>
    </row>
    <row r="535" spans="1:4" x14ac:dyDescent="0.35">
      <c r="A535" s="3">
        <v>44610</v>
      </c>
      <c r="B535">
        <v>1244.889038085938</v>
      </c>
      <c r="C535">
        <v>116.518424987793</v>
      </c>
      <c r="D535">
        <v>127.0101318359375</v>
      </c>
    </row>
    <row r="536" spans="1:4" x14ac:dyDescent="0.35">
      <c r="A536" s="3">
        <v>44613</v>
      </c>
      <c r="B536">
        <v>1229.505126953125</v>
      </c>
      <c r="C536">
        <v>113.1815948486328</v>
      </c>
      <c r="D536">
        <v>122.5188903808594</v>
      </c>
    </row>
    <row r="537" spans="1:4" x14ac:dyDescent="0.35">
      <c r="A537" s="3">
        <v>44614</v>
      </c>
      <c r="B537">
        <v>1238.240600585938</v>
      </c>
      <c r="C537">
        <v>110.2957077026367</v>
      </c>
      <c r="D537">
        <v>119.62132263183589</v>
      </c>
    </row>
    <row r="538" spans="1:4" x14ac:dyDescent="0.35">
      <c r="A538" s="3">
        <v>44615</v>
      </c>
      <c r="B538">
        <v>1242.268432617188</v>
      </c>
      <c r="C538">
        <v>110.0702362060547</v>
      </c>
      <c r="D538">
        <v>119.0900955200195</v>
      </c>
    </row>
    <row r="539" spans="1:4" x14ac:dyDescent="0.35">
      <c r="A539" s="3">
        <v>44616</v>
      </c>
      <c r="B539">
        <v>1204.36669921875</v>
      </c>
      <c r="C539">
        <v>100.01466369628911</v>
      </c>
      <c r="D539">
        <v>109.96275329589839</v>
      </c>
    </row>
    <row r="540" spans="1:4" x14ac:dyDescent="0.35">
      <c r="A540" s="3">
        <v>44617</v>
      </c>
      <c r="B540">
        <v>1234.89208984375</v>
      </c>
      <c r="C540">
        <v>103.3965759277344</v>
      </c>
      <c r="D540">
        <v>114.59886169433589</v>
      </c>
    </row>
    <row r="541" spans="1:4" x14ac:dyDescent="0.35">
      <c r="A541" s="3">
        <v>44620</v>
      </c>
      <c r="B541">
        <v>1226.641723632813</v>
      </c>
      <c r="C541">
        <v>104.79443359375</v>
      </c>
      <c r="D541">
        <v>114.7920303344727</v>
      </c>
    </row>
    <row r="542" spans="1:4" x14ac:dyDescent="0.35">
      <c r="A542" s="3">
        <v>44622</v>
      </c>
      <c r="B542">
        <v>1214.752197265625</v>
      </c>
      <c r="C542">
        <v>105.0198974609375</v>
      </c>
      <c r="D542">
        <v>114.0193557739258</v>
      </c>
    </row>
    <row r="543" spans="1:4" x14ac:dyDescent="0.35">
      <c r="A543" s="3">
        <v>44623</v>
      </c>
      <c r="B543">
        <v>1204.075317382813</v>
      </c>
      <c r="C543">
        <v>104.3886032104492</v>
      </c>
      <c r="D543">
        <v>113.6330108642578</v>
      </c>
    </row>
    <row r="544" spans="1:4" x14ac:dyDescent="0.35">
      <c r="A544" s="3">
        <v>44624</v>
      </c>
      <c r="B544">
        <v>1182.479736328125</v>
      </c>
      <c r="C544">
        <v>102.76527404785161</v>
      </c>
      <c r="D544">
        <v>111.7495880126953</v>
      </c>
    </row>
    <row r="545" spans="1:4" x14ac:dyDescent="0.35">
      <c r="A545" s="3">
        <v>44627</v>
      </c>
      <c r="B545">
        <v>1169.910400390625</v>
      </c>
      <c r="C545">
        <v>101.23215484619141</v>
      </c>
      <c r="D545">
        <v>110.1076354980469</v>
      </c>
    </row>
    <row r="546" spans="1:4" x14ac:dyDescent="0.35">
      <c r="A546" s="3">
        <v>44628</v>
      </c>
      <c r="B546">
        <v>1181.848876953125</v>
      </c>
      <c r="C546">
        <v>100.4655838012695</v>
      </c>
      <c r="D546">
        <v>108.4173889160156</v>
      </c>
    </row>
    <row r="547" spans="1:4" x14ac:dyDescent="0.35">
      <c r="A547" s="3">
        <v>44629</v>
      </c>
      <c r="B547">
        <v>1199.756225585938</v>
      </c>
      <c r="C547">
        <v>103.4867630004883</v>
      </c>
      <c r="D547">
        <v>111.17006683349609</v>
      </c>
    </row>
    <row r="548" spans="1:4" x14ac:dyDescent="0.35">
      <c r="A548" s="3">
        <v>44630</v>
      </c>
      <c r="B548">
        <v>1223.09912109375</v>
      </c>
      <c r="C548">
        <v>104.79443359375</v>
      </c>
      <c r="D548">
        <v>113.15008544921881</v>
      </c>
    </row>
    <row r="549" spans="1:4" x14ac:dyDescent="0.35">
      <c r="A549" s="3">
        <v>44631</v>
      </c>
      <c r="B549">
        <v>1219.0712890625</v>
      </c>
      <c r="C549">
        <v>104.3435134887695</v>
      </c>
      <c r="D549">
        <v>112.3291091918945</v>
      </c>
    </row>
    <row r="550" spans="1:4" x14ac:dyDescent="0.35">
      <c r="A550" s="3">
        <v>44634</v>
      </c>
      <c r="B550">
        <v>1220.139038085938</v>
      </c>
      <c r="C550">
        <v>103.0358428955078</v>
      </c>
      <c r="D550">
        <v>112.0393447875977</v>
      </c>
    </row>
    <row r="551" spans="1:4" x14ac:dyDescent="0.35">
      <c r="A551" s="3">
        <v>44635</v>
      </c>
      <c r="B551">
        <v>1175.102905273438</v>
      </c>
      <c r="C551">
        <v>103.0358428955078</v>
      </c>
      <c r="D551">
        <v>110.7837295532227</v>
      </c>
    </row>
    <row r="552" spans="1:4" x14ac:dyDescent="0.35">
      <c r="A552" s="3">
        <v>44636</v>
      </c>
      <c r="B552">
        <v>1183.353149414063</v>
      </c>
      <c r="C552">
        <v>110.2957077026367</v>
      </c>
      <c r="D552">
        <v>120.490592956543</v>
      </c>
    </row>
    <row r="553" spans="1:4" x14ac:dyDescent="0.35">
      <c r="A553" s="3">
        <v>44637</v>
      </c>
      <c r="B553">
        <v>1232.077270507813</v>
      </c>
      <c r="C553">
        <v>107.6803512573242</v>
      </c>
      <c r="D553">
        <v>117.5930252075195</v>
      </c>
    </row>
    <row r="554" spans="1:4" x14ac:dyDescent="0.35">
      <c r="A554" s="3">
        <v>44641</v>
      </c>
      <c r="B554">
        <v>1204.075317382813</v>
      </c>
      <c r="C554">
        <v>106.0119323730469</v>
      </c>
      <c r="D554">
        <v>113.9227676391602</v>
      </c>
    </row>
    <row r="555" spans="1:4" x14ac:dyDescent="0.35">
      <c r="A555" s="3">
        <v>44642</v>
      </c>
      <c r="B555">
        <v>1213.635864257813</v>
      </c>
      <c r="C555">
        <v>104.7493515014648</v>
      </c>
      <c r="D555">
        <v>111.9910507202148</v>
      </c>
    </row>
    <row r="556" spans="1:4" x14ac:dyDescent="0.35">
      <c r="A556" s="3">
        <v>44643</v>
      </c>
      <c r="B556">
        <v>1215.674072265625</v>
      </c>
      <c r="C556">
        <v>104.2984237670898</v>
      </c>
      <c r="D556">
        <v>110.8320236206055</v>
      </c>
    </row>
    <row r="557" spans="1:4" x14ac:dyDescent="0.35">
      <c r="A557" s="3">
        <v>44644</v>
      </c>
      <c r="B557">
        <v>1207.569702148438</v>
      </c>
      <c r="C557">
        <v>103.8475036621094</v>
      </c>
      <c r="D557">
        <v>109.9144668579102</v>
      </c>
    </row>
    <row r="558" spans="1:4" x14ac:dyDescent="0.35">
      <c r="A558" s="3">
        <v>44645</v>
      </c>
      <c r="B558">
        <v>1228.340576171875</v>
      </c>
      <c r="C558">
        <v>104.0729598999023</v>
      </c>
      <c r="D558">
        <v>108.9968948364258</v>
      </c>
    </row>
    <row r="559" spans="1:4" x14ac:dyDescent="0.35">
      <c r="A559" s="3">
        <v>44648</v>
      </c>
      <c r="B559">
        <v>1228.534545898438</v>
      </c>
      <c r="C559">
        <v>101.4576110839844</v>
      </c>
      <c r="D559">
        <v>107.4032287597656</v>
      </c>
    </row>
    <row r="560" spans="1:4" x14ac:dyDescent="0.35">
      <c r="A560" s="3">
        <v>44649</v>
      </c>
      <c r="B560">
        <v>1238.337524414063</v>
      </c>
      <c r="C560">
        <v>100.87139892578131</v>
      </c>
      <c r="D560">
        <v>107.2583694458008</v>
      </c>
    </row>
    <row r="561" spans="1:4" x14ac:dyDescent="0.35">
      <c r="A561" s="3">
        <v>44650</v>
      </c>
      <c r="B561">
        <v>1290.798583984375</v>
      </c>
      <c r="C561">
        <v>105.0198974609375</v>
      </c>
      <c r="D561">
        <v>108.6588516235352</v>
      </c>
    </row>
    <row r="562" spans="1:4" x14ac:dyDescent="0.35">
      <c r="A562" s="3">
        <v>44651</v>
      </c>
      <c r="B562">
        <v>1289.24560546875</v>
      </c>
      <c r="C562">
        <v>102.6751022338867</v>
      </c>
      <c r="D562">
        <v>107.83786773681641</v>
      </c>
    </row>
    <row r="563" spans="1:4" x14ac:dyDescent="0.35">
      <c r="A563" s="3">
        <v>44652</v>
      </c>
      <c r="B563">
        <v>1308.948486328125</v>
      </c>
      <c r="C563">
        <v>105.6962814331055</v>
      </c>
      <c r="D563">
        <v>110.4939804077148</v>
      </c>
    </row>
    <row r="564" spans="1:4" x14ac:dyDescent="0.35">
      <c r="A564" s="3">
        <v>44655</v>
      </c>
      <c r="B564">
        <v>1310.2587890625</v>
      </c>
      <c r="C564">
        <v>107.4999694824219</v>
      </c>
      <c r="D564">
        <v>112.715446472168</v>
      </c>
    </row>
    <row r="565" spans="1:4" x14ac:dyDescent="0.35">
      <c r="A565" s="3">
        <v>44656</v>
      </c>
      <c r="B565">
        <v>1312.10302734375</v>
      </c>
      <c r="C565">
        <v>108.67237854003911</v>
      </c>
      <c r="D565">
        <v>114.0193557739258</v>
      </c>
    </row>
    <row r="566" spans="1:4" x14ac:dyDescent="0.35">
      <c r="A566" s="3">
        <v>44657</v>
      </c>
      <c r="B566">
        <v>1327.195922851563</v>
      </c>
      <c r="C566">
        <v>112.6855850219727</v>
      </c>
      <c r="D566">
        <v>117.5930252075195</v>
      </c>
    </row>
    <row r="567" spans="1:4" x14ac:dyDescent="0.35">
      <c r="A567" s="3">
        <v>44658</v>
      </c>
      <c r="B567">
        <v>1355.586059570313</v>
      </c>
      <c r="C567">
        <v>113.76780700683589</v>
      </c>
      <c r="D567">
        <v>119.62132263183589</v>
      </c>
    </row>
    <row r="568" spans="1:4" x14ac:dyDescent="0.35">
      <c r="A568" s="3">
        <v>44659</v>
      </c>
      <c r="B568">
        <v>1339.619384765625</v>
      </c>
      <c r="C568">
        <v>113.54233551025391</v>
      </c>
      <c r="D568">
        <v>117.3032608032227</v>
      </c>
    </row>
    <row r="569" spans="1:4" x14ac:dyDescent="0.35">
      <c r="A569" s="3">
        <v>44662</v>
      </c>
      <c r="B569">
        <v>1316.130981445313</v>
      </c>
      <c r="C569">
        <v>112.5954055786133</v>
      </c>
      <c r="D569">
        <v>116.6754531860352</v>
      </c>
    </row>
    <row r="570" spans="1:4" x14ac:dyDescent="0.35">
      <c r="A570" s="3">
        <v>44663</v>
      </c>
      <c r="B570">
        <v>1312.830932617188</v>
      </c>
      <c r="C570">
        <v>111.4680938720703</v>
      </c>
      <c r="D570">
        <v>114.1642303466797</v>
      </c>
    </row>
    <row r="571" spans="1:4" x14ac:dyDescent="0.35">
      <c r="A571" s="3">
        <v>44664</v>
      </c>
      <c r="B571">
        <v>1318.703247070313</v>
      </c>
      <c r="C571">
        <v>110.61134338378911</v>
      </c>
      <c r="D571">
        <v>113.2466659545898</v>
      </c>
    </row>
    <row r="572" spans="1:4" x14ac:dyDescent="0.35">
      <c r="A572" s="3">
        <v>44669</v>
      </c>
      <c r="B572">
        <v>1317.392944335938</v>
      </c>
      <c r="C572">
        <v>109.3036575317383</v>
      </c>
      <c r="D572">
        <v>111.89447021484381</v>
      </c>
    </row>
    <row r="573" spans="1:4" x14ac:dyDescent="0.35">
      <c r="A573" s="3">
        <v>44670</v>
      </c>
      <c r="B573">
        <v>1302.930908203125</v>
      </c>
      <c r="C573">
        <v>109.4840393066406</v>
      </c>
      <c r="D573">
        <v>111.3632507324219</v>
      </c>
    </row>
    <row r="574" spans="1:4" x14ac:dyDescent="0.35">
      <c r="A574" s="3">
        <v>44671</v>
      </c>
      <c r="B574">
        <v>1323.022338867188</v>
      </c>
      <c r="C574">
        <v>108.89784240722661</v>
      </c>
      <c r="D574">
        <v>111.4598388671875</v>
      </c>
    </row>
    <row r="575" spans="1:4" x14ac:dyDescent="0.35">
      <c r="A575" s="3">
        <v>44672</v>
      </c>
      <c r="B575">
        <v>1359.807861328125</v>
      </c>
      <c r="C575">
        <v>110.4760665893555</v>
      </c>
      <c r="D575">
        <v>111.60471343994141</v>
      </c>
    </row>
    <row r="576" spans="1:4" x14ac:dyDescent="0.35">
      <c r="A576" s="3">
        <v>44673</v>
      </c>
      <c r="B576">
        <v>1279.248168945313</v>
      </c>
      <c r="C576">
        <v>110.02513122558589</v>
      </c>
      <c r="D576">
        <v>111.0251998901367</v>
      </c>
    </row>
    <row r="577" spans="1:4" x14ac:dyDescent="0.35">
      <c r="A577" s="3">
        <v>44676</v>
      </c>
      <c r="B577">
        <v>1267.358642578125</v>
      </c>
      <c r="C577">
        <v>107.63525390625</v>
      </c>
      <c r="D577">
        <v>109.2866592407227</v>
      </c>
    </row>
    <row r="578" spans="1:4" x14ac:dyDescent="0.35">
      <c r="A578" s="3">
        <v>44677</v>
      </c>
      <c r="B578">
        <v>1289.1484375</v>
      </c>
      <c r="C578">
        <v>108.3567276000977</v>
      </c>
      <c r="D578">
        <v>110.1559295654297</v>
      </c>
    </row>
    <row r="579" spans="1:4" x14ac:dyDescent="0.35">
      <c r="A579" s="3">
        <v>44678</v>
      </c>
      <c r="B579">
        <v>1279.63671875</v>
      </c>
      <c r="C579">
        <v>107.8607177734375</v>
      </c>
      <c r="D579">
        <v>109.5764083862305</v>
      </c>
    </row>
    <row r="580" spans="1:4" x14ac:dyDescent="0.35">
      <c r="A580" s="3">
        <v>44679</v>
      </c>
      <c r="B580">
        <v>1298.174926757813</v>
      </c>
      <c r="C580">
        <v>106.958869934082</v>
      </c>
      <c r="D580">
        <v>109.5281219482422</v>
      </c>
    </row>
    <row r="581" spans="1:4" x14ac:dyDescent="0.35">
      <c r="A581" s="3">
        <v>44680</v>
      </c>
      <c r="B581">
        <v>1242.5595703125</v>
      </c>
      <c r="C581">
        <v>117.3751754760742</v>
      </c>
      <c r="D581">
        <v>114.11594390869141</v>
      </c>
    </row>
    <row r="582" spans="1:4" x14ac:dyDescent="0.35">
      <c r="A582" s="3">
        <v>44683</v>
      </c>
      <c r="B582">
        <v>1246.15087890625</v>
      </c>
      <c r="C582">
        <v>120.6669158935547</v>
      </c>
      <c r="D582">
        <v>112.6188659667969</v>
      </c>
    </row>
    <row r="583" spans="1:4" x14ac:dyDescent="0.35">
      <c r="A583" s="3">
        <v>44685</v>
      </c>
      <c r="B583">
        <v>1237.658203125</v>
      </c>
      <c r="C583">
        <v>112.1895751953125</v>
      </c>
      <c r="D583">
        <v>109.5281219482422</v>
      </c>
    </row>
    <row r="584" spans="1:4" x14ac:dyDescent="0.35">
      <c r="A584" s="3">
        <v>44686</v>
      </c>
      <c r="B584">
        <v>1251.974609375</v>
      </c>
      <c r="C584">
        <v>115.7518692016602</v>
      </c>
      <c r="D584">
        <v>108.0310440063477</v>
      </c>
    </row>
    <row r="585" spans="1:4" x14ac:dyDescent="0.35">
      <c r="A585" s="3">
        <v>44687</v>
      </c>
      <c r="B585">
        <v>1243.724609375</v>
      </c>
      <c r="C585">
        <v>110.65643310546881</v>
      </c>
      <c r="D585">
        <v>108.9003143310547</v>
      </c>
    </row>
    <row r="586" spans="1:4" x14ac:dyDescent="0.35">
      <c r="A586" s="3">
        <v>44690</v>
      </c>
      <c r="B586">
        <v>1227.17578125</v>
      </c>
      <c r="C586">
        <v>106.6432266235352</v>
      </c>
      <c r="D586">
        <v>105.6164016723633</v>
      </c>
    </row>
    <row r="587" spans="1:4" x14ac:dyDescent="0.35">
      <c r="A587" s="3">
        <v>44691</v>
      </c>
      <c r="B587">
        <v>1230.57275390625</v>
      </c>
      <c r="C587">
        <v>104.7042541503906</v>
      </c>
      <c r="D587">
        <v>103.443229675293</v>
      </c>
    </row>
    <row r="588" spans="1:4" x14ac:dyDescent="0.35">
      <c r="A588" s="3">
        <v>44692</v>
      </c>
      <c r="B588">
        <v>1246.684692382813</v>
      </c>
      <c r="C588">
        <v>102.8103713989258</v>
      </c>
      <c r="D588">
        <v>101.173454284668</v>
      </c>
    </row>
    <row r="589" spans="1:4" x14ac:dyDescent="0.35">
      <c r="A589" s="3">
        <v>44693</v>
      </c>
      <c r="B589">
        <v>1212.3740234375</v>
      </c>
      <c r="C589">
        <v>101.3223419189453</v>
      </c>
      <c r="D589">
        <v>98.951988220214844</v>
      </c>
    </row>
    <row r="590" spans="1:4" x14ac:dyDescent="0.35">
      <c r="A590" s="3">
        <v>44694</v>
      </c>
      <c r="B590">
        <v>1242.75390625</v>
      </c>
      <c r="C590">
        <v>102.94565582275391</v>
      </c>
      <c r="D590">
        <v>100.4490661621094</v>
      </c>
    </row>
    <row r="591" spans="1:4" x14ac:dyDescent="0.35">
      <c r="A591" s="3">
        <v>44697</v>
      </c>
      <c r="B591">
        <v>1259.690673828125</v>
      </c>
      <c r="C591">
        <v>103.66712951660161</v>
      </c>
      <c r="D591">
        <v>100.73883056640631</v>
      </c>
    </row>
    <row r="592" spans="1:4" x14ac:dyDescent="0.35">
      <c r="A592" s="3">
        <v>44698</v>
      </c>
      <c r="B592">
        <v>1272.793823242188</v>
      </c>
      <c r="C592">
        <v>104.8395309448242</v>
      </c>
      <c r="D592">
        <v>102.187614440918</v>
      </c>
    </row>
    <row r="593" spans="1:4" x14ac:dyDescent="0.35">
      <c r="A593" s="3">
        <v>44699</v>
      </c>
      <c r="B593">
        <v>1247.558349609375</v>
      </c>
      <c r="C593">
        <v>104.3886032104492</v>
      </c>
      <c r="D593">
        <v>100.69053649902339</v>
      </c>
    </row>
    <row r="594" spans="1:4" x14ac:dyDescent="0.35">
      <c r="A594" s="3">
        <v>44700</v>
      </c>
      <c r="B594">
        <v>1214.169555664063</v>
      </c>
      <c r="C594">
        <v>101.23215484619141</v>
      </c>
      <c r="D594">
        <v>99.145164489746094</v>
      </c>
    </row>
    <row r="595" spans="1:4" x14ac:dyDescent="0.35">
      <c r="A595" s="3">
        <v>44701</v>
      </c>
      <c r="B595">
        <v>1214.800659179688</v>
      </c>
      <c r="C595">
        <v>102.8103713989258</v>
      </c>
      <c r="D595">
        <v>100.4973678588867</v>
      </c>
    </row>
    <row r="596" spans="1:4" x14ac:dyDescent="0.35">
      <c r="A596" s="3">
        <v>44704</v>
      </c>
      <c r="B596">
        <v>1184.95458984375</v>
      </c>
      <c r="C596">
        <v>102.3143615722656</v>
      </c>
      <c r="D596">
        <v>101.3183517456055</v>
      </c>
    </row>
    <row r="597" spans="1:4" x14ac:dyDescent="0.35">
      <c r="A597" s="3">
        <v>44705</v>
      </c>
      <c r="B597">
        <v>1176.462036132813</v>
      </c>
      <c r="C597">
        <v>102.22418212890631</v>
      </c>
      <c r="D597">
        <v>96.778816223144531</v>
      </c>
    </row>
    <row r="598" spans="1:4" x14ac:dyDescent="0.35">
      <c r="A598" s="3">
        <v>44706</v>
      </c>
      <c r="B598">
        <v>1212.810791015625</v>
      </c>
      <c r="C598">
        <v>99.383369445800781</v>
      </c>
      <c r="D598">
        <v>93.446617126464844</v>
      </c>
    </row>
    <row r="599" spans="1:4" x14ac:dyDescent="0.35">
      <c r="A599" s="3">
        <v>44707</v>
      </c>
      <c r="B599">
        <v>1230.524169921875</v>
      </c>
      <c r="C599">
        <v>102.5849227905273</v>
      </c>
      <c r="D599">
        <v>95.668083190917969</v>
      </c>
    </row>
    <row r="600" spans="1:4" x14ac:dyDescent="0.35">
      <c r="A600" s="3">
        <v>44708</v>
      </c>
      <c r="B600">
        <v>1223.147827148438</v>
      </c>
      <c r="C600">
        <v>103.8475036621094</v>
      </c>
      <c r="D600">
        <v>94.364181518554688</v>
      </c>
    </row>
    <row r="601" spans="1:4" x14ac:dyDescent="0.35">
      <c r="A601" s="3">
        <v>44711</v>
      </c>
      <c r="B601">
        <v>1252.362915039063</v>
      </c>
      <c r="C601">
        <v>108.1763534545898</v>
      </c>
      <c r="D601">
        <v>96.102714538574219</v>
      </c>
    </row>
    <row r="602" spans="1:4" x14ac:dyDescent="0.35">
      <c r="A602" s="3">
        <v>44712</v>
      </c>
      <c r="B602">
        <v>1228.631591796875</v>
      </c>
      <c r="C602">
        <v>107.7705383300781</v>
      </c>
      <c r="D602">
        <v>97.889549255371094</v>
      </c>
    </row>
    <row r="603" spans="1:4" x14ac:dyDescent="0.35">
      <c r="A603" s="3">
        <v>44713</v>
      </c>
      <c r="B603">
        <v>1215.81982421875</v>
      </c>
      <c r="C603">
        <v>112.0542907714844</v>
      </c>
      <c r="D603">
        <v>100.11102294921881</v>
      </c>
    </row>
    <row r="604" spans="1:4" x14ac:dyDescent="0.35">
      <c r="A604" s="3">
        <v>44714</v>
      </c>
      <c r="B604">
        <v>1199.562133789063</v>
      </c>
      <c r="C604">
        <v>108.8527450561523</v>
      </c>
      <c r="D604">
        <v>98.951988220214844</v>
      </c>
    </row>
    <row r="605" spans="1:4" x14ac:dyDescent="0.35">
      <c r="A605" s="3">
        <v>44715</v>
      </c>
      <c r="B605">
        <v>1182.479736328125</v>
      </c>
      <c r="C605">
        <v>108.2665481567383</v>
      </c>
      <c r="D605">
        <v>96.778816223144531</v>
      </c>
    </row>
    <row r="606" spans="1:4" x14ac:dyDescent="0.35">
      <c r="A606" s="3">
        <v>44718</v>
      </c>
      <c r="B606">
        <v>1165.542602539063</v>
      </c>
      <c r="C606">
        <v>109.43894195556641</v>
      </c>
      <c r="D606">
        <v>94.412467956542969</v>
      </c>
    </row>
    <row r="607" spans="1:4" x14ac:dyDescent="0.35">
      <c r="A607" s="3">
        <v>44719</v>
      </c>
      <c r="B607">
        <v>1117.6923828125</v>
      </c>
      <c r="C607">
        <v>111.919921875</v>
      </c>
      <c r="D607">
        <v>93.494903564453125</v>
      </c>
    </row>
    <row r="608" spans="1:4" x14ac:dyDescent="0.35">
      <c r="A608" s="3">
        <v>44720</v>
      </c>
      <c r="B608">
        <v>1075.131469726563</v>
      </c>
      <c r="C608">
        <v>109.3011016845703</v>
      </c>
      <c r="D608">
        <v>92.867095947265625</v>
      </c>
    </row>
    <row r="609" spans="1:4" x14ac:dyDescent="0.35">
      <c r="A609" s="3">
        <v>44721</v>
      </c>
      <c r="B609">
        <v>1092.214233398438</v>
      </c>
      <c r="C609">
        <v>109.6227188110352</v>
      </c>
      <c r="D609">
        <v>92.287582397460938</v>
      </c>
    </row>
    <row r="610" spans="1:4" x14ac:dyDescent="0.35">
      <c r="A610" s="3">
        <v>44722</v>
      </c>
      <c r="B610">
        <v>1088.089233398438</v>
      </c>
      <c r="C610">
        <v>108.47412109375</v>
      </c>
      <c r="D610">
        <v>90.549049377441406</v>
      </c>
    </row>
    <row r="611" spans="1:4" x14ac:dyDescent="0.35">
      <c r="A611" s="3">
        <v>44725</v>
      </c>
      <c r="B611">
        <v>1081.197509765625</v>
      </c>
      <c r="C611">
        <v>102.8689270019531</v>
      </c>
      <c r="D611">
        <v>86.927078247070313</v>
      </c>
    </row>
    <row r="612" spans="1:4" x14ac:dyDescent="0.35">
      <c r="A612" s="3">
        <v>44726</v>
      </c>
      <c r="B612">
        <v>1112.111450195313</v>
      </c>
      <c r="C612">
        <v>104.3850860595703</v>
      </c>
      <c r="D612">
        <v>86.202690124511719</v>
      </c>
    </row>
    <row r="613" spans="1:4" x14ac:dyDescent="0.35">
      <c r="A613" s="3">
        <v>44727</v>
      </c>
      <c r="B613">
        <v>1116.915771484375</v>
      </c>
      <c r="C613">
        <v>103.0986404418945</v>
      </c>
      <c r="D613">
        <v>86.202690124511719</v>
      </c>
    </row>
    <row r="614" spans="1:4" x14ac:dyDescent="0.35">
      <c r="A614" s="3">
        <v>44728</v>
      </c>
      <c r="B614">
        <v>1098.571655273438</v>
      </c>
      <c r="C614">
        <v>106.45257568359381</v>
      </c>
      <c r="D614">
        <v>82.918769836425781</v>
      </c>
    </row>
    <row r="615" spans="1:4" x14ac:dyDescent="0.35">
      <c r="A615" s="3">
        <v>44729</v>
      </c>
      <c r="B615">
        <v>1080.469848632813</v>
      </c>
      <c r="C615">
        <v>101.5365447998047</v>
      </c>
      <c r="D615">
        <v>82.773895263671875</v>
      </c>
    </row>
    <row r="616" spans="1:4" x14ac:dyDescent="0.35">
      <c r="A616" s="3">
        <v>44732</v>
      </c>
      <c r="B616">
        <v>1093.233276367188</v>
      </c>
      <c r="C616">
        <v>102.8229904174805</v>
      </c>
      <c r="D616">
        <v>78.379241943359375</v>
      </c>
    </row>
    <row r="617" spans="1:4" x14ac:dyDescent="0.35">
      <c r="A617" s="3">
        <v>44733</v>
      </c>
      <c r="B617">
        <v>1107.452514648438</v>
      </c>
      <c r="C617">
        <v>104.936408996582</v>
      </c>
      <c r="D617">
        <v>79.683158874511719</v>
      </c>
    </row>
    <row r="618" spans="1:4" x14ac:dyDescent="0.35">
      <c r="A618" s="3">
        <v>44734</v>
      </c>
      <c r="B618">
        <v>1101.580322265625</v>
      </c>
      <c r="C618">
        <v>102.8689270019531</v>
      </c>
      <c r="D618">
        <v>77.509979248046875</v>
      </c>
    </row>
    <row r="619" spans="1:4" x14ac:dyDescent="0.35">
      <c r="A619" s="3">
        <v>44735</v>
      </c>
      <c r="B619">
        <v>1092.165405273438</v>
      </c>
      <c r="C619">
        <v>106.03907775878911</v>
      </c>
      <c r="D619">
        <v>77.6065673828125</v>
      </c>
    </row>
    <row r="620" spans="1:4" x14ac:dyDescent="0.35">
      <c r="A620" s="3">
        <v>44736</v>
      </c>
      <c r="B620">
        <v>1087.409545898438</v>
      </c>
      <c r="C620">
        <v>106.49851989746089</v>
      </c>
      <c r="D620">
        <v>78.475837707519531</v>
      </c>
    </row>
    <row r="621" spans="1:4" x14ac:dyDescent="0.35">
      <c r="A621" s="3">
        <v>44739</v>
      </c>
      <c r="B621">
        <v>1099.97900390625</v>
      </c>
      <c r="C621">
        <v>104.4769668579102</v>
      </c>
      <c r="D621">
        <v>79.151931762695313</v>
      </c>
    </row>
    <row r="622" spans="1:4" x14ac:dyDescent="0.35">
      <c r="A622" s="3">
        <v>44740</v>
      </c>
      <c r="B622">
        <v>1085.371215820313</v>
      </c>
      <c r="C622">
        <v>106.45257568359381</v>
      </c>
      <c r="D622">
        <v>78.668998718261719</v>
      </c>
    </row>
    <row r="623" spans="1:4" x14ac:dyDescent="0.35">
      <c r="A623" s="3">
        <v>44741</v>
      </c>
      <c r="B623">
        <v>1078.916748046875</v>
      </c>
      <c r="C623">
        <v>107.4633331298828</v>
      </c>
      <c r="D623">
        <v>78.572418212890625</v>
      </c>
    </row>
    <row r="624" spans="1:4" x14ac:dyDescent="0.35">
      <c r="A624" s="3">
        <v>44742</v>
      </c>
      <c r="B624">
        <v>1087.992065429688</v>
      </c>
      <c r="C624">
        <v>105.8552932739258</v>
      </c>
      <c r="D624">
        <v>77.075340270996094</v>
      </c>
    </row>
    <row r="625" spans="1:4" x14ac:dyDescent="0.35">
      <c r="A625" s="3">
        <v>44743</v>
      </c>
      <c r="B625">
        <v>1112.062744140625</v>
      </c>
      <c r="C625">
        <v>106.0850143432617</v>
      </c>
      <c r="D625">
        <v>75.916313171386719</v>
      </c>
    </row>
    <row r="626" spans="1:4" x14ac:dyDescent="0.35">
      <c r="A626" s="3">
        <v>44746</v>
      </c>
      <c r="B626">
        <v>1127.640991210938</v>
      </c>
      <c r="C626">
        <v>106.2688064575195</v>
      </c>
      <c r="D626">
        <v>79.200218200683594</v>
      </c>
    </row>
    <row r="627" spans="1:4" x14ac:dyDescent="0.35">
      <c r="A627" s="3">
        <v>44747</v>
      </c>
      <c r="B627">
        <v>1152.1484375</v>
      </c>
      <c r="C627">
        <v>105.34991455078131</v>
      </c>
      <c r="D627">
        <v>77.509979248046875</v>
      </c>
    </row>
    <row r="628" spans="1:4" x14ac:dyDescent="0.35">
      <c r="A628" s="3">
        <v>44748</v>
      </c>
      <c r="B628">
        <v>1196.01953125</v>
      </c>
      <c r="C628">
        <v>105.9931259155273</v>
      </c>
      <c r="D628">
        <v>77.365097045898438</v>
      </c>
    </row>
    <row r="629" spans="1:4" x14ac:dyDescent="0.35">
      <c r="A629" s="3">
        <v>44749</v>
      </c>
      <c r="B629">
        <v>1240.812744140625</v>
      </c>
      <c r="C629">
        <v>105.9471893310547</v>
      </c>
      <c r="D629">
        <v>78.137794494628906</v>
      </c>
    </row>
    <row r="630" spans="1:4" x14ac:dyDescent="0.35">
      <c r="A630" s="3">
        <v>44750</v>
      </c>
      <c r="B630">
        <v>1238.677124023438</v>
      </c>
      <c r="C630">
        <v>105.0742492675781</v>
      </c>
      <c r="D630">
        <v>78.041206359863281</v>
      </c>
    </row>
    <row r="631" spans="1:4" x14ac:dyDescent="0.35">
      <c r="A631" s="3">
        <v>44753</v>
      </c>
      <c r="B631">
        <v>1228.82568359375</v>
      </c>
      <c r="C631">
        <v>106.54445648193359</v>
      </c>
      <c r="D631">
        <v>77.944610595703125</v>
      </c>
    </row>
    <row r="632" spans="1:4" x14ac:dyDescent="0.35">
      <c r="A632" s="3">
        <v>44754</v>
      </c>
      <c r="B632">
        <v>1194.466552734375</v>
      </c>
      <c r="C632">
        <v>106.6822891235352</v>
      </c>
      <c r="D632">
        <v>79.489982604980469</v>
      </c>
    </row>
    <row r="633" spans="1:4" x14ac:dyDescent="0.35">
      <c r="A633" s="3">
        <v>44755</v>
      </c>
      <c r="B633">
        <v>1195.728149414063</v>
      </c>
      <c r="C633">
        <v>106.1769104003906</v>
      </c>
      <c r="D633">
        <v>78.620719909667969</v>
      </c>
    </row>
    <row r="634" spans="1:4" x14ac:dyDescent="0.35">
      <c r="A634" s="3">
        <v>44756</v>
      </c>
      <c r="B634">
        <v>1213.927124023438</v>
      </c>
      <c r="C634">
        <v>106.54445648193359</v>
      </c>
      <c r="D634">
        <v>77.848030090332031</v>
      </c>
    </row>
    <row r="635" spans="1:4" x14ac:dyDescent="0.35">
      <c r="A635" s="3">
        <v>44757</v>
      </c>
      <c r="B635">
        <v>1217.4697265625</v>
      </c>
      <c r="C635">
        <v>106.54445648193359</v>
      </c>
      <c r="D635">
        <v>77.171928405761719</v>
      </c>
    </row>
    <row r="636" spans="1:4" x14ac:dyDescent="0.35">
      <c r="A636" s="3">
        <v>44760</v>
      </c>
      <c r="B636">
        <v>1234.358276367188</v>
      </c>
      <c r="C636">
        <v>106.40663146972661</v>
      </c>
      <c r="D636">
        <v>77.896316528320313</v>
      </c>
    </row>
    <row r="637" spans="1:4" x14ac:dyDescent="0.35">
      <c r="A637" s="3">
        <v>44761</v>
      </c>
      <c r="B637">
        <v>1233.144897460938</v>
      </c>
      <c r="C637">
        <v>106.9579620361328</v>
      </c>
      <c r="D637">
        <v>78.910476684570313</v>
      </c>
    </row>
    <row r="638" spans="1:4" x14ac:dyDescent="0.35">
      <c r="A638" s="3">
        <v>44762</v>
      </c>
      <c r="B638">
        <v>1181.072387695313</v>
      </c>
      <c r="C638">
        <v>107.141731262207</v>
      </c>
      <c r="D638">
        <v>79.29681396484375</v>
      </c>
    </row>
    <row r="639" spans="1:4" x14ac:dyDescent="0.35">
      <c r="A639" s="3">
        <v>44763</v>
      </c>
      <c r="B639">
        <v>1189.274047851563</v>
      </c>
      <c r="C639">
        <v>108.2443923950195</v>
      </c>
      <c r="D639">
        <v>80.407546997070313</v>
      </c>
    </row>
    <row r="640" spans="1:4" x14ac:dyDescent="0.35">
      <c r="A640" s="3">
        <v>44764</v>
      </c>
      <c r="B640">
        <v>1179.325439453125</v>
      </c>
      <c r="C640">
        <v>108.0146789550781</v>
      </c>
      <c r="D640">
        <v>80.021209716796875</v>
      </c>
    </row>
    <row r="641" spans="1:4" x14ac:dyDescent="0.35">
      <c r="A641" s="3">
        <v>44767</v>
      </c>
      <c r="B641">
        <v>1154.2353515625</v>
      </c>
      <c r="C641">
        <v>107.3714599609375</v>
      </c>
      <c r="D641">
        <v>79.1036376953125</v>
      </c>
    </row>
    <row r="642" spans="1:4" x14ac:dyDescent="0.35">
      <c r="A642" s="3">
        <v>44768</v>
      </c>
      <c r="B642">
        <v>1122.982177734375</v>
      </c>
      <c r="C642">
        <v>105.0742492675781</v>
      </c>
      <c r="D642">
        <v>78.234375</v>
      </c>
    </row>
    <row r="643" spans="1:4" x14ac:dyDescent="0.35">
      <c r="A643" s="3">
        <v>44769</v>
      </c>
      <c r="B643">
        <v>1153.41015625</v>
      </c>
      <c r="C643">
        <v>105.2580261230469</v>
      </c>
      <c r="D643">
        <v>78.427543640136719</v>
      </c>
    </row>
    <row r="644" spans="1:4" x14ac:dyDescent="0.35">
      <c r="A644" s="3">
        <v>44770</v>
      </c>
      <c r="B644">
        <v>1159.112182617188</v>
      </c>
      <c r="C644">
        <v>105.4418029785156</v>
      </c>
      <c r="D644">
        <v>78.379241943359375</v>
      </c>
    </row>
    <row r="645" spans="1:4" x14ac:dyDescent="0.35">
      <c r="A645" s="3">
        <v>44771</v>
      </c>
      <c r="B645">
        <v>1189.035400390625</v>
      </c>
      <c r="C645">
        <v>106.86607360839839</v>
      </c>
      <c r="D645">
        <v>79.345115661621094</v>
      </c>
    </row>
    <row r="646" spans="1:4" x14ac:dyDescent="0.35">
      <c r="A646" s="3">
        <v>44774</v>
      </c>
      <c r="B646">
        <v>1199.65966796875</v>
      </c>
      <c r="C646">
        <v>107.739013671875</v>
      </c>
      <c r="D646">
        <v>80.455848693847656</v>
      </c>
    </row>
    <row r="647" spans="1:4" x14ac:dyDescent="0.35">
      <c r="A647" s="3">
        <v>44775</v>
      </c>
      <c r="B647">
        <v>1210.478881835938</v>
      </c>
      <c r="C647">
        <v>108.2443923950195</v>
      </c>
      <c r="D647">
        <v>81.035362243652344</v>
      </c>
    </row>
    <row r="648" spans="1:4" x14ac:dyDescent="0.35">
      <c r="A648" s="3">
        <v>44776</v>
      </c>
      <c r="B648">
        <v>1198.44140625</v>
      </c>
      <c r="C648">
        <v>112.2415313720703</v>
      </c>
      <c r="D648">
        <v>86.44415283203125</v>
      </c>
    </row>
    <row r="649" spans="1:4" x14ac:dyDescent="0.35">
      <c r="A649" s="3">
        <v>44777</v>
      </c>
      <c r="B649">
        <v>1171.783203125</v>
      </c>
      <c r="C649">
        <v>110.8172607421875</v>
      </c>
      <c r="D649">
        <v>86.733909606933594</v>
      </c>
    </row>
    <row r="650" spans="1:4" x14ac:dyDescent="0.35">
      <c r="A650" s="3">
        <v>44778</v>
      </c>
      <c r="B650">
        <v>1169.492797851563</v>
      </c>
      <c r="C650">
        <v>110.8632125854492</v>
      </c>
      <c r="D650">
        <v>86.8787841796875</v>
      </c>
    </row>
    <row r="651" spans="1:4" x14ac:dyDescent="0.35">
      <c r="A651" s="3">
        <v>44781</v>
      </c>
      <c r="B651">
        <v>1183.38232421875</v>
      </c>
      <c r="C651">
        <v>111.5983123779297</v>
      </c>
      <c r="D651">
        <v>87.216842651367188</v>
      </c>
    </row>
    <row r="652" spans="1:4" x14ac:dyDescent="0.35">
      <c r="A652" s="3">
        <v>44783</v>
      </c>
      <c r="B652">
        <v>1199.513549804688</v>
      </c>
      <c r="C652">
        <v>111.69020843505859</v>
      </c>
      <c r="D652">
        <v>85.333412170410156</v>
      </c>
    </row>
    <row r="653" spans="1:4" x14ac:dyDescent="0.35">
      <c r="A653" s="3">
        <v>44784</v>
      </c>
      <c r="B653">
        <v>1209.552856445313</v>
      </c>
      <c r="C653">
        <v>112.4712600708008</v>
      </c>
      <c r="D653">
        <v>85.18853759765625</v>
      </c>
    </row>
    <row r="654" spans="1:4" x14ac:dyDescent="0.35">
      <c r="A654" s="3">
        <v>44785</v>
      </c>
      <c r="B654">
        <v>1206.53125</v>
      </c>
      <c r="C654">
        <v>111.046989440918</v>
      </c>
      <c r="D654">
        <v>84.947067260742188</v>
      </c>
    </row>
    <row r="655" spans="1:4" x14ac:dyDescent="0.35">
      <c r="A655" s="3">
        <v>44789</v>
      </c>
      <c r="B655">
        <v>1263.210083007813</v>
      </c>
      <c r="C655">
        <v>112.51719665527339</v>
      </c>
      <c r="D655">
        <v>89.293418884277344</v>
      </c>
    </row>
    <row r="656" spans="1:4" x14ac:dyDescent="0.35">
      <c r="A656" s="3">
        <v>44790</v>
      </c>
      <c r="B656">
        <v>1321.20458984375</v>
      </c>
      <c r="C656">
        <v>112.8388137817383</v>
      </c>
      <c r="D656">
        <v>88.665618896484375</v>
      </c>
    </row>
    <row r="657" spans="1:4" x14ac:dyDescent="0.35">
      <c r="A657" s="3">
        <v>44791</v>
      </c>
      <c r="B657">
        <v>1293.18212890625</v>
      </c>
      <c r="C657">
        <v>113.6658020019531</v>
      </c>
      <c r="D657">
        <v>88.424163818359375</v>
      </c>
    </row>
    <row r="658" spans="1:4" x14ac:dyDescent="0.35">
      <c r="A658" s="3">
        <v>44792</v>
      </c>
      <c r="B658">
        <v>1256.679565429688</v>
      </c>
      <c r="C658">
        <v>112.01181793212891</v>
      </c>
      <c r="D658">
        <v>86.8787841796875</v>
      </c>
    </row>
    <row r="659" spans="1:4" x14ac:dyDescent="0.35">
      <c r="A659" s="3">
        <v>44795</v>
      </c>
      <c r="B659">
        <v>1228.754516601563</v>
      </c>
      <c r="C659">
        <v>109.576774597168</v>
      </c>
      <c r="D659">
        <v>83.594879150390625</v>
      </c>
    </row>
    <row r="660" spans="1:4" x14ac:dyDescent="0.35">
      <c r="A660" s="3">
        <v>44796</v>
      </c>
      <c r="B660">
        <v>1217.837768554688</v>
      </c>
      <c r="C660">
        <v>109.7146072387695</v>
      </c>
      <c r="D660">
        <v>84.75390625</v>
      </c>
    </row>
    <row r="661" spans="1:4" x14ac:dyDescent="0.35">
      <c r="A661" s="3">
        <v>44797</v>
      </c>
      <c r="B661">
        <v>1212.2822265625</v>
      </c>
      <c r="C661">
        <v>109.80649566650391</v>
      </c>
      <c r="D661">
        <v>84.31927490234375</v>
      </c>
    </row>
    <row r="662" spans="1:4" x14ac:dyDescent="0.35">
      <c r="A662" s="3">
        <v>44798</v>
      </c>
      <c r="B662">
        <v>1228.413452148438</v>
      </c>
      <c r="C662">
        <v>110.7253799438477</v>
      </c>
      <c r="D662">
        <v>88.050636291503906</v>
      </c>
    </row>
    <row r="663" spans="1:4" x14ac:dyDescent="0.35">
      <c r="A663" s="3">
        <v>44799</v>
      </c>
      <c r="B663">
        <v>1228.169799804688</v>
      </c>
      <c r="C663">
        <v>114.3090286254883</v>
      </c>
      <c r="D663">
        <v>94.544197082519531</v>
      </c>
    </row>
    <row r="664" spans="1:4" x14ac:dyDescent="0.35">
      <c r="A664" s="3">
        <v>44802</v>
      </c>
      <c r="B664">
        <v>1226.610107421875</v>
      </c>
      <c r="C664">
        <v>111.919921875</v>
      </c>
      <c r="D664">
        <v>92.363525390625</v>
      </c>
    </row>
    <row r="665" spans="1:4" x14ac:dyDescent="0.35">
      <c r="A665" s="3">
        <v>44803</v>
      </c>
      <c r="B665">
        <v>1255.705078125</v>
      </c>
      <c r="C665">
        <v>114.0333557128906</v>
      </c>
      <c r="D665">
        <v>94.204971313476563</v>
      </c>
    </row>
    <row r="666" spans="1:4" x14ac:dyDescent="0.35">
      <c r="A666" s="3">
        <v>44805</v>
      </c>
      <c r="B666">
        <v>1239.329956054688</v>
      </c>
      <c r="C666">
        <v>115.5035705566406</v>
      </c>
      <c r="D666">
        <v>93.138870239257813</v>
      </c>
    </row>
    <row r="667" spans="1:4" x14ac:dyDescent="0.35">
      <c r="A667" s="3">
        <v>44806</v>
      </c>
      <c r="B667">
        <v>1227.146118164063</v>
      </c>
      <c r="C667">
        <v>114.3090286254883</v>
      </c>
      <c r="D667">
        <v>91.006668090820313</v>
      </c>
    </row>
    <row r="668" spans="1:4" x14ac:dyDescent="0.35">
      <c r="A668" s="3">
        <v>44809</v>
      </c>
      <c r="B668">
        <v>1229.924194335938</v>
      </c>
      <c r="C668">
        <v>118.1223907470703</v>
      </c>
      <c r="D668">
        <v>92.121223449707031</v>
      </c>
    </row>
    <row r="669" spans="1:4" x14ac:dyDescent="0.35">
      <c r="A669" s="3">
        <v>44810</v>
      </c>
      <c r="B669">
        <v>1188.109619140625</v>
      </c>
      <c r="C669">
        <v>119.6844787597656</v>
      </c>
      <c r="D669">
        <v>92.121223449707031</v>
      </c>
    </row>
    <row r="670" spans="1:4" x14ac:dyDescent="0.35">
      <c r="A670" s="3">
        <v>44811</v>
      </c>
      <c r="B670">
        <v>1217.740356445313</v>
      </c>
      <c r="C670">
        <v>118.4899444580078</v>
      </c>
      <c r="D670">
        <v>91.685089111328125</v>
      </c>
    </row>
    <row r="671" spans="1:4" x14ac:dyDescent="0.35">
      <c r="A671" s="3">
        <v>44812</v>
      </c>
      <c r="B671">
        <v>1197.61279296875</v>
      </c>
      <c r="C671">
        <v>118.1223907470703</v>
      </c>
      <c r="D671">
        <v>92.3150634765625</v>
      </c>
    </row>
    <row r="672" spans="1:4" x14ac:dyDescent="0.35">
      <c r="A672" s="3">
        <v>44813</v>
      </c>
      <c r="B672">
        <v>1190.400268554688</v>
      </c>
      <c r="C672">
        <v>116.3765106201172</v>
      </c>
      <c r="D672">
        <v>91.248954772949219</v>
      </c>
    </row>
    <row r="673" spans="1:4" x14ac:dyDescent="0.35">
      <c r="A673" s="3">
        <v>44816</v>
      </c>
      <c r="B673">
        <v>1209.016845703125</v>
      </c>
      <c r="C673">
        <v>115.5495147705078</v>
      </c>
      <c r="D673">
        <v>91.491249084472656</v>
      </c>
    </row>
    <row r="674" spans="1:4" x14ac:dyDescent="0.35">
      <c r="A674" s="3">
        <v>44817</v>
      </c>
      <c r="B674">
        <v>1204.484497070313</v>
      </c>
      <c r="C674">
        <v>117.6169967651367</v>
      </c>
      <c r="D674">
        <v>91.733551025390625</v>
      </c>
    </row>
    <row r="675" spans="1:4" x14ac:dyDescent="0.35">
      <c r="A675" s="3">
        <v>44818</v>
      </c>
      <c r="B675">
        <v>1213.792846679688</v>
      </c>
      <c r="C675">
        <v>118.6737060546875</v>
      </c>
      <c r="D675">
        <v>90.764366149902344</v>
      </c>
    </row>
    <row r="676" spans="1:4" x14ac:dyDescent="0.35">
      <c r="A676" s="3">
        <v>44819</v>
      </c>
      <c r="B676">
        <v>1203.607299804688</v>
      </c>
      <c r="C676">
        <v>118.8115539550781</v>
      </c>
      <c r="D676">
        <v>90.667449951171875</v>
      </c>
    </row>
    <row r="677" spans="1:4" x14ac:dyDescent="0.35">
      <c r="A677" s="3">
        <v>44820</v>
      </c>
      <c r="B677">
        <v>1184.649291992188</v>
      </c>
      <c r="C677">
        <v>113.16042327880859</v>
      </c>
      <c r="D677">
        <v>86.112266540527344</v>
      </c>
    </row>
    <row r="678" spans="1:4" x14ac:dyDescent="0.35">
      <c r="A678" s="3">
        <v>44823</v>
      </c>
      <c r="B678">
        <v>1177.4365234375</v>
      </c>
      <c r="C678">
        <v>114.63063049316411</v>
      </c>
      <c r="D678">
        <v>86.063804626464844</v>
      </c>
    </row>
    <row r="679" spans="1:4" x14ac:dyDescent="0.35">
      <c r="A679" s="3">
        <v>44824</v>
      </c>
      <c r="B679">
        <v>1184.89306640625</v>
      </c>
      <c r="C679">
        <v>114.9522399902344</v>
      </c>
      <c r="D679">
        <v>85.627670288085938</v>
      </c>
    </row>
    <row r="680" spans="1:4" x14ac:dyDescent="0.35">
      <c r="A680" s="3">
        <v>44825</v>
      </c>
      <c r="B680">
        <v>1169.785400390625</v>
      </c>
      <c r="C680">
        <v>116.2386779785156</v>
      </c>
      <c r="D680">
        <v>84.852317810058594</v>
      </c>
    </row>
    <row r="681" spans="1:4" x14ac:dyDescent="0.35">
      <c r="A681" s="3">
        <v>44826</v>
      </c>
      <c r="B681">
        <v>1164.326904296875</v>
      </c>
      <c r="C681">
        <v>117.3413391113281</v>
      </c>
      <c r="D681">
        <v>85.966888427734375</v>
      </c>
    </row>
    <row r="682" spans="1:4" x14ac:dyDescent="0.35">
      <c r="A682" s="3">
        <v>44827</v>
      </c>
      <c r="B682">
        <v>1149.560180664063</v>
      </c>
      <c r="C682">
        <v>113.57391357421881</v>
      </c>
      <c r="D682">
        <v>84.27081298828125</v>
      </c>
    </row>
    <row r="683" spans="1:4" x14ac:dyDescent="0.35">
      <c r="A683" s="3">
        <v>44830</v>
      </c>
      <c r="B683">
        <v>1116.615356445313</v>
      </c>
      <c r="C683">
        <v>109.4848937988281</v>
      </c>
      <c r="D683">
        <v>80.78173828125</v>
      </c>
    </row>
    <row r="684" spans="1:4" x14ac:dyDescent="0.35">
      <c r="A684" s="3">
        <v>44831</v>
      </c>
      <c r="B684">
        <v>1129.091430664063</v>
      </c>
      <c r="C684">
        <v>108.4281692504883</v>
      </c>
      <c r="D684">
        <v>80.297142028808594</v>
      </c>
    </row>
    <row r="685" spans="1:4" x14ac:dyDescent="0.35">
      <c r="A685" s="3">
        <v>44832</v>
      </c>
      <c r="B685">
        <v>1134.5986328125</v>
      </c>
      <c r="C685">
        <v>109.02545166015631</v>
      </c>
      <c r="D685">
        <v>82.865486145019531</v>
      </c>
    </row>
    <row r="686" spans="1:4" x14ac:dyDescent="0.35">
      <c r="A686" s="3">
        <v>44833</v>
      </c>
      <c r="B686">
        <v>1136.450561523438</v>
      </c>
      <c r="C686">
        <v>111.5983123779297</v>
      </c>
      <c r="D686">
        <v>82.96240234375</v>
      </c>
    </row>
    <row r="687" spans="1:4" x14ac:dyDescent="0.35">
      <c r="A687" s="3">
        <v>44834</v>
      </c>
      <c r="B687">
        <v>1122.025024414063</v>
      </c>
      <c r="C687">
        <v>112.9766311645508</v>
      </c>
      <c r="D687">
        <v>83.204704284667969</v>
      </c>
    </row>
    <row r="688" spans="1:4" x14ac:dyDescent="0.35">
      <c r="A688" s="3">
        <v>44837</v>
      </c>
      <c r="B688">
        <v>1096.97509765625</v>
      </c>
      <c r="C688">
        <v>114.0792999267578</v>
      </c>
      <c r="D688">
        <v>83.640838623046875</v>
      </c>
    </row>
    <row r="689" spans="1:4" x14ac:dyDescent="0.35">
      <c r="A689" s="3">
        <v>44838</v>
      </c>
      <c r="B689">
        <v>1120.855346679688</v>
      </c>
      <c r="C689">
        <v>116.4224472045898</v>
      </c>
      <c r="D689">
        <v>84.31927490234375</v>
      </c>
    </row>
    <row r="690" spans="1:4" x14ac:dyDescent="0.35">
      <c r="A690" s="3">
        <v>44840</v>
      </c>
      <c r="B690">
        <v>1131.089599609375</v>
      </c>
      <c r="C690">
        <v>117.9845504760742</v>
      </c>
      <c r="D690">
        <v>85.239997863769531</v>
      </c>
    </row>
    <row r="691" spans="1:4" x14ac:dyDescent="0.35">
      <c r="A691" s="3">
        <v>44841</v>
      </c>
      <c r="B691">
        <v>1115.93310546875</v>
      </c>
      <c r="C691">
        <v>115.6413955688477</v>
      </c>
      <c r="D691">
        <v>85.288459777832031</v>
      </c>
    </row>
    <row r="692" spans="1:4" x14ac:dyDescent="0.35">
      <c r="A692" s="3">
        <v>44844</v>
      </c>
      <c r="B692">
        <v>1100.53271484375</v>
      </c>
      <c r="C692">
        <v>114.26307678222661</v>
      </c>
      <c r="D692">
        <v>84.31927490234375</v>
      </c>
    </row>
    <row r="693" spans="1:4" x14ac:dyDescent="0.35">
      <c r="A693" s="3">
        <v>44845</v>
      </c>
      <c r="B693">
        <v>1106.332275390625</v>
      </c>
      <c r="C693">
        <v>112.7009811401367</v>
      </c>
      <c r="D693">
        <v>82.96240234375</v>
      </c>
    </row>
    <row r="694" spans="1:4" x14ac:dyDescent="0.35">
      <c r="A694" s="3">
        <v>44846</v>
      </c>
      <c r="B694">
        <v>1105.601196289063</v>
      </c>
      <c r="C694">
        <v>113.52796936035161</v>
      </c>
      <c r="D694">
        <v>83.0108642578125</v>
      </c>
    </row>
    <row r="695" spans="1:4" x14ac:dyDescent="0.35">
      <c r="A695" s="3">
        <v>44847</v>
      </c>
      <c r="B695">
        <v>1103.16455078125</v>
      </c>
      <c r="C695">
        <v>112.37937164306641</v>
      </c>
      <c r="D695">
        <v>82.623191833496094</v>
      </c>
    </row>
    <row r="696" spans="1:4" x14ac:dyDescent="0.35">
      <c r="A696" s="3">
        <v>44848</v>
      </c>
      <c r="B696">
        <v>1098.144775390625</v>
      </c>
      <c r="C696">
        <v>112.79286193847661</v>
      </c>
      <c r="D696">
        <v>82.96240234375</v>
      </c>
    </row>
    <row r="697" spans="1:4" x14ac:dyDescent="0.35">
      <c r="A697" s="3">
        <v>44851</v>
      </c>
      <c r="B697">
        <v>1103.700805664063</v>
      </c>
      <c r="C697">
        <v>112.79286193847661</v>
      </c>
      <c r="D697">
        <v>82.96240234375</v>
      </c>
    </row>
    <row r="698" spans="1:4" x14ac:dyDescent="0.35">
      <c r="A698" s="3">
        <v>44852</v>
      </c>
      <c r="B698">
        <v>1120.319213867188</v>
      </c>
      <c r="C698">
        <v>114.2171325683594</v>
      </c>
      <c r="D698">
        <v>83.543914794921875</v>
      </c>
    </row>
    <row r="699" spans="1:4" x14ac:dyDescent="0.35">
      <c r="A699" s="3">
        <v>44853</v>
      </c>
      <c r="B699">
        <v>1109.1103515625</v>
      </c>
      <c r="C699">
        <v>112.7469100952148</v>
      </c>
      <c r="D699">
        <v>83.446998596191406</v>
      </c>
    </row>
    <row r="700" spans="1:4" x14ac:dyDescent="0.35">
      <c r="A700" s="3">
        <v>44854</v>
      </c>
      <c r="B700">
        <v>1123.779296875</v>
      </c>
      <c r="C700">
        <v>112.6090850830078</v>
      </c>
      <c r="D700">
        <v>83.1077880859375</v>
      </c>
    </row>
    <row r="701" spans="1:4" x14ac:dyDescent="0.35">
      <c r="A701" s="3">
        <v>44855</v>
      </c>
      <c r="B701">
        <v>1122.60986328125</v>
      </c>
      <c r="C701">
        <v>111.2307662963867</v>
      </c>
      <c r="D701">
        <v>82.817024230957031</v>
      </c>
    </row>
    <row r="702" spans="1:4" x14ac:dyDescent="0.35">
      <c r="A702" s="3">
        <v>44858</v>
      </c>
      <c r="B702">
        <v>1120.903930664063</v>
      </c>
      <c r="C702">
        <v>112.10369873046881</v>
      </c>
      <c r="D702">
        <v>83.398551940917969</v>
      </c>
    </row>
    <row r="703" spans="1:4" x14ac:dyDescent="0.35">
      <c r="A703" s="3">
        <v>44859</v>
      </c>
      <c r="B703">
        <v>1124.754150390625</v>
      </c>
      <c r="C703">
        <v>110.6334991455078</v>
      </c>
      <c r="D703">
        <v>83.204704284667969</v>
      </c>
    </row>
    <row r="704" spans="1:4" x14ac:dyDescent="0.35">
      <c r="A704" s="3">
        <v>44861</v>
      </c>
      <c r="B704">
        <v>1137.083251953125</v>
      </c>
      <c r="C704">
        <v>112.4712600708008</v>
      </c>
      <c r="D704">
        <v>84.610023498535156</v>
      </c>
    </row>
    <row r="705" spans="1:4" x14ac:dyDescent="0.35">
      <c r="A705" s="3">
        <v>44862</v>
      </c>
      <c r="B705">
        <v>1139.333862304688</v>
      </c>
      <c r="C705">
        <v>114.0792999267578</v>
      </c>
      <c r="D705">
        <v>85.627670288085938</v>
      </c>
    </row>
    <row r="706" spans="1:4" x14ac:dyDescent="0.35">
      <c r="A706" s="3">
        <v>44865</v>
      </c>
      <c r="B706">
        <v>1144.813598632813</v>
      </c>
      <c r="C706">
        <v>113.7117385864258</v>
      </c>
      <c r="D706">
        <v>86.112266540527344</v>
      </c>
    </row>
    <row r="707" spans="1:4" x14ac:dyDescent="0.35">
      <c r="A707" s="3">
        <v>44866</v>
      </c>
      <c r="B707">
        <v>1146.917602539063</v>
      </c>
      <c r="C707">
        <v>115.7792282104492</v>
      </c>
      <c r="D707">
        <v>85.821510314941406</v>
      </c>
    </row>
    <row r="708" spans="1:4" x14ac:dyDescent="0.35">
      <c r="A708" s="3">
        <v>44867</v>
      </c>
      <c r="B708">
        <v>1142.7587890625</v>
      </c>
      <c r="C708">
        <v>116.3305587768555</v>
      </c>
      <c r="D708">
        <v>85.3853759765625</v>
      </c>
    </row>
    <row r="709" spans="1:4" x14ac:dyDescent="0.35">
      <c r="A709" s="3">
        <v>44868</v>
      </c>
      <c r="B709">
        <v>1140.165771484375</v>
      </c>
      <c r="C709">
        <v>115.9170761108398</v>
      </c>
      <c r="D709">
        <v>86.015350341796875</v>
      </c>
    </row>
    <row r="710" spans="1:4" x14ac:dyDescent="0.35">
      <c r="A710" s="3">
        <v>44869</v>
      </c>
      <c r="B710">
        <v>1136.202880859375</v>
      </c>
      <c r="C710">
        <v>120.64931488037109</v>
      </c>
      <c r="D710">
        <v>91.830467224121094</v>
      </c>
    </row>
    <row r="711" spans="1:4" x14ac:dyDescent="0.35">
      <c r="A711" s="3">
        <v>44872</v>
      </c>
      <c r="B711">
        <v>1135.322021484375</v>
      </c>
      <c r="C711">
        <v>119.5466613769531</v>
      </c>
      <c r="D711">
        <v>93.42962646484375</v>
      </c>
    </row>
    <row r="712" spans="1:4" x14ac:dyDescent="0.35">
      <c r="A712" s="3">
        <v>44874</v>
      </c>
      <c r="B712">
        <v>1130.674072265625</v>
      </c>
      <c r="C712">
        <v>125.059944152832</v>
      </c>
      <c r="D712">
        <v>94.64111328125</v>
      </c>
    </row>
    <row r="713" spans="1:4" x14ac:dyDescent="0.35">
      <c r="A713" s="3">
        <v>44875</v>
      </c>
      <c r="B713">
        <v>1110.467651367188</v>
      </c>
      <c r="C713">
        <v>130.11381530761719</v>
      </c>
      <c r="D713">
        <v>99.050910949707031</v>
      </c>
    </row>
    <row r="714" spans="1:4" x14ac:dyDescent="0.35">
      <c r="A714" s="3">
        <v>44876</v>
      </c>
      <c r="B714">
        <v>1107.581176757813</v>
      </c>
      <c r="C714">
        <v>129.5624694824219</v>
      </c>
      <c r="D714">
        <v>98.130180358886719</v>
      </c>
    </row>
    <row r="715" spans="1:4" x14ac:dyDescent="0.35">
      <c r="A715" s="3">
        <v>44879</v>
      </c>
      <c r="B715">
        <v>1109.097778320313</v>
      </c>
      <c r="C715">
        <v>126.1166687011719</v>
      </c>
      <c r="D715">
        <v>92.363525390625</v>
      </c>
    </row>
    <row r="716" spans="1:4" x14ac:dyDescent="0.35">
      <c r="A716" s="3">
        <v>44880</v>
      </c>
      <c r="B716">
        <v>1096.13232421875</v>
      </c>
      <c r="C716">
        <v>129.4246520996094</v>
      </c>
      <c r="D716">
        <v>90.618980407714844</v>
      </c>
    </row>
    <row r="717" spans="1:4" x14ac:dyDescent="0.35">
      <c r="A717" s="3">
        <v>44881</v>
      </c>
      <c r="B717">
        <v>1107.043090820313</v>
      </c>
      <c r="C717">
        <v>126.9895935058594</v>
      </c>
      <c r="D717">
        <v>89.359031677246094</v>
      </c>
    </row>
    <row r="718" spans="1:4" x14ac:dyDescent="0.35">
      <c r="A718" s="3">
        <v>44882</v>
      </c>
      <c r="B718">
        <v>1103.031127929688</v>
      </c>
      <c r="C718">
        <v>124.8302383422852</v>
      </c>
      <c r="D718">
        <v>89.213668823242188</v>
      </c>
    </row>
    <row r="719" spans="1:4" x14ac:dyDescent="0.35">
      <c r="A719" s="3">
        <v>44883</v>
      </c>
      <c r="B719">
        <v>1112.277954101563</v>
      </c>
      <c r="C719">
        <v>123.681640625</v>
      </c>
      <c r="D719">
        <v>90.764366149902344</v>
      </c>
    </row>
    <row r="720" spans="1:4" x14ac:dyDescent="0.35">
      <c r="A720" s="3">
        <v>44886</v>
      </c>
      <c r="B720">
        <v>1103.520141601563</v>
      </c>
      <c r="C720">
        <v>123.1302871704102</v>
      </c>
      <c r="D720">
        <v>89.310585021972656</v>
      </c>
    </row>
    <row r="721" spans="1:4" x14ac:dyDescent="0.35">
      <c r="A721" s="3">
        <v>44887</v>
      </c>
      <c r="B721">
        <v>1104.401000976563</v>
      </c>
      <c r="C721">
        <v>125.795051574707</v>
      </c>
      <c r="D721">
        <v>92.605819702148438</v>
      </c>
    </row>
    <row r="722" spans="1:4" x14ac:dyDescent="0.35">
      <c r="A722" s="3">
        <v>44888</v>
      </c>
      <c r="B722">
        <v>1109.587036132813</v>
      </c>
      <c r="C722">
        <v>127.5868835449219</v>
      </c>
      <c r="D722">
        <v>92.2181396484375</v>
      </c>
    </row>
    <row r="723" spans="1:4" x14ac:dyDescent="0.35">
      <c r="A723" s="3">
        <v>44889</v>
      </c>
      <c r="B723">
        <v>1144.7646484375</v>
      </c>
      <c r="C723">
        <v>132.3650817871094</v>
      </c>
      <c r="D723">
        <v>93.42962646484375</v>
      </c>
    </row>
    <row r="724" spans="1:4" x14ac:dyDescent="0.35">
      <c r="A724" s="3">
        <v>44890</v>
      </c>
      <c r="B724">
        <v>1134.44140625</v>
      </c>
      <c r="C724">
        <v>132.9163818359375</v>
      </c>
      <c r="D724">
        <v>93.42962646484375</v>
      </c>
    </row>
    <row r="725" spans="1:4" x14ac:dyDescent="0.35">
      <c r="A725" s="3">
        <v>44893</v>
      </c>
      <c r="B725">
        <v>1133.903198242188</v>
      </c>
      <c r="C725">
        <v>134.24879455566409</v>
      </c>
      <c r="D725">
        <v>98.130180358886719</v>
      </c>
    </row>
    <row r="726" spans="1:4" x14ac:dyDescent="0.35">
      <c r="A726" s="3">
        <v>44894</v>
      </c>
      <c r="B726">
        <v>1150.440063476563</v>
      </c>
      <c r="C726">
        <v>135.39738464355469</v>
      </c>
      <c r="D726">
        <v>111.4565048217773</v>
      </c>
    </row>
    <row r="727" spans="1:4" x14ac:dyDescent="0.35">
      <c r="A727" s="3">
        <v>44895</v>
      </c>
      <c r="B727">
        <v>1185.128540039063</v>
      </c>
      <c r="C727">
        <v>136.86759948730469</v>
      </c>
      <c r="D727">
        <v>105.88368225097661</v>
      </c>
    </row>
    <row r="728" spans="1:4" x14ac:dyDescent="0.35">
      <c r="A728" s="3">
        <v>44896</v>
      </c>
      <c r="B728">
        <v>1198.289306640625</v>
      </c>
      <c r="C728">
        <v>132.82452392578131</v>
      </c>
      <c r="D728">
        <v>103.654541015625</v>
      </c>
    </row>
    <row r="729" spans="1:4" x14ac:dyDescent="0.35">
      <c r="A729" s="3">
        <v>44897</v>
      </c>
      <c r="B729">
        <v>1212.03759765625</v>
      </c>
      <c r="C729">
        <v>136.5919189453125</v>
      </c>
      <c r="D729">
        <v>106.8528671264648</v>
      </c>
    </row>
    <row r="730" spans="1:4" x14ac:dyDescent="0.35">
      <c r="A730" s="3">
        <v>44900</v>
      </c>
      <c r="B730">
        <v>1197.115234375</v>
      </c>
      <c r="C730">
        <v>137.41893005371091</v>
      </c>
      <c r="D730">
        <v>106.5621032714844</v>
      </c>
    </row>
    <row r="731" spans="1:4" x14ac:dyDescent="0.35">
      <c r="A731" s="3">
        <v>44901</v>
      </c>
      <c r="B731">
        <v>1193.93505859375</v>
      </c>
      <c r="C731">
        <v>135.8108825683594</v>
      </c>
      <c r="D731">
        <v>104.5752716064453</v>
      </c>
    </row>
    <row r="732" spans="1:4" x14ac:dyDescent="0.35">
      <c r="A732" s="3">
        <v>44902</v>
      </c>
      <c r="B732">
        <v>1219.131713867188</v>
      </c>
      <c r="C732">
        <v>133.92716979980469</v>
      </c>
      <c r="D732">
        <v>103.1214981079102</v>
      </c>
    </row>
    <row r="733" spans="1:4" x14ac:dyDescent="0.35">
      <c r="A733" s="3">
        <v>44903</v>
      </c>
      <c r="B733">
        <v>1222.31201171875</v>
      </c>
      <c r="C733">
        <v>134.11094665527341</v>
      </c>
      <c r="D733">
        <v>101.9584655761719</v>
      </c>
    </row>
    <row r="734" spans="1:4" x14ac:dyDescent="0.35">
      <c r="A734" s="3">
        <v>44904</v>
      </c>
      <c r="B734">
        <v>1221.1376953125</v>
      </c>
      <c r="C734">
        <v>130.4813537597656</v>
      </c>
      <c r="D734">
        <v>107.0951690673828</v>
      </c>
    </row>
    <row r="735" spans="1:4" x14ac:dyDescent="0.35">
      <c r="A735" s="3">
        <v>44907</v>
      </c>
      <c r="B735">
        <v>1203.426635742188</v>
      </c>
      <c r="C735">
        <v>132.1353454589844</v>
      </c>
      <c r="D735">
        <v>109.9058074951172</v>
      </c>
    </row>
    <row r="736" spans="1:4" x14ac:dyDescent="0.35">
      <c r="A736" s="3">
        <v>44908</v>
      </c>
      <c r="B736">
        <v>1198.142700195313</v>
      </c>
      <c r="C736">
        <v>134.8460388183594</v>
      </c>
      <c r="D736">
        <v>108.93662261962891</v>
      </c>
    </row>
    <row r="737" spans="1:4" x14ac:dyDescent="0.35">
      <c r="A737" s="3">
        <v>44909</v>
      </c>
      <c r="B737">
        <v>1216.979125976563</v>
      </c>
      <c r="C737">
        <v>146.9293518066406</v>
      </c>
      <c r="D737">
        <v>118.6769485473633</v>
      </c>
    </row>
    <row r="738" spans="1:4" x14ac:dyDescent="0.35">
      <c r="A738" s="3">
        <v>44910</v>
      </c>
      <c r="B738">
        <v>1207.68310546875</v>
      </c>
      <c r="C738">
        <v>162.7341613769531</v>
      </c>
      <c r="D738">
        <v>121.19683837890631</v>
      </c>
    </row>
    <row r="739" spans="1:4" x14ac:dyDescent="0.35">
      <c r="A739" s="3">
        <v>44911</v>
      </c>
      <c r="B739">
        <v>1209.884887695313</v>
      </c>
      <c r="C739">
        <v>153.13182067871091</v>
      </c>
      <c r="D739">
        <v>118.9192428588867</v>
      </c>
    </row>
    <row r="740" spans="1:4" x14ac:dyDescent="0.35">
      <c r="A740" s="3">
        <v>44914</v>
      </c>
      <c r="B740">
        <v>1221.529296875</v>
      </c>
      <c r="C740">
        <v>172.15269470214841</v>
      </c>
      <c r="D740">
        <v>129.82258605957031</v>
      </c>
    </row>
    <row r="741" spans="1:4" x14ac:dyDescent="0.35">
      <c r="A741" s="3">
        <v>44915</v>
      </c>
      <c r="B741">
        <v>1209.884887695313</v>
      </c>
      <c r="C741">
        <v>172.56617736816409</v>
      </c>
      <c r="D741">
        <v>131.03407287597659</v>
      </c>
    </row>
    <row r="742" spans="1:4" x14ac:dyDescent="0.35">
      <c r="A742" s="3">
        <v>44916</v>
      </c>
      <c r="B742">
        <v>1198.09375</v>
      </c>
      <c r="C742">
        <v>154.32637023925781</v>
      </c>
      <c r="D742">
        <v>117.12624359130859</v>
      </c>
    </row>
    <row r="743" spans="1:4" x14ac:dyDescent="0.35">
      <c r="A743" s="3">
        <v>44917</v>
      </c>
      <c r="B743">
        <v>1213.113891601563</v>
      </c>
      <c r="C743">
        <v>161.44770812988281</v>
      </c>
      <c r="D743">
        <v>113.9279403686523</v>
      </c>
    </row>
    <row r="744" spans="1:4" x14ac:dyDescent="0.35">
      <c r="A744" s="3">
        <v>44918</v>
      </c>
      <c r="B744">
        <v>1197.310913085938</v>
      </c>
      <c r="C744">
        <v>143.34571838378909</v>
      </c>
      <c r="D744">
        <v>104.33298492431641</v>
      </c>
    </row>
    <row r="745" spans="1:4" x14ac:dyDescent="0.35">
      <c r="A745" s="3">
        <v>44921</v>
      </c>
      <c r="B745">
        <v>1212.08642578125</v>
      </c>
      <c r="C745">
        <v>152.58049011230469</v>
      </c>
      <c r="D745">
        <v>110.5842361450195</v>
      </c>
    </row>
    <row r="746" spans="1:4" x14ac:dyDescent="0.35">
      <c r="A746" s="3">
        <v>44922</v>
      </c>
      <c r="B746">
        <v>1216.049560546875</v>
      </c>
      <c r="C746">
        <v>151.06431579589841</v>
      </c>
      <c r="D746">
        <v>110.0027236938477</v>
      </c>
    </row>
    <row r="747" spans="1:4" x14ac:dyDescent="0.35">
      <c r="A747" s="3">
        <v>44923</v>
      </c>
      <c r="B747">
        <v>1209.542236328125</v>
      </c>
      <c r="C747">
        <v>158.50727844238281</v>
      </c>
      <c r="D747">
        <v>113.39487457275391</v>
      </c>
    </row>
    <row r="748" spans="1:4" x14ac:dyDescent="0.35">
      <c r="A748" s="3">
        <v>44924</v>
      </c>
      <c r="B748">
        <v>1209.199951171875</v>
      </c>
      <c r="C748">
        <v>154.32637023925781</v>
      </c>
      <c r="D748">
        <v>111.7957229614258</v>
      </c>
    </row>
    <row r="749" spans="1:4" x14ac:dyDescent="0.35">
      <c r="A749" s="3">
        <v>44925</v>
      </c>
      <c r="B749">
        <v>1210.227416992188</v>
      </c>
      <c r="C749">
        <v>164.25030517578131</v>
      </c>
      <c r="D749">
        <v>121.87525939941411</v>
      </c>
    </row>
    <row r="750" spans="1:4" x14ac:dyDescent="0.35">
      <c r="A750" s="3">
        <v>44928</v>
      </c>
      <c r="B750">
        <v>1214.679321289063</v>
      </c>
      <c r="C750">
        <v>172.56617736816409</v>
      </c>
      <c r="D750">
        <v>126.0912399291992</v>
      </c>
    </row>
    <row r="751" spans="1:4" x14ac:dyDescent="0.35">
      <c r="A751" s="3">
        <v>44929</v>
      </c>
      <c r="B751">
        <v>1240.365600585938</v>
      </c>
      <c r="C751">
        <v>180.37669372558591</v>
      </c>
      <c r="D751">
        <v>127.6419219970703</v>
      </c>
    </row>
    <row r="752" spans="1:4" x14ac:dyDescent="0.35">
      <c r="A752" s="3">
        <v>44930</v>
      </c>
      <c r="B752">
        <v>1222.31201171875</v>
      </c>
      <c r="C752">
        <v>184.74139404296881</v>
      </c>
      <c r="D752">
        <v>133.65087890625</v>
      </c>
    </row>
    <row r="753" spans="1:4" x14ac:dyDescent="0.35">
      <c r="A753" s="3">
        <v>44931</v>
      </c>
      <c r="B753">
        <v>1249.563598632813</v>
      </c>
      <c r="C753">
        <v>179.45780944824219</v>
      </c>
      <c r="D753">
        <v>131.1310119628906</v>
      </c>
    </row>
    <row r="754" spans="1:4" x14ac:dyDescent="0.35">
      <c r="A754" s="3">
        <v>44932</v>
      </c>
      <c r="B754">
        <v>1244.37744140625</v>
      </c>
      <c r="C754">
        <v>166.08805847167969</v>
      </c>
      <c r="D754">
        <v>123.9105606079102</v>
      </c>
    </row>
    <row r="755" spans="1:4" x14ac:dyDescent="0.35">
      <c r="A755" s="3">
        <v>44935</v>
      </c>
      <c r="B755">
        <v>1233.61376953125</v>
      </c>
      <c r="C755">
        <v>171.23381042480469</v>
      </c>
      <c r="D755">
        <v>126.47890472412109</v>
      </c>
    </row>
    <row r="756" spans="1:4" x14ac:dyDescent="0.35">
      <c r="A756" s="3">
        <v>44936</v>
      </c>
      <c r="B756">
        <v>1215.022094726563</v>
      </c>
      <c r="C756">
        <v>165.3070068359375</v>
      </c>
      <c r="D756">
        <v>123.0867462158203</v>
      </c>
    </row>
    <row r="757" spans="1:4" x14ac:dyDescent="0.35">
      <c r="A757" s="3">
        <v>44937</v>
      </c>
      <c r="B757">
        <v>1215.266723632813</v>
      </c>
      <c r="C757">
        <v>167.87989807128909</v>
      </c>
      <c r="D757">
        <v>124.34669494628911</v>
      </c>
    </row>
    <row r="758" spans="1:4" x14ac:dyDescent="0.35">
      <c r="A758" s="3">
        <v>44938</v>
      </c>
      <c r="B758">
        <v>1211.841918945313</v>
      </c>
      <c r="C758">
        <v>172.61213684082031</v>
      </c>
      <c r="D758">
        <v>126.13967132568359</v>
      </c>
    </row>
    <row r="759" spans="1:4" x14ac:dyDescent="0.35">
      <c r="A759" s="3">
        <v>44939</v>
      </c>
      <c r="B759">
        <v>1228.18310546875</v>
      </c>
      <c r="C759">
        <v>171.87702941894531</v>
      </c>
      <c r="D759">
        <v>126.38198089599609</v>
      </c>
    </row>
    <row r="760" spans="1:4" x14ac:dyDescent="0.35">
      <c r="A760" s="3">
        <v>44942</v>
      </c>
      <c r="B760">
        <v>1222.654663085938</v>
      </c>
      <c r="C760">
        <v>167.23667907714841</v>
      </c>
      <c r="D760">
        <v>124.5889892578125</v>
      </c>
    </row>
    <row r="761" spans="1:4" x14ac:dyDescent="0.35">
      <c r="A761" s="3">
        <v>44943</v>
      </c>
      <c r="B761">
        <v>1222.458862304688</v>
      </c>
      <c r="C761">
        <v>163.9286804199219</v>
      </c>
      <c r="D761">
        <v>121.4875946044922</v>
      </c>
    </row>
    <row r="762" spans="1:4" x14ac:dyDescent="0.35">
      <c r="A762" s="3">
        <v>44944</v>
      </c>
      <c r="B762">
        <v>1174.364990234375</v>
      </c>
      <c r="C762">
        <v>165.2610778808594</v>
      </c>
      <c r="D762">
        <v>122.60215759277339</v>
      </c>
    </row>
    <row r="763" spans="1:4" x14ac:dyDescent="0.35">
      <c r="A763" s="3">
        <v>44945</v>
      </c>
      <c r="B763">
        <v>1144.471069335938</v>
      </c>
      <c r="C763">
        <v>162.41252136230469</v>
      </c>
      <c r="D763">
        <v>119.69460296630859</v>
      </c>
    </row>
    <row r="764" spans="1:4" x14ac:dyDescent="0.35">
      <c r="A764" s="3">
        <v>44946</v>
      </c>
      <c r="B764">
        <v>1128.71728515625</v>
      </c>
      <c r="C764">
        <v>160.1153259277344</v>
      </c>
      <c r="D764">
        <v>120.5184020996094</v>
      </c>
    </row>
    <row r="765" spans="1:4" x14ac:dyDescent="0.35">
      <c r="A765" s="3">
        <v>44949</v>
      </c>
      <c r="B765">
        <v>1135.077392578125</v>
      </c>
      <c r="C765">
        <v>162.18281555175781</v>
      </c>
      <c r="D765">
        <v>119.64613342285161</v>
      </c>
    </row>
    <row r="766" spans="1:4" x14ac:dyDescent="0.35">
      <c r="A766" s="3">
        <v>44950</v>
      </c>
      <c r="B766">
        <v>1119.029663085938</v>
      </c>
      <c r="C766">
        <v>169.25822448730469</v>
      </c>
      <c r="D766">
        <v>122.3598556518555</v>
      </c>
    </row>
    <row r="767" spans="1:4" x14ac:dyDescent="0.35">
      <c r="A767" s="3">
        <v>44951</v>
      </c>
      <c r="B767">
        <v>1112.5224609375</v>
      </c>
      <c r="C767">
        <v>163.56114196777341</v>
      </c>
      <c r="D767">
        <v>118.2408142089844</v>
      </c>
    </row>
    <row r="768" spans="1:4" x14ac:dyDescent="0.35">
      <c r="A768" s="3">
        <v>44953</v>
      </c>
      <c r="B768">
        <v>1107.385498046875</v>
      </c>
      <c r="C768">
        <v>159.10456848144531</v>
      </c>
      <c r="D768">
        <v>113.44334411621089</v>
      </c>
    </row>
    <row r="769" spans="1:4" x14ac:dyDescent="0.35">
      <c r="A769" s="3">
        <v>44956</v>
      </c>
      <c r="B769">
        <v>1109.24462890625</v>
      </c>
      <c r="C769">
        <v>167.69610595703131</v>
      </c>
      <c r="D769">
        <v>113.7825622558594</v>
      </c>
    </row>
    <row r="770" spans="1:4" x14ac:dyDescent="0.35">
      <c r="A770" s="3">
        <v>44957</v>
      </c>
      <c r="B770">
        <v>1105.477294921875</v>
      </c>
      <c r="C770">
        <v>169.21226501464841</v>
      </c>
      <c r="D770">
        <v>115.13941955566411</v>
      </c>
    </row>
    <row r="771" spans="1:4" x14ac:dyDescent="0.35">
      <c r="A771" s="3">
        <v>44958</v>
      </c>
      <c r="B771">
        <v>1101.171752929688</v>
      </c>
      <c r="C771">
        <v>148.2157897949219</v>
      </c>
      <c r="D771">
        <v>106.2228927612305</v>
      </c>
    </row>
    <row r="772" spans="1:4" x14ac:dyDescent="0.35">
      <c r="A772" s="3">
        <v>44959</v>
      </c>
      <c r="B772">
        <v>1106.064331054688</v>
      </c>
      <c r="C772">
        <v>146.6077575683594</v>
      </c>
      <c r="D772">
        <v>106.5621032714844</v>
      </c>
    </row>
    <row r="773" spans="1:4" x14ac:dyDescent="0.35">
      <c r="A773" s="3">
        <v>44960</v>
      </c>
      <c r="B773">
        <v>1109.097778320313</v>
      </c>
      <c r="C773">
        <v>144.7699890136719</v>
      </c>
      <c r="D773">
        <v>105.0598678588867</v>
      </c>
    </row>
    <row r="774" spans="1:4" x14ac:dyDescent="0.35">
      <c r="A774" s="3">
        <v>44963</v>
      </c>
      <c r="B774">
        <v>1109.831665039063</v>
      </c>
      <c r="C774">
        <v>150.8346252441406</v>
      </c>
      <c r="D774">
        <v>107.9674377441406</v>
      </c>
    </row>
    <row r="775" spans="1:4" x14ac:dyDescent="0.35">
      <c r="A775" s="3">
        <v>44964</v>
      </c>
      <c r="B775">
        <v>1095.594360351563</v>
      </c>
      <c r="C775">
        <v>147.34284973144531</v>
      </c>
      <c r="D775">
        <v>104.3814392089844</v>
      </c>
    </row>
    <row r="776" spans="1:4" x14ac:dyDescent="0.35">
      <c r="A776" s="3">
        <v>44965</v>
      </c>
      <c r="B776">
        <v>1106.749389648438</v>
      </c>
      <c r="C776">
        <v>146.6077575683594</v>
      </c>
      <c r="D776">
        <v>103.46071624755859</v>
      </c>
    </row>
    <row r="777" spans="1:4" x14ac:dyDescent="0.35">
      <c r="A777" s="3">
        <v>44966</v>
      </c>
      <c r="B777">
        <v>1110.859008789063</v>
      </c>
      <c r="C777">
        <v>150.42109680175781</v>
      </c>
      <c r="D777">
        <v>103.606086730957</v>
      </c>
    </row>
    <row r="778" spans="1:4" x14ac:dyDescent="0.35">
      <c r="A778" s="3">
        <v>44967</v>
      </c>
      <c r="B778">
        <v>1127.640625</v>
      </c>
      <c r="C778">
        <v>145.551025390625</v>
      </c>
      <c r="D778">
        <v>99.341667175292969</v>
      </c>
    </row>
    <row r="779" spans="1:4" x14ac:dyDescent="0.35">
      <c r="A779" s="3">
        <v>44970</v>
      </c>
      <c r="B779">
        <v>1118.58935546875</v>
      </c>
      <c r="C779">
        <v>136.63786315917969</v>
      </c>
      <c r="D779">
        <v>98.03326416015625</v>
      </c>
    </row>
    <row r="780" spans="1:4" x14ac:dyDescent="0.35">
      <c r="A780" s="3">
        <v>44971</v>
      </c>
      <c r="B780">
        <v>1117.121704101563</v>
      </c>
      <c r="C780">
        <v>130.11381530761719</v>
      </c>
      <c r="D780">
        <v>97.694053649902344</v>
      </c>
    </row>
    <row r="781" spans="1:4" x14ac:dyDescent="0.35">
      <c r="A781" s="3">
        <v>44972</v>
      </c>
      <c r="B781">
        <v>1110.810180664063</v>
      </c>
      <c r="C781">
        <v>144.0348815917969</v>
      </c>
      <c r="D781">
        <v>103.1699523925781</v>
      </c>
    </row>
    <row r="782" spans="1:4" x14ac:dyDescent="0.35">
      <c r="A782" s="3">
        <v>44973</v>
      </c>
      <c r="B782">
        <v>1094.371337890625</v>
      </c>
      <c r="C782">
        <v>142.24305725097659</v>
      </c>
      <c r="D782">
        <v>104.4299011230469</v>
      </c>
    </row>
    <row r="783" spans="1:4" x14ac:dyDescent="0.35">
      <c r="A783" s="3">
        <v>44974</v>
      </c>
      <c r="B783">
        <v>1093.392700195313</v>
      </c>
      <c r="C783">
        <v>137.41893005371091</v>
      </c>
      <c r="D783">
        <v>100.7954406738281</v>
      </c>
    </row>
    <row r="784" spans="1:4" x14ac:dyDescent="0.35">
      <c r="A784" s="3">
        <v>44977</v>
      </c>
      <c r="B784">
        <v>1089.821166992188</v>
      </c>
      <c r="C784">
        <v>135.85682678222659</v>
      </c>
      <c r="D784">
        <v>100.2139434814453</v>
      </c>
    </row>
    <row r="785" spans="1:4" x14ac:dyDescent="0.35">
      <c r="A785" s="3">
        <v>44978</v>
      </c>
      <c r="B785">
        <v>1076.513305664063</v>
      </c>
      <c r="C785">
        <v>137.8324279785156</v>
      </c>
      <c r="D785">
        <v>101.71616363525391</v>
      </c>
    </row>
    <row r="786" spans="1:4" x14ac:dyDescent="0.35">
      <c r="A786" s="3">
        <v>44979</v>
      </c>
      <c r="B786">
        <v>1074.849853515625</v>
      </c>
      <c r="C786">
        <v>137.92431640625</v>
      </c>
      <c r="D786">
        <v>99.535507202148438</v>
      </c>
    </row>
    <row r="787" spans="1:4" x14ac:dyDescent="0.35">
      <c r="A787" s="3">
        <v>44980</v>
      </c>
      <c r="B787">
        <v>1070.59326171875</v>
      </c>
      <c r="C787">
        <v>137.51080322265631</v>
      </c>
      <c r="D787">
        <v>98.420944213867188</v>
      </c>
    </row>
    <row r="788" spans="1:4" x14ac:dyDescent="0.35">
      <c r="A788" s="3">
        <v>44981</v>
      </c>
      <c r="B788">
        <v>1065.70068359375</v>
      </c>
      <c r="C788">
        <v>134.01905822753909</v>
      </c>
      <c r="D788">
        <v>96.821784973144531</v>
      </c>
    </row>
    <row r="789" spans="1:4" x14ac:dyDescent="0.35">
      <c r="A789" s="3">
        <v>44984</v>
      </c>
      <c r="B789">
        <v>1073.822509765625</v>
      </c>
      <c r="C789">
        <v>129.88409423828131</v>
      </c>
      <c r="D789">
        <v>95.271087646484375</v>
      </c>
    </row>
    <row r="790" spans="1:4" x14ac:dyDescent="0.35">
      <c r="A790" s="3">
        <v>44985</v>
      </c>
      <c r="B790">
        <v>1078.176879882813</v>
      </c>
      <c r="C790">
        <v>133.8812255859375</v>
      </c>
      <c r="D790">
        <v>98.324020385742188</v>
      </c>
    </row>
    <row r="791" spans="1:4" x14ac:dyDescent="0.35">
      <c r="A791" s="3">
        <v>44986</v>
      </c>
      <c r="B791">
        <v>1076.806884765625</v>
      </c>
      <c r="C791">
        <v>131.67591857910159</v>
      </c>
      <c r="D791">
        <v>99.777801513671875</v>
      </c>
    </row>
    <row r="792" spans="1:4" x14ac:dyDescent="0.35">
      <c r="A792" s="3">
        <v>44987</v>
      </c>
      <c r="B792">
        <v>1063.498779296875</v>
      </c>
      <c r="C792">
        <v>131.40025329589841</v>
      </c>
      <c r="D792">
        <v>97.98480224609375</v>
      </c>
    </row>
    <row r="793" spans="1:4" x14ac:dyDescent="0.35">
      <c r="A793" s="3">
        <v>44988</v>
      </c>
      <c r="B793">
        <v>1055.91552734375</v>
      </c>
      <c r="C793">
        <v>133.69744873046881</v>
      </c>
      <c r="D793">
        <v>101.28004455566411</v>
      </c>
    </row>
    <row r="794" spans="1:4" x14ac:dyDescent="0.35">
      <c r="A794" s="3">
        <v>44991</v>
      </c>
      <c r="B794">
        <v>1069.076782226563</v>
      </c>
      <c r="C794">
        <v>133.55961608886719</v>
      </c>
      <c r="D794">
        <v>100.40777587890631</v>
      </c>
    </row>
    <row r="795" spans="1:4" x14ac:dyDescent="0.35">
      <c r="A795" s="3">
        <v>44993</v>
      </c>
      <c r="B795">
        <v>1069.908447265625</v>
      </c>
      <c r="C795">
        <v>132.04345703125</v>
      </c>
      <c r="D795">
        <v>98.857070922851563</v>
      </c>
    </row>
    <row r="796" spans="1:4" x14ac:dyDescent="0.35">
      <c r="A796" s="3">
        <v>44994</v>
      </c>
      <c r="B796">
        <v>1060.75927734375</v>
      </c>
      <c r="C796">
        <v>133.28395080566409</v>
      </c>
      <c r="D796">
        <v>102.1523132324219</v>
      </c>
    </row>
    <row r="797" spans="1:4" x14ac:dyDescent="0.35">
      <c r="A797" s="3">
        <v>44995</v>
      </c>
      <c r="B797">
        <v>1052.050415039063</v>
      </c>
      <c r="C797">
        <v>131.12455749511719</v>
      </c>
      <c r="D797">
        <v>100.8439102172852</v>
      </c>
    </row>
    <row r="798" spans="1:4" x14ac:dyDescent="0.35">
      <c r="A798" s="3">
        <v>44998</v>
      </c>
      <c r="B798">
        <v>1057.872436523438</v>
      </c>
      <c r="C798">
        <v>129.28680419921881</v>
      </c>
      <c r="D798">
        <v>97.839424133300781</v>
      </c>
    </row>
    <row r="799" spans="1:4" x14ac:dyDescent="0.35">
      <c r="A799" s="3">
        <v>44999</v>
      </c>
      <c r="B799">
        <v>1048.968139648438</v>
      </c>
      <c r="C799">
        <v>126.3004455566406</v>
      </c>
      <c r="D799">
        <v>97.839424133300781</v>
      </c>
    </row>
    <row r="800" spans="1:4" x14ac:dyDescent="0.35">
      <c r="A800" s="3">
        <v>45000</v>
      </c>
      <c r="B800">
        <v>1037.861938476563</v>
      </c>
      <c r="C800">
        <v>124.6923828125</v>
      </c>
      <c r="D800">
        <v>97.98480224609375</v>
      </c>
    </row>
    <row r="801" spans="1:4" x14ac:dyDescent="0.35">
      <c r="A801" s="3">
        <v>45001</v>
      </c>
      <c r="B801">
        <v>1038.498046875</v>
      </c>
      <c r="C801">
        <v>121.43035888671881</v>
      </c>
      <c r="D801">
        <v>96.094886779785156</v>
      </c>
    </row>
    <row r="802" spans="1:4" x14ac:dyDescent="0.35">
      <c r="A802" s="3">
        <v>45002</v>
      </c>
      <c r="B802">
        <v>1048.087280273438</v>
      </c>
      <c r="C802">
        <v>124.04917144775391</v>
      </c>
      <c r="D802">
        <v>97.257911682128906</v>
      </c>
    </row>
    <row r="803" spans="1:4" x14ac:dyDescent="0.35">
      <c r="A803" s="3">
        <v>45005</v>
      </c>
      <c r="B803">
        <v>1055.91552734375</v>
      </c>
      <c r="C803">
        <v>120.7871398925781</v>
      </c>
      <c r="D803">
        <v>96.773323059082031</v>
      </c>
    </row>
    <row r="804" spans="1:4" x14ac:dyDescent="0.35">
      <c r="A804" s="3">
        <v>45006</v>
      </c>
      <c r="B804">
        <v>1059.878540039063</v>
      </c>
      <c r="C804">
        <v>124.6923828125</v>
      </c>
      <c r="D804">
        <v>101.32850646972661</v>
      </c>
    </row>
    <row r="805" spans="1:4" x14ac:dyDescent="0.35">
      <c r="A805" s="3">
        <v>45007</v>
      </c>
      <c r="B805">
        <v>1058.459594726563</v>
      </c>
      <c r="C805">
        <v>127.72471618652339</v>
      </c>
      <c r="D805">
        <v>101.91001892089839</v>
      </c>
    </row>
    <row r="806" spans="1:4" x14ac:dyDescent="0.35">
      <c r="A806" s="3">
        <v>45008</v>
      </c>
      <c r="B806">
        <v>1060.612426757813</v>
      </c>
      <c r="C806">
        <v>126.6680068969727</v>
      </c>
      <c r="D806">
        <v>99.535507202148438</v>
      </c>
    </row>
    <row r="807" spans="1:4" x14ac:dyDescent="0.35">
      <c r="A807" s="3">
        <v>45009</v>
      </c>
      <c r="B807">
        <v>1053.273681640625</v>
      </c>
      <c r="C807">
        <v>123.314079284668</v>
      </c>
      <c r="D807">
        <v>97.257911682128906</v>
      </c>
    </row>
    <row r="808" spans="1:4" x14ac:dyDescent="0.35">
      <c r="A808" s="3">
        <v>45012</v>
      </c>
      <c r="B808">
        <v>1051.169677734375</v>
      </c>
      <c r="C808">
        <v>122.0276412963867</v>
      </c>
      <c r="D808">
        <v>95.271087646484375</v>
      </c>
    </row>
    <row r="809" spans="1:4" x14ac:dyDescent="0.35">
      <c r="A809" s="3">
        <v>45013</v>
      </c>
      <c r="B809">
        <v>1042.461059570313</v>
      </c>
      <c r="C809">
        <v>118.1223907470703</v>
      </c>
      <c r="D809">
        <v>92.072769165039063</v>
      </c>
    </row>
    <row r="810" spans="1:4" x14ac:dyDescent="0.35">
      <c r="A810" s="3">
        <v>45014</v>
      </c>
      <c r="B810">
        <v>1050.142211914063</v>
      </c>
      <c r="C810">
        <v>125.19777679443359</v>
      </c>
      <c r="D810">
        <v>94.834945678710938</v>
      </c>
    </row>
    <row r="811" spans="1:4" x14ac:dyDescent="0.35">
      <c r="A811" s="3">
        <v>45016</v>
      </c>
      <c r="B811">
        <v>1046.521850585938</v>
      </c>
      <c r="C811">
        <v>122.8086853027344</v>
      </c>
      <c r="D811">
        <v>94.301902770996094</v>
      </c>
    </row>
    <row r="812" spans="1:4" x14ac:dyDescent="0.35">
      <c r="A812" s="3">
        <v>45019</v>
      </c>
      <c r="B812">
        <v>1056.502563476563</v>
      </c>
      <c r="C812">
        <v>125.19777679443359</v>
      </c>
      <c r="D812">
        <v>95.75567626953125</v>
      </c>
    </row>
    <row r="813" spans="1:4" x14ac:dyDescent="0.35">
      <c r="A813" s="3">
        <v>45021</v>
      </c>
      <c r="B813">
        <v>1069.565795898438</v>
      </c>
      <c r="C813">
        <v>129.88409423828131</v>
      </c>
      <c r="D813">
        <v>98.614776611328125</v>
      </c>
    </row>
    <row r="814" spans="1:4" x14ac:dyDescent="0.35">
      <c r="A814" s="3">
        <v>45022</v>
      </c>
      <c r="B814">
        <v>1065.260375976563</v>
      </c>
      <c r="C814">
        <v>129.05708312988281</v>
      </c>
      <c r="D814">
        <v>98.420944213867188</v>
      </c>
    </row>
    <row r="815" spans="1:4" x14ac:dyDescent="0.35">
      <c r="A815" s="3">
        <v>45026</v>
      </c>
      <c r="B815">
        <v>1075.2412109375</v>
      </c>
      <c r="C815">
        <v>131.12455749511719</v>
      </c>
      <c r="D815">
        <v>99.147834777832031</v>
      </c>
    </row>
    <row r="816" spans="1:4" x14ac:dyDescent="0.35">
      <c r="A816" s="3">
        <v>45027</v>
      </c>
      <c r="B816">
        <v>1062.422607421875</v>
      </c>
      <c r="C816">
        <v>133.42176818847659</v>
      </c>
      <c r="D816">
        <v>99.2447509765625</v>
      </c>
    </row>
    <row r="817" spans="1:4" x14ac:dyDescent="0.35">
      <c r="A817" s="3">
        <v>45028</v>
      </c>
      <c r="B817">
        <v>1067.4130859375</v>
      </c>
      <c r="C817">
        <v>134.2947082519531</v>
      </c>
      <c r="D817">
        <v>99.535507202148438</v>
      </c>
    </row>
    <row r="818" spans="1:4" x14ac:dyDescent="0.35">
      <c r="A818" s="3">
        <v>45029</v>
      </c>
      <c r="B818">
        <v>1064.477416992188</v>
      </c>
      <c r="C818">
        <v>133.00828552246091</v>
      </c>
      <c r="D818">
        <v>99.341667175292969</v>
      </c>
    </row>
    <row r="819" spans="1:4" x14ac:dyDescent="0.35">
      <c r="A819" s="3">
        <v>45033</v>
      </c>
      <c r="B819">
        <v>1080.37841796875</v>
      </c>
      <c r="C819">
        <v>132.73262023925781</v>
      </c>
      <c r="D819">
        <v>99.971641540527344</v>
      </c>
    </row>
    <row r="820" spans="1:4" x14ac:dyDescent="0.35">
      <c r="A820" s="3">
        <v>45034</v>
      </c>
      <c r="B820">
        <v>1106.455810546875</v>
      </c>
      <c r="C820">
        <v>134.5244445800781</v>
      </c>
      <c r="D820">
        <v>99.971641540527344</v>
      </c>
    </row>
    <row r="821" spans="1:4" x14ac:dyDescent="0.35">
      <c r="A821" s="3">
        <v>45035</v>
      </c>
      <c r="B821">
        <v>1053.077880859375</v>
      </c>
      <c r="C821">
        <v>136.27030944824219</v>
      </c>
      <c r="D821">
        <v>101.6192626953125</v>
      </c>
    </row>
    <row r="822" spans="1:4" x14ac:dyDescent="0.35">
      <c r="A822" s="3">
        <v>45036</v>
      </c>
      <c r="B822">
        <v>1053.126708984375</v>
      </c>
      <c r="C822">
        <v>137.64863586425781</v>
      </c>
      <c r="D822">
        <v>100.45623779296881</v>
      </c>
    </row>
    <row r="823" spans="1:4" x14ac:dyDescent="0.35">
      <c r="A823" s="3">
        <v>45037</v>
      </c>
      <c r="B823">
        <v>1036.834594726563</v>
      </c>
      <c r="C823">
        <v>138.15403747558591</v>
      </c>
      <c r="D823">
        <v>99.729339599609375</v>
      </c>
    </row>
    <row r="824" spans="1:4" x14ac:dyDescent="0.35">
      <c r="A824" s="3">
        <v>45040</v>
      </c>
      <c r="B824">
        <v>1046.424072265625</v>
      </c>
      <c r="C824">
        <v>138.84320068359381</v>
      </c>
      <c r="D824">
        <v>99.777801513671875</v>
      </c>
    </row>
    <row r="825" spans="1:4" x14ac:dyDescent="0.35">
      <c r="A825" s="3">
        <v>45041</v>
      </c>
      <c r="B825">
        <v>1050.6806640625</v>
      </c>
      <c r="C825">
        <v>138.15403747558591</v>
      </c>
      <c r="D825">
        <v>99.874717712402344</v>
      </c>
    </row>
    <row r="826" spans="1:4" x14ac:dyDescent="0.35">
      <c r="A826" s="3">
        <v>45042</v>
      </c>
      <c r="B826">
        <v>1047.793823242188</v>
      </c>
      <c r="C826">
        <v>141.04850769042969</v>
      </c>
      <c r="D826">
        <v>102.5399932861328</v>
      </c>
    </row>
    <row r="827" spans="1:4" x14ac:dyDescent="0.35">
      <c r="A827" s="3">
        <v>45043</v>
      </c>
      <c r="B827">
        <v>1043.19482421875</v>
      </c>
      <c r="C827">
        <v>140.49717712402341</v>
      </c>
      <c r="D827">
        <v>101.76463317871089</v>
      </c>
    </row>
    <row r="828" spans="1:4" x14ac:dyDescent="0.35">
      <c r="A828" s="3">
        <v>45044</v>
      </c>
      <c r="B828">
        <v>1055.96435546875</v>
      </c>
      <c r="C828">
        <v>141.04850769042969</v>
      </c>
      <c r="D828">
        <v>102.5399932861328</v>
      </c>
    </row>
    <row r="829" spans="1:4" x14ac:dyDescent="0.35">
      <c r="A829" s="3">
        <v>45048</v>
      </c>
      <c r="B829">
        <v>1063.694702148438</v>
      </c>
      <c r="C829">
        <v>143.39167785644531</v>
      </c>
      <c r="D829">
        <v>107.19207763671881</v>
      </c>
    </row>
    <row r="830" spans="1:4" x14ac:dyDescent="0.35">
      <c r="A830" s="3">
        <v>45049</v>
      </c>
      <c r="B830">
        <v>1065.064575195313</v>
      </c>
      <c r="C830">
        <v>142.0592956542969</v>
      </c>
      <c r="D830">
        <v>106.5621032714844</v>
      </c>
    </row>
    <row r="831" spans="1:4" x14ac:dyDescent="0.35">
      <c r="A831" s="3">
        <v>45050</v>
      </c>
      <c r="B831">
        <v>1066.3857421875</v>
      </c>
      <c r="C831">
        <v>169.7176513671875</v>
      </c>
      <c r="D831">
        <v>122.74753570556641</v>
      </c>
    </row>
    <row r="832" spans="1:4" x14ac:dyDescent="0.35">
      <c r="A832" s="3">
        <v>45051</v>
      </c>
      <c r="B832">
        <v>1049.114868164063</v>
      </c>
      <c r="C832">
        <v>160.39100646972659</v>
      </c>
      <c r="D832">
        <v>115.187873840332</v>
      </c>
    </row>
    <row r="833" spans="1:4" x14ac:dyDescent="0.35">
      <c r="A833" s="3">
        <v>45054</v>
      </c>
      <c r="B833">
        <v>1059.6337890625</v>
      </c>
      <c r="C833">
        <v>156.39384460449219</v>
      </c>
      <c r="D833">
        <v>112.3287734985352</v>
      </c>
    </row>
    <row r="834" spans="1:4" x14ac:dyDescent="0.35">
      <c r="A834" s="3">
        <v>45055</v>
      </c>
      <c r="B834">
        <v>1074.947631835938</v>
      </c>
      <c r="C834">
        <v>155.79658508300781</v>
      </c>
      <c r="D834">
        <v>110.7296142578125</v>
      </c>
    </row>
    <row r="835" spans="1:4" x14ac:dyDescent="0.35">
      <c r="A835" s="3">
        <v>45056</v>
      </c>
      <c r="B835">
        <v>1084.24365234375</v>
      </c>
      <c r="C835">
        <v>159.01268005371091</v>
      </c>
      <c r="D835">
        <v>113.6856384277344</v>
      </c>
    </row>
    <row r="836" spans="1:4" x14ac:dyDescent="0.35">
      <c r="A836" s="3">
        <v>45057</v>
      </c>
      <c r="B836">
        <v>1086.24951171875</v>
      </c>
      <c r="C836">
        <v>161.67742919921881</v>
      </c>
      <c r="D836">
        <v>113.54026031494141</v>
      </c>
    </row>
    <row r="837" spans="1:4" x14ac:dyDescent="0.35">
      <c r="A837" s="3">
        <v>45058</v>
      </c>
      <c r="B837">
        <v>1094.175415039063</v>
      </c>
      <c r="C837">
        <v>157.4046325683594</v>
      </c>
      <c r="D837">
        <v>111.5049667358398</v>
      </c>
    </row>
    <row r="838" spans="1:4" x14ac:dyDescent="0.35">
      <c r="A838" s="3">
        <v>45061</v>
      </c>
      <c r="B838">
        <v>1095.154052734375</v>
      </c>
      <c r="C838">
        <v>158.59918212890631</v>
      </c>
      <c r="D838">
        <v>111.98956298828131</v>
      </c>
    </row>
    <row r="839" spans="1:4" x14ac:dyDescent="0.35">
      <c r="A839" s="3">
        <v>45062</v>
      </c>
      <c r="B839">
        <v>1093.245971679688</v>
      </c>
      <c r="C839">
        <v>161.0342102050781</v>
      </c>
      <c r="D839">
        <v>115.236328125</v>
      </c>
    </row>
    <row r="840" spans="1:4" x14ac:dyDescent="0.35">
      <c r="A840" s="3">
        <v>45063</v>
      </c>
      <c r="B840">
        <v>1078.666137695313</v>
      </c>
      <c r="C840">
        <v>160.34504699707031</v>
      </c>
      <c r="D840">
        <v>115.76938629150391</v>
      </c>
    </row>
    <row r="841" spans="1:4" x14ac:dyDescent="0.35">
      <c r="A841" s="3">
        <v>45064</v>
      </c>
      <c r="B841">
        <v>1071.278198242188</v>
      </c>
      <c r="C841">
        <v>161.72337341308591</v>
      </c>
      <c r="D841">
        <v>116.2055206298828</v>
      </c>
    </row>
    <row r="842" spans="1:4" x14ac:dyDescent="0.35">
      <c r="A842" s="3">
        <v>45065</v>
      </c>
      <c r="B842">
        <v>1053.518188476563</v>
      </c>
      <c r="C842">
        <v>159.5639953613281</v>
      </c>
      <c r="D842">
        <v>113.8310089111328</v>
      </c>
    </row>
    <row r="843" spans="1:4" x14ac:dyDescent="0.35">
      <c r="A843" s="3">
        <v>45068</v>
      </c>
      <c r="B843">
        <v>1069.223266601563</v>
      </c>
      <c r="C843">
        <v>157.7262268066406</v>
      </c>
      <c r="D843">
        <v>112.76490783691411</v>
      </c>
    </row>
    <row r="844" spans="1:4" x14ac:dyDescent="0.35">
      <c r="A844" s="3">
        <v>45069</v>
      </c>
      <c r="B844">
        <v>1061.29736328125</v>
      </c>
      <c r="C844">
        <v>162.228759765625</v>
      </c>
      <c r="D844">
        <v>113.0556716918945</v>
      </c>
    </row>
    <row r="845" spans="1:4" x14ac:dyDescent="0.35">
      <c r="A845" s="3">
        <v>45070</v>
      </c>
      <c r="B845">
        <v>1051.561157226563</v>
      </c>
      <c r="C845">
        <v>160.43695068359381</v>
      </c>
      <c r="D845">
        <v>115.187873840332</v>
      </c>
    </row>
    <row r="846" spans="1:4" x14ac:dyDescent="0.35">
      <c r="A846" s="3">
        <v>45071</v>
      </c>
      <c r="B846">
        <v>1057.089721679688</v>
      </c>
      <c r="C846">
        <v>163.19358825683591</v>
      </c>
      <c r="D846">
        <v>115.67247009277339</v>
      </c>
    </row>
    <row r="847" spans="1:4" x14ac:dyDescent="0.35">
      <c r="A847" s="3">
        <v>45072</v>
      </c>
      <c r="B847">
        <v>1076.317504882813</v>
      </c>
      <c r="C847">
        <v>166.82318115234381</v>
      </c>
      <c r="D847">
        <v>116.1086044311523</v>
      </c>
    </row>
    <row r="848" spans="1:4" x14ac:dyDescent="0.35">
      <c r="A848" s="3">
        <v>45075</v>
      </c>
      <c r="B848">
        <v>1165.3623046875</v>
      </c>
      <c r="C848">
        <v>163.56114196777341</v>
      </c>
      <c r="D848">
        <v>114.99403381347661</v>
      </c>
    </row>
    <row r="849" spans="1:4" x14ac:dyDescent="0.35">
      <c r="A849" s="3">
        <v>45076</v>
      </c>
      <c r="B849">
        <v>1159.19775390625</v>
      </c>
      <c r="C849">
        <v>166.7772216796875</v>
      </c>
      <c r="D849">
        <v>115.76938629150391</v>
      </c>
    </row>
    <row r="850" spans="1:4" x14ac:dyDescent="0.35">
      <c r="A850" s="3">
        <v>45077</v>
      </c>
      <c r="B850">
        <v>1156.702514648438</v>
      </c>
      <c r="C850">
        <v>169.48793029785159</v>
      </c>
      <c r="D850">
        <v>115.236328125</v>
      </c>
    </row>
    <row r="851" spans="1:4" x14ac:dyDescent="0.35">
      <c r="A851" s="3">
        <v>45078</v>
      </c>
      <c r="B851">
        <v>1198.925415039063</v>
      </c>
      <c r="C851">
        <v>170.68247985839841</v>
      </c>
      <c r="D851">
        <v>115.81784820556641</v>
      </c>
    </row>
    <row r="852" spans="1:4" x14ac:dyDescent="0.35">
      <c r="A852" s="3">
        <v>45079</v>
      </c>
      <c r="B852">
        <v>1206.4111328125</v>
      </c>
      <c r="C852">
        <v>171.46354675292969</v>
      </c>
      <c r="D852">
        <v>115.333251953125</v>
      </c>
    </row>
    <row r="853" spans="1:4" x14ac:dyDescent="0.35">
      <c r="A853" s="3">
        <v>45082</v>
      </c>
      <c r="B853">
        <v>1199.904174804688</v>
      </c>
      <c r="C853">
        <v>168.5231018066406</v>
      </c>
      <c r="D853">
        <v>114.21868896484381</v>
      </c>
    </row>
    <row r="854" spans="1:4" x14ac:dyDescent="0.35">
      <c r="A854" s="3">
        <v>45083</v>
      </c>
      <c r="B854">
        <v>1211.156982421875</v>
      </c>
      <c r="C854">
        <v>168.20149230957031</v>
      </c>
      <c r="D854">
        <v>114.6063613891602</v>
      </c>
    </row>
    <row r="855" spans="1:4" x14ac:dyDescent="0.35">
      <c r="A855" s="3">
        <v>45084</v>
      </c>
      <c r="B855">
        <v>1230.3359375</v>
      </c>
      <c r="C855">
        <v>171.6473083496094</v>
      </c>
      <c r="D855">
        <v>117.465461730957</v>
      </c>
    </row>
    <row r="856" spans="1:4" x14ac:dyDescent="0.35">
      <c r="A856" s="3">
        <v>45085</v>
      </c>
      <c r="B856">
        <v>1225.736938476563</v>
      </c>
      <c r="C856">
        <v>169.94737243652341</v>
      </c>
      <c r="D856">
        <v>116.7385711669922</v>
      </c>
    </row>
    <row r="857" spans="1:4" x14ac:dyDescent="0.35">
      <c r="A857" s="3">
        <v>45086</v>
      </c>
      <c r="B857">
        <v>1189.385009765625</v>
      </c>
      <c r="C857">
        <v>168.3393249511719</v>
      </c>
      <c r="D857">
        <v>114.3155975341797</v>
      </c>
    </row>
    <row r="858" spans="1:4" x14ac:dyDescent="0.35">
      <c r="A858" s="3">
        <v>45089</v>
      </c>
      <c r="B858">
        <v>1191.891479492188</v>
      </c>
      <c r="C858">
        <v>166.45562744140631</v>
      </c>
      <c r="D858">
        <v>114.6548309326172</v>
      </c>
    </row>
    <row r="859" spans="1:4" x14ac:dyDescent="0.35">
      <c r="A859" s="3">
        <v>45090</v>
      </c>
      <c r="B859">
        <v>1199.01806640625</v>
      </c>
      <c r="C859">
        <v>166.40968322753909</v>
      </c>
      <c r="D859">
        <v>114.99403381347661</v>
      </c>
    </row>
    <row r="860" spans="1:4" x14ac:dyDescent="0.35">
      <c r="A860" s="3">
        <v>45091</v>
      </c>
      <c r="B860">
        <v>1191.400024414063</v>
      </c>
      <c r="C860">
        <v>168.0177307128906</v>
      </c>
      <c r="D860">
        <v>116.59320068359381</v>
      </c>
    </row>
    <row r="861" spans="1:4" x14ac:dyDescent="0.35">
      <c r="A861" s="3">
        <v>45092</v>
      </c>
      <c r="B861">
        <v>1188.893432617188</v>
      </c>
      <c r="C861">
        <v>166.91505432128909</v>
      </c>
      <c r="D861">
        <v>116.44781494140631</v>
      </c>
    </row>
    <row r="862" spans="1:4" x14ac:dyDescent="0.35">
      <c r="A862" s="3">
        <v>45093</v>
      </c>
      <c r="B862">
        <v>1233.372680664063</v>
      </c>
      <c r="C862">
        <v>174.3580017089844</v>
      </c>
      <c r="D862">
        <v>119.2584609985352</v>
      </c>
    </row>
    <row r="863" spans="1:4" x14ac:dyDescent="0.35">
      <c r="A863" s="3">
        <v>45096</v>
      </c>
      <c r="B863">
        <v>1238.434936523438</v>
      </c>
      <c r="C863">
        <v>173.1175231933594</v>
      </c>
      <c r="D863">
        <v>118.2892761230469</v>
      </c>
    </row>
    <row r="864" spans="1:4" x14ac:dyDescent="0.35">
      <c r="A864" s="3">
        <v>45097</v>
      </c>
      <c r="B864">
        <v>1270.233642578125</v>
      </c>
      <c r="C864">
        <v>172.7040100097656</v>
      </c>
      <c r="D864">
        <v>118.8223190307617</v>
      </c>
    </row>
    <row r="865" spans="1:4" x14ac:dyDescent="0.35">
      <c r="A865" s="3">
        <v>45098</v>
      </c>
      <c r="B865">
        <v>1280.3583984375</v>
      </c>
      <c r="C865">
        <v>170.9581604003906</v>
      </c>
      <c r="D865">
        <v>116.8355026245117</v>
      </c>
    </row>
    <row r="866" spans="1:4" x14ac:dyDescent="0.35">
      <c r="A866" s="3">
        <v>45099</v>
      </c>
      <c r="B866">
        <v>1254.21142578125</v>
      </c>
      <c r="C866">
        <v>168.61500549316409</v>
      </c>
      <c r="D866">
        <v>114.7032852172852</v>
      </c>
    </row>
    <row r="867" spans="1:4" x14ac:dyDescent="0.35">
      <c r="A867" s="3">
        <v>45100</v>
      </c>
      <c r="B867">
        <v>1252.687744140625</v>
      </c>
      <c r="C867">
        <v>164.98541259765631</v>
      </c>
      <c r="D867">
        <v>110.826530456543</v>
      </c>
    </row>
    <row r="868" spans="1:4" x14ac:dyDescent="0.35">
      <c r="A868" s="3">
        <v>45103</v>
      </c>
      <c r="B868">
        <v>1259.6669921875</v>
      </c>
      <c r="C868">
        <v>165.39891052246091</v>
      </c>
      <c r="D868">
        <v>112.9587478637695</v>
      </c>
    </row>
    <row r="869" spans="1:4" x14ac:dyDescent="0.35">
      <c r="A869" s="3">
        <v>45104</v>
      </c>
      <c r="B869">
        <v>1305.718627929688</v>
      </c>
      <c r="C869">
        <v>167.65016174316409</v>
      </c>
      <c r="D869">
        <v>114.6548309326172</v>
      </c>
    </row>
    <row r="870" spans="1:4" x14ac:dyDescent="0.35">
      <c r="A870" s="3">
        <v>45105</v>
      </c>
      <c r="B870">
        <v>1309.994506835938</v>
      </c>
      <c r="C870">
        <v>168.29338073730469</v>
      </c>
      <c r="D870">
        <v>113.49179840087891</v>
      </c>
    </row>
    <row r="871" spans="1:4" x14ac:dyDescent="0.35">
      <c r="A871" s="3">
        <v>45107</v>
      </c>
      <c r="B871">
        <v>1321.544067382813</v>
      </c>
      <c r="C871">
        <v>167.8339538574219</v>
      </c>
      <c r="D871">
        <v>113.34641265869141</v>
      </c>
    </row>
    <row r="872" spans="1:4" x14ac:dyDescent="0.35">
      <c r="A872" s="3">
        <v>45110</v>
      </c>
      <c r="B872">
        <v>1315.302612304688</v>
      </c>
      <c r="C872">
        <v>170.63653564453131</v>
      </c>
      <c r="D872">
        <v>113.8794708251953</v>
      </c>
    </row>
    <row r="873" spans="1:4" x14ac:dyDescent="0.35">
      <c r="A873" s="3">
        <v>45111</v>
      </c>
      <c r="B873">
        <v>1292.645385742188</v>
      </c>
      <c r="C873">
        <v>169.02848815917969</v>
      </c>
      <c r="D873">
        <v>112.81336975097661</v>
      </c>
    </row>
    <row r="874" spans="1:4" x14ac:dyDescent="0.35">
      <c r="A874" s="3">
        <v>45112</v>
      </c>
      <c r="B874">
        <v>1304.489990234375</v>
      </c>
      <c r="C874">
        <v>168.0177307128906</v>
      </c>
      <c r="D874">
        <v>112.5710754394531</v>
      </c>
    </row>
    <row r="875" spans="1:4" x14ac:dyDescent="0.35">
      <c r="A875" s="3">
        <v>45113</v>
      </c>
      <c r="B875">
        <v>1317.366577148438</v>
      </c>
      <c r="C875">
        <v>170.77436828613281</v>
      </c>
      <c r="D875">
        <v>114.6063613891602</v>
      </c>
    </row>
    <row r="876" spans="1:4" x14ac:dyDescent="0.35">
      <c r="A876" s="3">
        <v>45114</v>
      </c>
      <c r="B876">
        <v>1314.860229492188</v>
      </c>
      <c r="C876">
        <v>169.4419860839844</v>
      </c>
      <c r="D876">
        <v>114.99403381347661</v>
      </c>
    </row>
    <row r="877" spans="1:4" x14ac:dyDescent="0.35">
      <c r="A877" s="3">
        <v>45117</v>
      </c>
      <c r="B877">
        <v>1319.922485351563</v>
      </c>
      <c r="C877">
        <v>174.77149963378909</v>
      </c>
      <c r="D877">
        <v>116.3509063720703</v>
      </c>
    </row>
    <row r="878" spans="1:4" x14ac:dyDescent="0.35">
      <c r="A878" s="3">
        <v>45118</v>
      </c>
      <c r="B878">
        <v>1323.461181640625</v>
      </c>
      <c r="C878">
        <v>173.6688537597656</v>
      </c>
      <c r="D878">
        <v>116.1570587158203</v>
      </c>
    </row>
    <row r="879" spans="1:4" x14ac:dyDescent="0.35">
      <c r="A879" s="3">
        <v>45119</v>
      </c>
      <c r="B879">
        <v>1339.090209960938</v>
      </c>
      <c r="C879">
        <v>171.8310852050781</v>
      </c>
      <c r="D879">
        <v>114.21868896484381</v>
      </c>
    </row>
    <row r="880" spans="1:4" x14ac:dyDescent="0.35">
      <c r="A880" s="3">
        <v>45120</v>
      </c>
      <c r="B880">
        <v>1333.339721679688</v>
      </c>
      <c r="C880">
        <v>169.30415344238281</v>
      </c>
      <c r="D880">
        <v>113.7341003417969</v>
      </c>
    </row>
    <row r="881" spans="1:4" x14ac:dyDescent="0.35">
      <c r="A881" s="3">
        <v>45121</v>
      </c>
      <c r="B881">
        <v>1352.360473632813</v>
      </c>
      <c r="C881">
        <v>169.7176513671875</v>
      </c>
      <c r="D881">
        <v>113.1525802612305</v>
      </c>
    </row>
    <row r="882" spans="1:4" x14ac:dyDescent="0.35">
      <c r="A882" s="3">
        <v>45124</v>
      </c>
      <c r="B882">
        <v>1341.940795898438</v>
      </c>
      <c r="C882">
        <v>169.9933166503906</v>
      </c>
      <c r="D882">
        <v>113.297966003418</v>
      </c>
    </row>
    <row r="883" spans="1:4" x14ac:dyDescent="0.35">
      <c r="A883" s="3">
        <v>45125</v>
      </c>
      <c r="B883">
        <v>1328.621704101563</v>
      </c>
      <c r="C883">
        <v>172.060791015625</v>
      </c>
      <c r="D883">
        <v>112.0380172729492</v>
      </c>
    </row>
    <row r="884" spans="1:4" x14ac:dyDescent="0.35">
      <c r="A884" s="3">
        <v>45126</v>
      </c>
      <c r="B884">
        <v>1343.16943359375</v>
      </c>
      <c r="C884">
        <v>172.10675048828131</v>
      </c>
      <c r="D884">
        <v>112.61952209472661</v>
      </c>
    </row>
    <row r="885" spans="1:4" x14ac:dyDescent="0.35">
      <c r="A885" s="3">
        <v>45127</v>
      </c>
      <c r="B885">
        <v>1374.869873046875</v>
      </c>
      <c r="C885">
        <v>172.10675048828131</v>
      </c>
      <c r="D885">
        <v>112.5710754394531</v>
      </c>
    </row>
    <row r="886" spans="1:4" x14ac:dyDescent="0.35">
      <c r="A886" s="3">
        <v>45128</v>
      </c>
      <c r="B886">
        <v>1385.535278320313</v>
      </c>
      <c r="C886">
        <v>178.40110778808591</v>
      </c>
      <c r="D886">
        <v>115.2847900390625</v>
      </c>
    </row>
    <row r="887" spans="1:4" x14ac:dyDescent="0.35">
      <c r="A887" s="3">
        <v>45131</v>
      </c>
      <c r="B887">
        <v>1363.860961914063</v>
      </c>
      <c r="C887">
        <v>182.35227966308591</v>
      </c>
      <c r="D887">
        <v>119.54921722412109</v>
      </c>
    </row>
    <row r="888" spans="1:4" x14ac:dyDescent="0.35">
      <c r="A888" s="3">
        <v>45132</v>
      </c>
      <c r="B888">
        <v>1349.706298828125</v>
      </c>
      <c r="C888">
        <v>185.70622253417969</v>
      </c>
      <c r="D888">
        <v>119.9368896484375</v>
      </c>
    </row>
    <row r="889" spans="1:4" x14ac:dyDescent="0.35">
      <c r="A889" s="3">
        <v>45133</v>
      </c>
      <c r="B889">
        <v>1345.970947265625</v>
      </c>
      <c r="C889">
        <v>185.4305419921875</v>
      </c>
      <c r="D889">
        <v>118.4346466064453</v>
      </c>
    </row>
    <row r="890" spans="1:4" x14ac:dyDescent="0.35">
      <c r="A890" s="3">
        <v>45134</v>
      </c>
      <c r="B890">
        <v>1334.568481445313</v>
      </c>
      <c r="C890">
        <v>184.4197692871094</v>
      </c>
      <c r="D890">
        <v>117.95005035400391</v>
      </c>
    </row>
    <row r="891" spans="1:4" x14ac:dyDescent="0.35">
      <c r="A891" s="3">
        <v>45135</v>
      </c>
      <c r="B891">
        <v>1350.345092773438</v>
      </c>
      <c r="C891">
        <v>181.66313171386719</v>
      </c>
      <c r="D891">
        <v>117.853141784668</v>
      </c>
    </row>
    <row r="892" spans="1:4" x14ac:dyDescent="0.35">
      <c r="A892" s="3">
        <v>45138</v>
      </c>
      <c r="B892">
        <v>1361.89501953125</v>
      </c>
      <c r="C892">
        <v>188.6007080078125</v>
      </c>
      <c r="D892">
        <v>120.46994781494141</v>
      </c>
    </row>
    <row r="893" spans="1:4" x14ac:dyDescent="0.35">
      <c r="A893" s="3">
        <v>45139</v>
      </c>
      <c r="B893">
        <v>1339.434326171875</v>
      </c>
      <c r="C893">
        <v>191.49516296386719</v>
      </c>
      <c r="D893">
        <v>122.3114013671875</v>
      </c>
    </row>
    <row r="894" spans="1:4" x14ac:dyDescent="0.35">
      <c r="A894" s="3">
        <v>45140</v>
      </c>
      <c r="B894">
        <v>1335.64990234375</v>
      </c>
      <c r="C894">
        <v>188.0953063964844</v>
      </c>
      <c r="D894">
        <v>119.9853515625</v>
      </c>
    </row>
    <row r="895" spans="1:4" x14ac:dyDescent="0.35">
      <c r="A895" s="3">
        <v>45141</v>
      </c>
      <c r="B895">
        <v>1324.394897460938</v>
      </c>
      <c r="C895">
        <v>189.19795227050781</v>
      </c>
      <c r="D895">
        <v>118.4831161499023</v>
      </c>
    </row>
    <row r="896" spans="1:4" x14ac:dyDescent="0.35">
      <c r="A896" s="3">
        <v>45142</v>
      </c>
      <c r="B896">
        <v>1343.612060546875</v>
      </c>
      <c r="C896">
        <v>189.51959228515631</v>
      </c>
      <c r="D896">
        <v>122.1660232543945</v>
      </c>
    </row>
    <row r="897" spans="1:4" x14ac:dyDescent="0.35">
      <c r="A897" s="3">
        <v>45145</v>
      </c>
      <c r="B897">
        <v>1374.378540039063</v>
      </c>
      <c r="C897">
        <v>190.07090759277341</v>
      </c>
      <c r="D897">
        <v>124.29823303222661</v>
      </c>
    </row>
    <row r="898" spans="1:4" x14ac:dyDescent="0.35">
      <c r="A898" s="3">
        <v>45146</v>
      </c>
      <c r="B898">
        <v>1391.777099609375</v>
      </c>
      <c r="C898">
        <v>187.17643737792969</v>
      </c>
      <c r="D898">
        <v>123.1836700439453</v>
      </c>
    </row>
    <row r="899" spans="1:4" x14ac:dyDescent="0.35">
      <c r="A899" s="3">
        <v>45147</v>
      </c>
      <c r="B899">
        <v>1370.250244140625</v>
      </c>
      <c r="C899">
        <v>187.17643737792969</v>
      </c>
      <c r="D899">
        <v>122.9413681030273</v>
      </c>
    </row>
    <row r="900" spans="1:4" x14ac:dyDescent="0.35">
      <c r="A900" s="3">
        <v>45148</v>
      </c>
      <c r="B900">
        <v>1332.35693359375</v>
      </c>
      <c r="C900">
        <v>187.08454895019531</v>
      </c>
      <c r="D900">
        <v>122.3598556518555</v>
      </c>
    </row>
    <row r="901" spans="1:4" x14ac:dyDescent="0.35">
      <c r="A901" s="3">
        <v>45149</v>
      </c>
      <c r="B901">
        <v>1347.19970703125</v>
      </c>
      <c r="C901">
        <v>185.24678039550781</v>
      </c>
      <c r="D901">
        <v>121.82680511474609</v>
      </c>
    </row>
    <row r="902" spans="1:4" x14ac:dyDescent="0.35">
      <c r="A902" s="3">
        <v>45152</v>
      </c>
      <c r="B902">
        <v>1327.34375</v>
      </c>
      <c r="C902">
        <v>180.9739685058594</v>
      </c>
      <c r="D902">
        <v>121.2452926635742</v>
      </c>
    </row>
    <row r="903" spans="1:4" x14ac:dyDescent="0.35">
      <c r="A903" s="3">
        <v>45154</v>
      </c>
      <c r="B903">
        <v>1333.880615234375</v>
      </c>
      <c r="C903">
        <v>182.03070068359381</v>
      </c>
      <c r="D903">
        <v>119.50075531005859</v>
      </c>
    </row>
    <row r="904" spans="1:4" x14ac:dyDescent="0.35">
      <c r="A904" s="3">
        <v>45155</v>
      </c>
      <c r="B904">
        <v>1321.740844726563</v>
      </c>
      <c r="C904">
        <v>186.02781677246091</v>
      </c>
      <c r="D904">
        <v>121.72988128662109</v>
      </c>
    </row>
    <row r="905" spans="1:4" x14ac:dyDescent="0.35">
      <c r="A905" s="3">
        <v>45156</v>
      </c>
      <c r="B905">
        <v>1305.2763671875</v>
      </c>
      <c r="C905">
        <v>185.93592834472659</v>
      </c>
      <c r="D905">
        <v>120.8576126098633</v>
      </c>
    </row>
    <row r="906" spans="1:4" x14ac:dyDescent="0.35">
      <c r="A906" s="3">
        <v>45159</v>
      </c>
      <c r="B906">
        <v>1306.799926757813</v>
      </c>
      <c r="C906">
        <v>188.87635803222659</v>
      </c>
      <c r="D906">
        <v>120.033805847168</v>
      </c>
    </row>
    <row r="907" spans="1:4" x14ac:dyDescent="0.35">
      <c r="A907" s="3">
        <v>45160</v>
      </c>
      <c r="B907">
        <v>1302.229248046875</v>
      </c>
      <c r="C907">
        <v>199.4435119628906</v>
      </c>
      <c r="D907">
        <v>127.15732574462891</v>
      </c>
    </row>
    <row r="908" spans="1:4" x14ac:dyDescent="0.35">
      <c r="A908" s="3">
        <v>45161</v>
      </c>
      <c r="B908">
        <v>1297.85498046875</v>
      </c>
      <c r="C908">
        <v>198.93812561035159</v>
      </c>
      <c r="D908">
        <v>127.011962890625</v>
      </c>
    </row>
    <row r="909" spans="1:4" x14ac:dyDescent="0.35">
      <c r="A909" s="3">
        <v>45162</v>
      </c>
      <c r="B909">
        <v>1312.058837890625</v>
      </c>
      <c r="C909">
        <v>200.3623962402344</v>
      </c>
      <c r="D909">
        <v>126.7211990356445</v>
      </c>
    </row>
    <row r="910" spans="1:4" x14ac:dyDescent="0.35">
      <c r="A910" s="3">
        <v>45163</v>
      </c>
      <c r="B910">
        <v>1303.212280273438</v>
      </c>
      <c r="C910">
        <v>198.98406982421881</v>
      </c>
      <c r="D910">
        <v>124.54052734375</v>
      </c>
    </row>
    <row r="911" spans="1:4" x14ac:dyDescent="0.35">
      <c r="A911" s="3">
        <v>45166</v>
      </c>
      <c r="B911">
        <v>1304.735595703125</v>
      </c>
      <c r="C911">
        <v>200.50022888183591</v>
      </c>
      <c r="D911">
        <v>125.9943084716797</v>
      </c>
    </row>
    <row r="912" spans="1:4" x14ac:dyDescent="0.35">
      <c r="A912" s="3">
        <v>45167</v>
      </c>
      <c r="B912">
        <v>1298.690307617188</v>
      </c>
      <c r="C912">
        <v>201.8326110839844</v>
      </c>
      <c r="D912">
        <v>125.5581817626953</v>
      </c>
    </row>
    <row r="913" spans="1:4" x14ac:dyDescent="0.35">
      <c r="A913" s="3">
        <v>45168</v>
      </c>
      <c r="B913">
        <v>1300.509033203125</v>
      </c>
      <c r="C913">
        <v>201.92449951171881</v>
      </c>
      <c r="D913">
        <v>126.3335266113281</v>
      </c>
    </row>
    <row r="914" spans="1:4" x14ac:dyDescent="0.35">
      <c r="A914" s="3">
        <v>45169</v>
      </c>
      <c r="B914">
        <v>1291.318115234375</v>
      </c>
      <c r="C914">
        <v>199.94889831542969</v>
      </c>
      <c r="D914">
        <v>125.1705017089844</v>
      </c>
    </row>
    <row r="915" spans="1:4" x14ac:dyDescent="0.35">
      <c r="A915" s="3">
        <v>45170</v>
      </c>
      <c r="B915">
        <v>1318.497192382813</v>
      </c>
      <c r="C915">
        <v>201.74072265625</v>
      </c>
      <c r="D915">
        <v>125.9458541870117</v>
      </c>
    </row>
    <row r="916" spans="1:4" x14ac:dyDescent="0.35">
      <c r="A916" s="3">
        <v>45173</v>
      </c>
      <c r="B916">
        <v>1334.863403320313</v>
      </c>
      <c r="C916">
        <v>207.71345520019531</v>
      </c>
      <c r="D916">
        <v>129.2410888671875</v>
      </c>
    </row>
    <row r="917" spans="1:4" x14ac:dyDescent="0.35">
      <c r="A917" s="3">
        <v>45174</v>
      </c>
      <c r="B917">
        <v>1323.362915039063</v>
      </c>
      <c r="C917">
        <v>209.32151794433591</v>
      </c>
      <c r="D917">
        <v>129.9679870605469</v>
      </c>
    </row>
    <row r="918" spans="1:4" x14ac:dyDescent="0.35">
      <c r="A918" s="3">
        <v>45175</v>
      </c>
      <c r="B918">
        <v>1322.134155273438</v>
      </c>
      <c r="C918">
        <v>211.5268249511719</v>
      </c>
      <c r="D918">
        <v>130.54949951171881</v>
      </c>
    </row>
    <row r="919" spans="1:4" x14ac:dyDescent="0.35">
      <c r="A919" s="3">
        <v>45176</v>
      </c>
      <c r="B919">
        <v>1327.1962890625</v>
      </c>
      <c r="C919">
        <v>211.11332702636719</v>
      </c>
      <c r="D919">
        <v>130.50102233886719</v>
      </c>
    </row>
    <row r="920" spans="1:4" x14ac:dyDescent="0.35">
      <c r="A920" s="3">
        <v>45177</v>
      </c>
      <c r="B920">
        <v>1326.016845703125</v>
      </c>
      <c r="C920">
        <v>213.43742370605469</v>
      </c>
      <c r="D920">
        <v>130.48136901855469</v>
      </c>
    </row>
    <row r="921" spans="1:4" x14ac:dyDescent="0.35">
      <c r="A921" s="3">
        <v>45180</v>
      </c>
      <c r="B921">
        <v>1343.366088867188</v>
      </c>
      <c r="C921">
        <v>211.72991943359381</v>
      </c>
      <c r="D921">
        <v>131.3171691894531</v>
      </c>
    </row>
    <row r="922" spans="1:4" x14ac:dyDescent="0.35">
      <c r="A922" s="3">
        <v>45181</v>
      </c>
      <c r="B922">
        <v>1327.491333007813</v>
      </c>
      <c r="C922">
        <v>196.07783508300781</v>
      </c>
      <c r="D922">
        <v>122.86093902587891</v>
      </c>
    </row>
    <row r="923" spans="1:4" x14ac:dyDescent="0.35">
      <c r="A923" s="3">
        <v>45182</v>
      </c>
      <c r="B923">
        <v>1332.946655273438</v>
      </c>
      <c r="C923">
        <v>201.5323486328125</v>
      </c>
      <c r="D923">
        <v>126.2041015625</v>
      </c>
    </row>
    <row r="924" spans="1:4" x14ac:dyDescent="0.35">
      <c r="A924" s="3">
        <v>45183</v>
      </c>
      <c r="B924">
        <v>1345.577880859375</v>
      </c>
      <c r="C924">
        <v>208.2674865722656</v>
      </c>
      <c r="D924">
        <v>131.90711975097659</v>
      </c>
    </row>
    <row r="925" spans="1:4" x14ac:dyDescent="0.35">
      <c r="A925" s="3">
        <v>45184</v>
      </c>
      <c r="B925">
        <v>1354.375244140625</v>
      </c>
      <c r="C925">
        <v>223.06581115722659</v>
      </c>
      <c r="D925">
        <v>140.8058166503906</v>
      </c>
    </row>
    <row r="926" spans="1:4" x14ac:dyDescent="0.35">
      <c r="A926" s="3">
        <v>45187</v>
      </c>
      <c r="B926">
        <v>1354.71923828125</v>
      </c>
      <c r="C926">
        <v>219.5085144042969</v>
      </c>
      <c r="D926">
        <v>140.8058166503906</v>
      </c>
    </row>
    <row r="927" spans="1:4" x14ac:dyDescent="0.35">
      <c r="A927" s="3">
        <v>45189</v>
      </c>
      <c r="B927">
        <v>1351.967163085938</v>
      </c>
      <c r="C927">
        <v>217.80104064941409</v>
      </c>
      <c r="D927">
        <v>142.62489318847659</v>
      </c>
    </row>
    <row r="928" spans="1:4" x14ac:dyDescent="0.35">
      <c r="A928" s="3">
        <v>45190</v>
      </c>
      <c r="B928">
        <v>1332.50439453125</v>
      </c>
      <c r="C928">
        <v>211.25559997558591</v>
      </c>
      <c r="D928">
        <v>136.676025390625</v>
      </c>
    </row>
    <row r="929" spans="1:4" x14ac:dyDescent="0.35">
      <c r="A929" s="3">
        <v>45191</v>
      </c>
      <c r="B929">
        <v>1320.80712890625</v>
      </c>
      <c r="C929">
        <v>214.05400085449219</v>
      </c>
      <c r="D929">
        <v>135.88941955566409</v>
      </c>
    </row>
    <row r="930" spans="1:4" x14ac:dyDescent="0.35">
      <c r="A930" s="3">
        <v>45194</v>
      </c>
      <c r="B930">
        <v>1293.52978515625</v>
      </c>
      <c r="C930">
        <v>214.67060852050781</v>
      </c>
      <c r="D930">
        <v>137.70848083496091</v>
      </c>
    </row>
    <row r="931" spans="1:4" x14ac:dyDescent="0.35">
      <c r="A931" s="3">
        <v>45195</v>
      </c>
      <c r="B931">
        <v>1286.354370117188</v>
      </c>
      <c r="C931">
        <v>211.82478332519531</v>
      </c>
      <c r="D931">
        <v>135.79109191894531</v>
      </c>
    </row>
    <row r="932" spans="1:4" x14ac:dyDescent="0.35">
      <c r="A932" s="3">
        <v>45196</v>
      </c>
      <c r="B932">
        <v>1281.390258789063</v>
      </c>
      <c r="C932">
        <v>212.77339172363281</v>
      </c>
      <c r="D932">
        <v>136.72520446777341</v>
      </c>
    </row>
    <row r="933" spans="1:4" x14ac:dyDescent="0.35">
      <c r="A933" s="3">
        <v>45197</v>
      </c>
      <c r="B933">
        <v>1252.540405273438</v>
      </c>
      <c r="C933">
        <v>211.87220764160159</v>
      </c>
      <c r="D933">
        <v>138.2492980957031</v>
      </c>
    </row>
    <row r="934" spans="1:4" x14ac:dyDescent="0.35">
      <c r="A934" s="3">
        <v>45198</v>
      </c>
      <c r="B934">
        <v>1287.238891601563</v>
      </c>
      <c r="C934">
        <v>213.8168640136719</v>
      </c>
      <c r="D934">
        <v>138.1509704589844</v>
      </c>
    </row>
    <row r="935" spans="1:4" x14ac:dyDescent="0.35">
      <c r="A935" s="3">
        <v>45202</v>
      </c>
      <c r="B935">
        <v>1283.012329101563</v>
      </c>
      <c r="C935">
        <v>211.72991943359381</v>
      </c>
      <c r="D935">
        <v>137.0693359375</v>
      </c>
    </row>
    <row r="936" spans="1:4" x14ac:dyDescent="0.35">
      <c r="A936" s="3">
        <v>45203</v>
      </c>
      <c r="B936">
        <v>1281.046264648438</v>
      </c>
      <c r="C936">
        <v>206.98686218261719</v>
      </c>
      <c r="D936">
        <v>133.3820495605469</v>
      </c>
    </row>
    <row r="937" spans="1:4" x14ac:dyDescent="0.35">
      <c r="A937" s="3">
        <v>45204</v>
      </c>
      <c r="B937">
        <v>1274.607788085938</v>
      </c>
      <c r="C937">
        <v>203.19242858886719</v>
      </c>
      <c r="D937">
        <v>134.75865173339841</v>
      </c>
    </row>
    <row r="938" spans="1:4" x14ac:dyDescent="0.35">
      <c r="A938" s="3">
        <v>45205</v>
      </c>
      <c r="B938">
        <v>1297.166870117188</v>
      </c>
      <c r="C938">
        <v>213.72200012207031</v>
      </c>
      <c r="D938">
        <v>137.11851501464841</v>
      </c>
    </row>
    <row r="939" spans="1:4" x14ac:dyDescent="0.35">
      <c r="A939" s="3">
        <v>45208</v>
      </c>
      <c r="B939">
        <v>1276.426391601563</v>
      </c>
      <c r="C939">
        <v>205.37422180175781</v>
      </c>
      <c r="D939">
        <v>133.3328857421875</v>
      </c>
    </row>
    <row r="940" spans="1:4" x14ac:dyDescent="0.35">
      <c r="A940" s="3">
        <v>45209</v>
      </c>
      <c r="B940">
        <v>1291.8095703125</v>
      </c>
      <c r="C940">
        <v>208.88409423828131</v>
      </c>
      <c r="D940">
        <v>135.6435852050781</v>
      </c>
    </row>
    <row r="941" spans="1:4" x14ac:dyDescent="0.35">
      <c r="A941" s="3">
        <v>45210</v>
      </c>
      <c r="B941">
        <v>1291.1708984375</v>
      </c>
      <c r="C941">
        <v>209.6429748535156</v>
      </c>
      <c r="D941">
        <v>134.8569641113281</v>
      </c>
    </row>
    <row r="942" spans="1:4" x14ac:dyDescent="0.35">
      <c r="A942" s="3">
        <v>45211</v>
      </c>
      <c r="B942">
        <v>1302.327514648438</v>
      </c>
      <c r="C942">
        <v>212.20420837402341</v>
      </c>
      <c r="D942">
        <v>135.49610900878909</v>
      </c>
    </row>
    <row r="943" spans="1:4" x14ac:dyDescent="0.35">
      <c r="A943" s="3">
        <v>45212</v>
      </c>
      <c r="B943">
        <v>1291.564086914063</v>
      </c>
      <c r="C943">
        <v>209.40580749511719</v>
      </c>
      <c r="D943">
        <v>134.3653259277344</v>
      </c>
    </row>
    <row r="944" spans="1:4" x14ac:dyDescent="0.35">
      <c r="A944" s="3">
        <v>45215</v>
      </c>
      <c r="B944">
        <v>1314.761840820313</v>
      </c>
      <c r="C944">
        <v>212.39393615722659</v>
      </c>
      <c r="D944">
        <v>139.9208679199219</v>
      </c>
    </row>
    <row r="945" spans="1:4" x14ac:dyDescent="0.35">
      <c r="A945" s="3">
        <v>45216</v>
      </c>
      <c r="B945">
        <v>1337.17333984375</v>
      </c>
      <c r="C945">
        <v>215.23976135253909</v>
      </c>
      <c r="D945">
        <v>140.16668701171881</v>
      </c>
    </row>
    <row r="946" spans="1:4" x14ac:dyDescent="0.35">
      <c r="A946" s="3">
        <v>45217</v>
      </c>
      <c r="B946">
        <v>1335.404174804688</v>
      </c>
      <c r="C946">
        <v>212.3465270996094</v>
      </c>
      <c r="D946">
        <v>141.14997863769531</v>
      </c>
    </row>
    <row r="947" spans="1:4" x14ac:dyDescent="0.35">
      <c r="A947" s="3">
        <v>45218</v>
      </c>
      <c r="B947">
        <v>1348.329956054688</v>
      </c>
      <c r="C947">
        <v>215.050048828125</v>
      </c>
      <c r="D947">
        <v>141.1991271972656</v>
      </c>
    </row>
    <row r="948" spans="1:4" x14ac:dyDescent="0.35">
      <c r="A948" s="3">
        <v>45219</v>
      </c>
      <c r="B948">
        <v>1364.499755859375</v>
      </c>
      <c r="C948">
        <v>213.0579833984375</v>
      </c>
      <c r="D948">
        <v>146.6563415527344</v>
      </c>
    </row>
    <row r="949" spans="1:4" x14ac:dyDescent="0.35">
      <c r="A949" s="3">
        <v>45222</v>
      </c>
      <c r="B949">
        <v>1375.214233398438</v>
      </c>
      <c r="C949">
        <v>204.66276550292969</v>
      </c>
      <c r="D949">
        <v>136.23356628417969</v>
      </c>
    </row>
    <row r="950" spans="1:4" x14ac:dyDescent="0.35">
      <c r="A950" s="3">
        <v>45224</v>
      </c>
      <c r="B950">
        <v>1354.817626953125</v>
      </c>
      <c r="C950">
        <v>210.78131103515631</v>
      </c>
      <c r="D950">
        <v>134.21783447265631</v>
      </c>
    </row>
    <row r="951" spans="1:4" x14ac:dyDescent="0.35">
      <c r="A951" s="3">
        <v>45225</v>
      </c>
      <c r="B951">
        <v>1332.553588867188</v>
      </c>
      <c r="C951">
        <v>207.60346984863281</v>
      </c>
      <c r="D951">
        <v>133.2837219238281</v>
      </c>
    </row>
    <row r="952" spans="1:4" x14ac:dyDescent="0.35">
      <c r="A952" s="3">
        <v>45226</v>
      </c>
      <c r="B952">
        <v>1339.163818359375</v>
      </c>
      <c r="C952">
        <v>214.29115295410159</v>
      </c>
      <c r="D952">
        <v>134.4636535644531</v>
      </c>
    </row>
    <row r="953" spans="1:4" x14ac:dyDescent="0.35">
      <c r="A953" s="3">
        <v>45229</v>
      </c>
      <c r="B953">
        <v>1336.351928710938</v>
      </c>
      <c r="C953">
        <v>214.19630432128909</v>
      </c>
      <c r="D953">
        <v>133.87367248535159</v>
      </c>
    </row>
    <row r="954" spans="1:4" x14ac:dyDescent="0.35">
      <c r="A954" s="3">
        <v>45230</v>
      </c>
      <c r="B954">
        <v>1355.393432617188</v>
      </c>
      <c r="C954">
        <v>216.3306884765625</v>
      </c>
      <c r="D954">
        <v>136.52854919433591</v>
      </c>
    </row>
    <row r="955" spans="1:4" x14ac:dyDescent="0.35">
      <c r="A955" s="3">
        <v>45231</v>
      </c>
      <c r="B955">
        <v>1339.607666015625</v>
      </c>
      <c r="C955">
        <v>216.7101135253906</v>
      </c>
      <c r="D955">
        <v>134.75865173339841</v>
      </c>
    </row>
    <row r="956" spans="1:4" x14ac:dyDescent="0.35">
      <c r="A956" s="3">
        <v>45232</v>
      </c>
      <c r="B956">
        <v>1352.5322265625</v>
      </c>
      <c r="C956">
        <v>215.66667175292969</v>
      </c>
      <c r="D956">
        <v>135.79109191894531</v>
      </c>
    </row>
    <row r="957" spans="1:4" x14ac:dyDescent="0.35">
      <c r="A957" s="3">
        <v>45233</v>
      </c>
      <c r="B957">
        <v>1344.442016601563</v>
      </c>
      <c r="C957">
        <v>215.09748840332031</v>
      </c>
      <c r="D957">
        <v>135.98774719238281</v>
      </c>
    </row>
    <row r="958" spans="1:4" x14ac:dyDescent="0.35">
      <c r="A958" s="3">
        <v>45236</v>
      </c>
      <c r="B958">
        <v>1357.415893554688</v>
      </c>
      <c r="C958">
        <v>212.4413757324219</v>
      </c>
      <c r="D958">
        <v>138.79008483886719</v>
      </c>
    </row>
    <row r="959" spans="1:4" x14ac:dyDescent="0.35">
      <c r="A959" s="3">
        <v>45237</v>
      </c>
      <c r="B959">
        <v>1361.11572265625</v>
      </c>
      <c r="C959">
        <v>215.90380859375</v>
      </c>
      <c r="D959">
        <v>140.8058166503906</v>
      </c>
    </row>
    <row r="960" spans="1:4" x14ac:dyDescent="0.35">
      <c r="A960" s="3">
        <v>45238</v>
      </c>
      <c r="B960">
        <v>1349.671142578125</v>
      </c>
      <c r="C960">
        <v>217.6112976074219</v>
      </c>
      <c r="D960">
        <v>142.32989501953131</v>
      </c>
    </row>
    <row r="961" spans="1:4" x14ac:dyDescent="0.35">
      <c r="A961" s="3">
        <v>45239</v>
      </c>
      <c r="B961">
        <v>1339.015625</v>
      </c>
      <c r="C961">
        <v>212.86824035644531</v>
      </c>
      <c r="D961">
        <v>135.1519470214844</v>
      </c>
    </row>
    <row r="962" spans="1:4" x14ac:dyDescent="0.35">
      <c r="A962" s="3">
        <v>45240</v>
      </c>
      <c r="B962">
        <v>1334.132080078125</v>
      </c>
      <c r="C962">
        <v>214.8603210449219</v>
      </c>
      <c r="D962">
        <v>135.7419128417969</v>
      </c>
    </row>
    <row r="963" spans="1:4" x14ac:dyDescent="0.35">
      <c r="A963" s="3">
        <v>45243</v>
      </c>
      <c r="B963">
        <v>1340.890258789063</v>
      </c>
      <c r="C963">
        <v>212.7259521484375</v>
      </c>
      <c r="D963">
        <v>138.74092102050781</v>
      </c>
    </row>
    <row r="964" spans="1:4" x14ac:dyDescent="0.35">
      <c r="A964" s="3">
        <v>45245</v>
      </c>
      <c r="B964">
        <v>1376.851928710938</v>
      </c>
      <c r="C964">
        <v>213.24769592285159</v>
      </c>
      <c r="D964">
        <v>140.95332336425781</v>
      </c>
    </row>
    <row r="965" spans="1:4" x14ac:dyDescent="0.35">
      <c r="A965" s="3">
        <v>45246</v>
      </c>
      <c r="B965">
        <v>1380.847534179688</v>
      </c>
      <c r="C965">
        <v>229.51637268066409</v>
      </c>
      <c r="D965">
        <v>146.0172119140625</v>
      </c>
    </row>
    <row r="966" spans="1:4" x14ac:dyDescent="0.35">
      <c r="A966" s="3">
        <v>45247</v>
      </c>
      <c r="B966">
        <v>1426.77392578125</v>
      </c>
      <c r="C966">
        <v>245.69017028808591</v>
      </c>
      <c r="D966">
        <v>149.4095153808594</v>
      </c>
    </row>
    <row r="967" spans="1:4" x14ac:dyDescent="0.35">
      <c r="A967" s="3">
        <v>45250</v>
      </c>
      <c r="B967">
        <v>1426.724731445313</v>
      </c>
      <c r="C967">
        <v>249.53204345703131</v>
      </c>
      <c r="D967">
        <v>152.40852355957031</v>
      </c>
    </row>
    <row r="968" spans="1:4" x14ac:dyDescent="0.35">
      <c r="A968" s="3">
        <v>45251</v>
      </c>
      <c r="B968">
        <v>1445.124633789063</v>
      </c>
      <c r="C968">
        <v>252.28302001953131</v>
      </c>
      <c r="D968">
        <v>162.14300537109381</v>
      </c>
    </row>
    <row r="969" spans="1:4" x14ac:dyDescent="0.35">
      <c r="A969" s="3">
        <v>45252</v>
      </c>
      <c r="B969">
        <v>1429.6845703125</v>
      </c>
      <c r="C969">
        <v>254.98655700683591</v>
      </c>
      <c r="D969">
        <v>173.4999084472656</v>
      </c>
    </row>
    <row r="970" spans="1:4" x14ac:dyDescent="0.35">
      <c r="A970" s="3">
        <v>45253</v>
      </c>
      <c r="B970">
        <v>1419.719848632813</v>
      </c>
      <c r="C970">
        <v>250.14866638183591</v>
      </c>
      <c r="D970">
        <v>171.28752136230469</v>
      </c>
    </row>
    <row r="971" spans="1:4" x14ac:dyDescent="0.35">
      <c r="A971" s="3">
        <v>45254</v>
      </c>
      <c r="B971">
        <v>1419.2265625</v>
      </c>
      <c r="C971">
        <v>291.318359375</v>
      </c>
      <c r="D971">
        <v>205.50569152832031</v>
      </c>
    </row>
    <row r="972" spans="1:4" x14ac:dyDescent="0.35">
      <c r="A972" s="3">
        <v>45258</v>
      </c>
      <c r="B972">
        <v>1430.6708984375</v>
      </c>
      <c r="C972">
        <v>295.72940063476563</v>
      </c>
      <c r="D972">
        <v>222.31980895996091</v>
      </c>
    </row>
    <row r="973" spans="1:4" x14ac:dyDescent="0.35">
      <c r="A973" s="3">
        <v>45259</v>
      </c>
      <c r="B973">
        <v>1421.298217773438</v>
      </c>
      <c r="C973">
        <v>288.8045654296875</v>
      </c>
      <c r="D973">
        <v>228.12115478515631</v>
      </c>
    </row>
    <row r="974" spans="1:4" x14ac:dyDescent="0.35">
      <c r="A974" s="3">
        <v>45260</v>
      </c>
      <c r="B974">
        <v>1460.170532226563</v>
      </c>
      <c r="C974">
        <v>303.12857055664063</v>
      </c>
      <c r="D974">
        <v>250.9332580566406</v>
      </c>
    </row>
    <row r="975" spans="1:4" x14ac:dyDescent="0.35">
      <c r="A975" s="3">
        <v>45261</v>
      </c>
      <c r="B975">
        <v>1438.119873046875</v>
      </c>
      <c r="C975">
        <v>291.12863159179688</v>
      </c>
      <c r="D975">
        <v>227.3836975097656</v>
      </c>
    </row>
    <row r="976" spans="1:4" x14ac:dyDescent="0.35">
      <c r="A976" s="3">
        <v>45264</v>
      </c>
      <c r="B976">
        <v>1451.192504882813</v>
      </c>
      <c r="C976">
        <v>295.63455200195313</v>
      </c>
      <c r="D976">
        <v>237.8556213378906</v>
      </c>
    </row>
    <row r="977" spans="1:4" x14ac:dyDescent="0.35">
      <c r="A977" s="3">
        <v>45265</v>
      </c>
      <c r="B977">
        <v>1446.703369140625</v>
      </c>
      <c r="C977">
        <v>291.17608642578131</v>
      </c>
      <c r="D977">
        <v>228.219482421875</v>
      </c>
    </row>
    <row r="978" spans="1:4" x14ac:dyDescent="0.35">
      <c r="A978" s="3">
        <v>45266</v>
      </c>
      <c r="B978">
        <v>1426.329956054688</v>
      </c>
      <c r="C978">
        <v>278.79669189453131</v>
      </c>
      <c r="D978">
        <v>224.38468933105469</v>
      </c>
    </row>
    <row r="979" spans="1:4" x14ac:dyDescent="0.35">
      <c r="A979" s="3">
        <v>45267</v>
      </c>
      <c r="B979">
        <v>1430.029663085938</v>
      </c>
      <c r="C979">
        <v>294.87567138671881</v>
      </c>
      <c r="D979">
        <v>232.74256896972659</v>
      </c>
    </row>
    <row r="980" spans="1:4" x14ac:dyDescent="0.35">
      <c r="A980" s="3">
        <v>45268</v>
      </c>
      <c r="B980">
        <v>1429.980590820313</v>
      </c>
      <c r="C980">
        <v>288.6622314453125</v>
      </c>
      <c r="D980">
        <v>224.33552551269531</v>
      </c>
    </row>
    <row r="981" spans="1:4" x14ac:dyDescent="0.35">
      <c r="A981" s="3">
        <v>45271</v>
      </c>
      <c r="B981">
        <v>1427.612670898438</v>
      </c>
      <c r="C981">
        <v>289.27886962890631</v>
      </c>
      <c r="D981">
        <v>224.33552551269531</v>
      </c>
    </row>
    <row r="982" spans="1:4" x14ac:dyDescent="0.35">
      <c r="A982" s="3">
        <v>45272</v>
      </c>
      <c r="B982">
        <v>1435.8505859375</v>
      </c>
      <c r="C982">
        <v>296.34600830078131</v>
      </c>
      <c r="D982">
        <v>232.8409118652344</v>
      </c>
    </row>
    <row r="983" spans="1:4" x14ac:dyDescent="0.35">
      <c r="A983" s="3">
        <v>45273</v>
      </c>
      <c r="B983">
        <v>1433.926879882813</v>
      </c>
      <c r="C983">
        <v>296.3934326171875</v>
      </c>
      <c r="D983">
        <v>231.07099914550781</v>
      </c>
    </row>
    <row r="984" spans="1:4" x14ac:dyDescent="0.35">
      <c r="A984" s="3">
        <v>45274</v>
      </c>
      <c r="B984">
        <v>1443.348876953125</v>
      </c>
      <c r="C984">
        <v>296.9151611328125</v>
      </c>
      <c r="D984">
        <v>226.69538879394531</v>
      </c>
    </row>
    <row r="985" spans="1:4" x14ac:dyDescent="0.35">
      <c r="A985" s="3">
        <v>45275</v>
      </c>
      <c r="B985">
        <v>1432.200317382813</v>
      </c>
      <c r="C985">
        <v>301.94277954101563</v>
      </c>
      <c r="D985">
        <v>220.500732421875</v>
      </c>
    </row>
    <row r="986" spans="1:4" x14ac:dyDescent="0.35">
      <c r="A986" s="3">
        <v>45278</v>
      </c>
      <c r="B986">
        <v>1429.93115234375</v>
      </c>
      <c r="C986">
        <v>303.17599487304688</v>
      </c>
      <c r="D986">
        <v>222.66395568847659</v>
      </c>
    </row>
    <row r="987" spans="1:4" x14ac:dyDescent="0.35">
      <c r="A987" s="3">
        <v>45279</v>
      </c>
      <c r="B987">
        <v>1422.728881835938</v>
      </c>
      <c r="C987">
        <v>306.44866943359381</v>
      </c>
      <c r="D987">
        <v>221.6806640625</v>
      </c>
    </row>
    <row r="988" spans="1:4" x14ac:dyDescent="0.35">
      <c r="A988" s="3">
        <v>45280</v>
      </c>
      <c r="B988">
        <v>1394.265380859375</v>
      </c>
      <c r="C988">
        <v>289.80056762695313</v>
      </c>
      <c r="D988">
        <v>210.27461242675781</v>
      </c>
    </row>
    <row r="989" spans="1:4" x14ac:dyDescent="0.35">
      <c r="A989" s="3">
        <v>45281</v>
      </c>
      <c r="B989">
        <v>1386.915283203125</v>
      </c>
      <c r="C989">
        <v>294.63848876953131</v>
      </c>
      <c r="D989">
        <v>212.78196716308591</v>
      </c>
    </row>
    <row r="990" spans="1:4" x14ac:dyDescent="0.35">
      <c r="A990" s="3">
        <v>45282</v>
      </c>
      <c r="B990">
        <v>1403.53955078125</v>
      </c>
      <c r="C990">
        <v>298.00607299804688</v>
      </c>
      <c r="D990">
        <v>213.9127502441406</v>
      </c>
    </row>
    <row r="991" spans="1:4" x14ac:dyDescent="0.35">
      <c r="A991" s="3">
        <v>45286</v>
      </c>
      <c r="B991">
        <v>1397.126586914063</v>
      </c>
      <c r="C991">
        <v>296.29855346679688</v>
      </c>
      <c r="D991">
        <v>209.1929931640625</v>
      </c>
    </row>
    <row r="992" spans="1:4" x14ac:dyDescent="0.35">
      <c r="A992" s="3">
        <v>45287</v>
      </c>
      <c r="B992">
        <v>1396.041381835938</v>
      </c>
      <c r="C992">
        <v>297.57919311523438</v>
      </c>
      <c r="D992">
        <v>209.68463134765631</v>
      </c>
    </row>
    <row r="993" spans="1:4" x14ac:dyDescent="0.35">
      <c r="A993" s="3">
        <v>45288</v>
      </c>
      <c r="B993">
        <v>1417.74658203125</v>
      </c>
      <c r="C993">
        <v>297.81634521484381</v>
      </c>
      <c r="D993">
        <v>209.88128662109381</v>
      </c>
    </row>
    <row r="994" spans="1:4" x14ac:dyDescent="0.35">
      <c r="A994" s="3">
        <v>45289</v>
      </c>
      <c r="B994">
        <v>1401.072998046875</v>
      </c>
      <c r="C994">
        <v>292.21954345703131</v>
      </c>
      <c r="D994">
        <v>206.8331298828125</v>
      </c>
    </row>
    <row r="995" spans="1:4" x14ac:dyDescent="0.35">
      <c r="A995" s="3">
        <v>45292</v>
      </c>
      <c r="B995">
        <v>1417.943969726563</v>
      </c>
      <c r="C995">
        <v>295.91912841796881</v>
      </c>
      <c r="D995">
        <v>212.9786376953125</v>
      </c>
    </row>
    <row r="996" spans="1:4" x14ac:dyDescent="0.35">
      <c r="A996" s="3">
        <v>45293</v>
      </c>
      <c r="B996">
        <v>1400.382446289063</v>
      </c>
      <c r="C996">
        <v>293.68991088867188</v>
      </c>
      <c r="D996">
        <v>210.07794189453131</v>
      </c>
    </row>
    <row r="997" spans="1:4" x14ac:dyDescent="0.35">
      <c r="A997" s="3">
        <v>45294</v>
      </c>
      <c r="B997">
        <v>1359.537109375</v>
      </c>
      <c r="C997">
        <v>294.6859130859375</v>
      </c>
      <c r="D997">
        <v>214.84686279296881</v>
      </c>
    </row>
    <row r="998" spans="1:4" x14ac:dyDescent="0.35">
      <c r="A998" s="3">
        <v>45295</v>
      </c>
      <c r="B998">
        <v>1374.533447265625</v>
      </c>
      <c r="C998">
        <v>300.33016967773438</v>
      </c>
      <c r="D998">
        <v>224.13887023925781</v>
      </c>
    </row>
    <row r="999" spans="1:4" x14ac:dyDescent="0.35">
      <c r="A999" s="3">
        <v>45296</v>
      </c>
      <c r="B999">
        <v>1376.9013671875</v>
      </c>
      <c r="C999">
        <v>298.10092163085938</v>
      </c>
      <c r="D999">
        <v>225.36796569824219</v>
      </c>
    </row>
    <row r="1000" spans="1:4" x14ac:dyDescent="0.35">
      <c r="A1000" s="3">
        <v>45299</v>
      </c>
      <c r="B1000">
        <v>1376.950561523438</v>
      </c>
      <c r="C1000">
        <v>295.11279296875</v>
      </c>
      <c r="D1000">
        <v>218.38667297363281</v>
      </c>
    </row>
    <row r="1001" spans="1:4" x14ac:dyDescent="0.35">
      <c r="A1001" s="3">
        <v>45300</v>
      </c>
      <c r="B1001">
        <v>1376.309326171875</v>
      </c>
      <c r="C1001">
        <v>293.97445678710938</v>
      </c>
      <c r="D1001">
        <v>217.64921569824219</v>
      </c>
    </row>
    <row r="1002" spans="1:4" x14ac:dyDescent="0.35">
      <c r="A1002" s="3">
        <v>45301</v>
      </c>
      <c r="B1002">
        <v>1369.452270507813</v>
      </c>
      <c r="C1002">
        <v>289.089111328125</v>
      </c>
      <c r="D1002">
        <v>211.995361328125</v>
      </c>
    </row>
    <row r="1003" spans="1:4" x14ac:dyDescent="0.35">
      <c r="A1003" s="3">
        <v>45302</v>
      </c>
      <c r="B1003">
        <v>1374.582641601563</v>
      </c>
      <c r="C1003">
        <v>288.09310913085938</v>
      </c>
      <c r="D1003">
        <v>210.02880859375</v>
      </c>
    </row>
    <row r="1004" spans="1:4" x14ac:dyDescent="0.35">
      <c r="A1004" s="3">
        <v>45303</v>
      </c>
      <c r="B1004">
        <v>1375.42138671875</v>
      </c>
      <c r="C1004">
        <v>289.75314331054688</v>
      </c>
      <c r="D1004">
        <v>211.50372314453131</v>
      </c>
    </row>
    <row r="1005" spans="1:4" x14ac:dyDescent="0.35">
      <c r="A1005" s="3">
        <v>45306</v>
      </c>
      <c r="B1005">
        <v>1354.406860351563</v>
      </c>
      <c r="C1005">
        <v>295.20767211914063</v>
      </c>
      <c r="D1005">
        <v>213.32276916503909</v>
      </c>
    </row>
    <row r="1006" spans="1:4" x14ac:dyDescent="0.35">
      <c r="A1006" s="3">
        <v>45307</v>
      </c>
      <c r="B1006">
        <v>1355.787841796875</v>
      </c>
      <c r="C1006">
        <v>294.3538818359375</v>
      </c>
      <c r="D1006">
        <v>219.8616027832031</v>
      </c>
    </row>
    <row r="1007" spans="1:4" x14ac:dyDescent="0.35">
      <c r="A1007" s="3">
        <v>45308</v>
      </c>
      <c r="B1007">
        <v>1434.962768554688</v>
      </c>
      <c r="C1007">
        <v>293.547607421875</v>
      </c>
      <c r="D1007">
        <v>219.0749816894531</v>
      </c>
    </row>
    <row r="1008" spans="1:4" x14ac:dyDescent="0.35">
      <c r="A1008" s="3">
        <v>45309</v>
      </c>
      <c r="B1008">
        <v>1420.755859375</v>
      </c>
      <c r="C1008">
        <v>289.99032592773438</v>
      </c>
      <c r="D1008">
        <v>217.50172424316409</v>
      </c>
    </row>
    <row r="1009" spans="1:4" x14ac:dyDescent="0.35">
      <c r="A1009" s="3">
        <v>45310</v>
      </c>
      <c r="B1009">
        <v>1467.02734375</v>
      </c>
      <c r="C1009">
        <v>337.75283813476563</v>
      </c>
      <c r="D1009">
        <v>238.83891296386719</v>
      </c>
    </row>
    <row r="1010" spans="1:4" x14ac:dyDescent="0.35">
      <c r="A1010" s="3">
        <v>45314</v>
      </c>
      <c r="B1010">
        <v>1459.381225585938</v>
      </c>
      <c r="C1010">
        <v>316.978271484375</v>
      </c>
      <c r="D1010">
        <v>223.20475769042969</v>
      </c>
    </row>
    <row r="1011" spans="1:4" x14ac:dyDescent="0.35">
      <c r="A1011" s="3">
        <v>45315</v>
      </c>
      <c r="B1011">
        <v>1488.28857421875</v>
      </c>
      <c r="C1011">
        <v>343.96627807617188</v>
      </c>
      <c r="D1011">
        <v>231.61180114746091</v>
      </c>
    </row>
    <row r="1012" spans="1:4" x14ac:dyDescent="0.35">
      <c r="A1012" s="3">
        <v>45316</v>
      </c>
      <c r="B1012">
        <v>1462.340942382813</v>
      </c>
      <c r="C1012">
        <v>334.527587890625</v>
      </c>
      <c r="D1012">
        <v>227.53117370605469</v>
      </c>
    </row>
    <row r="1013" spans="1:4" x14ac:dyDescent="0.35">
      <c r="A1013" s="3">
        <v>45320</v>
      </c>
      <c r="B1013">
        <v>1468.90185546875</v>
      </c>
      <c r="C1013">
        <v>351.412841796875</v>
      </c>
      <c r="D1013">
        <v>233.6275329589844</v>
      </c>
    </row>
    <row r="1014" spans="1:4" x14ac:dyDescent="0.35">
      <c r="A1014" s="3">
        <v>45321</v>
      </c>
      <c r="B1014">
        <v>1479.6064453125</v>
      </c>
      <c r="C1014">
        <v>355.53927612304688</v>
      </c>
      <c r="D1014">
        <v>242.18208312988281</v>
      </c>
    </row>
    <row r="1015" spans="1:4" x14ac:dyDescent="0.35">
      <c r="A1015" s="3">
        <v>45322</v>
      </c>
      <c r="B1015">
        <v>1477.041381835938</v>
      </c>
      <c r="C1015">
        <v>357.38909912109381</v>
      </c>
      <c r="D1015">
        <v>239.18305969238281</v>
      </c>
    </row>
    <row r="1016" spans="1:4" x14ac:dyDescent="0.35">
      <c r="A1016" s="3">
        <v>45323</v>
      </c>
      <c r="B1016">
        <v>1492.087036132813</v>
      </c>
      <c r="C1016">
        <v>349.89508056640631</v>
      </c>
      <c r="D1016">
        <v>235.83992004394531</v>
      </c>
    </row>
    <row r="1017" spans="1:4" x14ac:dyDescent="0.35">
      <c r="A1017" s="3">
        <v>45324</v>
      </c>
      <c r="B1017">
        <v>1478.965209960938</v>
      </c>
      <c r="C1017">
        <v>357.81597900390631</v>
      </c>
      <c r="D1017">
        <v>238.05229187011719</v>
      </c>
    </row>
    <row r="1018" spans="1:4" x14ac:dyDescent="0.35">
      <c r="A1018" s="3">
        <v>45327</v>
      </c>
      <c r="B1018">
        <v>1498.253295898438</v>
      </c>
      <c r="C1018">
        <v>387.6497802734375</v>
      </c>
      <c r="D1018">
        <v>261.20855712890631</v>
      </c>
    </row>
    <row r="1019" spans="1:4" x14ac:dyDescent="0.35">
      <c r="A1019" s="3">
        <v>45328</v>
      </c>
      <c r="B1019">
        <v>1569.633911132813</v>
      </c>
      <c r="C1019">
        <v>387.03317260742188</v>
      </c>
      <c r="D1019">
        <v>271.53302001953131</v>
      </c>
    </row>
    <row r="1020" spans="1:4" x14ac:dyDescent="0.35">
      <c r="A1020" s="3">
        <v>45329</v>
      </c>
      <c r="B1020">
        <v>1602.833129882813</v>
      </c>
      <c r="C1020">
        <v>383.19131469726563</v>
      </c>
      <c r="D1020">
        <v>268.28817749023438</v>
      </c>
    </row>
    <row r="1021" spans="1:4" x14ac:dyDescent="0.35">
      <c r="A1021" s="3">
        <v>45330</v>
      </c>
      <c r="B1021">
        <v>1598.985229492188</v>
      </c>
      <c r="C1021">
        <v>418.43218994140631</v>
      </c>
      <c r="D1021">
        <v>299.31069946289063</v>
      </c>
    </row>
    <row r="1022" spans="1:4" x14ac:dyDescent="0.35">
      <c r="A1022" s="3">
        <v>45331</v>
      </c>
      <c r="B1022">
        <v>1616.448120117188</v>
      </c>
      <c r="C1022">
        <v>384.18734741210938</v>
      </c>
      <c r="D1022">
        <v>286.0855712890625</v>
      </c>
    </row>
    <row r="1023" spans="1:4" x14ac:dyDescent="0.35">
      <c r="A1023" s="3">
        <v>45334</v>
      </c>
      <c r="B1023">
        <v>1593.657836914063</v>
      </c>
      <c r="C1023">
        <v>328.78848266601563</v>
      </c>
      <c r="D1023">
        <v>242.6245422363281</v>
      </c>
    </row>
    <row r="1024" spans="1:4" x14ac:dyDescent="0.35">
      <c r="A1024" s="3">
        <v>45335</v>
      </c>
      <c r="B1024">
        <v>1608.802001953125</v>
      </c>
      <c r="C1024">
        <v>342.30618286132813</v>
      </c>
      <c r="D1024">
        <v>235.9873962402344</v>
      </c>
    </row>
    <row r="1025" spans="1:4" x14ac:dyDescent="0.35">
      <c r="A1025" s="3">
        <v>45336</v>
      </c>
      <c r="B1025">
        <v>1617.631958007813</v>
      </c>
      <c r="C1025">
        <v>360.42465209960938</v>
      </c>
      <c r="D1025">
        <v>246.75431823730469</v>
      </c>
    </row>
    <row r="1026" spans="1:4" x14ac:dyDescent="0.35">
      <c r="A1026" s="3">
        <v>45337</v>
      </c>
      <c r="B1026">
        <v>1627.448852539063</v>
      </c>
      <c r="C1026">
        <v>365.54718017578131</v>
      </c>
      <c r="D1026">
        <v>243.16534423828131</v>
      </c>
    </row>
    <row r="1027" spans="1:4" x14ac:dyDescent="0.35">
      <c r="A1027" s="3">
        <v>45338</v>
      </c>
      <c r="B1027">
        <v>1623.354370117188</v>
      </c>
      <c r="C1027">
        <v>405.24652099609381</v>
      </c>
      <c r="D1027">
        <v>281.07083129882813</v>
      </c>
    </row>
    <row r="1028" spans="1:4" x14ac:dyDescent="0.35">
      <c r="A1028" s="3">
        <v>45341</v>
      </c>
      <c r="B1028">
        <v>1620.93701171875</v>
      </c>
      <c r="C1028">
        <v>402.63784790039063</v>
      </c>
      <c r="D1028">
        <v>291.49362182617188</v>
      </c>
    </row>
    <row r="1029" spans="1:4" x14ac:dyDescent="0.35">
      <c r="A1029" s="3">
        <v>45342</v>
      </c>
      <c r="B1029">
        <v>1626.856689453125</v>
      </c>
      <c r="C1029">
        <v>386.60629272460938</v>
      </c>
      <c r="D1029">
        <v>274.63034057617188</v>
      </c>
    </row>
    <row r="1030" spans="1:4" x14ac:dyDescent="0.35">
      <c r="A1030" s="3">
        <v>45343</v>
      </c>
      <c r="B1030">
        <v>1622.515747070313</v>
      </c>
      <c r="C1030">
        <v>403.34930419921881</v>
      </c>
      <c r="D1030">
        <v>275.02365112304688</v>
      </c>
    </row>
    <row r="1031" spans="1:4" x14ac:dyDescent="0.35">
      <c r="A1031" s="3">
        <v>45344</v>
      </c>
      <c r="B1031">
        <v>1624.193115234375</v>
      </c>
      <c r="C1031">
        <v>407.523193359375</v>
      </c>
      <c r="D1031">
        <v>277.67849731445313</v>
      </c>
    </row>
    <row r="1032" spans="1:4" x14ac:dyDescent="0.35">
      <c r="A1032" s="3">
        <v>45345</v>
      </c>
      <c r="B1032">
        <v>1617.286865234375</v>
      </c>
      <c r="C1032">
        <v>399.50738525390631</v>
      </c>
      <c r="D1032">
        <v>275.07281494140631</v>
      </c>
    </row>
    <row r="1033" spans="1:4" x14ac:dyDescent="0.35">
      <c r="A1033" s="3">
        <v>45348</v>
      </c>
      <c r="B1033">
        <v>1628.435302734375</v>
      </c>
      <c r="C1033">
        <v>381.24664306640631</v>
      </c>
      <c r="D1033">
        <v>261.20855712890631</v>
      </c>
    </row>
    <row r="1034" spans="1:4" x14ac:dyDescent="0.35">
      <c r="A1034" s="3">
        <v>45349</v>
      </c>
      <c r="B1034">
        <v>1703.614379882813</v>
      </c>
      <c r="C1034">
        <v>386.55886840820313</v>
      </c>
      <c r="D1034">
        <v>267.6490478515625</v>
      </c>
    </row>
    <row r="1035" spans="1:4" x14ac:dyDescent="0.35">
      <c r="A1035" s="3">
        <v>45350</v>
      </c>
      <c r="B1035">
        <v>1701.34521484375</v>
      </c>
      <c r="C1035">
        <v>368.15582275390631</v>
      </c>
      <c r="D1035">
        <v>252.75233459472659</v>
      </c>
    </row>
    <row r="1036" spans="1:4" x14ac:dyDescent="0.35">
      <c r="A1036" s="3">
        <v>45351</v>
      </c>
      <c r="B1036">
        <v>1688.8154296875</v>
      </c>
      <c r="C1036">
        <v>360.56692504882813</v>
      </c>
      <c r="D1036">
        <v>253.7847900390625</v>
      </c>
    </row>
    <row r="1037" spans="1:4" x14ac:dyDescent="0.35">
      <c r="A1037" s="3">
        <v>45352</v>
      </c>
      <c r="B1037">
        <v>1621.825073242188</v>
      </c>
      <c r="C1037">
        <v>367.53924560546881</v>
      </c>
      <c r="D1037">
        <v>264.30587768554688</v>
      </c>
    </row>
    <row r="1038" spans="1:4" x14ac:dyDescent="0.35">
      <c r="A1038" s="3">
        <v>45355</v>
      </c>
      <c r="B1038">
        <v>1627.991455078125</v>
      </c>
      <c r="C1038">
        <v>378.7802734375</v>
      </c>
      <c r="D1038">
        <v>271.1888427734375</v>
      </c>
    </row>
    <row r="1039" spans="1:4" x14ac:dyDescent="0.35">
      <c r="A1039" s="3">
        <v>45356</v>
      </c>
      <c r="B1039">
        <v>1630.309692382813</v>
      </c>
      <c r="C1039">
        <v>371.95028686523438</v>
      </c>
      <c r="D1039">
        <v>267.94403076171881</v>
      </c>
    </row>
    <row r="1040" spans="1:4" x14ac:dyDescent="0.35">
      <c r="A1040" s="3">
        <v>45357</v>
      </c>
      <c r="B1040">
        <v>1633.614990234375</v>
      </c>
      <c r="C1040">
        <v>353.83181762695313</v>
      </c>
      <c r="D1040">
        <v>255.84968566894531</v>
      </c>
    </row>
    <row r="1041" spans="1:4" x14ac:dyDescent="0.35">
      <c r="A1041" s="3">
        <v>45358</v>
      </c>
      <c r="B1041">
        <v>1643.826293945313</v>
      </c>
      <c r="C1041">
        <v>347.99786376953131</v>
      </c>
      <c r="D1041">
        <v>253.48979187011719</v>
      </c>
    </row>
    <row r="1042" spans="1:4" x14ac:dyDescent="0.35">
      <c r="A1042" s="3">
        <v>45362</v>
      </c>
      <c r="B1042">
        <v>1632.1845703125</v>
      </c>
      <c r="C1042">
        <v>337.989990234375</v>
      </c>
      <c r="D1042">
        <v>247.0984802246094</v>
      </c>
    </row>
    <row r="1043" spans="1:4" x14ac:dyDescent="0.35">
      <c r="A1043" s="3">
        <v>45363</v>
      </c>
      <c r="B1043">
        <v>1638.843994140625</v>
      </c>
      <c r="C1043">
        <v>325.65805053710938</v>
      </c>
      <c r="D1043">
        <v>236.67570495605469</v>
      </c>
    </row>
    <row r="1044" spans="1:4" x14ac:dyDescent="0.35">
      <c r="A1044" s="3">
        <v>45364</v>
      </c>
      <c r="B1044">
        <v>1621.233154296875</v>
      </c>
      <c r="C1044">
        <v>301.08905029296881</v>
      </c>
      <c r="D1044">
        <v>214.06022644042969</v>
      </c>
    </row>
    <row r="1045" spans="1:4" x14ac:dyDescent="0.35">
      <c r="A1045" s="3">
        <v>45365</v>
      </c>
      <c r="B1045">
        <v>1639.63330078125</v>
      </c>
      <c r="C1045">
        <v>320.6778564453125</v>
      </c>
      <c r="D1045">
        <v>231.02183532714841</v>
      </c>
    </row>
    <row r="1046" spans="1:4" x14ac:dyDescent="0.35">
      <c r="A1046" s="3">
        <v>45366</v>
      </c>
      <c r="B1046">
        <v>1629.224609375</v>
      </c>
      <c r="C1046">
        <v>316.59881591796881</v>
      </c>
      <c r="D1046">
        <v>229.9893798828125</v>
      </c>
    </row>
    <row r="1047" spans="1:4" x14ac:dyDescent="0.35">
      <c r="A1047" s="3">
        <v>45369</v>
      </c>
      <c r="B1047">
        <v>1634.15771484375</v>
      </c>
      <c r="C1047">
        <v>316.978271484375</v>
      </c>
      <c r="D1047">
        <v>227.13787841796881</v>
      </c>
    </row>
    <row r="1048" spans="1:4" x14ac:dyDescent="0.35">
      <c r="A1048" s="3">
        <v>45370</v>
      </c>
      <c r="B1048">
        <v>1634.798828125</v>
      </c>
      <c r="C1048">
        <v>309.76882934570313</v>
      </c>
      <c r="D1048">
        <v>220.00909423828131</v>
      </c>
    </row>
    <row r="1049" spans="1:4" x14ac:dyDescent="0.35">
      <c r="A1049" s="3">
        <v>45371</v>
      </c>
      <c r="B1049">
        <v>1618.42138671875</v>
      </c>
      <c r="C1049">
        <v>312.2352294921875</v>
      </c>
      <c r="D1049">
        <v>220.3040771484375</v>
      </c>
    </row>
    <row r="1050" spans="1:4" x14ac:dyDescent="0.35">
      <c r="A1050" s="3">
        <v>45372</v>
      </c>
      <c r="B1050">
        <v>1650.633911132813</v>
      </c>
      <c r="C1050">
        <v>321.29449462890631</v>
      </c>
      <c r="D1050">
        <v>225.95793151855469</v>
      </c>
    </row>
    <row r="1051" spans="1:4" x14ac:dyDescent="0.35">
      <c r="A1051" s="3">
        <v>45373</v>
      </c>
      <c r="B1051">
        <v>1647.476684570313</v>
      </c>
      <c r="C1051">
        <v>317.97433471679688</v>
      </c>
      <c r="D1051">
        <v>228.46531677246091</v>
      </c>
    </row>
    <row r="1052" spans="1:4" x14ac:dyDescent="0.35">
      <c r="A1052" s="3">
        <v>45377</v>
      </c>
      <c r="B1052">
        <v>1626.166259765625</v>
      </c>
      <c r="C1052">
        <v>310.29055786132813</v>
      </c>
      <c r="D1052">
        <v>222.0248107910156</v>
      </c>
    </row>
    <row r="1053" spans="1:4" x14ac:dyDescent="0.35">
      <c r="A1053" s="3">
        <v>45378</v>
      </c>
      <c r="B1053">
        <v>1640.373413085938</v>
      </c>
      <c r="C1053">
        <v>314.32217407226563</v>
      </c>
      <c r="D1053">
        <v>227.13787841796881</v>
      </c>
    </row>
    <row r="1054" spans="1:4" x14ac:dyDescent="0.35">
      <c r="A1054" s="3">
        <v>45379</v>
      </c>
      <c r="B1054">
        <v>1661.930541992188</v>
      </c>
      <c r="C1054">
        <v>312.80438232421881</v>
      </c>
      <c r="D1054">
        <v>223.30308532714841</v>
      </c>
    </row>
    <row r="1055" spans="1:4" x14ac:dyDescent="0.35">
      <c r="A1055" s="3">
        <v>45383</v>
      </c>
      <c r="B1055">
        <v>1675.101684570313</v>
      </c>
      <c r="C1055">
        <v>326.79638671875</v>
      </c>
      <c r="D1055">
        <v>235.74159240722659</v>
      </c>
    </row>
    <row r="1056" spans="1:4" x14ac:dyDescent="0.35">
      <c r="A1056" s="3">
        <v>45384</v>
      </c>
      <c r="B1056">
        <v>1666.271484375</v>
      </c>
      <c r="C1056">
        <v>321.5316162109375</v>
      </c>
      <c r="D1056">
        <v>235.9873962402344</v>
      </c>
    </row>
    <row r="1057" spans="1:4" x14ac:dyDescent="0.35">
      <c r="A1057" s="3">
        <v>45385</v>
      </c>
      <c r="B1057">
        <v>1670.020629882813</v>
      </c>
      <c r="C1057">
        <v>324.04544067382813</v>
      </c>
      <c r="D1057">
        <v>235.151611328125</v>
      </c>
    </row>
    <row r="1058" spans="1:4" x14ac:dyDescent="0.35">
      <c r="A1058" s="3">
        <v>45386</v>
      </c>
      <c r="B1058">
        <v>1616.349487304688</v>
      </c>
      <c r="C1058">
        <v>323.19171142578131</v>
      </c>
      <c r="D1058">
        <v>234.26666259765631</v>
      </c>
    </row>
    <row r="1059" spans="1:4" x14ac:dyDescent="0.35">
      <c r="A1059" s="3">
        <v>45387</v>
      </c>
      <c r="B1059">
        <v>1694.784301757813</v>
      </c>
      <c r="C1059">
        <v>324.18771362304688</v>
      </c>
      <c r="D1059">
        <v>235.151611328125</v>
      </c>
    </row>
    <row r="1060" spans="1:4" x14ac:dyDescent="0.35">
      <c r="A1060" s="3">
        <v>45390</v>
      </c>
      <c r="B1060">
        <v>1687.779418945313</v>
      </c>
      <c r="C1060">
        <v>319.3023681640625</v>
      </c>
      <c r="D1060">
        <v>231.3659973144531</v>
      </c>
    </row>
    <row r="1061" spans="1:4" x14ac:dyDescent="0.35">
      <c r="A1061" s="3">
        <v>45391</v>
      </c>
      <c r="B1061">
        <v>1679.492065429688</v>
      </c>
      <c r="C1061">
        <v>317.310302734375</v>
      </c>
      <c r="D1061">
        <v>228.61279296875</v>
      </c>
    </row>
    <row r="1062" spans="1:4" x14ac:dyDescent="0.35">
      <c r="A1062" s="3">
        <v>45392</v>
      </c>
      <c r="B1062">
        <v>1664.2490234375</v>
      </c>
      <c r="C1062">
        <v>312.28268432617188</v>
      </c>
      <c r="D1062">
        <v>225.07298278808591</v>
      </c>
    </row>
    <row r="1063" spans="1:4" x14ac:dyDescent="0.35">
      <c r="A1063" s="3">
        <v>45394</v>
      </c>
      <c r="B1063">
        <v>1644.862426757813</v>
      </c>
      <c r="C1063">
        <v>308.013916015625</v>
      </c>
      <c r="D1063">
        <v>220.9432067871094</v>
      </c>
    </row>
    <row r="1064" spans="1:4" x14ac:dyDescent="0.35">
      <c r="A1064" s="3">
        <v>45397</v>
      </c>
      <c r="B1064">
        <v>1608.456665039063</v>
      </c>
      <c r="C1064">
        <v>308.58306884765631</v>
      </c>
      <c r="D1064">
        <v>215.14186096191409</v>
      </c>
    </row>
    <row r="1065" spans="1:4" x14ac:dyDescent="0.35">
      <c r="A1065" s="3">
        <v>45398</v>
      </c>
      <c r="B1065">
        <v>1626.560791015625</v>
      </c>
      <c r="C1065">
        <v>311.3814697265625</v>
      </c>
      <c r="D1065">
        <v>217.84587097167969</v>
      </c>
    </row>
    <row r="1066" spans="1:4" x14ac:dyDescent="0.35">
      <c r="A1066" s="3">
        <v>45400</v>
      </c>
      <c r="B1066">
        <v>1687.1875</v>
      </c>
      <c r="C1066">
        <v>314.03756713867188</v>
      </c>
      <c r="D1066">
        <v>216.61677551269531</v>
      </c>
    </row>
    <row r="1067" spans="1:4" x14ac:dyDescent="0.35">
      <c r="A1067" s="3">
        <v>45401</v>
      </c>
      <c r="B1067">
        <v>1667.110229492188</v>
      </c>
      <c r="C1067">
        <v>307.91903686523438</v>
      </c>
      <c r="D1067">
        <v>215.2893371582031</v>
      </c>
    </row>
    <row r="1068" spans="1:4" x14ac:dyDescent="0.35">
      <c r="A1068" s="3">
        <v>45404</v>
      </c>
      <c r="B1068">
        <v>1663.410400390625</v>
      </c>
      <c r="C1068">
        <v>312.28268432617188</v>
      </c>
      <c r="D1068">
        <v>217.55088806152341</v>
      </c>
    </row>
    <row r="1069" spans="1:4" x14ac:dyDescent="0.35">
      <c r="A1069" s="3">
        <v>45405</v>
      </c>
      <c r="B1069">
        <v>1673.079223632813</v>
      </c>
      <c r="C1069">
        <v>310.90716552734381</v>
      </c>
      <c r="D1069">
        <v>220.99237060546881</v>
      </c>
    </row>
    <row r="1070" spans="1:4" x14ac:dyDescent="0.35">
      <c r="A1070" s="3">
        <v>45406</v>
      </c>
      <c r="B1070">
        <v>1677.814697265625</v>
      </c>
      <c r="C1070">
        <v>310.3380126953125</v>
      </c>
      <c r="D1070">
        <v>222.27064514160159</v>
      </c>
    </row>
    <row r="1071" spans="1:4" x14ac:dyDescent="0.35">
      <c r="A1071" s="3">
        <v>45407</v>
      </c>
      <c r="B1071">
        <v>1683.931762695313</v>
      </c>
      <c r="C1071">
        <v>314.1324462890625</v>
      </c>
      <c r="D1071">
        <v>223.1064147949219</v>
      </c>
    </row>
    <row r="1072" spans="1:4" x14ac:dyDescent="0.35">
      <c r="A1072" s="3">
        <v>45408</v>
      </c>
      <c r="B1072">
        <v>1669.971435546875</v>
      </c>
      <c r="C1072">
        <v>323.57113647460938</v>
      </c>
      <c r="D1072">
        <v>240.60882568359381</v>
      </c>
    </row>
    <row r="1073" spans="1:4" x14ac:dyDescent="0.35">
      <c r="A1073" s="3">
        <v>45411</v>
      </c>
      <c r="B1073">
        <v>1682.797119140625</v>
      </c>
      <c r="C1073">
        <v>335.52362060546881</v>
      </c>
      <c r="D1073">
        <v>248.72088623046881</v>
      </c>
    </row>
    <row r="1074" spans="1:4" x14ac:dyDescent="0.35">
      <c r="A1074" s="3">
        <v>45412</v>
      </c>
      <c r="B1074">
        <v>1687.730102539063</v>
      </c>
      <c r="C1074">
        <v>328.12445068359381</v>
      </c>
      <c r="D1074">
        <v>243.0178527832031</v>
      </c>
    </row>
    <row r="1075" spans="1:4" x14ac:dyDescent="0.35">
      <c r="A1075" s="3">
        <v>45414</v>
      </c>
      <c r="B1075">
        <v>1677.074829101563</v>
      </c>
      <c r="C1075">
        <v>323.71340942382813</v>
      </c>
      <c r="D1075">
        <v>235.2007751464844</v>
      </c>
    </row>
    <row r="1076" spans="1:4" x14ac:dyDescent="0.35">
      <c r="A1076" s="3">
        <v>45415</v>
      </c>
      <c r="B1076">
        <v>1650.979125976563</v>
      </c>
      <c r="C1076">
        <v>322.52764892578131</v>
      </c>
      <c r="D1076">
        <v>228.12115478515631</v>
      </c>
    </row>
    <row r="1077" spans="1:4" x14ac:dyDescent="0.35">
      <c r="A1077" s="3">
        <v>45418</v>
      </c>
      <c r="B1077">
        <v>1658.82275390625</v>
      </c>
      <c r="C1077">
        <v>314.84390258789063</v>
      </c>
      <c r="D1077">
        <v>223.99137878417969</v>
      </c>
    </row>
    <row r="1078" spans="1:4" x14ac:dyDescent="0.35">
      <c r="A1078" s="3">
        <v>45419</v>
      </c>
      <c r="B1078">
        <v>1662.47314453125</v>
      </c>
      <c r="C1078">
        <v>308.25106811523438</v>
      </c>
      <c r="D1078">
        <v>218.04252624511719</v>
      </c>
    </row>
    <row r="1079" spans="1:4" x14ac:dyDescent="0.35">
      <c r="A1079" s="3">
        <v>45420</v>
      </c>
      <c r="B1079">
        <v>1699.42138671875</v>
      </c>
      <c r="C1079">
        <v>307.96646118164063</v>
      </c>
      <c r="D1079">
        <v>219.22245788574219</v>
      </c>
    </row>
    <row r="1080" spans="1:4" x14ac:dyDescent="0.35">
      <c r="A1080" s="3">
        <v>45421</v>
      </c>
      <c r="B1080">
        <v>1629.421997070313</v>
      </c>
      <c r="C1080">
        <v>304.5040283203125</v>
      </c>
      <c r="D1080">
        <v>213.7160949707031</v>
      </c>
    </row>
    <row r="1081" spans="1:4" x14ac:dyDescent="0.35">
      <c r="A1081" s="3">
        <v>45422</v>
      </c>
      <c r="B1081">
        <v>1639.238647460938</v>
      </c>
      <c r="C1081">
        <v>304.97833251953131</v>
      </c>
      <c r="D1081">
        <v>216.37095642089841</v>
      </c>
    </row>
    <row r="1082" spans="1:4" x14ac:dyDescent="0.35">
      <c r="A1082" s="3">
        <v>45425</v>
      </c>
      <c r="B1082">
        <v>1661.585205078125</v>
      </c>
      <c r="C1082">
        <v>306.2115478515625</v>
      </c>
      <c r="D1082">
        <v>215.1910095214844</v>
      </c>
    </row>
    <row r="1083" spans="1:4" x14ac:dyDescent="0.35">
      <c r="A1083" s="3">
        <v>45426</v>
      </c>
      <c r="B1083">
        <v>1661.239868164063</v>
      </c>
      <c r="C1083">
        <v>312.56723022460938</v>
      </c>
      <c r="D1083">
        <v>222.17230224609381</v>
      </c>
    </row>
    <row r="1084" spans="1:4" x14ac:dyDescent="0.35">
      <c r="A1084" s="3">
        <v>45427</v>
      </c>
      <c r="B1084">
        <v>1630.75390625</v>
      </c>
      <c r="C1084">
        <v>323.47625732421881</v>
      </c>
      <c r="D1084">
        <v>229.792724609375</v>
      </c>
    </row>
    <row r="1085" spans="1:4" x14ac:dyDescent="0.35">
      <c r="A1085" s="3">
        <v>45428</v>
      </c>
      <c r="B1085">
        <v>1654.333740234375</v>
      </c>
      <c r="C1085">
        <v>320.25100708007813</v>
      </c>
      <c r="D1085">
        <v>229.20277404785159</v>
      </c>
    </row>
    <row r="1086" spans="1:4" x14ac:dyDescent="0.35">
      <c r="A1086" s="3">
        <v>45429</v>
      </c>
      <c r="B1086">
        <v>1647.180786132813</v>
      </c>
      <c r="C1086">
        <v>325.3260498046875</v>
      </c>
      <c r="D1086">
        <v>228.9569396972656</v>
      </c>
    </row>
    <row r="1087" spans="1:4" x14ac:dyDescent="0.35">
      <c r="A1087" s="3">
        <v>45433</v>
      </c>
      <c r="B1087">
        <v>1625.771484375</v>
      </c>
      <c r="C1087">
        <v>326.98614501953131</v>
      </c>
      <c r="D1087">
        <v>227.7770080566406</v>
      </c>
    </row>
    <row r="1088" spans="1:4" x14ac:dyDescent="0.35">
      <c r="A1088" s="3">
        <v>45434</v>
      </c>
      <c r="B1088">
        <v>1625.623413085938</v>
      </c>
      <c r="C1088">
        <v>359.80801391601563</v>
      </c>
      <c r="D1088">
        <v>241.29710388183591</v>
      </c>
    </row>
    <row r="1089" spans="1:4" x14ac:dyDescent="0.35">
      <c r="A1089" s="3">
        <v>45435</v>
      </c>
      <c r="B1089">
        <v>1639.14013671875</v>
      </c>
      <c r="C1089">
        <v>362.1795654296875</v>
      </c>
      <c r="D1089">
        <v>242.91954040527341</v>
      </c>
    </row>
    <row r="1090" spans="1:4" x14ac:dyDescent="0.35">
      <c r="A1090" s="3">
        <v>45436</v>
      </c>
      <c r="B1090">
        <v>1637.66015625</v>
      </c>
      <c r="C1090">
        <v>350.08477783203131</v>
      </c>
      <c r="D1090">
        <v>234.9549560546875</v>
      </c>
    </row>
    <row r="1091" spans="1:4" x14ac:dyDescent="0.35">
      <c r="A1091" s="3">
        <v>45439</v>
      </c>
      <c r="B1091">
        <v>1601.797119140625</v>
      </c>
      <c r="C1091">
        <v>345.81600952148438</v>
      </c>
      <c r="D1091">
        <v>229.3502502441406</v>
      </c>
    </row>
    <row r="1092" spans="1:4" x14ac:dyDescent="0.35">
      <c r="A1092" s="3">
        <v>45440</v>
      </c>
      <c r="B1092">
        <v>1613.24169921875</v>
      </c>
      <c r="C1092">
        <v>338.89117431640631</v>
      </c>
      <c r="D1092">
        <v>227.6786804199219</v>
      </c>
    </row>
    <row r="1093" spans="1:4" x14ac:dyDescent="0.35">
      <c r="A1093" s="3">
        <v>45441</v>
      </c>
      <c r="B1093">
        <v>1575.454833984375</v>
      </c>
      <c r="C1093">
        <v>336.80422973632813</v>
      </c>
      <c r="D1093">
        <v>230.67768859863281</v>
      </c>
    </row>
    <row r="1094" spans="1:4" x14ac:dyDescent="0.35">
      <c r="A1094" s="3">
        <v>45442</v>
      </c>
      <c r="B1094">
        <v>1564.898315429688</v>
      </c>
      <c r="C1094">
        <v>337.80029296875</v>
      </c>
      <c r="D1094">
        <v>224.97467041015631</v>
      </c>
    </row>
    <row r="1095" spans="1:4" x14ac:dyDescent="0.35">
      <c r="A1095" s="3">
        <v>45443</v>
      </c>
      <c r="B1095">
        <v>1559.570556640625</v>
      </c>
      <c r="C1095">
        <v>337.80029296875</v>
      </c>
      <c r="D1095">
        <v>224.92549133300781</v>
      </c>
    </row>
    <row r="1096" spans="1:4" x14ac:dyDescent="0.35">
      <c r="A1096" s="3">
        <v>45446</v>
      </c>
      <c r="B1096">
        <v>1579.203857421875</v>
      </c>
      <c r="C1096">
        <v>351.3179931640625</v>
      </c>
      <c r="D1096">
        <v>234.3158264160156</v>
      </c>
    </row>
    <row r="1097" spans="1:4" x14ac:dyDescent="0.35">
      <c r="A1097" s="3">
        <v>45447</v>
      </c>
      <c r="B1097">
        <v>1515.666870117188</v>
      </c>
      <c r="C1097">
        <v>331.72918701171881</v>
      </c>
      <c r="D1097">
        <v>196.6561584472656</v>
      </c>
    </row>
    <row r="1098" spans="1:4" x14ac:dyDescent="0.35">
      <c r="A1098" s="3">
        <v>45448</v>
      </c>
      <c r="B1098">
        <v>1608.604736328125</v>
      </c>
      <c r="C1098">
        <v>327.41299438476563</v>
      </c>
      <c r="D1098">
        <v>205.849853515625</v>
      </c>
    </row>
    <row r="1099" spans="1:4" x14ac:dyDescent="0.35">
      <c r="A1099" s="3">
        <v>45449</v>
      </c>
      <c r="B1099">
        <v>1622.762451171875</v>
      </c>
      <c r="C1099">
        <v>342.116455078125</v>
      </c>
      <c r="D1099">
        <v>213.51942443847659</v>
      </c>
    </row>
    <row r="1100" spans="1:4" x14ac:dyDescent="0.35">
      <c r="A1100" s="3">
        <v>45450</v>
      </c>
      <c r="B1100">
        <v>1638.952514648438</v>
      </c>
      <c r="C1100">
        <v>345.34173583984381</v>
      </c>
      <c r="D1100">
        <v>217.30506896972659</v>
      </c>
    </row>
    <row r="1101" spans="1:4" x14ac:dyDescent="0.35">
      <c r="A1101" s="3">
        <v>45453</v>
      </c>
      <c r="B1101">
        <v>1663.658203125</v>
      </c>
      <c r="C1101">
        <v>360.66183471679688</v>
      </c>
      <c r="D1101">
        <v>235.5744323730469</v>
      </c>
    </row>
    <row r="1102" spans="1:4" x14ac:dyDescent="0.35">
      <c r="A1102" s="3">
        <v>45454</v>
      </c>
      <c r="B1102">
        <v>1629.248291015625</v>
      </c>
      <c r="C1102">
        <v>367.1597900390625</v>
      </c>
      <c r="D1102">
        <v>236.8133544921875</v>
      </c>
    </row>
    <row r="1103" spans="1:4" x14ac:dyDescent="0.35">
      <c r="A1103" s="3">
        <v>45455</v>
      </c>
      <c r="B1103">
        <v>1638.803833007813</v>
      </c>
      <c r="C1103">
        <v>369.2467041015625</v>
      </c>
      <c r="D1103">
        <v>236.3610534667969</v>
      </c>
    </row>
    <row r="1104" spans="1:4" x14ac:dyDescent="0.35">
      <c r="A1104" s="3">
        <v>45456</v>
      </c>
      <c r="B1104">
        <v>1646.428466796875</v>
      </c>
      <c r="C1104">
        <v>370.33761596679688</v>
      </c>
      <c r="D1104">
        <v>237.72782897949219</v>
      </c>
    </row>
    <row r="1105" spans="1:4" x14ac:dyDescent="0.35">
      <c r="A1105" s="3">
        <v>45457</v>
      </c>
      <c r="B1105">
        <v>1713.961059570313</v>
      </c>
      <c r="C1105">
        <v>373.46807861328131</v>
      </c>
      <c r="D1105">
        <v>240.0680236816406</v>
      </c>
    </row>
    <row r="1106" spans="1:4" x14ac:dyDescent="0.35">
      <c r="A1106" s="3">
        <v>45461</v>
      </c>
      <c r="B1106">
        <v>1728.170654296875</v>
      </c>
      <c r="C1106">
        <v>367.586669921875</v>
      </c>
      <c r="D1106">
        <v>238.77008056640631</v>
      </c>
    </row>
    <row r="1107" spans="1:4" x14ac:dyDescent="0.35">
      <c r="A1107" s="3">
        <v>45462</v>
      </c>
      <c r="B1107">
        <v>1742.52880859375</v>
      </c>
      <c r="C1107">
        <v>361.42071533203131</v>
      </c>
      <c r="D1107">
        <v>233.90284729003909</v>
      </c>
    </row>
    <row r="1108" spans="1:4" x14ac:dyDescent="0.35">
      <c r="A1108" s="3">
        <v>45463</v>
      </c>
      <c r="B1108">
        <v>1731.19091796875</v>
      </c>
      <c r="C1108">
        <v>367.82382202148438</v>
      </c>
      <c r="D1108">
        <v>246.89198303222659</v>
      </c>
    </row>
    <row r="1109" spans="1:4" x14ac:dyDescent="0.35">
      <c r="A1109" s="3">
        <v>45464</v>
      </c>
      <c r="B1109">
        <v>1739.657104492188</v>
      </c>
      <c r="C1109">
        <v>385.4205322265625</v>
      </c>
      <c r="D1109">
        <v>248.34724426269531</v>
      </c>
    </row>
    <row r="1110" spans="1:4" x14ac:dyDescent="0.35">
      <c r="A1110" s="3">
        <v>45467</v>
      </c>
      <c r="B1110">
        <v>1754.163818359375</v>
      </c>
      <c r="C1110">
        <v>376.4561767578125</v>
      </c>
      <c r="D1110">
        <v>241.36595153808591</v>
      </c>
    </row>
    <row r="1111" spans="1:4" x14ac:dyDescent="0.35">
      <c r="A1111" s="3">
        <v>45468</v>
      </c>
      <c r="B1111">
        <v>1762.877685546875</v>
      </c>
      <c r="C1111">
        <v>370.29019165039063</v>
      </c>
      <c r="D1111">
        <v>234.71897888183591</v>
      </c>
    </row>
    <row r="1112" spans="1:4" x14ac:dyDescent="0.35">
      <c r="A1112" s="3">
        <v>45469</v>
      </c>
      <c r="B1112">
        <v>1769.4130859375</v>
      </c>
      <c r="C1112">
        <v>365.7843017578125</v>
      </c>
      <c r="D1112">
        <v>236.09556579589841</v>
      </c>
    </row>
    <row r="1113" spans="1:4" x14ac:dyDescent="0.35">
      <c r="A1113" s="3">
        <v>45470</v>
      </c>
      <c r="B1113">
        <v>1775.89892578125</v>
      </c>
      <c r="C1113">
        <v>358.05313110351563</v>
      </c>
      <c r="D1113">
        <v>228.4456481933594</v>
      </c>
    </row>
    <row r="1114" spans="1:4" x14ac:dyDescent="0.35">
      <c r="A1114" s="3">
        <v>45471</v>
      </c>
      <c r="B1114">
        <v>1772.037231445313</v>
      </c>
      <c r="C1114">
        <v>359.28631591796881</v>
      </c>
      <c r="D1114">
        <v>232.97856140136719</v>
      </c>
    </row>
    <row r="1115" spans="1:4" x14ac:dyDescent="0.35">
      <c r="A1115" s="3">
        <v>45474</v>
      </c>
      <c r="B1115">
        <v>1789.415405273438</v>
      </c>
      <c r="C1115">
        <v>363.64993286132813</v>
      </c>
      <c r="D1115">
        <v>241.3856201171875</v>
      </c>
    </row>
    <row r="1116" spans="1:4" x14ac:dyDescent="0.35">
      <c r="A1116" s="3">
        <v>45475</v>
      </c>
      <c r="B1116">
        <v>1790.108642578125</v>
      </c>
      <c r="C1116">
        <v>362.65386962890631</v>
      </c>
      <c r="D1116">
        <v>238.18011474609381</v>
      </c>
    </row>
    <row r="1117" spans="1:4" x14ac:dyDescent="0.35">
      <c r="A1117" s="3">
        <v>45476</v>
      </c>
      <c r="B1117">
        <v>1835.11376953125</v>
      </c>
      <c r="C1117">
        <v>365.92660522460938</v>
      </c>
      <c r="D1117">
        <v>241.2086181640625</v>
      </c>
    </row>
    <row r="1118" spans="1:4" x14ac:dyDescent="0.35">
      <c r="A1118" s="3">
        <v>45477</v>
      </c>
      <c r="B1118">
        <v>1809.764282226563</v>
      </c>
      <c r="C1118">
        <v>365.689453125</v>
      </c>
      <c r="D1118">
        <v>251.56257629394531</v>
      </c>
    </row>
    <row r="1119" spans="1:4" x14ac:dyDescent="0.35">
      <c r="A1119" s="3">
        <v>45478</v>
      </c>
      <c r="B1119">
        <v>1846.79833984375</v>
      </c>
      <c r="C1119">
        <v>381.91070556640631</v>
      </c>
      <c r="D1119">
        <v>269.26162719726563</v>
      </c>
    </row>
    <row r="1120" spans="1:4" x14ac:dyDescent="0.35">
      <c r="A1120" s="3">
        <v>45481</v>
      </c>
      <c r="B1120">
        <v>1820.95361328125</v>
      </c>
      <c r="C1120">
        <v>395.9027099609375</v>
      </c>
      <c r="D1120">
        <v>271.20852661132813</v>
      </c>
    </row>
    <row r="1121" spans="1:4" x14ac:dyDescent="0.35">
      <c r="A1121" s="3">
        <v>45482</v>
      </c>
      <c r="B1121">
        <v>1839.07470703125</v>
      </c>
      <c r="C1121">
        <v>395.99755859375</v>
      </c>
      <c r="D1121">
        <v>266.77392578125</v>
      </c>
    </row>
    <row r="1122" spans="1:4" x14ac:dyDescent="0.35">
      <c r="A1122" s="3">
        <v>45483</v>
      </c>
      <c r="B1122">
        <v>1859.3740234375</v>
      </c>
      <c r="C1122">
        <v>390.78018188476563</v>
      </c>
      <c r="D1122">
        <v>271.49365234375</v>
      </c>
    </row>
    <row r="1123" spans="1:4" x14ac:dyDescent="0.35">
      <c r="A1123" s="3">
        <v>45484</v>
      </c>
      <c r="B1123">
        <v>1855.858764648438</v>
      </c>
      <c r="C1123">
        <v>391.2545166015625</v>
      </c>
      <c r="D1123">
        <v>282.01480102539063</v>
      </c>
    </row>
    <row r="1124" spans="1:4" x14ac:dyDescent="0.35">
      <c r="A1124" s="3">
        <v>45485</v>
      </c>
      <c r="B1124">
        <v>1847.0458984375</v>
      </c>
      <c r="C1124">
        <v>381.86325073242188</v>
      </c>
      <c r="D1124">
        <v>283.2242431640625</v>
      </c>
    </row>
    <row r="1125" spans="1:4" x14ac:dyDescent="0.35">
      <c r="A1125" s="3">
        <v>45488</v>
      </c>
      <c r="B1125">
        <v>1858.334228515625</v>
      </c>
      <c r="C1125">
        <v>387.36520385742188</v>
      </c>
      <c r="D1125">
        <v>280.815185546875</v>
      </c>
    </row>
    <row r="1126" spans="1:4" x14ac:dyDescent="0.35">
      <c r="A1126" s="3">
        <v>45489</v>
      </c>
      <c r="B1126">
        <v>1854.76953125</v>
      </c>
      <c r="C1126">
        <v>395.61810302734381</v>
      </c>
      <c r="D1126">
        <v>285.07281494140631</v>
      </c>
    </row>
    <row r="1127" spans="1:4" x14ac:dyDescent="0.35">
      <c r="A1127" s="3">
        <v>45491</v>
      </c>
      <c r="B1127">
        <v>1891.853149414063</v>
      </c>
      <c r="C1127">
        <v>385.79998779296881</v>
      </c>
      <c r="D1127">
        <v>275.75128173828131</v>
      </c>
    </row>
    <row r="1128" spans="1:4" x14ac:dyDescent="0.35">
      <c r="A1128" s="3">
        <v>45492</v>
      </c>
      <c r="B1128">
        <v>1862.98828125</v>
      </c>
      <c r="C1128">
        <v>365.07284545898438</v>
      </c>
      <c r="D1128">
        <v>260.76611328125</v>
      </c>
    </row>
    <row r="1129" spans="1:4" x14ac:dyDescent="0.35">
      <c r="A1129" s="3">
        <v>45495</v>
      </c>
      <c r="B1129">
        <v>1877.742431640625</v>
      </c>
      <c r="C1129">
        <v>371.381103515625</v>
      </c>
      <c r="D1129">
        <v>266.2921142578125</v>
      </c>
    </row>
    <row r="1130" spans="1:4" x14ac:dyDescent="0.35">
      <c r="A1130" s="3">
        <v>45496</v>
      </c>
      <c r="B1130">
        <v>1861.948608398438</v>
      </c>
      <c r="C1130">
        <v>356.53536987304688</v>
      </c>
      <c r="D1130">
        <v>251.14959716796881</v>
      </c>
    </row>
    <row r="1131" spans="1:4" x14ac:dyDescent="0.35">
      <c r="A1131" s="3">
        <v>45497</v>
      </c>
      <c r="B1131">
        <v>1890.961791992188</v>
      </c>
      <c r="C1131">
        <v>357.4365234375</v>
      </c>
      <c r="D1131">
        <v>255.93818664550781</v>
      </c>
    </row>
    <row r="1132" spans="1:4" x14ac:dyDescent="0.35">
      <c r="A1132" s="3">
        <v>45498</v>
      </c>
      <c r="B1132">
        <v>1941.314208984375</v>
      </c>
      <c r="C1132">
        <v>353.02545166015631</v>
      </c>
      <c r="D1132">
        <v>254.11909484863281</v>
      </c>
    </row>
    <row r="1133" spans="1:4" x14ac:dyDescent="0.35">
      <c r="A1133" s="3">
        <v>45499</v>
      </c>
      <c r="B1133">
        <v>1948.047729492188</v>
      </c>
      <c r="C1133">
        <v>389.40472412109381</v>
      </c>
      <c r="D1133">
        <v>286.8525390625</v>
      </c>
    </row>
    <row r="1134" spans="1:4" x14ac:dyDescent="0.35">
      <c r="A1134" s="3">
        <v>45502</v>
      </c>
      <c r="B1134">
        <v>1948.74072265625</v>
      </c>
      <c r="C1134">
        <v>382.76443481445313</v>
      </c>
      <c r="D1134">
        <v>275.59393310546881</v>
      </c>
    </row>
    <row r="1135" spans="1:4" x14ac:dyDescent="0.35">
      <c r="A1135" s="3">
        <v>45503</v>
      </c>
      <c r="B1135">
        <v>1948.295288085938</v>
      </c>
      <c r="C1135">
        <v>392.34539794921881</v>
      </c>
      <c r="D1135">
        <v>280.86434936523438</v>
      </c>
    </row>
    <row r="1136" spans="1:4" x14ac:dyDescent="0.35">
      <c r="A1136" s="3">
        <v>45504</v>
      </c>
      <c r="B1136">
        <v>1988.1513671875</v>
      </c>
      <c r="C1136">
        <v>407.85519409179688</v>
      </c>
      <c r="D1136">
        <v>287.98330688476563</v>
      </c>
    </row>
    <row r="1137" spans="1:4" x14ac:dyDescent="0.35">
      <c r="A1137" s="3">
        <v>45505</v>
      </c>
      <c r="B1137">
        <v>1984.734985351563</v>
      </c>
      <c r="C1137">
        <v>390.78018188476563</v>
      </c>
      <c r="D1137">
        <v>275.171142578125</v>
      </c>
    </row>
    <row r="1138" spans="1:4" x14ac:dyDescent="0.35">
      <c r="A1138" s="3">
        <v>45506</v>
      </c>
      <c r="B1138">
        <v>1963.89111328125</v>
      </c>
      <c r="C1138">
        <v>388.78811645507813</v>
      </c>
      <c r="D1138">
        <v>274.28619384765631</v>
      </c>
    </row>
    <row r="1139" spans="1:4" x14ac:dyDescent="0.35">
      <c r="A1139" s="3">
        <v>45509</v>
      </c>
      <c r="B1139">
        <v>1920.222534179688</v>
      </c>
      <c r="C1139">
        <v>366.06887817382813</v>
      </c>
      <c r="D1139">
        <v>256.734619140625</v>
      </c>
    </row>
    <row r="1140" spans="1:4" x14ac:dyDescent="0.35">
      <c r="A1140" s="3">
        <v>45510</v>
      </c>
      <c r="B1140">
        <v>1894.526611328125</v>
      </c>
      <c r="C1140">
        <v>356.8199462890625</v>
      </c>
      <c r="D1140">
        <v>249.4583435058594</v>
      </c>
    </row>
    <row r="1141" spans="1:4" x14ac:dyDescent="0.35">
      <c r="A1141" s="3">
        <v>45511</v>
      </c>
      <c r="B1141">
        <v>1916.11328125</v>
      </c>
      <c r="C1141">
        <v>369.86331176757813</v>
      </c>
      <c r="D1141">
        <v>258.99615478515631</v>
      </c>
    </row>
    <row r="1142" spans="1:4" x14ac:dyDescent="0.35">
      <c r="A1142" s="3">
        <v>45512</v>
      </c>
      <c r="B1142">
        <v>1950.72119140625</v>
      </c>
      <c r="C1142">
        <v>370.9542236328125</v>
      </c>
      <c r="D1142">
        <v>255.94798278808591</v>
      </c>
    </row>
    <row r="1143" spans="1:4" x14ac:dyDescent="0.35">
      <c r="A1143" s="3">
        <v>45513</v>
      </c>
      <c r="B1143">
        <v>1946.710815429688</v>
      </c>
      <c r="C1143">
        <v>369.48388671875</v>
      </c>
      <c r="D1143">
        <v>247.54095458984381</v>
      </c>
    </row>
    <row r="1144" spans="1:4" x14ac:dyDescent="0.35">
      <c r="A1144" s="3">
        <v>45516</v>
      </c>
      <c r="B1144">
        <v>1932.352783203125</v>
      </c>
      <c r="C1144">
        <v>377.12017822265631</v>
      </c>
      <c r="D1144">
        <v>242.6245422363281</v>
      </c>
    </row>
    <row r="1145" spans="1:4" x14ac:dyDescent="0.35">
      <c r="A1145" s="3">
        <v>45517</v>
      </c>
      <c r="B1145">
        <v>1928.19384765625</v>
      </c>
      <c r="C1145">
        <v>368.39297485351563</v>
      </c>
      <c r="D1145">
        <v>234.80747985839841</v>
      </c>
    </row>
    <row r="1146" spans="1:4" x14ac:dyDescent="0.35">
      <c r="A1146" s="3">
        <v>45518</v>
      </c>
      <c r="B1146">
        <v>1958.593383789063</v>
      </c>
      <c r="C1146">
        <v>359.80801391601563</v>
      </c>
      <c r="D1146">
        <v>232.98838806152341</v>
      </c>
    </row>
    <row r="1147" spans="1:4" x14ac:dyDescent="0.35">
      <c r="A1147" s="3">
        <v>45520</v>
      </c>
      <c r="B1147">
        <v>2016.768432617188</v>
      </c>
      <c r="C1147">
        <v>364.55108642578131</v>
      </c>
      <c r="D1147">
        <v>234.2174987792969</v>
      </c>
    </row>
    <row r="1148" spans="1:4" x14ac:dyDescent="0.35">
      <c r="A1148" s="3">
        <v>45523</v>
      </c>
      <c r="B1148">
        <v>1994.340209960938</v>
      </c>
      <c r="C1148">
        <v>379.06484985351563</v>
      </c>
      <c r="D1148">
        <v>247.73760986328131</v>
      </c>
    </row>
    <row r="1149" spans="1:4" x14ac:dyDescent="0.35">
      <c r="A1149" s="3">
        <v>45524</v>
      </c>
      <c r="B1149">
        <v>2043.850830078125</v>
      </c>
      <c r="C1149">
        <v>386.03717041015631</v>
      </c>
      <c r="D1149">
        <v>254.47306823730469</v>
      </c>
    </row>
    <row r="1150" spans="1:4" x14ac:dyDescent="0.35">
      <c r="A1150" s="3">
        <v>45525</v>
      </c>
      <c r="B1150">
        <v>2039.741333007813</v>
      </c>
      <c r="C1150">
        <v>390.87506103515631</v>
      </c>
      <c r="D1150">
        <v>268.8289794921875</v>
      </c>
    </row>
    <row r="1151" spans="1:4" x14ac:dyDescent="0.35">
      <c r="A1151" s="3">
        <v>45526</v>
      </c>
      <c r="B1151">
        <v>2062.813232421875</v>
      </c>
      <c r="C1151">
        <v>386.08456420898438</v>
      </c>
      <c r="D1151">
        <v>264.1092529296875</v>
      </c>
    </row>
    <row r="1152" spans="1:4" x14ac:dyDescent="0.35">
      <c r="A1152" s="3">
        <v>45527</v>
      </c>
      <c r="B1152">
        <v>2076.2802734375</v>
      </c>
      <c r="C1152">
        <v>386.701171875</v>
      </c>
      <c r="D1152">
        <v>259.83197021484381</v>
      </c>
    </row>
    <row r="1153" spans="1:4" x14ac:dyDescent="0.35">
      <c r="A1153" s="3">
        <v>45530</v>
      </c>
      <c r="B1153">
        <v>2101.481201171875</v>
      </c>
      <c r="C1153">
        <v>386.55886840820313</v>
      </c>
      <c r="D1153">
        <v>260.3236083984375</v>
      </c>
    </row>
    <row r="1154" spans="1:4" x14ac:dyDescent="0.35">
      <c r="A1154" s="3">
        <v>45531</v>
      </c>
      <c r="B1154">
        <v>2132.277099609375</v>
      </c>
      <c r="C1154">
        <v>393.0093994140625</v>
      </c>
      <c r="D1154">
        <v>264.55169677734381</v>
      </c>
    </row>
    <row r="1155" spans="1:4" x14ac:dyDescent="0.35">
      <c r="A1155" s="3">
        <v>45532</v>
      </c>
      <c r="B1155">
        <v>2120.938720703125</v>
      </c>
      <c r="C1155">
        <v>395.33352661132813</v>
      </c>
      <c r="D1155">
        <v>265.58416748046881</v>
      </c>
    </row>
    <row r="1156" spans="1:4" x14ac:dyDescent="0.35">
      <c r="A1156" s="3">
        <v>45533</v>
      </c>
      <c r="B1156">
        <v>2117.423828125</v>
      </c>
      <c r="C1156">
        <v>383.57073974609381</v>
      </c>
      <c r="D1156">
        <v>257.61956787109381</v>
      </c>
    </row>
    <row r="1157" spans="1:4" x14ac:dyDescent="0.35">
      <c r="A1157" s="3">
        <v>45534</v>
      </c>
      <c r="B1157">
        <v>2120.790283203125</v>
      </c>
      <c r="C1157">
        <v>387.79205322265631</v>
      </c>
      <c r="D1157">
        <v>260.42193603515631</v>
      </c>
    </row>
    <row r="1158" spans="1:4" x14ac:dyDescent="0.35">
      <c r="A1158" s="3">
        <v>45537</v>
      </c>
      <c r="B1158">
        <v>2164.2607421875</v>
      </c>
      <c r="C1158">
        <v>400.50347900390631</v>
      </c>
      <c r="D1158">
        <v>260.56942749023438</v>
      </c>
    </row>
    <row r="1159" spans="1:4" x14ac:dyDescent="0.35">
      <c r="A1159" s="3">
        <v>45538</v>
      </c>
      <c r="B1159">
        <v>2186.4912109375</v>
      </c>
      <c r="C1159">
        <v>399.98171997070313</v>
      </c>
      <c r="D1159">
        <v>263.17510986328131</v>
      </c>
    </row>
    <row r="1160" spans="1:4" x14ac:dyDescent="0.35">
      <c r="A1160" s="3">
        <v>45539</v>
      </c>
      <c r="B1160">
        <v>2228.674072265625</v>
      </c>
      <c r="C1160">
        <v>377.40478515625</v>
      </c>
      <c r="D1160">
        <v>257.66873168945313</v>
      </c>
    </row>
    <row r="1161" spans="1:4" x14ac:dyDescent="0.35">
      <c r="A1161" s="3">
        <v>45540</v>
      </c>
      <c r="B1161">
        <v>2233.3779296875</v>
      </c>
      <c r="C1161">
        <v>377.16763305664063</v>
      </c>
      <c r="D1161">
        <v>260.02862548828131</v>
      </c>
    </row>
    <row r="1162" spans="1:4" x14ac:dyDescent="0.35">
      <c r="A1162" s="3">
        <v>45541</v>
      </c>
      <c r="B1162">
        <v>2239.56640625</v>
      </c>
      <c r="C1162">
        <v>363.74481201171881</v>
      </c>
      <c r="D1162">
        <v>247.3537292480469</v>
      </c>
    </row>
    <row r="1163" spans="1:4" x14ac:dyDescent="0.35">
      <c r="A1163" s="3">
        <v>45544</v>
      </c>
      <c r="B1163">
        <v>2210.55322265625</v>
      </c>
      <c r="C1163">
        <v>381.95809936523438</v>
      </c>
      <c r="D1163">
        <v>254.7366638183594</v>
      </c>
    </row>
    <row r="1164" spans="1:4" x14ac:dyDescent="0.35">
      <c r="A1164" s="3">
        <v>45545</v>
      </c>
      <c r="B1164">
        <v>2139.951416015625</v>
      </c>
      <c r="C1164">
        <v>376.12417602539063</v>
      </c>
      <c r="D1164">
        <v>245.2726135253906</v>
      </c>
    </row>
    <row r="1165" spans="1:4" x14ac:dyDescent="0.35">
      <c r="A1165" s="3">
        <v>45546</v>
      </c>
      <c r="B1165">
        <v>2109.10595703125</v>
      </c>
      <c r="C1165">
        <v>374.71307373046881</v>
      </c>
      <c r="D1165">
        <v>235.61036682128909</v>
      </c>
    </row>
    <row r="1166" spans="1:4" x14ac:dyDescent="0.35">
      <c r="A1166" s="3">
        <v>45547</v>
      </c>
      <c r="B1166">
        <v>2101.67919921875</v>
      </c>
      <c r="C1166">
        <v>382.35235595703131</v>
      </c>
      <c r="D1166">
        <v>242.44825744628909</v>
      </c>
    </row>
    <row r="1167" spans="1:4" x14ac:dyDescent="0.35">
      <c r="A1167" s="3">
        <v>45548</v>
      </c>
      <c r="B1167">
        <v>2088.608642578125</v>
      </c>
      <c r="C1167">
        <v>382.88760375976563</v>
      </c>
      <c r="D1167">
        <v>242.34916687011719</v>
      </c>
    </row>
    <row r="1168" spans="1:4" x14ac:dyDescent="0.35">
      <c r="A1168" s="3">
        <v>45551</v>
      </c>
      <c r="B1168">
        <v>2074.398681640625</v>
      </c>
      <c r="C1168">
        <v>384.39596557617188</v>
      </c>
      <c r="D1168">
        <v>238.73200988769531</v>
      </c>
    </row>
    <row r="1169" spans="1:4" x14ac:dyDescent="0.35">
      <c r="A1169" s="3">
        <v>45552</v>
      </c>
      <c r="B1169">
        <v>2082.419677734375</v>
      </c>
      <c r="C1169">
        <v>383.47146606445313</v>
      </c>
      <c r="D1169">
        <v>237.98875427246091</v>
      </c>
    </row>
    <row r="1170" spans="1:4" x14ac:dyDescent="0.35">
      <c r="A1170" s="3">
        <v>45553</v>
      </c>
      <c r="B1170">
        <v>2119.5029296875</v>
      </c>
      <c r="C1170">
        <v>384.44461059570313</v>
      </c>
      <c r="D1170">
        <v>231.5968017578125</v>
      </c>
    </row>
    <row r="1171" spans="1:4" x14ac:dyDescent="0.35">
      <c r="A1171" s="3">
        <v>45554</v>
      </c>
      <c r="B1171">
        <v>2178.470458984375</v>
      </c>
      <c r="C1171">
        <v>373.6912841796875</v>
      </c>
      <c r="D1171">
        <v>231.0517578125</v>
      </c>
    </row>
    <row r="1172" spans="1:4" x14ac:dyDescent="0.35">
      <c r="A1172" s="3">
        <v>45555</v>
      </c>
      <c r="B1172">
        <v>2212.187255859375</v>
      </c>
      <c r="C1172">
        <v>383.08221435546881</v>
      </c>
      <c r="D1172">
        <v>230.9031066894531</v>
      </c>
    </row>
    <row r="1173" spans="1:4" x14ac:dyDescent="0.35">
      <c r="A1173" s="3">
        <v>45558</v>
      </c>
      <c r="B1173">
        <v>2252.9345703125</v>
      </c>
      <c r="C1173">
        <v>387.26678466796881</v>
      </c>
      <c r="D1173">
        <v>234.47071838378909</v>
      </c>
    </row>
    <row r="1174" spans="1:4" x14ac:dyDescent="0.35">
      <c r="A1174" s="3">
        <v>45559</v>
      </c>
      <c r="B1174">
        <v>2204.216064453125</v>
      </c>
      <c r="C1174">
        <v>386.29364013671881</v>
      </c>
      <c r="D1174">
        <v>231.99320983886719</v>
      </c>
    </row>
    <row r="1175" spans="1:4" x14ac:dyDescent="0.35">
      <c r="A1175" s="3">
        <v>45560</v>
      </c>
      <c r="B1175">
        <v>2245.804931640625</v>
      </c>
      <c r="C1175">
        <v>387.36407470703131</v>
      </c>
      <c r="D1175">
        <v>235.70947265625</v>
      </c>
    </row>
    <row r="1176" spans="1:4" x14ac:dyDescent="0.35">
      <c r="A1176" s="3">
        <v>45561</v>
      </c>
      <c r="B1176">
        <v>2235.407958984375</v>
      </c>
      <c r="C1176">
        <v>389.21310424804688</v>
      </c>
      <c r="D1176">
        <v>233.72746276855469</v>
      </c>
    </row>
    <row r="1177" spans="1:4" x14ac:dyDescent="0.35">
      <c r="A1177" s="3">
        <v>45562</v>
      </c>
      <c r="B1177">
        <v>2216.246826171875</v>
      </c>
      <c r="C1177">
        <v>390.52682495117188</v>
      </c>
      <c r="D1177">
        <v>231.34906005859381</v>
      </c>
    </row>
    <row r="1178" spans="1:4" x14ac:dyDescent="0.35">
      <c r="A1178" s="3">
        <v>45565</v>
      </c>
      <c r="B1178">
        <v>2153.12109375</v>
      </c>
      <c r="C1178">
        <v>384.9798583984375</v>
      </c>
      <c r="D1178">
        <v>228.37605285644531</v>
      </c>
    </row>
    <row r="1179" spans="1:4" x14ac:dyDescent="0.35">
      <c r="A1179" s="3">
        <v>45566</v>
      </c>
      <c r="B1179">
        <v>2132.821533203125</v>
      </c>
      <c r="C1179">
        <v>384.10403442382813</v>
      </c>
      <c r="D1179">
        <v>229.81300354003909</v>
      </c>
    </row>
    <row r="1180" spans="1:4" x14ac:dyDescent="0.35">
      <c r="A1180" s="3">
        <v>45568</v>
      </c>
      <c r="B1180">
        <v>2114.304443359375</v>
      </c>
      <c r="C1180">
        <v>373.2047119140625</v>
      </c>
      <c r="D1180">
        <v>223.7679138183594</v>
      </c>
    </row>
    <row r="1181" spans="1:4" x14ac:dyDescent="0.35">
      <c r="A1181" s="3">
        <v>45569</v>
      </c>
      <c r="B1181">
        <v>2105.788818359375</v>
      </c>
      <c r="C1181">
        <v>374.22650146484381</v>
      </c>
      <c r="D1181">
        <v>217.66334533691409</v>
      </c>
    </row>
    <row r="1182" spans="1:4" x14ac:dyDescent="0.35">
      <c r="A1182" s="3">
        <v>45572</v>
      </c>
      <c r="B1182">
        <v>2080.2412109375</v>
      </c>
      <c r="C1182">
        <v>353.4010009765625</v>
      </c>
      <c r="D1182">
        <v>203.3037414550781</v>
      </c>
    </row>
    <row r="1183" spans="1:4" x14ac:dyDescent="0.35">
      <c r="A1183" s="3">
        <v>45573</v>
      </c>
      <c r="B1183">
        <v>2079.59765625</v>
      </c>
      <c r="C1183">
        <v>359.04531860351563</v>
      </c>
      <c r="D1183">
        <v>206.67315673828131</v>
      </c>
    </row>
    <row r="1184" spans="1:4" x14ac:dyDescent="0.35">
      <c r="A1184" s="3">
        <v>45574</v>
      </c>
      <c r="B1184">
        <v>2063.358154296875</v>
      </c>
      <c r="C1184">
        <v>379.09228515625</v>
      </c>
      <c r="D1184">
        <v>212.3416748046875</v>
      </c>
    </row>
    <row r="1185" spans="1:4" x14ac:dyDescent="0.35">
      <c r="A1185" s="3">
        <v>45575</v>
      </c>
      <c r="B1185">
        <v>2059.64453125</v>
      </c>
      <c r="C1185">
        <v>378.89764404296881</v>
      </c>
      <c r="D1185">
        <v>208.9722595214844</v>
      </c>
    </row>
    <row r="1186" spans="1:4" x14ac:dyDescent="0.35">
      <c r="A1186" s="3">
        <v>45576</v>
      </c>
      <c r="B1186">
        <v>2047.11865234375</v>
      </c>
      <c r="C1186">
        <v>379.91946411132813</v>
      </c>
      <c r="D1186">
        <v>207.79296875</v>
      </c>
    </row>
    <row r="1187" spans="1:4" x14ac:dyDescent="0.35">
      <c r="A1187" s="3">
        <v>45579</v>
      </c>
      <c r="B1187">
        <v>2068.903564453125</v>
      </c>
      <c r="C1187">
        <v>388.96981811523438</v>
      </c>
      <c r="D1187">
        <v>214.0957336425781</v>
      </c>
    </row>
    <row r="1188" spans="1:4" x14ac:dyDescent="0.35">
      <c r="A1188" s="3">
        <v>45580</v>
      </c>
      <c r="B1188">
        <v>2082.61767578125</v>
      </c>
      <c r="C1188">
        <v>385.17449951171881</v>
      </c>
      <c r="D1188">
        <v>211.39030456542969</v>
      </c>
    </row>
    <row r="1189" spans="1:4" x14ac:dyDescent="0.35">
      <c r="A1189" s="3">
        <v>45581</v>
      </c>
      <c r="B1189">
        <v>2055.2880859375</v>
      </c>
      <c r="C1189">
        <v>384.39596557617188</v>
      </c>
      <c r="D1189">
        <v>209.9434509277344</v>
      </c>
    </row>
    <row r="1190" spans="1:4" x14ac:dyDescent="0.35">
      <c r="A1190" s="3">
        <v>45582</v>
      </c>
      <c r="B1190">
        <v>2020.481811523438</v>
      </c>
      <c r="C1190">
        <v>382.3037109375</v>
      </c>
      <c r="D1190">
        <v>206.69297790527341</v>
      </c>
    </row>
    <row r="1191" spans="1:4" x14ac:dyDescent="0.35">
      <c r="A1191" s="3">
        <v>45583</v>
      </c>
      <c r="B1191">
        <v>2001.172607421875</v>
      </c>
      <c r="C1191">
        <v>377.2432861328125</v>
      </c>
      <c r="D1191">
        <v>207.3965759277344</v>
      </c>
    </row>
    <row r="1192" spans="1:4" x14ac:dyDescent="0.35">
      <c r="A1192" s="3">
        <v>45586</v>
      </c>
      <c r="B1192">
        <v>2004.539306640625</v>
      </c>
      <c r="C1192">
        <v>371.98825073242188</v>
      </c>
      <c r="D1192">
        <v>205.6028747558594</v>
      </c>
    </row>
    <row r="1193" spans="1:4" x14ac:dyDescent="0.35">
      <c r="A1193" s="3">
        <v>45587</v>
      </c>
      <c r="B1193">
        <v>1966.812255859375</v>
      </c>
      <c r="C1193">
        <v>352.62249755859381</v>
      </c>
      <c r="D1193">
        <v>192.52166748046881</v>
      </c>
    </row>
    <row r="1194" spans="1:4" x14ac:dyDescent="0.35">
      <c r="A1194" s="3">
        <v>45588</v>
      </c>
      <c r="B1194">
        <v>1939.779296875</v>
      </c>
      <c r="C1194">
        <v>351.60064697265631</v>
      </c>
      <c r="D1194">
        <v>196.04962158203131</v>
      </c>
    </row>
    <row r="1195" spans="1:4" x14ac:dyDescent="0.35">
      <c r="A1195" s="3">
        <v>45589</v>
      </c>
      <c r="B1195">
        <v>1936.610717773438</v>
      </c>
      <c r="C1195">
        <v>350.28692626953131</v>
      </c>
      <c r="D1195">
        <v>196.36674499511719</v>
      </c>
    </row>
    <row r="1196" spans="1:4" x14ac:dyDescent="0.35">
      <c r="A1196" s="3">
        <v>45590</v>
      </c>
      <c r="B1196">
        <v>1910.27099609375</v>
      </c>
      <c r="C1196">
        <v>339.3875732421875</v>
      </c>
      <c r="D1196">
        <v>188.61712646484381</v>
      </c>
    </row>
    <row r="1197" spans="1:4" x14ac:dyDescent="0.35">
      <c r="A1197" s="3">
        <v>45593</v>
      </c>
      <c r="B1197">
        <v>1882.813354492188</v>
      </c>
      <c r="C1197">
        <v>350.62750244140631</v>
      </c>
      <c r="D1197">
        <v>192.02616882324219</v>
      </c>
    </row>
    <row r="1198" spans="1:4" x14ac:dyDescent="0.35">
      <c r="A1198" s="3">
        <v>45594</v>
      </c>
      <c r="B1198">
        <v>1899.993041992188</v>
      </c>
      <c r="C1198">
        <v>354.81207275390631</v>
      </c>
      <c r="D1198">
        <v>194.74150085449219</v>
      </c>
    </row>
    <row r="1199" spans="1:4" x14ac:dyDescent="0.35">
      <c r="A1199" s="3">
        <v>45595</v>
      </c>
      <c r="B1199">
        <v>1914.491455078125</v>
      </c>
      <c r="C1199">
        <v>362.06207275390631</v>
      </c>
      <c r="D1199">
        <v>198.26947021484381</v>
      </c>
    </row>
    <row r="1200" spans="1:4" x14ac:dyDescent="0.35">
      <c r="A1200" s="3">
        <v>45596</v>
      </c>
      <c r="B1200">
        <v>1904.014770507813</v>
      </c>
      <c r="C1200">
        <v>359.28860473632813</v>
      </c>
      <c r="D1200">
        <v>194.1766357421875</v>
      </c>
    </row>
    <row r="1201" spans="1:4" x14ac:dyDescent="0.35">
      <c r="A1201" s="3">
        <v>45597</v>
      </c>
      <c r="B1201">
        <v>1902.972290039063</v>
      </c>
      <c r="C1201">
        <v>361.08892822265631</v>
      </c>
      <c r="D1201">
        <v>197.76405334472659</v>
      </c>
    </row>
    <row r="1202" spans="1:4" x14ac:dyDescent="0.35">
      <c r="A1202" s="3">
        <v>45600</v>
      </c>
      <c r="B1202">
        <v>1857.838256835938</v>
      </c>
      <c r="C1202">
        <v>353.49832153320313</v>
      </c>
      <c r="D1202">
        <v>187.9828796386719</v>
      </c>
    </row>
    <row r="1203" spans="1:4" x14ac:dyDescent="0.35">
      <c r="A1203" s="3">
        <v>45601</v>
      </c>
      <c r="B1203">
        <v>1902.723876953125</v>
      </c>
      <c r="C1203">
        <v>360.94296264648438</v>
      </c>
      <c r="D1203">
        <v>188.04234313964841</v>
      </c>
    </row>
    <row r="1204" spans="1:4" x14ac:dyDescent="0.35">
      <c r="A1204" s="3">
        <v>45602</v>
      </c>
      <c r="B1204">
        <v>1920.251098632813</v>
      </c>
      <c r="C1204">
        <v>372.47482299804688</v>
      </c>
      <c r="D1204">
        <v>191.94688415527341</v>
      </c>
    </row>
    <row r="1205" spans="1:4" x14ac:dyDescent="0.35">
      <c r="A1205" s="3">
        <v>45603</v>
      </c>
      <c r="B1205">
        <v>1903.170654296875</v>
      </c>
      <c r="C1205">
        <v>365.41946411132813</v>
      </c>
      <c r="D1205">
        <v>191.39192199707031</v>
      </c>
    </row>
    <row r="1206" spans="1:4" x14ac:dyDescent="0.35">
      <c r="A1206" s="3">
        <v>45604</v>
      </c>
      <c r="B1206">
        <v>1896.864868164063</v>
      </c>
      <c r="C1206">
        <v>354.86074829101563</v>
      </c>
      <c r="D1206">
        <v>183.6224670410156</v>
      </c>
    </row>
    <row r="1207" spans="1:4" x14ac:dyDescent="0.35">
      <c r="A1207" s="3">
        <v>45607</v>
      </c>
      <c r="B1207">
        <v>1907.73876953125</v>
      </c>
      <c r="C1207">
        <v>358.02349853515631</v>
      </c>
      <c r="D1207">
        <v>183.1567077636719</v>
      </c>
    </row>
    <row r="1208" spans="1:4" x14ac:dyDescent="0.35">
      <c r="A1208" s="3">
        <v>45608</v>
      </c>
      <c r="B1208">
        <v>1879.08935546875</v>
      </c>
      <c r="C1208">
        <v>356.4664306640625</v>
      </c>
      <c r="D1208">
        <v>179.4404602050781</v>
      </c>
    </row>
    <row r="1209" spans="1:4" x14ac:dyDescent="0.35">
      <c r="A1209" s="3">
        <v>45609</v>
      </c>
      <c r="B1209">
        <v>1855.206665039063</v>
      </c>
      <c r="C1209">
        <v>339.33892822265631</v>
      </c>
      <c r="D1209">
        <v>172.67192077636719</v>
      </c>
    </row>
    <row r="1210" spans="1:4" x14ac:dyDescent="0.35">
      <c r="A1210" s="3">
        <v>45610</v>
      </c>
      <c r="B1210">
        <v>1850.440063476563</v>
      </c>
      <c r="C1210">
        <v>344.6912841796875</v>
      </c>
      <c r="D1210">
        <v>174.46563720703131</v>
      </c>
    </row>
    <row r="1211" spans="1:4" x14ac:dyDescent="0.35">
      <c r="A1211" s="3">
        <v>45614</v>
      </c>
      <c r="B1211">
        <v>1826.656616210938</v>
      </c>
      <c r="C1211">
        <v>348.53521728515631</v>
      </c>
      <c r="D1211">
        <v>173.6133728027344</v>
      </c>
    </row>
    <row r="1212" spans="1:4" x14ac:dyDescent="0.35">
      <c r="A1212" s="3">
        <v>45615</v>
      </c>
      <c r="B1212">
        <v>1828.096557617188</v>
      </c>
      <c r="C1212">
        <v>361.33221435546881</v>
      </c>
      <c r="D1212">
        <v>174.8719482421875</v>
      </c>
    </row>
    <row r="1213" spans="1:4" x14ac:dyDescent="0.35">
      <c r="A1213" s="3">
        <v>45617</v>
      </c>
      <c r="B1213">
        <v>1792.148315429688</v>
      </c>
      <c r="C1213">
        <v>356.66107177734381</v>
      </c>
      <c r="D1213">
        <v>169.02503967285159</v>
      </c>
    </row>
    <row r="1214" spans="1:4" x14ac:dyDescent="0.35">
      <c r="A1214" s="3">
        <v>45618</v>
      </c>
      <c r="B1214">
        <v>1824.72021484375</v>
      </c>
      <c r="C1214">
        <v>368.67953491210938</v>
      </c>
      <c r="D1214">
        <v>173.3656311035156</v>
      </c>
    </row>
    <row r="1215" spans="1:4" x14ac:dyDescent="0.35">
      <c r="A1215" s="3">
        <v>45621</v>
      </c>
      <c r="B1215">
        <v>1824.124389648438</v>
      </c>
      <c r="C1215">
        <v>383.763427734375</v>
      </c>
      <c r="D1215">
        <v>178.77647399902341</v>
      </c>
    </row>
    <row r="1216" spans="1:4" x14ac:dyDescent="0.35">
      <c r="A1216" s="3">
        <v>45622</v>
      </c>
      <c r="B1216">
        <v>1841.552368164063</v>
      </c>
      <c r="C1216">
        <v>387.5587158203125</v>
      </c>
      <c r="D1216">
        <v>187.5270080566406</v>
      </c>
    </row>
    <row r="1217" spans="1:4" x14ac:dyDescent="0.35">
      <c r="A1217" s="3">
        <v>45623</v>
      </c>
      <c r="B1217">
        <v>1850.787719726563</v>
      </c>
      <c r="C1217">
        <v>385.27182006835938</v>
      </c>
      <c r="D1217">
        <v>189.27117919921881</v>
      </c>
    </row>
    <row r="1218" spans="1:4" x14ac:dyDescent="0.35">
      <c r="A1218" s="3">
        <v>45624</v>
      </c>
      <c r="B1218">
        <v>1858.08642578125</v>
      </c>
      <c r="C1218">
        <v>386.97482299804688</v>
      </c>
      <c r="D1218">
        <v>191.91716003417969</v>
      </c>
    </row>
    <row r="1219" spans="1:4" x14ac:dyDescent="0.35">
      <c r="A1219" s="3">
        <v>45625</v>
      </c>
      <c r="B1219">
        <v>1848.90087890625</v>
      </c>
      <c r="C1219">
        <v>388.87249755859381</v>
      </c>
      <c r="D1219">
        <v>192.660400390625</v>
      </c>
    </row>
    <row r="1220" spans="1:4" x14ac:dyDescent="0.35">
      <c r="A1220" s="3">
        <v>45628</v>
      </c>
      <c r="B1220">
        <v>1821.34375</v>
      </c>
      <c r="C1220">
        <v>392.27853393554688</v>
      </c>
      <c r="D1220">
        <v>193.65141296386719</v>
      </c>
    </row>
    <row r="1221" spans="1:4" x14ac:dyDescent="0.35">
      <c r="A1221" s="3">
        <v>45629</v>
      </c>
      <c r="B1221">
        <v>1883.160888671875</v>
      </c>
      <c r="C1221">
        <v>395.73321533203131</v>
      </c>
      <c r="D1221">
        <v>195.71269226074219</v>
      </c>
    </row>
    <row r="1222" spans="1:4" x14ac:dyDescent="0.35">
      <c r="A1222" s="3">
        <v>45630</v>
      </c>
      <c r="B1222">
        <v>1937.28173828125</v>
      </c>
      <c r="C1222">
        <v>400.74496459960938</v>
      </c>
      <c r="D1222">
        <v>202.4019470214844</v>
      </c>
    </row>
    <row r="1223" spans="1:4" x14ac:dyDescent="0.35">
      <c r="A1223" s="3">
        <v>45631</v>
      </c>
      <c r="B1223">
        <v>1919.258056640625</v>
      </c>
      <c r="C1223">
        <v>401.66946411132813</v>
      </c>
      <c r="D1223">
        <v>202.84788513183591</v>
      </c>
    </row>
    <row r="1224" spans="1:4" x14ac:dyDescent="0.35">
      <c r="A1224" s="3">
        <v>45632</v>
      </c>
      <c r="B1224">
        <v>1936.338500976563</v>
      </c>
      <c r="C1224">
        <v>402.93453979492188</v>
      </c>
      <c r="D1224">
        <v>204.10646057128909</v>
      </c>
    </row>
    <row r="1225" spans="1:4" x14ac:dyDescent="0.35">
      <c r="A1225" s="3">
        <v>45635</v>
      </c>
      <c r="B1225">
        <v>1948.552856445313</v>
      </c>
      <c r="C1225">
        <v>402.78857421875</v>
      </c>
      <c r="D1225">
        <v>206.39567565917969</v>
      </c>
    </row>
    <row r="1226" spans="1:4" x14ac:dyDescent="0.35">
      <c r="A1226" s="3">
        <v>45636</v>
      </c>
      <c r="B1226">
        <v>1932.266967773438</v>
      </c>
      <c r="C1226">
        <v>414.51510620117188</v>
      </c>
      <c r="D1226">
        <v>204.5325927734375</v>
      </c>
    </row>
    <row r="1227" spans="1:4" x14ac:dyDescent="0.35">
      <c r="A1227" s="3">
        <v>45637</v>
      </c>
      <c r="B1227">
        <v>1935.09716796875</v>
      </c>
      <c r="C1227">
        <v>413.93121337890631</v>
      </c>
      <c r="D1227">
        <v>208.13983154296881</v>
      </c>
    </row>
    <row r="1228" spans="1:4" x14ac:dyDescent="0.35">
      <c r="A1228" s="3">
        <v>45638</v>
      </c>
      <c r="B1228">
        <v>1947.708862304688</v>
      </c>
      <c r="C1228">
        <v>418.89431762695313</v>
      </c>
      <c r="D1228">
        <v>204.45330810546881</v>
      </c>
    </row>
    <row r="1229" spans="1:4" x14ac:dyDescent="0.35">
      <c r="A1229" s="3">
        <v>45639</v>
      </c>
      <c r="B1229">
        <v>1969.555786132813</v>
      </c>
      <c r="C1229">
        <v>418.50503540039063</v>
      </c>
      <c r="D1229">
        <v>200.2613830566406</v>
      </c>
    </row>
    <row r="1230" spans="1:4" x14ac:dyDescent="0.35">
      <c r="A1230" s="3">
        <v>45642</v>
      </c>
      <c r="B1230">
        <v>1950.141845703125</v>
      </c>
      <c r="C1230">
        <v>430.57217407226563</v>
      </c>
      <c r="D1230">
        <v>211.51914978027341</v>
      </c>
    </row>
    <row r="1231" spans="1:4" x14ac:dyDescent="0.35">
      <c r="A1231" s="3">
        <v>45643</v>
      </c>
      <c r="B1231">
        <v>1903.965209960938</v>
      </c>
      <c r="C1231">
        <v>428.82046508789063</v>
      </c>
      <c r="D1231">
        <v>205.91007995605469</v>
      </c>
    </row>
    <row r="1232" spans="1:4" x14ac:dyDescent="0.35">
      <c r="A1232" s="3">
        <v>45644</v>
      </c>
      <c r="B1232">
        <v>1861.661376953125</v>
      </c>
      <c r="C1232">
        <v>437.62753295898438</v>
      </c>
      <c r="D1232">
        <v>205.7118835449219</v>
      </c>
    </row>
    <row r="1233" spans="1:4" x14ac:dyDescent="0.35">
      <c r="A1233" s="3">
        <v>45645</v>
      </c>
      <c r="B1233">
        <v>1884.79931640625</v>
      </c>
      <c r="C1233">
        <v>430.57217407226563</v>
      </c>
      <c r="D1233">
        <v>203.51185607910159</v>
      </c>
    </row>
    <row r="1234" spans="1:4" x14ac:dyDescent="0.35">
      <c r="A1234" s="3">
        <v>45646</v>
      </c>
      <c r="B1234">
        <v>1888.920654296875</v>
      </c>
      <c r="C1234">
        <v>487.55032348632813</v>
      </c>
      <c r="D1234">
        <v>212.17320251464841</v>
      </c>
    </row>
    <row r="1235" spans="1:4" x14ac:dyDescent="0.35">
      <c r="A1235" s="3">
        <v>45649</v>
      </c>
      <c r="B1235">
        <v>1849.099487304688</v>
      </c>
      <c r="C1235">
        <v>467.64932250976563</v>
      </c>
      <c r="D1235">
        <v>200.4298400878906</v>
      </c>
    </row>
    <row r="1236" spans="1:4" x14ac:dyDescent="0.35">
      <c r="A1236" s="3">
        <v>45650</v>
      </c>
      <c r="B1236">
        <v>1855.951416015625</v>
      </c>
      <c r="C1236">
        <v>456.31207275390631</v>
      </c>
      <c r="D1236">
        <v>196.2279968261719</v>
      </c>
    </row>
    <row r="1237" spans="1:4" x14ac:dyDescent="0.35">
      <c r="A1237" s="3">
        <v>45652</v>
      </c>
      <c r="B1237">
        <v>1848.205688476563</v>
      </c>
      <c r="C1237">
        <v>452.9547119140625</v>
      </c>
      <c r="D1237">
        <v>204.7506103515625</v>
      </c>
    </row>
    <row r="1238" spans="1:4" x14ac:dyDescent="0.35">
      <c r="A1238" s="3">
        <v>45653</v>
      </c>
      <c r="B1238">
        <v>1819.705322265625</v>
      </c>
      <c r="C1238">
        <v>460.49664306640631</v>
      </c>
      <c r="D1238">
        <v>205.8208923339844</v>
      </c>
    </row>
    <row r="1239" spans="1:4" x14ac:dyDescent="0.35">
      <c r="A1239" s="3">
        <v>45656</v>
      </c>
      <c r="B1239">
        <v>1794.233764648438</v>
      </c>
      <c r="C1239">
        <v>432.85903930664063</v>
      </c>
      <c r="D1239">
        <v>197.58567810058591</v>
      </c>
    </row>
    <row r="1240" spans="1:4" x14ac:dyDescent="0.35">
      <c r="A1240" s="3">
        <v>45657</v>
      </c>
      <c r="B1240">
        <v>1775.316284179688</v>
      </c>
      <c r="C1240">
        <v>432.32382202148438</v>
      </c>
      <c r="D1240">
        <v>200.6974182128906</v>
      </c>
    </row>
    <row r="1241" spans="1:4" x14ac:dyDescent="0.35">
      <c r="A1241" s="3">
        <v>45658</v>
      </c>
      <c r="B1241">
        <v>1796.865234375</v>
      </c>
      <c r="C1241">
        <v>446.23992919921881</v>
      </c>
      <c r="D1241">
        <v>204.83979797363281</v>
      </c>
    </row>
    <row r="1242" spans="1:4" x14ac:dyDescent="0.35">
      <c r="A1242" s="3">
        <v>45659</v>
      </c>
      <c r="B1242">
        <v>1820.152221679688</v>
      </c>
      <c r="C1242">
        <v>439.71981811523438</v>
      </c>
      <c r="D1242">
        <v>203.1253662109375</v>
      </c>
    </row>
    <row r="1243" spans="1:4" x14ac:dyDescent="0.35">
      <c r="A1243" s="3">
        <v>45660</v>
      </c>
      <c r="B1243">
        <v>1825.415283203125</v>
      </c>
      <c r="C1243">
        <v>445.41275024414063</v>
      </c>
      <c r="D1243">
        <v>202.81816101074219</v>
      </c>
    </row>
    <row r="1244" spans="1:4" x14ac:dyDescent="0.35">
      <c r="A1244" s="3">
        <v>45663</v>
      </c>
      <c r="B1244">
        <v>1800.142333984375</v>
      </c>
      <c r="C1244">
        <v>423.37078857421881</v>
      </c>
      <c r="D1244">
        <v>192.69013977050781</v>
      </c>
    </row>
    <row r="1245" spans="1:4" x14ac:dyDescent="0.35">
      <c r="A1245" s="3">
        <v>45664</v>
      </c>
      <c r="B1245">
        <v>1870.598754882813</v>
      </c>
      <c r="C1245">
        <v>440.49832153320313</v>
      </c>
      <c r="D1245">
        <v>196.16853332519531</v>
      </c>
    </row>
    <row r="1246" spans="1:4" x14ac:dyDescent="0.35">
      <c r="A1246" s="3">
        <v>45665</v>
      </c>
      <c r="B1246">
        <v>1846.269287109375</v>
      </c>
      <c r="C1246">
        <v>434.70806884765631</v>
      </c>
      <c r="D1246">
        <v>192.7694091796875</v>
      </c>
    </row>
    <row r="1247" spans="1:4" x14ac:dyDescent="0.35">
      <c r="A1247" s="3">
        <v>45666</v>
      </c>
      <c r="B1247">
        <v>1875.1171875</v>
      </c>
      <c r="C1247">
        <v>452.41946411132813</v>
      </c>
      <c r="D1247">
        <v>193.74058532714841</v>
      </c>
    </row>
    <row r="1248" spans="1:4" x14ac:dyDescent="0.35">
      <c r="A1248" s="3">
        <v>45667</v>
      </c>
      <c r="B1248">
        <v>1864.541381835938</v>
      </c>
      <c r="C1248">
        <v>418.0184326171875</v>
      </c>
      <c r="D1248">
        <v>187.05134582519531</v>
      </c>
    </row>
    <row r="1249" spans="1:4" x14ac:dyDescent="0.35">
      <c r="A1249" s="3">
        <v>45670</v>
      </c>
      <c r="B1249">
        <v>1824.173950195313</v>
      </c>
      <c r="C1249">
        <v>396.65771484375</v>
      </c>
      <c r="D1249">
        <v>172.50346374511719</v>
      </c>
    </row>
    <row r="1250" spans="1:4" x14ac:dyDescent="0.35">
      <c r="A1250" s="3">
        <v>45671</v>
      </c>
      <c r="B1250">
        <v>1818.463989257813</v>
      </c>
      <c r="C1250">
        <v>411.93621826171881</v>
      </c>
      <c r="D1250">
        <v>189.0432434082031</v>
      </c>
    </row>
    <row r="1251" spans="1:4" x14ac:dyDescent="0.35">
      <c r="A1251" s="3">
        <v>45672</v>
      </c>
      <c r="B1251">
        <v>1881.37353515625</v>
      </c>
      <c r="C1251">
        <v>404.00503540039063</v>
      </c>
      <c r="D1251">
        <v>185.8918762207031</v>
      </c>
    </row>
    <row r="1252" spans="1:4" x14ac:dyDescent="0.35">
      <c r="A1252" s="3">
        <v>45673</v>
      </c>
      <c r="B1252">
        <v>1894.630615234375</v>
      </c>
      <c r="C1252">
        <v>418.84564208984381</v>
      </c>
      <c r="D1252">
        <v>190.03424072265631</v>
      </c>
    </row>
    <row r="1253" spans="1:4" x14ac:dyDescent="0.35">
      <c r="A1253" s="3">
        <v>45674</v>
      </c>
      <c r="B1253">
        <v>1935.196411132813</v>
      </c>
      <c r="C1253">
        <v>425.94967651367188</v>
      </c>
      <c r="D1253">
        <v>191.54057312011719</v>
      </c>
    </row>
    <row r="1254" spans="1:4" x14ac:dyDescent="0.35">
      <c r="A1254" s="3">
        <v>45677</v>
      </c>
      <c r="B1254">
        <v>1909.32763671875</v>
      </c>
      <c r="C1254">
        <v>439.4278564453125</v>
      </c>
      <c r="D1254">
        <v>193.86943054199219</v>
      </c>
    </row>
    <row r="1255" spans="1:4" x14ac:dyDescent="0.35">
      <c r="A1255" s="3">
        <v>45678</v>
      </c>
      <c r="B1255">
        <v>1889.26806640625</v>
      </c>
      <c r="C1255">
        <v>423.17617797851563</v>
      </c>
      <c r="D1255">
        <v>188.92433166503909</v>
      </c>
    </row>
    <row r="1256" spans="1:4" x14ac:dyDescent="0.35">
      <c r="A1256" s="3">
        <v>45679</v>
      </c>
      <c r="B1256">
        <v>1837.034057617188</v>
      </c>
      <c r="C1256">
        <v>411.74160766601563</v>
      </c>
      <c r="D1256">
        <v>184.60356140136719</v>
      </c>
    </row>
    <row r="1257" spans="1:4" x14ac:dyDescent="0.35">
      <c r="A1257" s="3">
        <v>45680</v>
      </c>
      <c r="B1257">
        <v>1821.34375</v>
      </c>
      <c r="C1257">
        <v>427.6527099609375</v>
      </c>
      <c r="D1257">
        <v>188.7162170410156</v>
      </c>
    </row>
    <row r="1258" spans="1:4" x14ac:dyDescent="0.35">
      <c r="A1258" s="3">
        <v>45681</v>
      </c>
      <c r="B1258">
        <v>1803.022216796875</v>
      </c>
      <c r="C1258">
        <v>409.0654296875</v>
      </c>
      <c r="D1258">
        <v>183.22607421875</v>
      </c>
    </row>
    <row r="1259" spans="1:4" x14ac:dyDescent="0.35">
      <c r="A1259" s="3">
        <v>45684</v>
      </c>
      <c r="B1259">
        <v>1766.3291015625</v>
      </c>
      <c r="C1259">
        <v>388.28860473632813</v>
      </c>
      <c r="D1259">
        <v>172.5926513671875</v>
      </c>
    </row>
    <row r="1260" spans="1:4" x14ac:dyDescent="0.35">
      <c r="A1260" s="3">
        <v>45685</v>
      </c>
      <c r="B1260">
        <v>1762.35693359375</v>
      </c>
      <c r="C1260">
        <v>381.03857421875</v>
      </c>
      <c r="D1260">
        <v>168.81694030761719</v>
      </c>
    </row>
    <row r="1261" spans="1:4" x14ac:dyDescent="0.35">
      <c r="A1261" s="3">
        <v>45686</v>
      </c>
      <c r="B1261">
        <v>1828.6923828125</v>
      </c>
      <c r="C1261">
        <v>394.078857421875</v>
      </c>
      <c r="D1261">
        <v>172.36470031738281</v>
      </c>
    </row>
    <row r="1262" spans="1:4" x14ac:dyDescent="0.35">
      <c r="A1262" s="3">
        <v>45687</v>
      </c>
      <c r="B1262">
        <v>1832.66455078125</v>
      </c>
      <c r="C1262">
        <v>389.94296264648438</v>
      </c>
      <c r="D1262">
        <v>176.16023254394531</v>
      </c>
    </row>
    <row r="1263" spans="1:4" x14ac:dyDescent="0.35">
      <c r="A1263" s="3">
        <v>45688</v>
      </c>
      <c r="B1263">
        <v>1845.57421875</v>
      </c>
      <c r="C1263">
        <v>400.40438842773438</v>
      </c>
      <c r="D1263">
        <v>180.21343994140631</v>
      </c>
    </row>
    <row r="1264" spans="1:4" x14ac:dyDescent="0.35">
      <c r="A1264" s="3">
        <v>45689</v>
      </c>
      <c r="B1264">
        <v>1866.875</v>
      </c>
      <c r="C1264">
        <v>393.39764404296881</v>
      </c>
      <c r="D1264">
        <v>177.3296203613281</v>
      </c>
    </row>
    <row r="1265" spans="1:4" x14ac:dyDescent="0.35">
      <c r="A1265" s="3">
        <v>45691</v>
      </c>
      <c r="B1265">
        <v>1872.237426757813</v>
      </c>
      <c r="C1265">
        <v>377.92449951171881</v>
      </c>
      <c r="D1265">
        <v>172.30525207519531</v>
      </c>
    </row>
    <row r="1266" spans="1:4" x14ac:dyDescent="0.35">
      <c r="A1266" s="3">
        <v>45692</v>
      </c>
      <c r="B1266">
        <v>1861.363525390625</v>
      </c>
      <c r="C1266">
        <v>390.6241455078125</v>
      </c>
      <c r="D1266">
        <v>175.08995056152341</v>
      </c>
    </row>
    <row r="1267" spans="1:4" x14ac:dyDescent="0.35">
      <c r="A1267" s="3">
        <v>45693</v>
      </c>
      <c r="B1267">
        <v>1841.750854492188</v>
      </c>
      <c r="C1267">
        <v>397.14431762695313</v>
      </c>
      <c r="D1267">
        <v>176.4377136230469</v>
      </c>
    </row>
    <row r="1268" spans="1:4" x14ac:dyDescent="0.35">
      <c r="A1268" s="3">
        <v>45694</v>
      </c>
      <c r="B1268">
        <v>1815.18701171875</v>
      </c>
      <c r="C1268">
        <v>404.44296264648438</v>
      </c>
      <c r="D1268">
        <v>176.2296142578125</v>
      </c>
    </row>
    <row r="1269" spans="1:4" x14ac:dyDescent="0.35">
      <c r="A1269" s="3">
        <v>45695</v>
      </c>
      <c r="B1269">
        <v>1814.243530273438</v>
      </c>
      <c r="C1269">
        <v>407.3624267578125</v>
      </c>
      <c r="D1269">
        <v>174.495361328125</v>
      </c>
    </row>
    <row r="1270" spans="1:4" x14ac:dyDescent="0.35">
      <c r="A1270" s="3">
        <v>45698</v>
      </c>
      <c r="B1270">
        <v>1815.733154296875</v>
      </c>
      <c r="C1270">
        <v>390.57550048828131</v>
      </c>
      <c r="D1270">
        <v>170.09532165527341</v>
      </c>
    </row>
    <row r="1271" spans="1:4" x14ac:dyDescent="0.35">
      <c r="A1271" s="3">
        <v>45699</v>
      </c>
      <c r="B1271">
        <v>1782.614990234375</v>
      </c>
      <c r="C1271">
        <v>370.6258544921875</v>
      </c>
      <c r="D1271">
        <v>162.86100769042969</v>
      </c>
    </row>
    <row r="1272" spans="1:4" x14ac:dyDescent="0.35">
      <c r="A1272" s="3">
        <v>45700</v>
      </c>
      <c r="B1272">
        <v>1752.52587890625</v>
      </c>
      <c r="C1272">
        <v>367.60906982421881</v>
      </c>
      <c r="D1272">
        <v>160.6808166503906</v>
      </c>
    </row>
    <row r="1273" spans="1:4" x14ac:dyDescent="0.35">
      <c r="A1273" s="3">
        <v>45701</v>
      </c>
      <c r="B1273">
        <v>1764.492065429688</v>
      </c>
      <c r="C1273">
        <v>376.2701416015625</v>
      </c>
      <c r="D1273">
        <v>160.70063781738281</v>
      </c>
    </row>
    <row r="1274" spans="1:4" x14ac:dyDescent="0.35">
      <c r="A1274" s="3">
        <v>45702</v>
      </c>
      <c r="B1274">
        <v>1725.862548828125</v>
      </c>
      <c r="C1274">
        <v>359.1912841796875</v>
      </c>
      <c r="D1274">
        <v>154.07084655761719</v>
      </c>
    </row>
    <row r="1275" spans="1:4" x14ac:dyDescent="0.35">
      <c r="A1275" s="3">
        <v>45705</v>
      </c>
      <c r="B1275">
        <v>1713.052368164063</v>
      </c>
      <c r="C1275">
        <v>351.7952880859375</v>
      </c>
      <c r="D1275">
        <v>151.80145263671881</v>
      </c>
    </row>
    <row r="1276" spans="1:4" x14ac:dyDescent="0.35">
      <c r="A1276" s="3">
        <v>45706</v>
      </c>
      <c r="B1276">
        <v>1726.309448242188</v>
      </c>
      <c r="C1276">
        <v>367.8037109375</v>
      </c>
      <c r="D1276">
        <v>152.49516296386719</v>
      </c>
    </row>
    <row r="1277" spans="1:4" x14ac:dyDescent="0.35">
      <c r="A1277" s="3">
        <v>45707</v>
      </c>
      <c r="B1277">
        <v>1716.925170898438</v>
      </c>
      <c r="C1277">
        <v>373.35067749023438</v>
      </c>
      <c r="D1277">
        <v>156.81591796875</v>
      </c>
    </row>
    <row r="1278" spans="1:4" x14ac:dyDescent="0.35">
      <c r="A1278" s="3">
        <v>45708</v>
      </c>
      <c r="B1278">
        <v>1715.28662109375</v>
      </c>
      <c r="C1278">
        <v>376.85403442382813</v>
      </c>
      <c r="D1278">
        <v>159.59071350097659</v>
      </c>
    </row>
    <row r="1279" spans="1:4" x14ac:dyDescent="0.35">
      <c r="A1279" s="3">
        <v>45709</v>
      </c>
      <c r="B1279">
        <v>1721.046264648438</v>
      </c>
      <c r="C1279">
        <v>374.90771484375</v>
      </c>
      <c r="D1279">
        <v>158.96638488769531</v>
      </c>
    </row>
    <row r="1280" spans="1:4" x14ac:dyDescent="0.35">
      <c r="A1280" s="3">
        <v>45712</v>
      </c>
      <c r="B1280">
        <v>1698.951049804688</v>
      </c>
      <c r="C1280">
        <v>379.3355712890625</v>
      </c>
      <c r="D1280">
        <v>155.11140441894531</v>
      </c>
    </row>
    <row r="1281" spans="1:4" x14ac:dyDescent="0.35">
      <c r="A1281" s="3">
        <v>45713</v>
      </c>
      <c r="B1281">
        <v>1676.01171875</v>
      </c>
      <c r="C1281">
        <v>380.84396362304688</v>
      </c>
      <c r="D1281">
        <v>154.72491455078131</v>
      </c>
    </row>
    <row r="1282" spans="1:4" x14ac:dyDescent="0.35">
      <c r="A1282" s="3">
        <v>45715</v>
      </c>
      <c r="B1282">
        <v>1689.368041992188</v>
      </c>
      <c r="C1282">
        <v>379.43289184570313</v>
      </c>
      <c r="D1282">
        <v>150.04737854003909</v>
      </c>
    </row>
    <row r="1283" spans="1:4" x14ac:dyDescent="0.35">
      <c r="A1283" s="3">
        <v>45716</v>
      </c>
      <c r="B1283">
        <v>1679.189331054688</v>
      </c>
      <c r="C1283">
        <v>358.99664306640631</v>
      </c>
      <c r="D1283">
        <v>140.8310852050781</v>
      </c>
    </row>
    <row r="1284" spans="1:4" x14ac:dyDescent="0.35">
      <c r="A1284" s="3">
        <v>45719</v>
      </c>
      <c r="B1284">
        <v>1651.930419921875</v>
      </c>
      <c r="C1284">
        <v>353.25503540039063</v>
      </c>
      <c r="D1284">
        <v>141.62388610839841</v>
      </c>
    </row>
    <row r="1285" spans="1:4" x14ac:dyDescent="0.35">
      <c r="A1285" s="3">
        <v>45720</v>
      </c>
      <c r="B1285">
        <v>1628.2958984375</v>
      </c>
      <c r="C1285">
        <v>371.93960571289063</v>
      </c>
      <c r="D1285">
        <v>142.4662170410156</v>
      </c>
    </row>
    <row r="1286" spans="1:4" x14ac:dyDescent="0.35">
      <c r="A1286" s="3">
        <v>45721</v>
      </c>
      <c r="B1286">
        <v>1665.237182617188</v>
      </c>
      <c r="C1286">
        <v>381.08724975585938</v>
      </c>
      <c r="D1286">
        <v>147.65907287597659</v>
      </c>
    </row>
    <row r="1287" spans="1:4" x14ac:dyDescent="0.35">
      <c r="A1287" s="3">
        <v>45722</v>
      </c>
      <c r="B1287">
        <v>1690.460571289063</v>
      </c>
      <c r="C1287">
        <v>379.578857421875</v>
      </c>
      <c r="D1287">
        <v>148.30320739746091</v>
      </c>
    </row>
    <row r="1288" spans="1:4" x14ac:dyDescent="0.35">
      <c r="A1288" s="3">
        <v>45723</v>
      </c>
      <c r="B1288">
        <v>1675.21728515625</v>
      </c>
      <c r="C1288">
        <v>372.13421630859381</v>
      </c>
      <c r="D1288">
        <v>150.61224365234381</v>
      </c>
    </row>
    <row r="1289" spans="1:4" x14ac:dyDescent="0.35">
      <c r="A1289" s="3">
        <v>45726</v>
      </c>
      <c r="B1289">
        <v>1687.779296875</v>
      </c>
      <c r="C1289">
        <v>367.5604248046875</v>
      </c>
      <c r="D1289">
        <v>145.7167053222656</v>
      </c>
    </row>
    <row r="1290" spans="1:4" x14ac:dyDescent="0.35">
      <c r="A1290" s="3">
        <v>45727</v>
      </c>
      <c r="B1290">
        <v>1688.623291015625</v>
      </c>
      <c r="C1290">
        <v>365.3221435546875</v>
      </c>
      <c r="D1290">
        <v>145.41941833496091</v>
      </c>
    </row>
    <row r="1291" spans="1:4" x14ac:dyDescent="0.35">
      <c r="A1291" s="3">
        <v>45728</v>
      </c>
      <c r="B1291">
        <v>1654.115112304688</v>
      </c>
      <c r="C1291">
        <v>368.77685546875</v>
      </c>
      <c r="D1291">
        <v>143.2689514160156</v>
      </c>
    </row>
    <row r="1292" spans="1:4" x14ac:dyDescent="0.35">
      <c r="A1292" s="3">
        <v>45729</v>
      </c>
      <c r="B1292">
        <v>1667.074340820313</v>
      </c>
      <c r="C1292">
        <v>374.22650146484381</v>
      </c>
      <c r="D1292">
        <v>142.8428039550781</v>
      </c>
    </row>
    <row r="1293" spans="1:4" x14ac:dyDescent="0.35">
      <c r="A1293" s="3">
        <v>45733</v>
      </c>
      <c r="B1293">
        <v>1713.350219726563</v>
      </c>
      <c r="C1293">
        <v>381.08724975585938</v>
      </c>
      <c r="D1293">
        <v>140.88063049316409</v>
      </c>
    </row>
    <row r="1294" spans="1:4" x14ac:dyDescent="0.35">
      <c r="A1294" s="3">
        <v>45734</v>
      </c>
      <c r="B1294">
        <v>1713.350219726563</v>
      </c>
      <c r="C1294">
        <v>381.08724975585938</v>
      </c>
      <c r="D1294">
        <v>140.88063049316409</v>
      </c>
    </row>
    <row r="1295" spans="1:4" x14ac:dyDescent="0.35">
      <c r="A1295" s="3">
        <v>45735</v>
      </c>
      <c r="B1295">
        <v>1744.283569335938</v>
      </c>
      <c r="C1295">
        <v>407.21646118164063</v>
      </c>
      <c r="D1295">
        <v>151.4942321777344</v>
      </c>
    </row>
    <row r="1296" spans="1:4" x14ac:dyDescent="0.35">
      <c r="A1296" s="3">
        <v>45736</v>
      </c>
      <c r="B1296">
        <v>1712.75439453125</v>
      </c>
      <c r="C1296">
        <v>398.5067138671875</v>
      </c>
      <c r="D1296">
        <v>151.9996643066406</v>
      </c>
    </row>
    <row r="1297" spans="1:4" x14ac:dyDescent="0.35">
      <c r="A1297" s="3">
        <v>45737</v>
      </c>
      <c r="B1297">
        <v>1711.215087890625</v>
      </c>
      <c r="C1297">
        <v>433.39431762695313</v>
      </c>
      <c r="D1297">
        <v>163.5547180175781</v>
      </c>
    </row>
    <row r="1298" spans="1:4" x14ac:dyDescent="0.35">
      <c r="A1298" s="3">
        <v>45740</v>
      </c>
      <c r="B1298">
        <v>1772.635009765625</v>
      </c>
      <c r="C1298">
        <v>430.03689575195313</v>
      </c>
      <c r="D1298">
        <v>164.08985900878909</v>
      </c>
    </row>
    <row r="1299" spans="1:4" x14ac:dyDescent="0.35">
      <c r="A1299" s="3">
        <v>45741</v>
      </c>
      <c r="B1299">
        <v>1767.123657226563</v>
      </c>
      <c r="C1299">
        <v>415.87753295898438</v>
      </c>
      <c r="D1299">
        <v>159.25376892089841</v>
      </c>
    </row>
    <row r="1300" spans="1:4" x14ac:dyDescent="0.35">
      <c r="A1300" s="3">
        <v>45742</v>
      </c>
      <c r="B1300">
        <v>1760.12255859375</v>
      </c>
      <c r="C1300">
        <v>408.87078857421881</v>
      </c>
      <c r="D1300">
        <v>156.9249267578125</v>
      </c>
    </row>
    <row r="1301" spans="1:4" x14ac:dyDescent="0.35">
      <c r="A1301" s="3">
        <v>45743</v>
      </c>
      <c r="B1301">
        <v>1781.77099609375</v>
      </c>
      <c r="C1301">
        <v>405.65939331054688</v>
      </c>
      <c r="D1301">
        <v>156.79609680175781</v>
      </c>
    </row>
    <row r="1302" spans="1:4" x14ac:dyDescent="0.35">
      <c r="A1302" s="3">
        <v>45744</v>
      </c>
      <c r="B1302">
        <v>1780.380737304688</v>
      </c>
      <c r="C1302">
        <v>409.79531860351563</v>
      </c>
      <c r="D1302">
        <v>153.12939453125</v>
      </c>
    </row>
    <row r="1303" spans="1:4" x14ac:dyDescent="0.35">
      <c r="A1303" s="3">
        <v>45748</v>
      </c>
      <c r="B1303">
        <v>1779.437377929688</v>
      </c>
      <c r="C1303">
        <v>403.22653198242188</v>
      </c>
      <c r="D1303">
        <v>156.56817626953131</v>
      </c>
    </row>
    <row r="1304" spans="1:4" x14ac:dyDescent="0.35">
      <c r="A1304" s="3">
        <v>45749</v>
      </c>
      <c r="B1304">
        <v>1817.22265625</v>
      </c>
      <c r="C1304">
        <v>408.77346801757813</v>
      </c>
      <c r="D1304">
        <v>157.5591735839844</v>
      </c>
    </row>
    <row r="1305" spans="1:4" x14ac:dyDescent="0.35">
      <c r="A1305" s="3">
        <v>45750</v>
      </c>
      <c r="B1305">
        <v>1818.761962890625</v>
      </c>
      <c r="C1305">
        <v>417.28857421875</v>
      </c>
      <c r="D1305">
        <v>162.42497253417969</v>
      </c>
    </row>
    <row r="1306" spans="1:4" x14ac:dyDescent="0.35">
      <c r="A1306" s="3">
        <v>45751</v>
      </c>
      <c r="B1306">
        <v>1816.825561523438</v>
      </c>
      <c r="C1306">
        <v>394.17617797851563</v>
      </c>
      <c r="D1306">
        <v>153.5753479003906</v>
      </c>
    </row>
    <row r="1307" spans="1:4" x14ac:dyDescent="0.35">
      <c r="A1307" s="3">
        <v>45754</v>
      </c>
      <c r="B1307">
        <v>1732.267700195313</v>
      </c>
      <c r="C1307">
        <v>374.76174926757813</v>
      </c>
      <c r="D1307">
        <v>148.75907897949219</v>
      </c>
    </row>
    <row r="1308" spans="1:4" x14ac:dyDescent="0.35">
      <c r="A1308" s="3">
        <v>45755</v>
      </c>
      <c r="B1308">
        <v>1764.492065429688</v>
      </c>
      <c r="C1308">
        <v>388.14263916015631</v>
      </c>
      <c r="D1308">
        <v>155.75553894042969</v>
      </c>
    </row>
    <row r="1309" spans="1:4" x14ac:dyDescent="0.35">
      <c r="A1309" s="3">
        <v>45756</v>
      </c>
      <c r="B1309">
        <v>1774.074951171875</v>
      </c>
      <c r="C1309">
        <v>384.39596557617188</v>
      </c>
      <c r="D1309">
        <v>153.64471435546881</v>
      </c>
    </row>
    <row r="1310" spans="1:4" x14ac:dyDescent="0.35">
      <c r="A1310" s="3">
        <v>45758</v>
      </c>
      <c r="B1310">
        <v>1706.597534179688</v>
      </c>
      <c r="C1310">
        <v>386.68289184570313</v>
      </c>
      <c r="D1310">
        <v>154.87355041503909</v>
      </c>
    </row>
    <row r="1311" spans="1:4" x14ac:dyDescent="0.35">
      <c r="A1311" s="3">
        <v>45762</v>
      </c>
      <c r="B1311">
        <v>1809.923706054688</v>
      </c>
      <c r="C1311">
        <v>400.74496459960938</v>
      </c>
      <c r="D1311">
        <v>159.87811279296881</v>
      </c>
    </row>
    <row r="1312" spans="1:4" x14ac:dyDescent="0.35">
      <c r="A1312" s="3">
        <v>45763</v>
      </c>
      <c r="B1312">
        <v>1799.198974609375</v>
      </c>
      <c r="C1312">
        <v>406.14596557617188</v>
      </c>
      <c r="D1312">
        <v>165.29888916015631</v>
      </c>
    </row>
    <row r="1313" spans="1:4" x14ac:dyDescent="0.35">
      <c r="A1313" s="3">
        <v>45764</v>
      </c>
      <c r="B1313">
        <v>1780.926879882813</v>
      </c>
      <c r="C1313">
        <v>417.6778564453125</v>
      </c>
      <c r="D1313">
        <v>170.93768310546881</v>
      </c>
    </row>
    <row r="1314" spans="1:4" x14ac:dyDescent="0.35">
      <c r="A1314" s="3">
        <v>45768</v>
      </c>
      <c r="B1314">
        <v>1828.295043945313</v>
      </c>
      <c r="C1314">
        <v>416.60739135742188</v>
      </c>
      <c r="D1314">
        <v>171.16560363769531</v>
      </c>
    </row>
    <row r="1315" spans="1:4" x14ac:dyDescent="0.35">
      <c r="A1315" s="3">
        <v>45769</v>
      </c>
      <c r="B1315">
        <v>1832.366577148438</v>
      </c>
      <c r="C1315">
        <v>415.828857421875</v>
      </c>
      <c r="D1315">
        <v>170.5214538574219</v>
      </c>
    </row>
    <row r="1316" spans="1:4" x14ac:dyDescent="0.35">
      <c r="A1316" s="3">
        <v>45770</v>
      </c>
      <c r="B1316">
        <v>1866.924560546875</v>
      </c>
      <c r="C1316">
        <v>413.34732055664063</v>
      </c>
      <c r="D1316">
        <v>172.88995361328131</v>
      </c>
    </row>
    <row r="1317" spans="1:4" x14ac:dyDescent="0.35">
      <c r="A1317" s="3">
        <v>45771</v>
      </c>
      <c r="B1317">
        <v>1867.222534179688</v>
      </c>
      <c r="C1317">
        <v>414.61239624023438</v>
      </c>
      <c r="D1317">
        <v>172.8601989746094</v>
      </c>
    </row>
    <row r="1318" spans="1:4" x14ac:dyDescent="0.35">
      <c r="A1318" s="3">
        <v>45772</v>
      </c>
      <c r="B1318">
        <v>1841.204711914063</v>
      </c>
      <c r="C1318">
        <v>416.51007080078131</v>
      </c>
      <c r="D1318">
        <v>167.0133056640625</v>
      </c>
    </row>
    <row r="1319" spans="1:4" x14ac:dyDescent="0.35">
      <c r="A1319" s="3">
        <v>45775</v>
      </c>
      <c r="B1319">
        <v>1837.331787109375</v>
      </c>
      <c r="C1319">
        <v>416.5587158203125</v>
      </c>
      <c r="D1319">
        <v>169.20343017578131</v>
      </c>
    </row>
    <row r="1320" spans="1:4" x14ac:dyDescent="0.35">
      <c r="A1320" s="3">
        <v>45776</v>
      </c>
      <c r="B1320">
        <v>1843.190795898438</v>
      </c>
      <c r="C1320">
        <v>422.105712890625</v>
      </c>
      <c r="D1320">
        <v>169.74845886230469</v>
      </c>
    </row>
    <row r="1321" spans="1:4" x14ac:dyDescent="0.35">
      <c r="A1321" s="3">
        <v>45777</v>
      </c>
      <c r="B1321">
        <v>1863.448974609375</v>
      </c>
      <c r="C1321">
        <v>405.95132446289063</v>
      </c>
      <c r="D1321">
        <v>170.5214538574219</v>
      </c>
    </row>
    <row r="1322" spans="1:4" x14ac:dyDescent="0.35">
      <c r="A1322" s="3">
        <v>45779</v>
      </c>
      <c r="B1322">
        <v>1840.509643554688</v>
      </c>
      <c r="C1322">
        <v>411.83892822265631</v>
      </c>
      <c r="D1322">
        <v>169.27278137207031</v>
      </c>
    </row>
    <row r="1323" spans="1:4" x14ac:dyDescent="0.35">
      <c r="A1323" s="3">
        <v>45782</v>
      </c>
      <c r="B1323">
        <v>1839.417236328125</v>
      </c>
      <c r="C1323">
        <v>416.02349853515631</v>
      </c>
      <c r="D1323">
        <v>168.95567321777341</v>
      </c>
    </row>
    <row r="1324" spans="1:4" x14ac:dyDescent="0.35">
      <c r="A1324" s="3">
        <v>45783</v>
      </c>
      <c r="B1324">
        <v>1782.614990234375</v>
      </c>
      <c r="C1324">
        <v>397.5335693359375</v>
      </c>
      <c r="D1324">
        <v>164.41688537597659</v>
      </c>
    </row>
    <row r="1325" spans="1:4" x14ac:dyDescent="0.35">
      <c r="A1325" s="3">
        <v>45784</v>
      </c>
      <c r="B1325">
        <v>1813.30029296875</v>
      </c>
      <c r="C1325">
        <v>399.77178955078131</v>
      </c>
      <c r="D1325">
        <v>164.6646423339844</v>
      </c>
    </row>
    <row r="1326" spans="1:4" x14ac:dyDescent="0.35">
      <c r="A1326" s="3">
        <v>45785</v>
      </c>
      <c r="B1326">
        <v>1779.338134765625</v>
      </c>
      <c r="C1326">
        <v>391.69464111328131</v>
      </c>
      <c r="D1326">
        <v>163.58445739746091</v>
      </c>
    </row>
    <row r="1327" spans="1:4" x14ac:dyDescent="0.35">
      <c r="A1327" s="3">
        <v>45786</v>
      </c>
      <c r="B1327">
        <v>1769.8046875</v>
      </c>
      <c r="C1327">
        <v>383.81207275390631</v>
      </c>
      <c r="D1327">
        <v>158.9168395996094</v>
      </c>
    </row>
    <row r="1328" spans="1:4" x14ac:dyDescent="0.35">
      <c r="A1328" s="3">
        <v>45789</v>
      </c>
      <c r="B1328">
        <v>1823.92578125</v>
      </c>
      <c r="C1328">
        <v>402.83724975585938</v>
      </c>
      <c r="D1328">
        <v>167.07276916503909</v>
      </c>
    </row>
    <row r="1329" spans="1:4" x14ac:dyDescent="0.35">
      <c r="A1329" s="3">
        <v>45790</v>
      </c>
      <c r="B1329">
        <v>1853.5185546875</v>
      </c>
      <c r="C1329">
        <v>404.92953491210938</v>
      </c>
      <c r="D1329">
        <v>171.7403869628906</v>
      </c>
    </row>
    <row r="1330" spans="1:4" x14ac:dyDescent="0.35">
      <c r="A1330" s="3">
        <v>45791</v>
      </c>
      <c r="B1330">
        <v>1838.026977539063</v>
      </c>
      <c r="C1330">
        <v>406.48660278320313</v>
      </c>
      <c r="D1330">
        <v>171.08631896972659</v>
      </c>
    </row>
    <row r="1331" spans="1:4" x14ac:dyDescent="0.35">
      <c r="A1331" s="3">
        <v>45792</v>
      </c>
      <c r="B1331">
        <v>1860.072631835938</v>
      </c>
      <c r="C1331">
        <v>409.11407470703131</v>
      </c>
      <c r="D1331">
        <v>173.30616760253909</v>
      </c>
    </row>
    <row r="1332" spans="1:4" x14ac:dyDescent="0.35">
      <c r="A1332" s="3">
        <v>45793</v>
      </c>
      <c r="B1332">
        <v>1836.736083984375</v>
      </c>
      <c r="C1332">
        <v>424.53860473632813</v>
      </c>
      <c r="D1332">
        <v>177.41880798339841</v>
      </c>
    </row>
    <row r="1333" spans="1:4" x14ac:dyDescent="0.35">
      <c r="A1333" s="3">
        <v>45796</v>
      </c>
      <c r="B1333">
        <v>1871.591918945313</v>
      </c>
      <c r="C1333">
        <v>421.71646118164063</v>
      </c>
      <c r="D1333">
        <v>179.67829895019531</v>
      </c>
    </row>
    <row r="1334" spans="1:4" x14ac:dyDescent="0.35">
      <c r="A1334" s="3">
        <v>45797</v>
      </c>
      <c r="B1334">
        <v>1862.157958984375</v>
      </c>
      <c r="C1334">
        <v>420.5</v>
      </c>
      <c r="D1334">
        <v>173.0980529785156</v>
      </c>
    </row>
    <row r="1335" spans="1:4" x14ac:dyDescent="0.35">
      <c r="A1335" s="3">
        <v>45798</v>
      </c>
      <c r="B1335">
        <v>1865.037719726563</v>
      </c>
      <c r="C1335">
        <v>424.73324584960938</v>
      </c>
      <c r="D1335">
        <v>177.55755615234381</v>
      </c>
    </row>
    <row r="1336" spans="1:4" x14ac:dyDescent="0.35">
      <c r="A1336" s="3">
        <v>45799</v>
      </c>
      <c r="B1336">
        <v>1855.603881835938</v>
      </c>
      <c r="C1336">
        <v>409.26007080078131</v>
      </c>
      <c r="D1336">
        <v>175.03050231933591</v>
      </c>
    </row>
    <row r="1337" spans="1:4" x14ac:dyDescent="0.35">
      <c r="A1337" s="3">
        <v>45800</v>
      </c>
      <c r="B1337">
        <v>1881.919555664063</v>
      </c>
      <c r="C1337">
        <v>415.63424682617188</v>
      </c>
      <c r="D1337">
        <v>180.80802917480469</v>
      </c>
    </row>
    <row r="1338" spans="1:4" x14ac:dyDescent="0.35">
      <c r="A1338" s="3">
        <v>45803</v>
      </c>
      <c r="B1338">
        <v>1830.479858398438</v>
      </c>
      <c r="C1338">
        <v>419.91610717773438</v>
      </c>
      <c r="D1338">
        <v>182.7206726074219</v>
      </c>
    </row>
    <row r="1339" spans="1:4" x14ac:dyDescent="0.35">
      <c r="A1339" s="3">
        <v>45804</v>
      </c>
      <c r="B1339">
        <v>1828.19580078125</v>
      </c>
      <c r="C1339">
        <v>405.22146606445313</v>
      </c>
      <c r="D1339">
        <v>180.99632263183591</v>
      </c>
    </row>
    <row r="1340" spans="1:4" x14ac:dyDescent="0.35">
      <c r="A1340" s="3">
        <v>45805</v>
      </c>
      <c r="B1340">
        <v>1835.345703125</v>
      </c>
      <c r="C1340">
        <v>400.93960571289063</v>
      </c>
      <c r="D1340">
        <v>184.46482849121091</v>
      </c>
    </row>
    <row r="1341" spans="1:4" x14ac:dyDescent="0.35">
      <c r="A1341" s="3">
        <v>45806</v>
      </c>
      <c r="B1341">
        <v>1842.297119140625</v>
      </c>
      <c r="C1341">
        <v>397.77685546875</v>
      </c>
      <c r="D1341">
        <v>185.39637756347659</v>
      </c>
    </row>
    <row r="1342" spans="1:4" x14ac:dyDescent="0.35">
      <c r="A1342" s="3">
        <v>45807</v>
      </c>
      <c r="B1342">
        <v>1862.356689453125</v>
      </c>
      <c r="C1342">
        <v>400.55035400390631</v>
      </c>
      <c r="D1342">
        <v>184.7819519042969</v>
      </c>
    </row>
    <row r="1343" spans="1:4" x14ac:dyDescent="0.35">
      <c r="A1343" s="3">
        <v>45810</v>
      </c>
      <c r="B1343">
        <v>1850.737915039063</v>
      </c>
      <c r="C1343">
        <v>397.43624877929688</v>
      </c>
      <c r="D1343">
        <v>186.2189025878906</v>
      </c>
    </row>
    <row r="1344" spans="1:4" x14ac:dyDescent="0.35">
      <c r="A1344" s="3">
        <v>45811</v>
      </c>
      <c r="B1344">
        <v>1848.156005859375</v>
      </c>
      <c r="C1344">
        <v>392.91107177734381</v>
      </c>
      <c r="D1344">
        <v>182.83958435058591</v>
      </c>
    </row>
    <row r="1345" spans="1:4" x14ac:dyDescent="0.35">
      <c r="A1345" s="3">
        <v>45812</v>
      </c>
      <c r="B1345">
        <v>1860.37060546875</v>
      </c>
      <c r="C1345">
        <v>388.14263916015631</v>
      </c>
      <c r="D1345">
        <v>184.01887512207031</v>
      </c>
    </row>
    <row r="1346" spans="1:4" x14ac:dyDescent="0.35">
      <c r="A1346" s="3">
        <v>45813</v>
      </c>
      <c r="B1346">
        <v>1864.442016601563</v>
      </c>
      <c r="C1346">
        <v>388.09396362304688</v>
      </c>
      <c r="D1346">
        <v>186.97206115722659</v>
      </c>
    </row>
    <row r="1347" spans="1:4" x14ac:dyDescent="0.35">
      <c r="A1347" s="3">
        <v>45814</v>
      </c>
      <c r="B1347">
        <v>1999.702514648438</v>
      </c>
      <c r="C1347">
        <v>389.01846313476563</v>
      </c>
      <c r="D1347">
        <v>190.37120056152341</v>
      </c>
    </row>
    <row r="1348" spans="1:4" x14ac:dyDescent="0.35">
      <c r="A1348" s="3">
        <v>45817</v>
      </c>
      <c r="B1348">
        <v>2014.853393554688</v>
      </c>
      <c r="C1348">
        <v>396.9010009765625</v>
      </c>
      <c r="D1348">
        <v>190.43064880371091</v>
      </c>
    </row>
    <row r="1349" spans="1:4" x14ac:dyDescent="0.35">
      <c r="A1349" s="3">
        <v>45818</v>
      </c>
      <c r="B1349">
        <v>1971.294799804688</v>
      </c>
      <c r="C1349">
        <v>398.5067138671875</v>
      </c>
      <c r="D1349">
        <v>192.8387756347656</v>
      </c>
    </row>
    <row r="1350" spans="1:4" x14ac:dyDescent="0.35">
      <c r="A1350" s="3">
        <v>45819</v>
      </c>
      <c r="B1350">
        <v>1935.71044921875</v>
      </c>
      <c r="C1350">
        <v>393.932861328125</v>
      </c>
      <c r="D1350">
        <v>197.12980651855469</v>
      </c>
    </row>
    <row r="1351" spans="1:4" x14ac:dyDescent="0.35">
      <c r="A1351" s="3">
        <v>45820</v>
      </c>
      <c r="B1351">
        <v>1895.740356445313</v>
      </c>
      <c r="C1351">
        <v>383.47146606445313</v>
      </c>
      <c r="D1351">
        <v>189.65766906738281</v>
      </c>
    </row>
    <row r="1352" spans="1:4" x14ac:dyDescent="0.35">
      <c r="A1352" s="3">
        <v>45821</v>
      </c>
      <c r="B1352">
        <v>1934.414672851563</v>
      </c>
      <c r="C1352">
        <v>380.98992919921881</v>
      </c>
      <c r="D1352">
        <v>184.79185485839841</v>
      </c>
    </row>
    <row r="1353" spans="1:4" x14ac:dyDescent="0.35">
      <c r="A1353" s="3">
        <v>45824</v>
      </c>
      <c r="B1353">
        <v>1938.401733398438</v>
      </c>
      <c r="C1353">
        <v>376.56210327148438</v>
      </c>
      <c r="D1353">
        <v>185.2279052734375</v>
      </c>
    </row>
    <row r="1354" spans="1:4" x14ac:dyDescent="0.35">
      <c r="A1354" s="3">
        <v>45825</v>
      </c>
      <c r="B1354">
        <v>1910.392700195313</v>
      </c>
      <c r="C1354">
        <v>369.21475219726563</v>
      </c>
      <c r="D1354">
        <v>181.36299133300781</v>
      </c>
    </row>
    <row r="1355" spans="1:4" x14ac:dyDescent="0.35">
      <c r="A1355" s="3">
        <v>45826</v>
      </c>
      <c r="B1355">
        <v>1926.0419921875</v>
      </c>
      <c r="C1355">
        <v>361.42953491210938</v>
      </c>
      <c r="D1355">
        <v>180.74858093261719</v>
      </c>
    </row>
    <row r="1356" spans="1:4" x14ac:dyDescent="0.35">
      <c r="A1356" s="3">
        <v>45827</v>
      </c>
      <c r="B1356">
        <v>1921.257446289063</v>
      </c>
      <c r="C1356">
        <v>360.99163818359381</v>
      </c>
      <c r="D1356">
        <v>175.7935791015625</v>
      </c>
    </row>
    <row r="1357" spans="1:4" x14ac:dyDescent="0.35">
      <c r="A1357" s="3">
        <v>45828</v>
      </c>
      <c r="B1357">
        <v>1964.616577148438</v>
      </c>
      <c r="C1357">
        <v>367.0738525390625</v>
      </c>
      <c r="D1357">
        <v>183.63238525390631</v>
      </c>
    </row>
    <row r="1358" spans="1:4" x14ac:dyDescent="0.35">
      <c r="A1358" s="3">
        <v>45831</v>
      </c>
      <c r="B1358">
        <v>1966.211303710938</v>
      </c>
      <c r="C1358">
        <v>366.34396362304688</v>
      </c>
      <c r="D1358">
        <v>184.24681091308591</v>
      </c>
    </row>
    <row r="1359" spans="1:4" x14ac:dyDescent="0.35">
      <c r="A1359" s="3">
        <v>45832</v>
      </c>
      <c r="B1359">
        <v>1980.365478515625</v>
      </c>
      <c r="C1359">
        <v>370.82046508789063</v>
      </c>
      <c r="D1359">
        <v>184.72248840332031</v>
      </c>
    </row>
    <row r="1360" spans="1:4" x14ac:dyDescent="0.35">
      <c r="A1360" s="3">
        <v>45833</v>
      </c>
      <c r="B1360">
        <v>2004.287719726563</v>
      </c>
      <c r="C1360">
        <v>374.37249755859381</v>
      </c>
      <c r="D1360">
        <v>188.537841796875</v>
      </c>
    </row>
    <row r="1361" spans="1:4" x14ac:dyDescent="0.35">
      <c r="A1361" s="3">
        <v>45834</v>
      </c>
      <c r="B1361">
        <v>2010.467529296875</v>
      </c>
      <c r="C1361">
        <v>371.30703735351563</v>
      </c>
      <c r="D1361">
        <v>183.95942687988281</v>
      </c>
    </row>
    <row r="1362" spans="1:4" x14ac:dyDescent="0.35">
      <c r="A1362" s="3">
        <v>45835</v>
      </c>
      <c r="B1362">
        <v>2010.567260742188</v>
      </c>
      <c r="C1362">
        <v>376.2701416015625</v>
      </c>
      <c r="D1362">
        <v>182.03688049316409</v>
      </c>
    </row>
    <row r="1363" spans="1:4" x14ac:dyDescent="0.35">
      <c r="A1363" s="3">
        <v>45838</v>
      </c>
      <c r="B1363">
        <v>2033.592407226563</v>
      </c>
      <c r="C1363">
        <v>374.81039428710938</v>
      </c>
      <c r="D1363">
        <v>190.7477722167969</v>
      </c>
    </row>
    <row r="1364" spans="1:4" x14ac:dyDescent="0.35">
      <c r="A1364" s="3">
        <v>45839</v>
      </c>
      <c r="B1364">
        <v>2056.916748046875</v>
      </c>
      <c r="C1364">
        <v>371.64764404296881</v>
      </c>
      <c r="D1364">
        <v>189.22163391113281</v>
      </c>
    </row>
    <row r="1365" spans="1:4" x14ac:dyDescent="0.35">
      <c r="A1365" s="3">
        <v>45840</v>
      </c>
      <c r="B1365">
        <v>2037.778930664063</v>
      </c>
      <c r="C1365">
        <v>369.40939331054688</v>
      </c>
      <c r="D1365">
        <v>187.5468444824219</v>
      </c>
    </row>
    <row r="1366" spans="1:4" x14ac:dyDescent="0.35">
      <c r="A1366" s="3">
        <v>45841</v>
      </c>
      <c r="B1366">
        <v>2027.51220703125</v>
      </c>
      <c r="C1366">
        <v>367.317138671875</v>
      </c>
      <c r="D1366">
        <v>185.118896484375</v>
      </c>
    </row>
    <row r="1367" spans="1:4" x14ac:dyDescent="0.35">
      <c r="A1367" s="3">
        <v>45842</v>
      </c>
      <c r="B1367">
        <v>2028.807983398438</v>
      </c>
      <c r="C1367">
        <v>369.75</v>
      </c>
      <c r="D1367">
        <v>184.44500732421881</v>
      </c>
    </row>
    <row r="1368" spans="1:4" x14ac:dyDescent="0.35">
      <c r="A1368" s="3">
        <v>45845</v>
      </c>
      <c r="B1368">
        <v>2018.940063476563</v>
      </c>
      <c r="C1368">
        <v>368.24160766601563</v>
      </c>
      <c r="D1368">
        <v>185.5152893066406</v>
      </c>
    </row>
    <row r="1369" spans="1:4" x14ac:dyDescent="0.35">
      <c r="A1369" s="3">
        <v>45846</v>
      </c>
      <c r="B1369">
        <v>2030.303100585938</v>
      </c>
      <c r="C1369">
        <v>364.64096069335938</v>
      </c>
      <c r="D1369">
        <v>186.77386474609381</v>
      </c>
    </row>
    <row r="1370" spans="1:4" x14ac:dyDescent="0.35">
      <c r="A1370" s="3">
        <v>45847</v>
      </c>
      <c r="B1370">
        <v>2013.6572265625</v>
      </c>
      <c r="C1370">
        <v>362.5</v>
      </c>
      <c r="D1370">
        <v>187.58647155761719</v>
      </c>
    </row>
    <row r="1371" spans="1:4" x14ac:dyDescent="0.35">
      <c r="A1371" s="3">
        <v>45848</v>
      </c>
      <c r="B1371">
        <v>1988.14013671875</v>
      </c>
      <c r="C1371">
        <v>366.73321533203131</v>
      </c>
      <c r="D1371">
        <v>185.03961181640631</v>
      </c>
    </row>
    <row r="1372" spans="1:4" x14ac:dyDescent="0.35">
      <c r="A1372" s="3">
        <v>45849</v>
      </c>
      <c r="B1372">
        <v>2005.68310546875</v>
      </c>
      <c r="C1372">
        <v>365.17617797851563</v>
      </c>
      <c r="D1372">
        <v>181.868408203125</v>
      </c>
    </row>
    <row r="1373" spans="1:4" x14ac:dyDescent="0.35">
      <c r="A1373" s="3">
        <v>45852</v>
      </c>
      <c r="B1373">
        <v>2013.158813476563</v>
      </c>
      <c r="C1373">
        <v>372.5721435546875</v>
      </c>
      <c r="D1373">
        <v>181.70985412597659</v>
      </c>
    </row>
    <row r="1374" spans="1:4" x14ac:dyDescent="0.35">
      <c r="A1374" s="3">
        <v>45853</v>
      </c>
      <c r="B1374">
        <v>1996.2138671875</v>
      </c>
      <c r="C1374">
        <v>374.95635986328131</v>
      </c>
      <c r="D1374">
        <v>183.42427062988281</v>
      </c>
    </row>
    <row r="1375" spans="1:4" x14ac:dyDescent="0.35">
      <c r="A1375" s="3">
        <v>45854</v>
      </c>
      <c r="B1375">
        <v>1964.417236328125</v>
      </c>
      <c r="C1375">
        <v>382.74160766601563</v>
      </c>
      <c r="D1375">
        <v>184.0783386230469</v>
      </c>
    </row>
    <row r="1376" spans="1:4" x14ac:dyDescent="0.35">
      <c r="A1376" s="3">
        <v>45855</v>
      </c>
      <c r="B1376">
        <v>1942.588134765625</v>
      </c>
      <c r="C1376">
        <v>376.46478271484381</v>
      </c>
      <c r="D1376">
        <v>184.32609558105469</v>
      </c>
    </row>
    <row r="1377" spans="1:4" x14ac:dyDescent="0.35">
      <c r="A1377" s="3">
        <v>45856</v>
      </c>
      <c r="B1377">
        <v>1906.605102539063</v>
      </c>
      <c r="C1377">
        <v>372.23153686523438</v>
      </c>
      <c r="D1377">
        <v>183.8206787109375</v>
      </c>
    </row>
    <row r="1378" spans="1:4" x14ac:dyDescent="0.35">
      <c r="A1378" s="3">
        <v>45859</v>
      </c>
      <c r="B1378">
        <v>1945.87744140625</v>
      </c>
      <c r="C1378">
        <v>370.72317504882813</v>
      </c>
      <c r="D1378">
        <v>182.1855163574219</v>
      </c>
    </row>
    <row r="1379" spans="1:4" x14ac:dyDescent="0.35">
      <c r="A1379" s="3">
        <v>45860</v>
      </c>
      <c r="B1379">
        <v>1955.94482421875</v>
      </c>
      <c r="C1379">
        <v>373.49664306640631</v>
      </c>
      <c r="D1379">
        <v>182.57200622558591</v>
      </c>
    </row>
    <row r="1380" spans="1:4" x14ac:dyDescent="0.35">
      <c r="A1380" s="3">
        <v>45861</v>
      </c>
      <c r="B1380">
        <v>1930.52734375</v>
      </c>
      <c r="C1380">
        <v>370.382568359375</v>
      </c>
      <c r="D1380">
        <v>183.63238525390631</v>
      </c>
    </row>
    <row r="1381" spans="1:4" x14ac:dyDescent="0.35">
      <c r="A1381" s="3">
        <v>45862</v>
      </c>
      <c r="B1381">
        <v>1900.724243164063</v>
      </c>
      <c r="C1381">
        <v>370.96646118164063</v>
      </c>
      <c r="D1381">
        <v>181.8287658691406</v>
      </c>
    </row>
    <row r="1382" spans="1:4" x14ac:dyDescent="0.35">
      <c r="A1382" s="3">
        <v>45863</v>
      </c>
      <c r="B1382">
        <v>1915.07763671875</v>
      </c>
      <c r="C1382">
        <v>363.61911010742188</v>
      </c>
      <c r="D1382">
        <v>178.32063293457031</v>
      </c>
    </row>
    <row r="1383" spans="1:4" x14ac:dyDescent="0.35">
      <c r="A1383" s="3">
        <v>45866</v>
      </c>
      <c r="B1383">
        <v>1897.933227539063</v>
      </c>
      <c r="C1383">
        <v>360.50503540039063</v>
      </c>
      <c r="D1383">
        <v>172.652099609375</v>
      </c>
    </row>
    <row r="1384" spans="1:4" x14ac:dyDescent="0.35">
      <c r="A1384" s="3">
        <v>45867</v>
      </c>
      <c r="B1384">
        <v>1909.296264648438</v>
      </c>
      <c r="C1384">
        <v>361.47821044921881</v>
      </c>
      <c r="D1384">
        <v>171.9584045410156</v>
      </c>
    </row>
    <row r="1385" spans="1:4" x14ac:dyDescent="0.35">
      <c r="A1385" s="3">
        <v>45868</v>
      </c>
      <c r="B1385">
        <v>1914.180419921875</v>
      </c>
      <c r="C1385">
        <v>371.69631958007813</v>
      </c>
      <c r="D1385">
        <v>202.5109558105469</v>
      </c>
    </row>
    <row r="1386" spans="1:4" x14ac:dyDescent="0.35">
      <c r="A1386" s="3">
        <v>45869</v>
      </c>
      <c r="B1386">
        <v>1920.759033203125</v>
      </c>
      <c r="C1386">
        <v>381.62246704101563</v>
      </c>
      <c r="D1386">
        <v>197.98207092285159</v>
      </c>
    </row>
    <row r="1387" spans="1:4" x14ac:dyDescent="0.35">
      <c r="A1387" s="3">
        <v>45870</v>
      </c>
      <c r="B1387">
        <v>1861.25244140625</v>
      </c>
      <c r="C1387">
        <v>373.49664306640631</v>
      </c>
      <c r="D1387">
        <v>187.04142761230469</v>
      </c>
    </row>
    <row r="1388" spans="1:4" x14ac:dyDescent="0.35">
      <c r="A1388" s="3">
        <v>45873</v>
      </c>
      <c r="B1388">
        <v>1889.460693359375</v>
      </c>
      <c r="C1388">
        <v>372.91275024414063</v>
      </c>
      <c r="D1388">
        <v>185.82249450683591</v>
      </c>
    </row>
    <row r="1389" spans="1:4" x14ac:dyDescent="0.35">
      <c r="A1389" s="3">
        <v>45874</v>
      </c>
      <c r="B1389">
        <v>1894.045776367188</v>
      </c>
      <c r="C1389">
        <v>372.8154296875</v>
      </c>
      <c r="D1389">
        <v>196.77305603027341</v>
      </c>
    </row>
    <row r="1390" spans="1:4" x14ac:dyDescent="0.35">
      <c r="A1390" s="3">
        <v>45875</v>
      </c>
      <c r="B1390">
        <v>1877.898315429688</v>
      </c>
      <c r="C1390">
        <v>370.09060668945313</v>
      </c>
      <c r="D1390">
        <v>188.72613525390631</v>
      </c>
    </row>
    <row r="1391" spans="1:4" x14ac:dyDescent="0.35">
      <c r="A1391" s="3">
        <v>45876</v>
      </c>
      <c r="B1391">
        <v>1897.235473632813</v>
      </c>
      <c r="C1391">
        <v>367.46310424804688</v>
      </c>
      <c r="D1391">
        <v>192.2838134765625</v>
      </c>
    </row>
    <row r="1392" spans="1:4" x14ac:dyDescent="0.35">
      <c r="A1392" s="3">
        <v>45877</v>
      </c>
      <c r="B1392">
        <v>1888.563598632813</v>
      </c>
      <c r="C1392">
        <v>382.69296264648438</v>
      </c>
      <c r="D1392">
        <v>189.11262512207031</v>
      </c>
    </row>
    <row r="1393" spans="1:4" x14ac:dyDescent="0.35">
      <c r="A1393" s="3">
        <v>45880</v>
      </c>
      <c r="B1393">
        <v>1895.541015625</v>
      </c>
      <c r="C1393">
        <v>388.77517700195313</v>
      </c>
      <c r="D1393">
        <v>186.77386474609381</v>
      </c>
    </row>
    <row r="1394" spans="1:4" x14ac:dyDescent="0.35">
      <c r="A1394" s="3">
        <v>45881</v>
      </c>
      <c r="B1394">
        <v>1896.737182617188</v>
      </c>
      <c r="C1394">
        <v>383.56878662109381</v>
      </c>
      <c r="D1394">
        <v>183.10716247558591</v>
      </c>
    </row>
    <row r="1395" spans="1:4" x14ac:dyDescent="0.35">
      <c r="A1395" s="3">
        <v>45882</v>
      </c>
      <c r="B1395">
        <v>1906.50537109375</v>
      </c>
      <c r="C1395">
        <v>383.27685546875</v>
      </c>
      <c r="D1395">
        <v>184.4053649902344</v>
      </c>
    </row>
    <row r="1396" spans="1:4" x14ac:dyDescent="0.35">
      <c r="A1396" s="3">
        <v>45883</v>
      </c>
      <c r="B1396">
        <v>1892.152099609375</v>
      </c>
      <c r="C1396">
        <v>375.880859375</v>
      </c>
      <c r="D1396">
        <v>182.7206726074219</v>
      </c>
    </row>
    <row r="1397" spans="1:4" x14ac:dyDescent="0.35">
      <c r="A1397" s="3">
        <v>45887</v>
      </c>
      <c r="B1397">
        <v>1940.096313476563</v>
      </c>
      <c r="C1397">
        <v>378.55703735351563</v>
      </c>
      <c r="D1397">
        <v>193.30455017089841</v>
      </c>
    </row>
    <row r="1398" spans="1:4" x14ac:dyDescent="0.35">
      <c r="A1398" s="3">
        <v>45888</v>
      </c>
      <c r="B1398">
        <v>1946.5751953125</v>
      </c>
      <c r="C1398">
        <v>379.4815673828125</v>
      </c>
      <c r="D1398">
        <v>191.956787109375</v>
      </c>
    </row>
    <row r="1399" spans="1:4" x14ac:dyDescent="0.35">
      <c r="A1399" s="3">
        <v>45889</v>
      </c>
      <c r="B1399">
        <v>1962.124633789063</v>
      </c>
      <c r="C1399">
        <v>376.65939331054688</v>
      </c>
      <c r="D1399">
        <v>190.98561096191409</v>
      </c>
    </row>
    <row r="1400" spans="1:4" x14ac:dyDescent="0.35">
      <c r="A1400" s="3">
        <v>45890</v>
      </c>
      <c r="B1400">
        <v>1960.729125976563</v>
      </c>
      <c r="C1400">
        <v>372.62078857421881</v>
      </c>
      <c r="D1400">
        <v>197.0901794433594</v>
      </c>
    </row>
    <row r="1401" spans="1:4" x14ac:dyDescent="0.35">
      <c r="A1401" s="3">
        <v>45891</v>
      </c>
      <c r="B1401">
        <v>1904.511840820313</v>
      </c>
      <c r="C1401">
        <v>370.57717895507813</v>
      </c>
      <c r="D1401">
        <v>194.36492919921881</v>
      </c>
    </row>
    <row r="1402" spans="1:4" x14ac:dyDescent="0.35">
      <c r="A1402" s="3">
        <v>45894</v>
      </c>
      <c r="B1402">
        <v>1912.785034179688</v>
      </c>
      <c r="C1402">
        <v>369.117431640625</v>
      </c>
      <c r="D1402">
        <v>191.80815124511719</v>
      </c>
    </row>
    <row r="1403" spans="1:4" x14ac:dyDescent="0.35">
      <c r="A1403" s="3">
        <v>45895</v>
      </c>
      <c r="B1403">
        <v>1866.634887695313</v>
      </c>
      <c r="C1403">
        <v>363.08389282226563</v>
      </c>
      <c r="D1403">
        <v>188.805419921875</v>
      </c>
    </row>
    <row r="1404" spans="1:4" x14ac:dyDescent="0.35">
      <c r="A1404" s="3">
        <v>45897</v>
      </c>
      <c r="B1404">
        <v>1854.275146484375</v>
      </c>
      <c r="C1404">
        <v>356.709716796875</v>
      </c>
      <c r="D1404">
        <v>190.113525390625</v>
      </c>
    </row>
    <row r="1405" spans="1:4" x14ac:dyDescent="0.35">
      <c r="A1405" s="3">
        <v>45898</v>
      </c>
      <c r="B1405">
        <v>1833.64208984375</v>
      </c>
      <c r="C1405">
        <v>353.8875732421875</v>
      </c>
      <c r="D1405">
        <v>186.56575012207031</v>
      </c>
    </row>
    <row r="1406" spans="1:4" x14ac:dyDescent="0.35">
      <c r="A1406" s="3">
        <v>45901</v>
      </c>
      <c r="B1406">
        <v>1834.339965820313</v>
      </c>
      <c r="C1406">
        <v>360.84564208984381</v>
      </c>
      <c r="D1406">
        <v>189.19190979003909</v>
      </c>
    </row>
    <row r="1407" spans="1:4" x14ac:dyDescent="0.35">
      <c r="A1407" s="3">
        <v>45902</v>
      </c>
      <c r="B1407">
        <v>1816.796752929688</v>
      </c>
      <c r="C1407">
        <v>360.99163818359381</v>
      </c>
      <c r="D1407">
        <v>191.13426208496091</v>
      </c>
    </row>
    <row r="1408" spans="1:4" x14ac:dyDescent="0.35">
      <c r="A1408" s="3">
        <v>45903</v>
      </c>
      <c r="B1408">
        <v>1816.09912109375</v>
      </c>
      <c r="C1408">
        <v>362.5</v>
      </c>
      <c r="D1408">
        <v>198.21000671386719</v>
      </c>
    </row>
    <row r="1409" spans="1:4" x14ac:dyDescent="0.35">
      <c r="A1409" s="3">
        <v>45904</v>
      </c>
      <c r="B1409">
        <v>1865.438842773438</v>
      </c>
      <c r="C1409">
        <v>366.39999389648438</v>
      </c>
      <c r="D1409">
        <v>200.50999450683591</v>
      </c>
    </row>
    <row r="1410" spans="1:4" x14ac:dyDescent="0.35">
      <c r="A1410" s="3">
        <v>45905</v>
      </c>
      <c r="B1410">
        <v>1834.439575195313</v>
      </c>
      <c r="C1410">
        <v>367.35000610351563</v>
      </c>
      <c r="D1410">
        <v>194.78999328613281</v>
      </c>
    </row>
    <row r="1411" spans="1:4" x14ac:dyDescent="0.35">
      <c r="A1411" s="3">
        <v>45908</v>
      </c>
      <c r="B1411">
        <v>1827.0634765625</v>
      </c>
      <c r="C1411">
        <v>366.39999389648438</v>
      </c>
      <c r="D1411">
        <v>193.24000549316409</v>
      </c>
    </row>
    <row r="1412" spans="1:4" x14ac:dyDescent="0.35">
      <c r="A1412" s="3">
        <v>45909</v>
      </c>
      <c r="B1412">
        <v>1828.957397460938</v>
      </c>
      <c r="C1412">
        <v>365.95001220703131</v>
      </c>
      <c r="D1412">
        <v>191.0899963378906</v>
      </c>
    </row>
    <row r="1413" spans="1:4" x14ac:dyDescent="0.35">
      <c r="A1413" s="3">
        <v>45910</v>
      </c>
      <c r="B1413">
        <v>1849.191528320313</v>
      </c>
      <c r="C1413">
        <v>367.64999389648438</v>
      </c>
      <c r="D1413">
        <v>192.52000427246091</v>
      </c>
    </row>
    <row r="1414" spans="1:4" x14ac:dyDescent="0.35">
      <c r="A1414" s="3">
        <v>45911</v>
      </c>
      <c r="B1414">
        <v>1864.8408203125</v>
      </c>
      <c r="C1414">
        <v>370.14999389648438</v>
      </c>
      <c r="D1414">
        <v>192.5299987792969</v>
      </c>
    </row>
    <row r="1415" spans="1:4" x14ac:dyDescent="0.35">
      <c r="A1415" s="3">
        <v>45912</v>
      </c>
      <c r="B1415">
        <v>1887.467163085938</v>
      </c>
      <c r="C1415">
        <v>369.39999389648438</v>
      </c>
      <c r="D1415">
        <v>192.5</v>
      </c>
    </row>
    <row r="1416" spans="1:4" x14ac:dyDescent="0.35">
      <c r="A1416" s="3">
        <v>45915</v>
      </c>
      <c r="B1416">
        <v>1894.045776367188</v>
      </c>
      <c r="C1416">
        <v>374.25</v>
      </c>
      <c r="D1416">
        <v>193.1199951171875</v>
      </c>
    </row>
    <row r="1417" spans="1:4" x14ac:dyDescent="0.35">
      <c r="A1417" s="3">
        <v>45916</v>
      </c>
      <c r="B1417">
        <v>1906.306030273438</v>
      </c>
      <c r="C1417">
        <v>369.70001220703131</v>
      </c>
      <c r="D1417">
        <v>192.80000305175781</v>
      </c>
    </row>
    <row r="1418" spans="1:4" x14ac:dyDescent="0.35">
      <c r="A1418" s="3">
        <v>45917</v>
      </c>
      <c r="B1418">
        <v>1866.036865234375</v>
      </c>
      <c r="C1418">
        <v>365.85000610351563</v>
      </c>
      <c r="D1418">
        <v>192.7799987792969</v>
      </c>
    </row>
    <row r="1419" spans="1:4" x14ac:dyDescent="0.35">
      <c r="A1419" s="3">
        <v>45918</v>
      </c>
      <c r="B1419">
        <v>1879.4931640625</v>
      </c>
      <c r="C1419">
        <v>364.39999389648438</v>
      </c>
      <c r="D1419">
        <v>195.94999694824219</v>
      </c>
    </row>
    <row r="1420" spans="1:4" x14ac:dyDescent="0.35">
      <c r="A1420" s="3">
        <v>45919</v>
      </c>
      <c r="B1420">
        <v>1859.956665039063</v>
      </c>
      <c r="C1420">
        <v>364.04998779296881</v>
      </c>
      <c r="D1420">
        <v>201.28999328613281</v>
      </c>
    </row>
    <row r="1421" spans="1:4" x14ac:dyDescent="0.35">
      <c r="A1421" s="3">
        <v>45922</v>
      </c>
      <c r="B1421">
        <v>1880.19091796875</v>
      </c>
      <c r="C1421">
        <v>363.10000610351563</v>
      </c>
      <c r="D1421">
        <v>198.88999938964841</v>
      </c>
    </row>
    <row r="1422" spans="1:4" x14ac:dyDescent="0.35">
      <c r="A1422" s="3">
        <v>45923</v>
      </c>
      <c r="B1422">
        <v>1888.563598632813</v>
      </c>
      <c r="C1422">
        <v>363.60000610351563</v>
      </c>
      <c r="D1422">
        <v>196.13999938964841</v>
      </c>
    </row>
    <row r="1423" spans="1:4" x14ac:dyDescent="0.35">
      <c r="A1423" s="3">
        <v>45924</v>
      </c>
      <c r="B1423">
        <v>1872.316528320313</v>
      </c>
      <c r="C1423">
        <v>362.89999389648438</v>
      </c>
      <c r="D1423">
        <v>195.83000183105469</v>
      </c>
    </row>
    <row r="1424" spans="1:4" x14ac:dyDescent="0.35">
      <c r="A1424" s="3">
        <v>45925</v>
      </c>
      <c r="B1424">
        <v>1875.705444335938</v>
      </c>
      <c r="C1424">
        <v>360.10000610351563</v>
      </c>
      <c r="D1424">
        <v>194.6000061035156</v>
      </c>
    </row>
    <row r="1425" spans="1:4" x14ac:dyDescent="0.35">
      <c r="A1425" s="3">
        <v>45926</v>
      </c>
      <c r="B1425">
        <v>1887.865966796875</v>
      </c>
      <c r="C1425">
        <v>359.70001220703131</v>
      </c>
      <c r="D1425">
        <v>187.88999938964841</v>
      </c>
    </row>
    <row r="1426" spans="1:4" x14ac:dyDescent="0.35">
      <c r="A1426" s="3">
        <v>45929</v>
      </c>
      <c r="B1426">
        <v>1897.335205078125</v>
      </c>
      <c r="C1426">
        <v>363.64999389648438</v>
      </c>
      <c r="D1426">
        <v>188.07000732421881</v>
      </c>
    </row>
    <row r="1427" spans="1:4" x14ac:dyDescent="0.35">
      <c r="A1427" s="3">
        <v>45930</v>
      </c>
      <c r="B1427">
        <v>1883.679565429688</v>
      </c>
      <c r="C1427">
        <v>368.64999389648438</v>
      </c>
      <c r="D1427">
        <v>189.1000061035156</v>
      </c>
    </row>
    <row r="1428" spans="1:4" x14ac:dyDescent="0.35">
      <c r="A1428" s="3">
        <v>45931</v>
      </c>
      <c r="B1428">
        <v>1897.434814453125</v>
      </c>
      <c r="C1428">
        <v>366.29998779296881</v>
      </c>
      <c r="D1428">
        <v>190.49000549316409</v>
      </c>
    </row>
    <row r="1429" spans="1:4" x14ac:dyDescent="0.35">
      <c r="A1429" s="3">
        <v>45933</v>
      </c>
      <c r="B1429">
        <v>1905.408935546875</v>
      </c>
      <c r="C1429">
        <v>365.89999389648438</v>
      </c>
      <c r="D1429">
        <v>190.67999267578131</v>
      </c>
    </row>
    <row r="1430" spans="1:4" x14ac:dyDescent="0.35">
      <c r="A1430" s="3">
        <v>45936</v>
      </c>
      <c r="B1430">
        <v>1919.56298828125</v>
      </c>
      <c r="C1430">
        <v>381.04998779296881</v>
      </c>
      <c r="D1430">
        <v>192.8999938964844</v>
      </c>
    </row>
    <row r="1431" spans="1:4" x14ac:dyDescent="0.35">
      <c r="A1431" s="3">
        <v>45937</v>
      </c>
      <c r="B1431">
        <v>1899.827026367188</v>
      </c>
      <c r="C1431">
        <v>382.75</v>
      </c>
      <c r="D1431">
        <v>192.9700012207031</v>
      </c>
    </row>
    <row r="1432" spans="1:4" x14ac:dyDescent="0.35">
      <c r="A1432" s="3">
        <v>45938</v>
      </c>
      <c r="B1432">
        <v>1872.017456054688</v>
      </c>
      <c r="C1432">
        <v>374.14999389648438</v>
      </c>
      <c r="D1432">
        <v>190.07000732421881</v>
      </c>
    </row>
    <row r="1433" spans="1:4" x14ac:dyDescent="0.35">
      <c r="A1433" s="3">
        <v>45939</v>
      </c>
      <c r="B1433">
        <v>1876.6025390625</v>
      </c>
      <c r="C1433">
        <v>378.20001220703131</v>
      </c>
      <c r="D1433">
        <v>189.3699951171875</v>
      </c>
    </row>
    <row r="1434" spans="1:4" x14ac:dyDescent="0.35">
      <c r="A1434" s="3">
        <v>45940</v>
      </c>
      <c r="B1434">
        <v>1856.76708984375</v>
      </c>
      <c r="C1434">
        <v>383.85000610351563</v>
      </c>
      <c r="D1434">
        <v>192.8699951171875</v>
      </c>
    </row>
    <row r="1435" spans="1:4" x14ac:dyDescent="0.35">
      <c r="A1435" s="3">
        <v>45943</v>
      </c>
      <c r="B1435">
        <v>1827.462280273438</v>
      </c>
      <c r="C1435">
        <v>385.14999389648438</v>
      </c>
      <c r="D1435">
        <v>191.05999755859381</v>
      </c>
    </row>
    <row r="1436" spans="1:4" x14ac:dyDescent="0.35">
      <c r="A1436" s="3">
        <v>45944</v>
      </c>
      <c r="B1436">
        <v>1848.79296875</v>
      </c>
      <c r="C1436">
        <v>376.95001220703131</v>
      </c>
      <c r="D1436">
        <v>188.67999267578131</v>
      </c>
    </row>
    <row r="1437" spans="1:4" x14ac:dyDescent="0.35">
      <c r="A1437" s="3">
        <v>45945</v>
      </c>
      <c r="B1437">
        <v>2013.756958007813</v>
      </c>
      <c r="C1437">
        <v>382.64999389648438</v>
      </c>
      <c r="D1437">
        <v>188.52000427246091</v>
      </c>
    </row>
    <row r="1438" spans="1:4" x14ac:dyDescent="0.35">
      <c r="A1438" s="3">
        <v>45946</v>
      </c>
      <c r="B1438">
        <v>2003.589965820313</v>
      </c>
      <c r="C1438">
        <v>386.39999389648438</v>
      </c>
      <c r="D1438">
        <v>188.6199951171875</v>
      </c>
    </row>
    <row r="1439" spans="1:4" x14ac:dyDescent="0.35">
      <c r="A1439" s="3">
        <v>45947</v>
      </c>
      <c r="B1439">
        <v>1994.519409179688</v>
      </c>
      <c r="C1439">
        <v>383.60000610351563</v>
      </c>
      <c r="D1439">
        <v>186.94000244140631</v>
      </c>
    </row>
    <row r="1440" spans="1:4" x14ac:dyDescent="0.35">
      <c r="A1440" s="3">
        <v>45950</v>
      </c>
      <c r="B1440">
        <v>2004.586669921875</v>
      </c>
      <c r="C1440">
        <v>388.10000610351563</v>
      </c>
      <c r="D1440">
        <v>186.30999755859381</v>
      </c>
    </row>
    <row r="1441" spans="1:4" x14ac:dyDescent="0.35">
      <c r="A1441" s="3">
        <v>45951</v>
      </c>
      <c r="B1441">
        <v>2000.5</v>
      </c>
      <c r="C1441">
        <v>386.5</v>
      </c>
      <c r="D1441">
        <v>187.6600036621094</v>
      </c>
    </row>
    <row r="1442" spans="1:4" x14ac:dyDescent="0.35">
      <c r="A1442" s="3">
        <v>45953</v>
      </c>
      <c r="B1442">
        <v>1979.199951171875</v>
      </c>
      <c r="C1442">
        <v>388.04998779296881</v>
      </c>
      <c r="D1442">
        <v>188.1199951171875</v>
      </c>
    </row>
    <row r="1443" spans="1:4" x14ac:dyDescent="0.35">
      <c r="A1443" s="3">
        <v>45954</v>
      </c>
      <c r="B1443">
        <v>1993.900024414063</v>
      </c>
      <c r="C1443">
        <v>386</v>
      </c>
      <c r="D1443">
        <v>187.05999755859381</v>
      </c>
    </row>
    <row r="1444" spans="1:4" x14ac:dyDescent="0.35">
      <c r="A1444" s="3">
        <v>45957</v>
      </c>
      <c r="B1444">
        <v>1986.400024414063</v>
      </c>
      <c r="C1444">
        <v>385.95001220703131</v>
      </c>
      <c r="D1444">
        <v>190.00999450683591</v>
      </c>
    </row>
    <row r="1445" spans="1:4" x14ac:dyDescent="0.35">
      <c r="A1445" s="3">
        <v>45958</v>
      </c>
      <c r="B1445">
        <v>2019</v>
      </c>
      <c r="C1445">
        <v>383.39999389648438</v>
      </c>
      <c r="D1445">
        <v>189.1000061035156</v>
      </c>
    </row>
    <row r="1446" spans="1:4" x14ac:dyDescent="0.35">
      <c r="A1446" s="3">
        <v>45959</v>
      </c>
      <c r="B1446">
        <v>2029.900024414063</v>
      </c>
      <c r="C1446">
        <v>386.29998779296881</v>
      </c>
      <c r="D1446">
        <v>190.91999816894531</v>
      </c>
    </row>
    <row r="1447" spans="1:4" x14ac:dyDescent="0.35">
      <c r="A1447" s="3">
        <v>45960</v>
      </c>
      <c r="B1447">
        <v>2014.099975585938</v>
      </c>
      <c r="C1447">
        <v>382.79998779296881</v>
      </c>
      <c r="D1447">
        <v>189.6199951171875</v>
      </c>
    </row>
    <row r="1448" spans="1:4" x14ac:dyDescent="0.35">
      <c r="A1448" s="3">
        <v>45961</v>
      </c>
      <c r="B1448">
        <v>1993.699951171875</v>
      </c>
      <c r="C1448">
        <v>374.20001220703131</v>
      </c>
      <c r="D1448">
        <v>187.07000732421881</v>
      </c>
    </row>
    <row r="1449" spans="1:4" x14ac:dyDescent="0.35">
      <c r="A1449" s="3">
        <v>45964</v>
      </c>
      <c r="B1449">
        <v>2007.599975585938</v>
      </c>
      <c r="C1449">
        <v>379.54998779296881</v>
      </c>
      <c r="D1449">
        <v>182.99000549316409</v>
      </c>
    </row>
    <row r="1450" spans="1:4" x14ac:dyDescent="0.35">
      <c r="A1450" s="3">
        <v>45965</v>
      </c>
      <c r="B1450">
        <v>2040</v>
      </c>
      <c r="C1450">
        <v>375.85000610351563</v>
      </c>
      <c r="D1450">
        <v>182.2200012207031</v>
      </c>
    </row>
    <row r="1451" spans="1:4" x14ac:dyDescent="0.35">
      <c r="A1451" s="3">
        <v>45966</v>
      </c>
      <c r="B1451">
        <v>2040</v>
      </c>
      <c r="C1451">
        <v>375.85000610351563</v>
      </c>
      <c r="D1451">
        <v>182.2200012207031</v>
      </c>
    </row>
    <row r="1452" spans="1:4" x14ac:dyDescent="0.35">
      <c r="A1452" s="3">
        <v>45967</v>
      </c>
      <c r="B1452">
        <v>2001</v>
      </c>
      <c r="C1452">
        <v>373.95001220703131</v>
      </c>
      <c r="D1452">
        <v>182.5899963378906</v>
      </c>
    </row>
    <row r="1453" spans="1:4" x14ac:dyDescent="0.35">
      <c r="A1453" s="3">
        <v>45968</v>
      </c>
      <c r="B1453">
        <v>2020.199951171875</v>
      </c>
      <c r="C1453">
        <v>379.14999389648438</v>
      </c>
      <c r="D1453">
        <v>181.91999816894531</v>
      </c>
    </row>
    <row r="1454" spans="1:4" x14ac:dyDescent="0.35">
      <c r="A1454" s="3">
        <v>45971</v>
      </c>
      <c r="B1454">
        <v>2025.400024414063</v>
      </c>
      <c r="C1454">
        <v>378.39999389648438</v>
      </c>
      <c r="D1454">
        <v>183.36000061035159</v>
      </c>
    </row>
    <row r="1455" spans="1:4" x14ac:dyDescent="0.35">
      <c r="A1455" s="3">
        <v>45972</v>
      </c>
      <c r="B1455">
        <v>1996.099975585938</v>
      </c>
      <c r="C1455">
        <v>384.75</v>
      </c>
      <c r="D1455">
        <v>182.75999450683591</v>
      </c>
    </row>
    <row r="1456" spans="1:4" x14ac:dyDescent="0.35">
      <c r="A1456" s="3">
        <v>45973</v>
      </c>
      <c r="B1456">
        <v>2028.599975585938</v>
      </c>
      <c r="C1456">
        <v>386.89999389648438</v>
      </c>
      <c r="D1456">
        <v>185.25999450683591</v>
      </c>
    </row>
    <row r="1457" spans="1:4" x14ac:dyDescent="0.35">
      <c r="A1457" s="3">
        <v>45974</v>
      </c>
      <c r="B1457">
        <v>2033.800048828125</v>
      </c>
      <c r="C1457">
        <v>391.79998779296881</v>
      </c>
      <c r="D1457">
        <v>184.50999450683591</v>
      </c>
    </row>
    <row r="1458" spans="1:4" x14ac:dyDescent="0.35">
      <c r="A1458" s="3">
        <v>45975</v>
      </c>
      <c r="B1458">
        <v>2005.099975585938</v>
      </c>
      <c r="C1458">
        <v>393.04998779296881</v>
      </c>
      <c r="D1458">
        <v>180.02000427246091</v>
      </c>
    </row>
    <row r="1459" spans="1:4" x14ac:dyDescent="0.35">
      <c r="A1459" s="3">
        <v>45978</v>
      </c>
      <c r="B1459">
        <v>2042.900024414063</v>
      </c>
      <c r="C1459">
        <v>395.10000610351563</v>
      </c>
      <c r="D1459">
        <v>180.8999938964844</v>
      </c>
    </row>
    <row r="1460" spans="1:4" x14ac:dyDescent="0.35">
      <c r="A1460" s="3">
        <v>45979</v>
      </c>
      <c r="B1460">
        <v>2025.800048828125</v>
      </c>
      <c r="C1460">
        <v>393.45001220703131</v>
      </c>
      <c r="D1460">
        <v>181.88999938964841</v>
      </c>
    </row>
    <row r="1461" spans="1:4" x14ac:dyDescent="0.35">
      <c r="A1461" s="3">
        <v>45980</v>
      </c>
      <c r="B1461">
        <v>2041.699951171875</v>
      </c>
      <c r="C1461">
        <v>388.04998779296881</v>
      </c>
      <c r="D1461">
        <v>178.5899963378906</v>
      </c>
    </row>
    <row r="1462" spans="1:4" x14ac:dyDescent="0.35">
      <c r="A1462" s="3">
        <v>45981</v>
      </c>
      <c r="B1462">
        <v>2037.599975585938</v>
      </c>
      <c r="C1462">
        <v>385.10000610351563</v>
      </c>
      <c r="D1462">
        <v>177.67999267578131</v>
      </c>
    </row>
    <row r="1463" spans="1:4" x14ac:dyDescent="0.35">
      <c r="A1463" s="3">
        <v>45982</v>
      </c>
      <c r="B1463">
        <v>2004.099975585938</v>
      </c>
      <c r="C1463">
        <v>380</v>
      </c>
      <c r="D1463">
        <v>174.50999450683591</v>
      </c>
    </row>
    <row r="1464" spans="1:4" x14ac:dyDescent="0.35">
      <c r="A1464" s="3">
        <v>45985</v>
      </c>
      <c r="B1464">
        <v>1997.5</v>
      </c>
      <c r="C1464">
        <v>378.04998779296881</v>
      </c>
      <c r="D1464">
        <v>172.91999816894531</v>
      </c>
    </row>
    <row r="1465" spans="1:4" x14ac:dyDescent="0.35">
      <c r="A1465" s="3">
        <v>45986</v>
      </c>
      <c r="B1465">
        <v>1999</v>
      </c>
      <c r="C1465">
        <v>382.14999389648438</v>
      </c>
      <c r="D1465">
        <v>172.92999267578131</v>
      </c>
    </row>
    <row r="1466" spans="1:4" x14ac:dyDescent="0.35">
      <c r="A1466" s="3">
        <v>45987</v>
      </c>
      <c r="B1466">
        <v>2010.300048828125</v>
      </c>
      <c r="C1466">
        <v>392.5</v>
      </c>
      <c r="D1466">
        <v>173.19999694824219</v>
      </c>
    </row>
    <row r="1467" spans="1:4" x14ac:dyDescent="0.35">
      <c r="A1467" s="3">
        <v>45988</v>
      </c>
      <c r="B1467">
        <v>1980.699951171875</v>
      </c>
      <c r="C1467">
        <v>384.75</v>
      </c>
      <c r="D1467">
        <v>170.99000549316409</v>
      </c>
    </row>
    <row r="1468" spans="1:4" x14ac:dyDescent="0.35">
      <c r="A1468" s="3">
        <v>45989</v>
      </c>
      <c r="B1468">
        <v>1970.5</v>
      </c>
      <c r="C1468">
        <v>387.20001220703131</v>
      </c>
      <c r="D1468">
        <v>170.67999267578131</v>
      </c>
    </row>
    <row r="1469" spans="1:4" x14ac:dyDescent="0.35">
      <c r="A1469" s="3">
        <v>45992</v>
      </c>
      <c r="B1469">
        <v>1991.400024414063</v>
      </c>
      <c r="C1469">
        <v>388.29998779296881</v>
      </c>
      <c r="D1469">
        <v>169.3699951171875</v>
      </c>
    </row>
    <row r="1470" spans="1:4" x14ac:dyDescent="0.35">
      <c r="A1470" s="3">
        <v>45993</v>
      </c>
      <c r="B1470">
        <v>1986.699951171875</v>
      </c>
      <c r="C1470">
        <v>387.75</v>
      </c>
      <c r="D1470">
        <v>167.58000183105469</v>
      </c>
    </row>
    <row r="1471" spans="1:4" x14ac:dyDescent="0.35">
      <c r="A1471" s="3">
        <v>45994</v>
      </c>
      <c r="B1471">
        <v>1972.400024414063</v>
      </c>
      <c r="C1471">
        <v>386.29998779296881</v>
      </c>
      <c r="D1471">
        <v>165.0299987792969</v>
      </c>
    </row>
    <row r="1472" spans="1:4" x14ac:dyDescent="0.35">
      <c r="A1472" s="3">
        <v>45995</v>
      </c>
      <c r="B1472">
        <v>1983</v>
      </c>
      <c r="C1472">
        <v>384.39999389648438</v>
      </c>
      <c r="D1472">
        <v>163.3399963378906</v>
      </c>
    </row>
    <row r="1473" spans="1:4" x14ac:dyDescent="0.35">
      <c r="A1473" s="3">
        <v>45996</v>
      </c>
      <c r="B1473">
        <v>1974.400024414063</v>
      </c>
      <c r="C1473">
        <v>381.85000610351563</v>
      </c>
      <c r="D1473">
        <v>159.3500061035156</v>
      </c>
    </row>
    <row r="1474" spans="1:4" x14ac:dyDescent="0.35">
      <c r="A1474" s="3">
        <v>45999</v>
      </c>
      <c r="B1474">
        <v>1961.099975585938</v>
      </c>
      <c r="C1474">
        <v>376.14999389648438</v>
      </c>
      <c r="D1474">
        <v>156.28999328613281</v>
      </c>
    </row>
    <row r="1475" spans="1:4" x14ac:dyDescent="0.35">
      <c r="A1475" s="3">
        <v>46000</v>
      </c>
      <c r="B1475">
        <v>1945.300048828125</v>
      </c>
      <c r="C1475">
        <v>378.10000610351563</v>
      </c>
      <c r="D1475">
        <v>159.16999816894531</v>
      </c>
    </row>
    <row r="1476" spans="1:4" x14ac:dyDescent="0.35">
      <c r="A1476" s="3">
        <v>46001</v>
      </c>
      <c r="B1476">
        <v>1934.800048828125</v>
      </c>
      <c r="C1476">
        <v>380.25</v>
      </c>
      <c r="D1476">
        <v>160.22999572753909</v>
      </c>
    </row>
    <row r="1477" spans="1:4" x14ac:dyDescent="0.35">
      <c r="A1477" s="3">
        <v>46002</v>
      </c>
      <c r="B1477">
        <v>1939.699951171875</v>
      </c>
      <c r="C1477">
        <v>375.10000610351563</v>
      </c>
      <c r="D1477">
        <v>162.4100036621094</v>
      </c>
    </row>
    <row r="1478" spans="1:4" x14ac:dyDescent="0.35">
      <c r="A1478" s="3">
        <v>46003</v>
      </c>
      <c r="B1478">
        <v>1937.900024414063</v>
      </c>
      <c r="C1478">
        <v>382.35000610351563</v>
      </c>
      <c r="D1478">
        <v>171.91999816894531</v>
      </c>
    </row>
    <row r="1479" spans="1:4" x14ac:dyDescent="0.35">
      <c r="A1479" s="3">
        <v>46006</v>
      </c>
      <c r="B1479">
        <v>1951.800048828125</v>
      </c>
      <c r="C1479">
        <v>382.10000610351563</v>
      </c>
      <c r="D1479">
        <v>167.19999694824219</v>
      </c>
    </row>
    <row r="1480" spans="1:4" x14ac:dyDescent="0.35">
      <c r="A1480" s="3">
        <v>46007</v>
      </c>
      <c r="B1480">
        <v>1951.199951171875</v>
      </c>
      <c r="C1480">
        <v>377.60000610351563</v>
      </c>
      <c r="D1480">
        <v>166.4100036621094</v>
      </c>
    </row>
    <row r="1481" spans="1:4" x14ac:dyDescent="0.35">
      <c r="A1481" s="3">
        <v>46008</v>
      </c>
      <c r="B1481">
        <v>1947</v>
      </c>
      <c r="C1481">
        <v>368.20001220703131</v>
      </c>
      <c r="D1481">
        <v>162.22999572753909</v>
      </c>
    </row>
    <row r="1482" spans="1:4" x14ac:dyDescent="0.35">
      <c r="A1482" s="3">
        <v>46009</v>
      </c>
      <c r="B1482">
        <v>1949.800048828125</v>
      </c>
      <c r="C1482">
        <v>362.29998779296881</v>
      </c>
      <c r="D1482">
        <v>158.96000671386719</v>
      </c>
    </row>
    <row r="1483" spans="1:4" x14ac:dyDescent="0.35">
      <c r="A1483" s="3">
        <v>46010</v>
      </c>
      <c r="B1483">
        <v>1954.300048828125</v>
      </c>
      <c r="C1483">
        <v>365.45001220703131</v>
      </c>
      <c r="D1483">
        <v>155.74000549316409</v>
      </c>
    </row>
    <row r="1484" spans="1:4" x14ac:dyDescent="0.35">
      <c r="A1484" s="3">
        <v>46013</v>
      </c>
      <c r="B1484">
        <v>1950.599975585938</v>
      </c>
      <c r="C1484">
        <v>371.95001220703131</v>
      </c>
      <c r="D1484">
        <v>153.4700012207031</v>
      </c>
    </row>
    <row r="1485" spans="1:4" x14ac:dyDescent="0.35">
      <c r="A1485" s="3">
        <v>46014</v>
      </c>
      <c r="B1485">
        <v>1960.099975585938</v>
      </c>
      <c r="C1485">
        <v>368.54998779296881</v>
      </c>
      <c r="D1485">
        <v>152.78999328613281</v>
      </c>
    </row>
    <row r="1486" spans="1:4" x14ac:dyDescent="0.35">
      <c r="A1486" s="3">
        <v>46015</v>
      </c>
      <c r="B1486">
        <v>1959.300048828125</v>
      </c>
      <c r="C1486">
        <v>372.5</v>
      </c>
      <c r="D1486">
        <v>150.49000549316409</v>
      </c>
    </row>
    <row r="1487" spans="1:4" x14ac:dyDescent="0.35">
      <c r="A1487" s="3">
        <v>46017</v>
      </c>
      <c r="B1487">
        <v>1950</v>
      </c>
      <c r="C1487">
        <v>371.29998779296881</v>
      </c>
      <c r="D1487">
        <v>153.82000732421881</v>
      </c>
    </row>
    <row r="1488" spans="1:4" x14ac:dyDescent="0.35">
      <c r="A1488" s="3">
        <v>46020</v>
      </c>
      <c r="B1488">
        <v>1943.199951171875</v>
      </c>
      <c r="C1488">
        <v>369.45001220703131</v>
      </c>
      <c r="D1488">
        <v>152.9100036621094</v>
      </c>
    </row>
    <row r="1489" spans="1:4" x14ac:dyDescent="0.35">
      <c r="A1489" s="3">
        <v>46021</v>
      </c>
      <c r="B1489">
        <v>1955</v>
      </c>
      <c r="C1489">
        <v>384.39999389648438</v>
      </c>
      <c r="D1489">
        <v>153.07000732421881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2587-C107-4636-A21B-71334164E230}">
  <dimension ref="A1:AH1488"/>
  <sheetViews>
    <sheetView showGridLines="0" workbookViewId="0">
      <selection activeCell="O42" sqref="O42"/>
    </sheetView>
  </sheetViews>
  <sheetFormatPr defaultRowHeight="14.5" x14ac:dyDescent="0.35"/>
  <cols>
    <col min="1" max="1" width="10.08984375" bestFit="1" customWidth="1"/>
    <col min="2" max="4" width="9" bestFit="1" customWidth="1"/>
    <col min="5" max="5" width="1.7265625" customWidth="1"/>
    <col min="10" max="10" width="11.08984375" customWidth="1"/>
    <col min="12" max="12" width="8.7265625" customWidth="1"/>
    <col min="13" max="13" width="1.7265625" customWidth="1"/>
    <col min="14" max="14" width="18.7265625" bestFit="1" customWidth="1"/>
    <col min="15" max="15" width="12.54296875" bestFit="1" customWidth="1"/>
    <col min="16" max="16" width="10.6328125" customWidth="1"/>
    <col min="17" max="17" width="18.36328125" bestFit="1" customWidth="1"/>
    <col min="18" max="18" width="1.7265625" customWidth="1"/>
    <col min="19" max="19" width="23.36328125" bestFit="1" customWidth="1"/>
    <col min="20" max="20" width="13.08984375" bestFit="1" customWidth="1"/>
    <col min="21" max="21" width="9.90625" customWidth="1"/>
    <col min="22" max="22" width="18.81640625" bestFit="1" customWidth="1"/>
    <col min="23" max="23" width="1.7265625" customWidth="1"/>
    <col min="24" max="24" width="10.08984375" bestFit="1" customWidth="1"/>
    <col min="25" max="25" width="23.36328125" bestFit="1" customWidth="1"/>
    <col min="26" max="26" width="1.7265625" customWidth="1"/>
    <col min="27" max="27" width="20.81640625" bestFit="1" customWidth="1"/>
    <col min="28" max="28" width="15.6328125" bestFit="1" customWidth="1"/>
    <col min="29" max="29" width="1.7265625" customWidth="1"/>
    <col min="30" max="30" width="10.08984375" bestFit="1" customWidth="1"/>
    <col min="31" max="31" width="14.453125" bestFit="1" customWidth="1"/>
    <col min="32" max="32" width="12" bestFit="1" customWidth="1"/>
    <col min="33" max="33" width="13.1796875" bestFit="1" customWidth="1"/>
    <col min="34" max="34" width="11.1796875" bestFit="1" customWidth="1"/>
  </cols>
  <sheetData>
    <row r="1" spans="1:34" x14ac:dyDescent="0.35">
      <c r="A1" s="26" t="s">
        <v>0</v>
      </c>
      <c r="B1" s="27" t="s">
        <v>1</v>
      </c>
      <c r="C1" s="27" t="s">
        <v>2</v>
      </c>
      <c r="D1" s="27" t="s">
        <v>3</v>
      </c>
      <c r="N1" s="30" t="s">
        <v>19</v>
      </c>
      <c r="O1" s="30"/>
      <c r="P1" s="30"/>
      <c r="Q1" s="30"/>
      <c r="R1" s="9"/>
      <c r="S1" s="30" t="s">
        <v>28</v>
      </c>
      <c r="T1" s="30"/>
      <c r="X1" s="26" t="s">
        <v>0</v>
      </c>
      <c r="Y1" s="27" t="s">
        <v>31</v>
      </c>
      <c r="Z1" s="18"/>
      <c r="AA1" s="27" t="s">
        <v>47</v>
      </c>
      <c r="AB1" s="27"/>
      <c r="AC1" s="18"/>
      <c r="AD1" s="30" t="s">
        <v>57</v>
      </c>
      <c r="AE1" s="30"/>
      <c r="AF1" s="30"/>
      <c r="AG1" s="30"/>
      <c r="AH1" s="30"/>
    </row>
    <row r="2" spans="1:34" x14ac:dyDescent="0.35">
      <c r="A2" s="3">
        <v>43832</v>
      </c>
      <c r="B2" s="6">
        <f>LN(Raw!B4/Raw!B3)</f>
        <v>-1.8025427825825929E-2</v>
      </c>
      <c r="C2" s="6">
        <f>LN(Raw!C4/Raw!C3)</f>
        <v>7.4767455746824363E-2</v>
      </c>
      <c r="D2" s="6">
        <f>LN(Raw!D4/Raw!D3)</f>
        <v>7.3552033579973669E-2</v>
      </c>
      <c r="N2" s="17" t="s">
        <v>9</v>
      </c>
      <c r="O2" s="1" t="s">
        <v>14</v>
      </c>
      <c r="P2" s="1" t="s">
        <v>15</v>
      </c>
      <c r="Q2" s="1" t="s">
        <v>16</v>
      </c>
      <c r="S2" s="16" t="s">
        <v>5</v>
      </c>
      <c r="T2" s="11">
        <v>0.75094179327800525</v>
      </c>
      <c r="X2" s="3">
        <v>43832</v>
      </c>
      <c r="Y2" cm="1">
        <f t="array" ref="Y2">SUMPRODUCT($T$2:$T$4,TRANSPOSE(B2:D2))</f>
        <v>5.0252493431288655E-3</v>
      </c>
      <c r="AA2" s="16" t="s">
        <v>32</v>
      </c>
      <c r="AB2" s="16">
        <f>_xlfn.PERCENTILE.INC(Y2:Y1487,0.01)</f>
        <v>-4.3055174700512136E-2</v>
      </c>
      <c r="AD2" s="16" t="s">
        <v>0</v>
      </c>
      <c r="AE2" s="16" t="s">
        <v>30</v>
      </c>
      <c r="AF2" s="16" t="s">
        <v>49</v>
      </c>
      <c r="AG2" s="16" t="s">
        <v>50</v>
      </c>
      <c r="AH2" s="16" t="s">
        <v>51</v>
      </c>
    </row>
    <row r="3" spans="1:34" x14ac:dyDescent="0.35">
      <c r="A3" s="3">
        <v>43833</v>
      </c>
      <c r="B3" s="6">
        <f>LN(Raw!B5/Raw!B4)</f>
        <v>1.9864584559774596E-2</v>
      </c>
      <c r="C3" s="6">
        <f>LN(Raw!C5/Raw!C4)</f>
        <v>-1.1494424134615972E-2</v>
      </c>
      <c r="D3" s="6">
        <f>LN(Raw!D5/Raw!D4)</f>
        <v>2.0633275907016198E-3</v>
      </c>
      <c r="N3" t="s">
        <v>10</v>
      </c>
      <c r="O3" s="12">
        <f>AVERAGE(B2:B1487)</f>
        <v>2.5730757794103901E-4</v>
      </c>
      <c r="P3" s="12">
        <f>AVERAGE(C2:C1487)</f>
        <v>4.2295089559766928E-4</v>
      </c>
      <c r="Q3" s="12">
        <f>AVERAGE(D2:D1487)</f>
        <v>1.0816357787979779E-4</v>
      </c>
      <c r="S3" s="16" t="s">
        <v>6</v>
      </c>
      <c r="T3" s="11">
        <v>0.19956808918475732</v>
      </c>
      <c r="X3" s="3">
        <v>43833</v>
      </c>
      <c r="Y3" cm="1">
        <f t="array" ref="Y3">SUMPRODUCT($T$2:$T$4,TRANSPOSE(B3:D3))</f>
        <v>1.2725340798683144E-2</v>
      </c>
      <c r="AD3" s="3">
        <v>43832</v>
      </c>
      <c r="AE3" s="4">
        <v>5.0252493431288655E-3</v>
      </c>
      <c r="AF3">
        <f t="shared" ref="AF3:AF66" si="0">IF(AE3&lt;$AB$2,1,0)</f>
        <v>0</v>
      </c>
      <c r="AG3">
        <f>SUM(AF3:AF1488)</f>
        <v>15</v>
      </c>
      <c r="AH3" s="19" t="str">
        <f>IF(AG3&lt;20,"Green","Red")</f>
        <v>Green</v>
      </c>
    </row>
    <row r="4" spans="1:34" x14ac:dyDescent="0.35">
      <c r="A4" s="3">
        <v>43836</v>
      </c>
      <c r="B4" s="6">
        <f>LN(Raw!B6/Raw!B5)</f>
        <v>-1.7306189762926172E-3</v>
      </c>
      <c r="C4" s="6">
        <f>LN(Raw!C6/Raw!C5)</f>
        <v>-1.4346814642173394E-2</v>
      </c>
      <c r="D4" s="6">
        <f>LN(Raw!D6/Raw!D5)</f>
        <v>2.342670124287213E-2</v>
      </c>
      <c r="N4" t="s">
        <v>11</v>
      </c>
      <c r="O4" s="12">
        <f>_xlfn.STDEV.S(B2:B1487)</f>
        <v>1.8142273937215878E-2</v>
      </c>
      <c r="P4" s="12">
        <f>_xlfn.STDEV.S(C2:C1487)</f>
        <v>2.8529806589476018E-2</v>
      </c>
      <c r="Q4" s="12">
        <f>_xlfn.STDEV.S(D2:D1487)</f>
        <v>3.050517643623183E-2</v>
      </c>
      <c r="S4" s="16" t="s">
        <v>7</v>
      </c>
      <c r="T4" s="11">
        <v>4.9490109049130475E-2</v>
      </c>
      <c r="X4" s="3">
        <v>43836</v>
      </c>
      <c r="Y4" cm="1">
        <f t="array" ref="Y4">SUMPRODUCT($T$2:$T$4,TRANSPOSE(B4:D4))</f>
        <v>-3.0033705023934237E-3</v>
      </c>
      <c r="AA4" s="16" t="s">
        <v>33</v>
      </c>
      <c r="AB4">
        <f>AVERAGE(Y2:Y1487)</f>
        <v>2.8298354332088833E-4</v>
      </c>
      <c r="AD4" s="3">
        <v>43833</v>
      </c>
      <c r="AE4" s="4">
        <v>1.2725340798683144E-2</v>
      </c>
      <c r="AF4">
        <f t="shared" si="0"/>
        <v>0</v>
      </c>
      <c r="AG4" s="13"/>
    </row>
    <row r="5" spans="1:34" x14ac:dyDescent="0.35">
      <c r="A5" s="3">
        <v>43837</v>
      </c>
      <c r="B5" s="6">
        <f>LN(Raw!B7/Raw!B6)</f>
        <v>3.0264380738142787E-3</v>
      </c>
      <c r="C5" s="6">
        <f>LN(Raw!C7/Raw!C6)</f>
        <v>1.372733493149619E-2</v>
      </c>
      <c r="D5" s="6">
        <f>LN(Raw!D7/Raw!D6)</f>
        <v>-4.7091779153207785E-3</v>
      </c>
      <c r="N5" t="s">
        <v>12</v>
      </c>
      <c r="O5" s="12">
        <f>O3*252</f>
        <v>6.4841509641141826E-2</v>
      </c>
      <c r="P5" s="12">
        <f>P3*252</f>
        <v>0.10658362569061265</v>
      </c>
      <c r="Q5" s="12">
        <f>Q3*252</f>
        <v>2.7257221625709045E-2</v>
      </c>
      <c r="S5" s="16" t="s">
        <v>8</v>
      </c>
      <c r="T5" s="11">
        <f>SUM(T2:T4)</f>
        <v>0.999999991511893</v>
      </c>
      <c r="X5" s="3">
        <v>43837</v>
      </c>
      <c r="Y5" cm="1">
        <f t="array" ref="Y5">SUMPRODUCT($T$2:$T$4,TRANSPOSE(B5:D5))</f>
        <v>4.7791591077118098E-3</v>
      </c>
      <c r="AA5" s="16" t="s">
        <v>34</v>
      </c>
      <c r="AB5">
        <f>_xlfn.STDEV.S(Y2:Y1487)</f>
        <v>1.6647231631114121E-2</v>
      </c>
      <c r="AD5" s="3">
        <v>43836</v>
      </c>
      <c r="AE5" s="4">
        <v>-3.0033705023934237E-3</v>
      </c>
      <c r="AF5">
        <f t="shared" si="0"/>
        <v>0</v>
      </c>
      <c r="AG5" s="13"/>
    </row>
    <row r="6" spans="1:34" x14ac:dyDescent="0.35">
      <c r="A6" s="3">
        <v>43838</v>
      </c>
      <c r="B6" s="6">
        <f>LN(Raw!B8/Raw!B7)</f>
        <v>1.2584238868770486E-3</v>
      </c>
      <c r="C6" s="6">
        <f>LN(Raw!C8/Raw!C7)</f>
        <v>-1.4146318040612947E-2</v>
      </c>
      <c r="D6" s="6">
        <f>LN(Raw!D8/Raw!D7)</f>
        <v>-2.4574710992030672E-2</v>
      </c>
      <c r="N6" t="s">
        <v>13</v>
      </c>
      <c r="O6" s="12">
        <f>O4*SQRT(252)</f>
        <v>0.28799967033049118</v>
      </c>
      <c r="P6" s="12">
        <f>P4*SQRT(252)</f>
        <v>0.45289663913115225</v>
      </c>
      <c r="Q6" s="12">
        <f>Q4*SQRT(252)</f>
        <v>0.48425466330250216</v>
      </c>
      <c r="S6" s="16" t="s">
        <v>22</v>
      </c>
      <c r="T6" s="12">
        <f t="array" ref="T6">MMULT(TRANSPOSE(T2:T4),MMULT(O18:Q20,T2:T4))</f>
        <v>2.7694382682049107E-4</v>
      </c>
      <c r="X6" s="3">
        <v>43838</v>
      </c>
      <c r="Y6" cm="1">
        <f t="array" ref="Y6">SUMPRODUCT($T$2:$T$4,TRANSPOSE(B6:D6))</f>
        <v>-3.0943556968961207E-3</v>
      </c>
      <c r="AD6" s="3">
        <v>43837</v>
      </c>
      <c r="AE6" s="4">
        <v>4.7791591077118098E-3</v>
      </c>
      <c r="AF6">
        <f t="shared" si="0"/>
        <v>0</v>
      </c>
      <c r="AG6" s="13"/>
    </row>
    <row r="7" spans="1:34" x14ac:dyDescent="0.35">
      <c r="A7" s="3">
        <v>43839</v>
      </c>
      <c r="B7" s="6">
        <f>LN(Raw!B9/Raw!B8)</f>
        <v>-7.9363060051830091E-3</v>
      </c>
      <c r="C7" s="6">
        <f>LN(Raw!C9/Raw!C8)</f>
        <v>2.5443608188113493E-2</v>
      </c>
      <c r="D7" s="6">
        <f>LN(Raw!D9/Raw!D8)</f>
        <v>1.4408529843946668E-2</v>
      </c>
      <c r="N7" t="s">
        <v>17</v>
      </c>
      <c r="O7" s="12">
        <f>MIN(B2:B1487)</f>
        <v>-0.1952375282258085</v>
      </c>
      <c r="P7" s="12">
        <f>MIN(C2:C1487)</f>
        <v>-0.15571568331629551</v>
      </c>
      <c r="Q7" s="12">
        <f>MIN(D2:D1487)</f>
        <v>-0.21294002489156036</v>
      </c>
      <c r="S7" s="16" t="s">
        <v>23</v>
      </c>
      <c r="T7" s="12">
        <f>SQRT(T6*252)</f>
        <v>0.2641776757388174</v>
      </c>
      <c r="X7" s="3">
        <v>43839</v>
      </c>
      <c r="Y7" cm="1">
        <f t="array" ref="Y7">SUMPRODUCT($T$2:$T$4,TRANSPOSE(B7:D7))</f>
        <v>-1.6889188225310413E-4</v>
      </c>
      <c r="AD7" s="3">
        <v>43838</v>
      </c>
      <c r="AE7" s="4">
        <v>-3.0943556968961207E-3</v>
      </c>
      <c r="AF7">
        <f t="shared" si="0"/>
        <v>0</v>
      </c>
      <c r="AG7" s="13"/>
    </row>
    <row r="8" spans="1:34" x14ac:dyDescent="0.35">
      <c r="A8" s="3">
        <v>43840</v>
      </c>
      <c r="B8" s="6">
        <f>LN(Raw!B10/Raw!B9)</f>
        <v>-4.1736201968182686E-3</v>
      </c>
      <c r="C8" s="6">
        <f>LN(Raw!C10/Raw!C9)</f>
        <v>-4.0933790066296797E-3</v>
      </c>
      <c r="D8" s="6">
        <f>LN(Raw!D10/Raw!D9)</f>
        <v>1.7015927300163716E-3</v>
      </c>
      <c r="N8" t="s">
        <v>18</v>
      </c>
      <c r="O8" s="5">
        <f>SKEW(B2:B1487)</f>
        <v>-0.19297889405164934</v>
      </c>
      <c r="P8" s="5">
        <f>SKEW(C2:C1487)</f>
        <v>0.61408414332665051</v>
      </c>
      <c r="Q8" s="5">
        <f>SKEW(D2:D1487)</f>
        <v>0.50267679915081298</v>
      </c>
      <c r="X8" s="3">
        <v>43840</v>
      </c>
      <c r="Y8" cm="1">
        <f t="array" ref="Y8">SUMPRODUCT($T$2:$T$4,TRANSPOSE(B8:D8))</f>
        <v>-3.8668416519563788E-3</v>
      </c>
      <c r="AD8" s="3">
        <v>43839</v>
      </c>
      <c r="AE8" s="4">
        <v>-1.6889188225310413E-4</v>
      </c>
      <c r="AF8">
        <f t="shared" si="0"/>
        <v>0</v>
      </c>
      <c r="AG8" s="13"/>
    </row>
    <row r="9" spans="1:34" x14ac:dyDescent="0.35">
      <c r="A9" s="3">
        <v>43843</v>
      </c>
      <c r="B9" s="6">
        <f>LN(Raw!B11/Raw!B10)</f>
        <v>-1.5429857894827289E-2</v>
      </c>
      <c r="C9" s="6">
        <f>LN(Raw!C11/Raw!C10)</f>
        <v>5.6223686986957892E-2</v>
      </c>
      <c r="D9" s="6">
        <f>LN(Raw!D11/Raw!D10)</f>
        <v>6.6428046389404222E-2</v>
      </c>
      <c r="S9" s="30" t="s">
        <v>29</v>
      </c>
      <c r="T9" s="30"/>
      <c r="U9" s="30"/>
      <c r="V9" s="30"/>
      <c r="X9" s="3">
        <v>43843</v>
      </c>
      <c r="Y9" cm="1">
        <f t="array" ref="Y9">SUMPRODUCT($T$2:$T$4,TRANSPOSE(B9:D9))</f>
        <v>2.9210598810750126E-3</v>
      </c>
      <c r="AD9" s="3">
        <v>43840</v>
      </c>
      <c r="AE9" s="4">
        <v>-3.8668416519563788E-3</v>
      </c>
      <c r="AF9">
        <f t="shared" si="0"/>
        <v>0</v>
      </c>
      <c r="AG9" s="13"/>
    </row>
    <row r="10" spans="1:34" ht="15" thickBot="1" x14ac:dyDescent="0.4">
      <c r="A10" s="3">
        <v>43844</v>
      </c>
      <c r="B10" s="6">
        <f>LN(Raw!B12/Raw!B11)</f>
        <v>1.1530632036333152E-2</v>
      </c>
      <c r="C10" s="6">
        <f>LN(Raw!C12/Raw!C11)</f>
        <v>-7.7852566820888957E-3</v>
      </c>
      <c r="D10" s="6">
        <f>LN(Raw!D12/Raw!D11)</f>
        <v>-1.4420983143828954E-2</v>
      </c>
      <c r="N10" s="30" t="s">
        <v>21</v>
      </c>
      <c r="O10" s="30"/>
      <c r="P10" s="30"/>
      <c r="Q10" s="30"/>
      <c r="T10" s="1" t="s">
        <v>14</v>
      </c>
      <c r="U10" s="1" t="s">
        <v>15</v>
      </c>
      <c r="V10" s="1" t="s">
        <v>16</v>
      </c>
      <c r="X10" s="3">
        <v>43844</v>
      </c>
      <c r="Y10" cm="1">
        <f t="array" ref="Y10">SUMPRODUCT($T$2:$T$4,TRANSPOSE(B10:D10))</f>
        <v>6.3914486707517225E-3</v>
      </c>
      <c r="AD10" s="3">
        <v>43843</v>
      </c>
      <c r="AE10" s="4">
        <v>2.9210598810750126E-3</v>
      </c>
      <c r="AF10">
        <f t="shared" si="0"/>
        <v>0</v>
      </c>
      <c r="AG10" s="13"/>
    </row>
    <row r="11" spans="1:34" x14ac:dyDescent="0.35">
      <c r="A11" s="3">
        <v>43845</v>
      </c>
      <c r="B11" s="6">
        <f>LN(Raw!B13/Raw!B12)</f>
        <v>-7.2920648815929705E-3</v>
      </c>
      <c r="C11" s="6">
        <f>LN(Raw!C13/Raw!C12)</f>
        <v>3.4943186962082012E-2</v>
      </c>
      <c r="D11" s="6">
        <f>LN(Raw!D13/Raw!D12)</f>
        <v>6.4377096748096441E-2</v>
      </c>
      <c r="N11" s="8"/>
      <c r="O11" s="8" t="s">
        <v>1</v>
      </c>
      <c r="P11" s="8" t="s">
        <v>2</v>
      </c>
      <c r="Q11" s="8" t="s">
        <v>3</v>
      </c>
      <c r="S11" s="16" t="s">
        <v>24</v>
      </c>
      <c r="T11" s="12">
        <f>O6</f>
        <v>0.28799967033049118</v>
      </c>
      <c r="U11" s="12">
        <f>P6</f>
        <v>0.45289663913115225</v>
      </c>
      <c r="V11" s="12">
        <f>Q6</f>
        <v>0.48425466330250216</v>
      </c>
      <c r="X11" s="3">
        <v>43845</v>
      </c>
      <c r="Y11" cm="1">
        <f t="array" ref="Y11">SUMPRODUCT($T$2:$T$4,TRANSPOSE(B11:D11))</f>
        <v>4.6836583114951581E-3</v>
      </c>
      <c r="AD11" s="3">
        <v>43844</v>
      </c>
      <c r="AE11" s="4">
        <v>6.3914486707517225E-3</v>
      </c>
      <c r="AF11">
        <f t="shared" si="0"/>
        <v>0</v>
      </c>
      <c r="AG11" s="13"/>
    </row>
    <row r="12" spans="1:34" x14ac:dyDescent="0.35">
      <c r="A12" s="3">
        <v>43846</v>
      </c>
      <c r="B12" s="6">
        <f>LN(Raw!B14/Raw!B13)</f>
        <v>3.9729789343428024E-2</v>
      </c>
      <c r="C12" s="6">
        <f>LN(Raw!C14/Raw!C13)</f>
        <v>-1.5209394445613223E-2</v>
      </c>
      <c r="D12" s="6">
        <f>LN(Raw!D14/Raw!D13)</f>
        <v>0</v>
      </c>
      <c r="N12" t="s">
        <v>1</v>
      </c>
      <c r="O12">
        <v>1</v>
      </c>
      <c r="P12">
        <v>0.21886258880239953</v>
      </c>
      <c r="Q12">
        <v>0.26857890901513509</v>
      </c>
      <c r="S12" s="17" t="s">
        <v>25</v>
      </c>
      <c r="T12">
        <f>1/T11</f>
        <v>3.472226196830225</v>
      </c>
      <c r="U12">
        <f>1/U11</f>
        <v>2.2080093195622381</v>
      </c>
      <c r="V12">
        <f>1/V11</f>
        <v>2.065029158790618</v>
      </c>
      <c r="X12" s="3">
        <v>43846</v>
      </c>
      <c r="Y12" cm="1">
        <f t="array" ref="Y12">SUMPRODUCT($T$2:$T$4,TRANSPOSE(B12:D12))</f>
        <v>2.6799449468942929E-2</v>
      </c>
      <c r="AD12" s="3">
        <v>43845</v>
      </c>
      <c r="AE12" s="4">
        <v>4.6836583114951581E-3</v>
      </c>
      <c r="AF12">
        <f t="shared" si="0"/>
        <v>0</v>
      </c>
      <c r="AG12" s="13"/>
    </row>
    <row r="13" spans="1:34" x14ac:dyDescent="0.35">
      <c r="A13" s="3">
        <v>43847</v>
      </c>
      <c r="B13" s="6">
        <f>LN(Raw!B15/Raw!B14)</f>
        <v>-1.485635262902113E-3</v>
      </c>
      <c r="C13" s="6">
        <f>LN(Raw!C15/Raw!C14)</f>
        <v>-1.2336467541217786E-2</v>
      </c>
      <c r="D13" s="6">
        <f>LN(Raw!D15/Raw!D14)</f>
        <v>-1.0343752717277227E-2</v>
      </c>
      <c r="N13" t="s">
        <v>2</v>
      </c>
      <c r="O13">
        <v>0.21886258880239953</v>
      </c>
      <c r="P13">
        <v>1</v>
      </c>
      <c r="Q13">
        <v>0.68777289640709083</v>
      </c>
      <c r="S13" s="16" t="s">
        <v>26</v>
      </c>
      <c r="T13">
        <f>SUM(T12:V12)</f>
        <v>7.7452646751830807</v>
      </c>
      <c r="X13" s="3">
        <v>43847</v>
      </c>
      <c r="Y13" cm="1">
        <f t="array" ref="Y13">SUMPRODUCT($T$2:$T$4,TRANSPOSE(B13:D13))</f>
        <v>-4.0895043129266584E-3</v>
      </c>
      <c r="AD13" s="3">
        <v>43846</v>
      </c>
      <c r="AE13" s="4">
        <v>2.6799449468942929E-2</v>
      </c>
      <c r="AF13">
        <f t="shared" si="0"/>
        <v>0</v>
      </c>
      <c r="AG13" s="13"/>
    </row>
    <row r="14" spans="1:34" ht="15" thickBot="1" x14ac:dyDescent="0.4">
      <c r="A14" s="3">
        <v>43850</v>
      </c>
      <c r="B14" s="6">
        <f>LN(Raw!B16/Raw!B15)</f>
        <v>-4.1744173466681765E-2</v>
      </c>
      <c r="C14" s="6">
        <f>LN(Raw!C16/Raw!C15)</f>
        <v>-1.1508765107284118E-2</v>
      </c>
      <c r="D14" s="6">
        <f>LN(Raw!D16/Raw!D15)</f>
        <v>-3.2005255123990051E-2</v>
      </c>
      <c r="N14" s="7" t="s">
        <v>3</v>
      </c>
      <c r="O14" s="7">
        <v>0.26857890901513509</v>
      </c>
      <c r="P14" s="7">
        <v>0.68777289640709083</v>
      </c>
      <c r="Q14" s="7">
        <v>1</v>
      </c>
      <c r="S14" s="16" t="s">
        <v>27</v>
      </c>
      <c r="T14">
        <f>T12/$T$13</f>
        <v>0.44830310421227137</v>
      </c>
      <c r="U14">
        <f>U12/$T$13</f>
        <v>0.285078614115927</v>
      </c>
      <c r="V14">
        <f>V12/$T$13</f>
        <v>0.26661828167180168</v>
      </c>
      <c r="X14" s="3">
        <v>43850</v>
      </c>
      <c r="Y14" cm="1">
        <f t="array" ref="Y14">SUMPRODUCT($T$2:$T$4,TRANSPOSE(B14:D14))</f>
        <v>-3.5228170309546544E-2</v>
      </c>
      <c r="AD14" s="3">
        <v>43847</v>
      </c>
      <c r="AE14" s="4">
        <v>-4.0895043129266584E-3</v>
      </c>
      <c r="AF14">
        <f t="shared" si="0"/>
        <v>0</v>
      </c>
      <c r="AG14" s="13"/>
    </row>
    <row r="15" spans="1:34" x14ac:dyDescent="0.35">
      <c r="A15" s="3">
        <v>43851</v>
      </c>
      <c r="B15" s="6">
        <f>LN(Raw!B17/Raw!B16)</f>
        <v>-1.8475535918739856E-2</v>
      </c>
      <c r="C15" s="6">
        <f>LN(Raw!C17/Raw!C16)</f>
        <v>3.3296234280858483E-3</v>
      </c>
      <c r="D15" s="6">
        <f>LN(Raw!D17/Raw!D16)</f>
        <v>1.3486120665122343E-2</v>
      </c>
      <c r="X15" s="3">
        <v>43851</v>
      </c>
      <c r="Y15" cm="1">
        <f t="array" ref="Y15">SUMPRODUCT($T$2:$T$4,TRANSPOSE(B15:D15))</f>
        <v>-1.2542135906976176E-2</v>
      </c>
      <c r="AD15" s="3">
        <v>43850</v>
      </c>
      <c r="AE15" s="4">
        <v>-3.5228170309546544E-2</v>
      </c>
      <c r="AF15">
        <f t="shared" si="0"/>
        <v>0</v>
      </c>
      <c r="AG15" s="13"/>
    </row>
    <row r="16" spans="1:34" ht="15" thickBot="1" x14ac:dyDescent="0.4">
      <c r="A16" s="3">
        <v>43852</v>
      </c>
      <c r="B16" s="6">
        <f>LN(Raw!B18/Raw!B17)</f>
        <v>-1.2369904428487411E-2</v>
      </c>
      <c r="C16" s="6">
        <f>LN(Raw!C18/Raw!C17)</f>
        <v>-2.6752772237009257E-2</v>
      </c>
      <c r="D16" s="6">
        <f>LN(Raw!D18/Raw!D17)</f>
        <v>-8.446809066272409E-3</v>
      </c>
      <c r="N16" s="30" t="s">
        <v>20</v>
      </c>
      <c r="O16" s="30"/>
      <c r="P16" s="30"/>
      <c r="Q16" s="30"/>
      <c r="X16" s="3">
        <v>43852</v>
      </c>
      <c r="Y16" cm="1">
        <f t="array" ref="Y16">SUMPRODUCT($T$2:$T$4,TRANSPOSE(B16:D16))</f>
        <v>-1.5046111351747845E-2</v>
      </c>
      <c r="AD16" s="3">
        <v>43851</v>
      </c>
      <c r="AE16" s="4">
        <v>-1.2542135906976176E-2</v>
      </c>
      <c r="AF16">
        <f t="shared" si="0"/>
        <v>0</v>
      </c>
      <c r="AG16" s="13"/>
    </row>
    <row r="17" spans="1:33" x14ac:dyDescent="0.35">
      <c r="A17" s="3">
        <v>43853</v>
      </c>
      <c r="B17" s="6">
        <f>LN(Raw!B19/Raw!B18)</f>
        <v>1.451037848030938E-2</v>
      </c>
      <c r="C17" s="6">
        <f>LN(Raw!C19/Raw!C18)</f>
        <v>2.5187236451121576E-2</v>
      </c>
      <c r="D17" s="6">
        <f>LN(Raw!D19/Raw!D18)</f>
        <v>2.7271618434334396E-2</v>
      </c>
      <c r="N17" s="8"/>
      <c r="O17" s="8" t="s">
        <v>1</v>
      </c>
      <c r="P17" s="8" t="s">
        <v>2</v>
      </c>
      <c r="Q17" s="8" t="s">
        <v>3</v>
      </c>
      <c r="X17" s="3">
        <v>43853</v>
      </c>
      <c r="Y17" cm="1">
        <f t="array" ref="Y17">SUMPRODUCT($T$2:$T$4,TRANSPOSE(B17:D17))</f>
        <v>1.7272693657802589E-2</v>
      </c>
      <c r="AD17" s="3">
        <v>43852</v>
      </c>
      <c r="AE17" s="4">
        <v>-1.5046111351747845E-2</v>
      </c>
      <c r="AF17">
        <f t="shared" si="0"/>
        <v>0</v>
      </c>
      <c r="AG17" s="13"/>
    </row>
    <row r="18" spans="1:33" x14ac:dyDescent="0.35">
      <c r="A18" s="3">
        <v>43854</v>
      </c>
      <c r="B18" s="6">
        <f>LN(Raw!B20/Raw!B19)</f>
        <v>1.3081758225622448E-2</v>
      </c>
      <c r="C18" s="6">
        <f>LN(Raw!C20/Raw!C19)</f>
        <v>4.124487844324163E-2</v>
      </c>
      <c r="D18" s="6">
        <f>LN(Raw!D20/Raw!D19)</f>
        <v>1.5170201575311343E-2</v>
      </c>
      <c r="N18" t="s">
        <v>1</v>
      </c>
      <c r="O18">
        <f>VARP(Hitorical_Sim!$B$2:$B$1487)</f>
        <v>3.2892060825388889E-4</v>
      </c>
      <c r="P18">
        <v>1.1320607259614334E-4</v>
      </c>
      <c r="Q18">
        <v>1.4854047591694036E-4</v>
      </c>
      <c r="X18" s="3">
        <v>43854</v>
      </c>
      <c r="Y18" cm="1">
        <f t="array" ref="Y18">SUMPRODUCT($T$2:$T$4,TRANSPOSE(B18:D18))</f>
        <v>1.8805575491012985E-2</v>
      </c>
      <c r="AD18" s="3">
        <v>43853</v>
      </c>
      <c r="AE18" s="4">
        <v>1.7272693657802589E-2</v>
      </c>
      <c r="AF18">
        <f t="shared" si="0"/>
        <v>0</v>
      </c>
      <c r="AG18" s="13"/>
    </row>
    <row r="19" spans="1:33" x14ac:dyDescent="0.35">
      <c r="A19" s="3">
        <v>43857</v>
      </c>
      <c r="B19" s="6">
        <f>LN(Raw!B21/Raw!B20)</f>
        <v>-8.5898293820100592E-3</v>
      </c>
      <c r="C19" s="6">
        <f>LN(Raw!C21/Raw!C20)</f>
        <v>-2.3772165875179874E-2</v>
      </c>
      <c r="D19" s="6">
        <f>LN(Raw!D21/Raw!D20)</f>
        <v>-9.3783324469505231E-3</v>
      </c>
      <c r="N19" t="s">
        <v>2</v>
      </c>
      <c r="O19">
        <v>1.1320607259614334E-4</v>
      </c>
      <c r="P19">
        <f>VARP(Hitorical_Sim!$C$2:$C$1487)</f>
        <v>8.1340211849856672E-4</v>
      </c>
      <c r="Q19">
        <v>5.9817060889967816E-4</v>
      </c>
      <c r="X19" s="3">
        <v>43857</v>
      </c>
      <c r="Y19" cm="1">
        <f t="array" ref="Y19">SUMPRODUCT($T$2:$T$4,TRANSPOSE(B19:D19))</f>
        <v>-1.1658762295070055E-2</v>
      </c>
      <c r="AD19" s="3">
        <v>43854</v>
      </c>
      <c r="AE19" s="4">
        <v>1.8805575491012985E-2</v>
      </c>
      <c r="AF19">
        <f t="shared" si="0"/>
        <v>0</v>
      </c>
      <c r="AG19" s="13"/>
    </row>
    <row r="20" spans="1:33" ht="15" thickBot="1" x14ac:dyDescent="0.4">
      <c r="A20" s="3">
        <v>43858</v>
      </c>
      <c r="B20" s="6">
        <f>LN(Raw!B22/Raw!B21)</f>
        <v>-1.0838774075613295E-3</v>
      </c>
      <c r="C20" s="6">
        <f>LN(Raw!C22/Raw!C21)</f>
        <v>3.848807859597974E-4</v>
      </c>
      <c r="D20" s="6">
        <f>LN(Raw!D22/Raw!D21)</f>
        <v>-2.0575104853271173E-2</v>
      </c>
      <c r="N20" s="7" t="s">
        <v>3</v>
      </c>
      <c r="O20" s="7">
        <v>1.4854047591694036E-4</v>
      </c>
      <c r="P20" s="7">
        <v>5.9817060889967816E-4</v>
      </c>
      <c r="Q20" s="7">
        <f>VARP(Hitorical_Sim!$D$2:$D$1487)</f>
        <v>9.2993956747467431E-4</v>
      </c>
      <c r="X20" s="3">
        <v>43858</v>
      </c>
      <c r="Y20" cm="1">
        <f t="array" ref="Y20">SUMPRODUCT($T$2:$T$4,TRANSPOSE(B20:D20))</f>
        <v>-1.7553831039953799E-3</v>
      </c>
      <c r="AD20" s="3">
        <v>43857</v>
      </c>
      <c r="AE20" s="4">
        <v>-1.1658762295070055E-2</v>
      </c>
      <c r="AF20">
        <f t="shared" si="0"/>
        <v>0</v>
      </c>
      <c r="AG20" s="13"/>
    </row>
    <row r="21" spans="1:33" x14ac:dyDescent="0.35">
      <c r="A21" s="3">
        <v>43859</v>
      </c>
      <c r="B21" s="6">
        <f>LN(Raw!B23/Raw!B22)</f>
        <v>-1.0145884570757109E-2</v>
      </c>
      <c r="C21" s="6">
        <f>LN(Raw!C23/Raw!C22)</f>
        <v>-1.785759335402156E-2</v>
      </c>
      <c r="D21" s="6">
        <f>LN(Raw!D23/Raw!D22)</f>
        <v>-3.7300876462590042E-3</v>
      </c>
      <c r="X21" s="3">
        <v>43859</v>
      </c>
      <c r="Y21" cm="1">
        <f t="array" ref="Y21">SUMPRODUCT($T$2:$T$4,TRANSPOSE(B21:D21))</f>
        <v>-1.1367376981432665E-2</v>
      </c>
      <c r="AD21" s="3">
        <v>43858</v>
      </c>
      <c r="AE21" s="4">
        <v>-1.7553831039953799E-3</v>
      </c>
      <c r="AF21">
        <f t="shared" si="0"/>
        <v>0</v>
      </c>
      <c r="AG21" s="13"/>
    </row>
    <row r="22" spans="1:33" x14ac:dyDescent="0.35">
      <c r="A22" s="3">
        <v>43860</v>
      </c>
      <c r="B22" s="6">
        <f>LN(Raw!B24/Raw!B23)</f>
        <v>3.0921429720552388E-3</v>
      </c>
      <c r="C22" s="6">
        <f>LN(Raw!C24/Raw!C23)</f>
        <v>-3.1635016515166897E-2</v>
      </c>
      <c r="D22" s="6">
        <f>LN(Raw!D24/Raw!D23)</f>
        <v>-3.3890887157382137E-2</v>
      </c>
      <c r="N22" s="30" t="s">
        <v>4</v>
      </c>
      <c r="O22" s="30"/>
      <c r="P22" s="30"/>
      <c r="X22" s="3">
        <v>43860</v>
      </c>
      <c r="Y22" cm="1">
        <f t="array" ref="Y22">SUMPRODUCT($T$2:$T$4,TRANSPOSE(B22:D22))</f>
        <v>-5.6685841099435742E-3</v>
      </c>
      <c r="AD22" s="3">
        <v>43859</v>
      </c>
      <c r="AE22" s="4">
        <v>-1.1367376981432665E-2</v>
      </c>
      <c r="AF22">
        <f t="shared" si="0"/>
        <v>0</v>
      </c>
      <c r="AG22" s="13"/>
    </row>
    <row r="23" spans="1:33" x14ac:dyDescent="0.35">
      <c r="A23" s="3">
        <v>43861</v>
      </c>
      <c r="B23" s="6">
        <f>LN(Raw!B25/Raw!B24)</f>
        <v>-7.2173308840993797E-3</v>
      </c>
      <c r="C23" s="6">
        <f>LN(Raw!C25/Raw!C24)</f>
        <v>1.0656590380597211E-2</v>
      </c>
      <c r="D23" s="6">
        <f>LN(Raw!D25/Raw!D24)</f>
        <v>1.9312753478804641E-3</v>
      </c>
      <c r="N23" s="19" t="s">
        <v>1</v>
      </c>
      <c r="O23" s="19" t="s">
        <v>2</v>
      </c>
      <c r="P23" s="19" t="s">
        <v>3</v>
      </c>
      <c r="X23" s="3">
        <v>43861</v>
      </c>
      <c r="Y23" cm="1">
        <f t="array" ref="Y23">SUMPRODUCT($T$2:$T$4,TRANSPOSE(B23:D23))</f>
        <v>-3.1975009897353664E-3</v>
      </c>
      <c r="AD23" s="3">
        <v>43860</v>
      </c>
      <c r="AE23" s="4">
        <v>-5.6685841099435742E-3</v>
      </c>
      <c r="AF23">
        <f t="shared" si="0"/>
        <v>0</v>
      </c>
      <c r="AG23" s="13"/>
    </row>
    <row r="24" spans="1:33" x14ac:dyDescent="0.35">
      <c r="A24" s="3">
        <v>43864</v>
      </c>
      <c r="B24" s="6">
        <f>LN(Raw!B26/Raw!B25)</f>
        <v>-1.3554735805807891E-2</v>
      </c>
      <c r="C24" s="6">
        <f>LN(Raw!C26/Raw!C25)</f>
        <v>-6.3365856225484213E-2</v>
      </c>
      <c r="D24" s="6">
        <f>LN(Raw!D26/Raw!D25)</f>
        <v>-0.1273950296033457</v>
      </c>
      <c r="N24" s="5">
        <f>_xlfn.PERCENTILE.INC(B2:B1487,0.01)</f>
        <v>-4.4093480507930639E-2</v>
      </c>
      <c r="O24" s="5">
        <f>_xlfn.PERCENTILE.INC(C2:C1487,0.01)</f>
        <v>-7.8538197242864649E-2</v>
      </c>
      <c r="P24" s="5">
        <f>_xlfn.PERCENTILE.INC(D2:D1487,0.01)</f>
        <v>-8.0364681387450523E-2</v>
      </c>
      <c r="X24" s="3">
        <v>43864</v>
      </c>
      <c r="Y24" cm="1">
        <f t="array" ref="Y24">SUMPRODUCT($T$2:$T$4,TRANSPOSE(B24:D24))</f>
        <v>-2.9129414367285691E-2</v>
      </c>
      <c r="AD24" s="3">
        <v>43861</v>
      </c>
      <c r="AE24" s="4">
        <v>-3.1975009897353664E-3</v>
      </c>
      <c r="AF24">
        <f t="shared" si="0"/>
        <v>0</v>
      </c>
      <c r="AG24" s="13"/>
    </row>
    <row r="25" spans="1:33" x14ac:dyDescent="0.35">
      <c r="A25" s="3">
        <v>43865</v>
      </c>
      <c r="B25" s="6">
        <f>LN(Raw!B27/Raw!B26)</f>
        <v>1.0439967219646545E-2</v>
      </c>
      <c r="C25" s="6">
        <f>LN(Raw!C27/Raw!C26)</f>
        <v>3.6405758840502095E-2</v>
      </c>
      <c r="D25" s="6">
        <f>LN(Raw!D27/Raw!D26)</f>
        <v>2.0246371236171411E-2</v>
      </c>
      <c r="X25" s="3">
        <v>43865</v>
      </c>
      <c r="Y25" cm="1">
        <f t="array" ref="Y25">SUMPRODUCT($T$2:$T$4,TRANSPOSE(B25:D25))</f>
        <v>1.610723055313236E-2</v>
      </c>
      <c r="AD25" s="3">
        <v>43864</v>
      </c>
      <c r="AE25" s="4">
        <v>-2.9129414367285691E-2</v>
      </c>
      <c r="AF25">
        <f t="shared" si="0"/>
        <v>0</v>
      </c>
      <c r="AG25" s="13"/>
    </row>
    <row r="26" spans="1:33" x14ac:dyDescent="0.35">
      <c r="A26" s="3">
        <v>43866</v>
      </c>
      <c r="B26" s="6">
        <f>LN(Raw!B28/Raw!B27)</f>
        <v>1.6600485518644476E-2</v>
      </c>
      <c r="C26" s="6">
        <f>LN(Raw!C28/Raw!C27)</f>
        <v>4.7154868740487389E-2</v>
      </c>
      <c r="D26" s="6">
        <f>LN(Raw!D28/Raw!D27)</f>
        <v>2.0896903950812635E-2</v>
      </c>
      <c r="X26" s="3">
        <v>43866</v>
      </c>
      <c r="Y26" cm="1">
        <f t="array" ref="Y26">SUMPRODUCT($T$2:$T$4,TRANSPOSE(B26:D26))</f>
        <v>2.2910795470268475E-2</v>
      </c>
      <c r="AD26" s="3">
        <v>43865</v>
      </c>
      <c r="AE26" s="4">
        <v>1.610723055313236E-2</v>
      </c>
      <c r="AF26">
        <f t="shared" si="0"/>
        <v>0</v>
      </c>
      <c r="AG26" s="13"/>
    </row>
    <row r="27" spans="1:33" x14ac:dyDescent="0.35">
      <c r="A27" s="3">
        <v>43867</v>
      </c>
      <c r="B27" s="6">
        <f>LN(Raw!B29/Raw!B28)</f>
        <v>3.0474670144043332E-2</v>
      </c>
      <c r="C27" s="6">
        <f>LN(Raw!C29/Raw!C28)</f>
        <v>1.9580528794355318E-3</v>
      </c>
      <c r="D27" s="6">
        <f>LN(Raw!D29/Raw!D28)</f>
        <v>5.9531293810499215E-2</v>
      </c>
      <c r="X27" s="3">
        <v>43867</v>
      </c>
      <c r="Y27" cm="1">
        <f t="array" ref="Y27">SUMPRODUCT($T$2:$T$4,TRANSPOSE(B27:D27))</f>
        <v>2.622167854171268E-2</v>
      </c>
      <c r="AD27" s="3">
        <v>43866</v>
      </c>
      <c r="AE27" s="4">
        <v>2.2910795470268475E-2</v>
      </c>
      <c r="AF27">
        <f t="shared" si="0"/>
        <v>0</v>
      </c>
      <c r="AG27" s="13"/>
    </row>
    <row r="28" spans="1:33" x14ac:dyDescent="0.35">
      <c r="A28" s="3">
        <v>43868</v>
      </c>
      <c r="B28" s="6">
        <f>LN(Raw!B30/Raw!B29)</f>
        <v>2.935319032248983E-3</v>
      </c>
      <c r="C28" s="6">
        <f>LN(Raw!C30/Raw!C29)</f>
        <v>6.218835654494613E-2</v>
      </c>
      <c r="D28" s="6">
        <f>LN(Raw!D30/Raw!D29)</f>
        <v>-6.959296337095299E-3</v>
      </c>
      <c r="X28" s="3">
        <v>43868</v>
      </c>
      <c r="Y28" cm="1">
        <f t="array" ref="Y28">SUMPRODUCT($T$2:$T$4,TRANSPOSE(B28:D28))</f>
        <v>1.4270648888507346E-2</v>
      </c>
      <c r="AD28" s="3">
        <v>43867</v>
      </c>
      <c r="AE28" s="4">
        <v>2.622167854171268E-2</v>
      </c>
      <c r="AF28">
        <f t="shared" si="0"/>
        <v>0</v>
      </c>
      <c r="AG28" s="13"/>
    </row>
    <row r="29" spans="1:33" x14ac:dyDescent="0.35">
      <c r="A29" s="3">
        <v>43871</v>
      </c>
      <c r="B29" s="6">
        <f>LN(Raw!B31/Raw!B30)</f>
        <v>-3.2260202141950996E-3</v>
      </c>
      <c r="C29" s="6">
        <f>LN(Raw!C31/Raw!C30)</f>
        <v>-2.1178633904961258E-2</v>
      </c>
      <c r="D29" s="6">
        <f>LN(Raw!D31/Raw!D30)</f>
        <v>6.628982286837482E-3</v>
      </c>
      <c r="X29" s="3">
        <v>43871</v>
      </c>
      <c r="Y29" cm="1">
        <f t="array" ref="Y29">SUMPRODUCT($T$2:$T$4,TRANSPOSE(B29:D29))</f>
        <v>-6.3210638484950546E-3</v>
      </c>
      <c r="AD29" s="3">
        <v>43868</v>
      </c>
      <c r="AE29" s="4">
        <v>1.4270648888507346E-2</v>
      </c>
      <c r="AF29">
        <f t="shared" si="0"/>
        <v>0</v>
      </c>
      <c r="AG29" s="13"/>
    </row>
    <row r="30" spans="1:33" x14ac:dyDescent="0.35">
      <c r="A30" s="3">
        <v>43872</v>
      </c>
      <c r="B30" s="6">
        <f>LN(Raw!B32/Raw!B31)</f>
        <v>-6.3733515252599208E-3</v>
      </c>
      <c r="C30" s="6">
        <f>LN(Raw!C32/Raw!C31)</f>
        <v>-0.12163944592332721</v>
      </c>
      <c r="D30" s="6">
        <f>LN(Raw!D32/Raw!D31)</f>
        <v>-4.4586784886636761E-2</v>
      </c>
      <c r="X30" s="3">
        <v>43872</v>
      </c>
      <c r="Y30" cm="1">
        <f t="array" ref="Y30">SUMPRODUCT($T$2:$T$4,TRANSPOSE(B30:D30))</f>
        <v>-3.1267972662170601E-2</v>
      </c>
      <c r="AD30" s="3">
        <v>43871</v>
      </c>
      <c r="AE30" s="4">
        <v>-6.3210638484950546E-3</v>
      </c>
      <c r="AF30">
        <f t="shared" si="0"/>
        <v>0</v>
      </c>
      <c r="AG30" s="13"/>
    </row>
    <row r="31" spans="1:33" x14ac:dyDescent="0.35">
      <c r="A31" s="3">
        <v>43873</v>
      </c>
      <c r="B31" s="6">
        <f>LN(Raw!B33/Raw!B32)</f>
        <v>-1.2684995509455206E-2</v>
      </c>
      <c r="C31" s="6">
        <f>LN(Raw!C33/Raw!C32)</f>
        <v>8.8664279388678061E-3</v>
      </c>
      <c r="D31" s="6">
        <f>LN(Raw!D33/Raw!D32)</f>
        <v>-1.1813870444172836E-2</v>
      </c>
      <c r="X31" s="3">
        <v>43873</v>
      </c>
      <c r="Y31" cm="1">
        <f t="array" ref="Y31">SUMPRODUCT($T$2:$T$4,TRANSPOSE(B31:D31))</f>
        <v>-8.3409069305139562E-3</v>
      </c>
      <c r="AD31" s="3">
        <v>43872</v>
      </c>
      <c r="AE31" s="4">
        <v>-3.1267972662170601E-2</v>
      </c>
      <c r="AF31">
        <f t="shared" si="0"/>
        <v>0</v>
      </c>
      <c r="AG31" s="13"/>
    </row>
    <row r="32" spans="1:33" x14ac:dyDescent="0.35">
      <c r="A32" s="3">
        <v>43874</v>
      </c>
      <c r="B32" s="6">
        <f>LN(Raw!B34/Raw!B33)</f>
        <v>-2.8905098953137536E-3</v>
      </c>
      <c r="C32" s="6">
        <f>LN(Raw!C34/Raw!C33)</f>
        <v>-4.0095320343956319E-2</v>
      </c>
      <c r="D32" s="6">
        <f>LN(Raw!D34/Raw!D33)</f>
        <v>-7.3673513509337823E-3</v>
      </c>
      <c r="X32" s="3">
        <v>43874</v>
      </c>
      <c r="Y32" cm="1">
        <f t="array" ref="Y32">SUMPRODUCT($T$2:$T$4,TRANSPOSE(B32:D32))</f>
        <v>-1.053696217232979E-2</v>
      </c>
      <c r="AD32" s="3">
        <v>43873</v>
      </c>
      <c r="AE32" s="4">
        <v>-8.3409069305139562E-3</v>
      </c>
      <c r="AF32">
        <f t="shared" si="0"/>
        <v>0</v>
      </c>
      <c r="AG32" s="13"/>
    </row>
    <row r="33" spans="1:33" x14ac:dyDescent="0.35">
      <c r="A33" s="3">
        <v>43875</v>
      </c>
      <c r="B33" s="6">
        <f>LN(Raw!B35/Raw!B34)</f>
        <v>4.6280830381985874E-3</v>
      </c>
      <c r="C33" s="6">
        <f>LN(Raw!C35/Raw!C34)</f>
        <v>-4.7259995320699438E-2</v>
      </c>
      <c r="D33" s="6">
        <f>LN(Raw!D35/Raw!D34)</f>
        <v>-3.6576248265482066E-2</v>
      </c>
      <c r="X33" s="3">
        <v>43875</v>
      </c>
      <c r="Y33" cm="1">
        <f t="array" ref="Y33">SUMPRODUCT($T$2:$T$4,TRANSPOSE(B33:D33))</f>
        <v>-7.7663285001549698E-3</v>
      </c>
      <c r="AD33" s="3">
        <v>43874</v>
      </c>
      <c r="AE33" s="4">
        <v>-1.053696217232979E-2</v>
      </c>
      <c r="AF33">
        <f t="shared" si="0"/>
        <v>0</v>
      </c>
      <c r="AG33" s="13"/>
    </row>
    <row r="34" spans="1:33" x14ac:dyDescent="0.35">
      <c r="A34" s="3">
        <v>43878</v>
      </c>
      <c r="B34" s="6">
        <f>LN(Raw!B36/Raw!B35)</f>
        <v>-1.1106199475300296E-2</v>
      </c>
      <c r="C34" s="6">
        <f>LN(Raw!C36/Raw!C35)</f>
        <v>-2.3202919306706669E-2</v>
      </c>
      <c r="D34" s="6">
        <f>LN(Raw!D36/Raw!D35)</f>
        <v>-3.0030012182795149E-2</v>
      </c>
      <c r="X34" s="3">
        <v>43878</v>
      </c>
      <c r="Y34" cm="1">
        <f t="array" ref="Y34">SUMPRODUCT($T$2:$T$4,TRANSPOSE(B34:D34))</f>
        <v>-1.4456860197706058E-2</v>
      </c>
      <c r="AD34" s="3">
        <v>43875</v>
      </c>
      <c r="AE34" s="4">
        <v>-7.7663285001549698E-3</v>
      </c>
      <c r="AF34">
        <f t="shared" si="0"/>
        <v>0</v>
      </c>
      <c r="AG34" s="13"/>
    </row>
    <row r="35" spans="1:33" x14ac:dyDescent="0.35">
      <c r="A35" s="3">
        <v>43879</v>
      </c>
      <c r="B35" s="6">
        <f>LN(Raw!B37/Raw!B36)</f>
        <v>5.6020887899991146E-4</v>
      </c>
      <c r="C35" s="6">
        <f>LN(Raw!C37/Raw!C36)</f>
        <v>-2.4475482507323214E-2</v>
      </c>
      <c r="D35" s="6">
        <f>LN(Raw!D37/Raw!D36)</f>
        <v>-2.5153809763093737E-2</v>
      </c>
      <c r="X35" s="3">
        <v>43879</v>
      </c>
      <c r="Y35" cm="1">
        <f t="array" ref="Y35">SUMPRODUCT($T$2:$T$4,TRANSPOSE(B35:D35))</f>
        <v>-5.7087058038315843E-3</v>
      </c>
      <c r="AD35" s="3">
        <v>43878</v>
      </c>
      <c r="AE35" s="4">
        <v>-1.4456860197706058E-2</v>
      </c>
      <c r="AF35">
        <f t="shared" si="0"/>
        <v>0</v>
      </c>
      <c r="AG35" s="13"/>
    </row>
    <row r="36" spans="1:33" x14ac:dyDescent="0.35">
      <c r="A36" s="3">
        <v>43880</v>
      </c>
      <c r="B36" s="6">
        <f>LN(Raw!B38/Raw!B37)</f>
        <v>1.1985476292003082E-2</v>
      </c>
      <c r="C36" s="6">
        <f>LN(Raw!C38/Raw!C37)</f>
        <v>4.1235648724310951E-2</v>
      </c>
      <c r="D36" s="6">
        <f>LN(Raw!D38/Raw!D37)</f>
        <v>2.4400778330025991E-2</v>
      </c>
      <c r="X36" s="3">
        <v>43880</v>
      </c>
      <c r="Y36" cm="1">
        <f t="array" ref="Y36">SUMPRODUCT($T$2:$T$4,TRANSPOSE(B36:D36))</f>
        <v>1.8437311862649072E-2</v>
      </c>
      <c r="AD36" s="3">
        <v>43879</v>
      </c>
      <c r="AE36" s="4">
        <v>-5.7087058038315843E-3</v>
      </c>
      <c r="AF36">
        <f t="shared" si="0"/>
        <v>0</v>
      </c>
      <c r="AG36" s="13"/>
    </row>
    <row r="37" spans="1:33" x14ac:dyDescent="0.35">
      <c r="A37" s="3">
        <v>43881</v>
      </c>
      <c r="B37" s="6">
        <f>LN(Raw!B39/Raw!B38)</f>
        <v>-7.4787838461267218E-3</v>
      </c>
      <c r="C37" s="6">
        <f>LN(Raw!C39/Raw!C38)</f>
        <v>-2.8804194586415154E-2</v>
      </c>
      <c r="D37" s="6">
        <f>LN(Raw!D39/Raw!D38)</f>
        <v>1.0863488994106862E-2</v>
      </c>
      <c r="X37" s="3">
        <v>43881</v>
      </c>
      <c r="Y37" cm="1">
        <f t="array" ref="Y37">SUMPRODUCT($T$2:$T$4,TRANSPOSE(B37:D37))</f>
        <v>-1.0826894172093404E-2</v>
      </c>
      <c r="AD37" s="3">
        <v>43880</v>
      </c>
      <c r="AE37" s="4">
        <v>1.8437311862649072E-2</v>
      </c>
      <c r="AF37">
        <f t="shared" si="0"/>
        <v>0</v>
      </c>
      <c r="AG37" s="13"/>
    </row>
    <row r="38" spans="1:33" x14ac:dyDescent="0.35">
      <c r="A38" s="3">
        <v>43885</v>
      </c>
      <c r="B38" s="6">
        <f>LN(Raw!B40/Raw!B39)</f>
        <v>-3.0448856500185043E-2</v>
      </c>
      <c r="C38" s="6">
        <f>LN(Raw!C40/Raw!C39)</f>
        <v>-4.8683302372795209E-2</v>
      </c>
      <c r="D38" s="6">
        <f>LN(Raw!D40/Raw!D39)</f>
        <v>-3.7582781781812825E-2</v>
      </c>
      <c r="X38" s="3">
        <v>43885</v>
      </c>
      <c r="Y38" cm="1">
        <f t="array" ref="Y38">SUMPRODUCT($T$2:$T$4,TRANSPOSE(B38:D38))</f>
        <v>-3.4440928502007695E-2</v>
      </c>
      <c r="AD38" s="3">
        <v>43881</v>
      </c>
      <c r="AE38" s="4">
        <v>-1.0826894172093404E-2</v>
      </c>
      <c r="AF38">
        <f t="shared" si="0"/>
        <v>0</v>
      </c>
      <c r="AG38" s="13"/>
    </row>
    <row r="39" spans="1:33" x14ac:dyDescent="0.35">
      <c r="A39" s="3">
        <v>43886</v>
      </c>
      <c r="B39" s="6">
        <f>LN(Raw!B41/Raw!B40)</f>
        <v>-1.404334084597187E-2</v>
      </c>
      <c r="C39" s="6">
        <f>LN(Raw!C41/Raw!C40)</f>
        <v>-8.7687875107617889E-3</v>
      </c>
      <c r="D39" s="6">
        <f>LN(Raw!D41/Raw!D40)</f>
        <v>-3.1836007690442814E-2</v>
      </c>
      <c r="X39" s="3">
        <v>43886</v>
      </c>
      <c r="Y39" cm="1">
        <f t="array" ref="Y39">SUMPRODUCT($T$2:$T$4,TRANSPOSE(B39:D39))</f>
        <v>-1.3871269218767242E-2</v>
      </c>
      <c r="AD39" s="3">
        <v>43885</v>
      </c>
      <c r="AE39" s="4">
        <v>-3.4440928502007695E-2</v>
      </c>
      <c r="AF39">
        <f t="shared" si="0"/>
        <v>0</v>
      </c>
      <c r="AG39" s="13"/>
    </row>
    <row r="40" spans="1:33" x14ac:dyDescent="0.35">
      <c r="A40" s="3">
        <v>43887</v>
      </c>
      <c r="B40" s="6">
        <f>LN(Raw!B42/Raw!B41)</f>
        <v>-4.0800917669981965E-2</v>
      </c>
      <c r="C40" s="6">
        <f>LN(Raw!C42/Raw!C41)</f>
        <v>-4.4508877349895254E-2</v>
      </c>
      <c r="D40" s="6">
        <f>LN(Raw!D42/Raw!D41)</f>
        <v>-6.8593597905796097E-2</v>
      </c>
      <c r="X40" s="3">
        <v>43887</v>
      </c>
      <c r="Y40" cm="1">
        <f t="array" ref="Y40">SUMPRODUCT($T$2:$T$4,TRANSPOSE(B40:D40))</f>
        <v>-4.2916370527391889E-2</v>
      </c>
      <c r="AD40" s="3">
        <v>43886</v>
      </c>
      <c r="AE40" s="4">
        <v>-1.3871269218767242E-2</v>
      </c>
      <c r="AF40">
        <f t="shared" si="0"/>
        <v>0</v>
      </c>
      <c r="AG40" s="13"/>
    </row>
    <row r="41" spans="1:33" x14ac:dyDescent="0.35">
      <c r="A41" s="3">
        <v>43888</v>
      </c>
      <c r="B41" s="6">
        <f>LN(Raw!B43/Raw!B42)</f>
        <v>1.2307901972570126E-2</v>
      </c>
      <c r="C41" s="6">
        <f>LN(Raw!C43/Raw!C42)</f>
        <v>-6.0739784435461783E-2</v>
      </c>
      <c r="D41" s="6">
        <f>LN(Raw!D43/Raw!D42)</f>
        <v>-2.7315692137109038E-2</v>
      </c>
      <c r="X41" s="3">
        <v>43888</v>
      </c>
      <c r="Y41" cm="1">
        <f t="array" ref="Y41">SUMPRODUCT($T$2:$T$4,TRANSPOSE(B41:D41))</f>
        <v>-4.231061321125466E-3</v>
      </c>
      <c r="AD41" s="3">
        <v>43887</v>
      </c>
      <c r="AE41" s="4">
        <v>-4.2916370527391889E-2</v>
      </c>
      <c r="AF41">
        <f t="shared" si="0"/>
        <v>0</v>
      </c>
      <c r="AG41" s="13"/>
    </row>
    <row r="42" spans="1:33" x14ac:dyDescent="0.35">
      <c r="A42" s="3">
        <v>43889</v>
      </c>
      <c r="B42" s="6">
        <f>LN(Raw!B44/Raw!B43)</f>
        <v>-1.1337058585953167E-2</v>
      </c>
      <c r="C42" s="6">
        <f>LN(Raw!C44/Raw!C43)</f>
        <v>-8.8511922353560132E-2</v>
      </c>
      <c r="D42" s="6">
        <f>LN(Raw!D44/Raw!D43)</f>
        <v>-3.8535377252150567E-2</v>
      </c>
      <c r="X42" s="3">
        <v>43889</v>
      </c>
      <c r="Y42" cm="1">
        <f t="array" ref="Y42">SUMPRODUCT($T$2:$T$4,TRANSPOSE(B42:D42))</f>
        <v>-2.8084746341661398E-2</v>
      </c>
      <c r="AD42" s="3">
        <v>43888</v>
      </c>
      <c r="AE42" s="4">
        <v>-4.231061321125466E-3</v>
      </c>
      <c r="AF42">
        <f t="shared" si="0"/>
        <v>0</v>
      </c>
      <c r="AG42" s="13"/>
    </row>
    <row r="43" spans="1:33" x14ac:dyDescent="0.35">
      <c r="A43" s="3">
        <v>43892</v>
      </c>
      <c r="B43" s="6">
        <f>LN(Raw!B45/Raw!B44)</f>
        <v>-3.0835083744191173E-2</v>
      </c>
      <c r="C43" s="6">
        <f>LN(Raw!C45/Raw!C44)</f>
        <v>5.4829059040821283E-3</v>
      </c>
      <c r="D43" s="6">
        <f>LN(Raw!D45/Raw!D44)</f>
        <v>-6.8760627733880217E-3</v>
      </c>
      <c r="X43" s="3">
        <v>43892</v>
      </c>
      <c r="Y43" cm="1">
        <f t="array" ref="Y43">SUMPRODUCT($T$2:$T$4,TRANSPOSE(B43:D43))</f>
        <v>-2.2401437124766534E-2</v>
      </c>
      <c r="AD43" s="3">
        <v>43889</v>
      </c>
      <c r="AE43" s="4">
        <v>-2.8084746341661398E-2</v>
      </c>
      <c r="AF43">
        <f t="shared" si="0"/>
        <v>0</v>
      </c>
      <c r="AG43" s="13"/>
    </row>
    <row r="44" spans="1:33" x14ac:dyDescent="0.35">
      <c r="A44" s="3">
        <v>43893</v>
      </c>
      <c r="B44" s="6">
        <f>LN(Raw!B46/Raw!B45)</f>
        <v>9.8338864751524504E-3</v>
      </c>
      <c r="C44" s="6">
        <f>LN(Raw!C46/Raw!C45)</f>
        <v>1.2977376549219313E-2</v>
      </c>
      <c r="D44" s="6">
        <f>LN(Raw!D46/Raw!D45)</f>
        <v>8.2456486795069225E-3</v>
      </c>
      <c r="X44" s="3">
        <v>43893</v>
      </c>
      <c r="Y44" cm="1">
        <f t="array" ref="Y44">SUMPRODUCT($T$2:$T$4,TRANSPOSE(B44:D44))</f>
        <v>1.0382624637431698E-2</v>
      </c>
      <c r="AD44" s="3">
        <v>43892</v>
      </c>
      <c r="AE44" s="4">
        <v>-2.2401437124766534E-2</v>
      </c>
      <c r="AF44">
        <f t="shared" si="0"/>
        <v>0</v>
      </c>
      <c r="AG44" s="13"/>
    </row>
    <row r="45" spans="1:33" x14ac:dyDescent="0.35">
      <c r="A45" s="3">
        <v>43894</v>
      </c>
      <c r="B45" s="6">
        <f>LN(Raw!B47/Raw!B46)</f>
        <v>2.9274603769800789E-3</v>
      </c>
      <c r="C45" s="6">
        <f>LN(Raw!C47/Raw!C46)</f>
        <v>-1.907120468414264E-2</v>
      </c>
      <c r="D45" s="6">
        <f>LN(Raw!D47/Raw!D46)</f>
        <v>-3.8600434304073734E-2</v>
      </c>
      <c r="X45" s="3">
        <v>43894</v>
      </c>
      <c r="Y45" cm="1">
        <f t="array" ref="Y45">SUMPRODUCT($T$2:$T$4,TRANSPOSE(B45:D45))</f>
        <v>-3.5179912350784201E-3</v>
      </c>
      <c r="AD45" s="3">
        <v>43893</v>
      </c>
      <c r="AE45" s="4">
        <v>1.0382624637431698E-2</v>
      </c>
      <c r="AF45">
        <f t="shared" si="0"/>
        <v>0</v>
      </c>
      <c r="AG45" s="13"/>
    </row>
    <row r="46" spans="1:33" x14ac:dyDescent="0.35">
      <c r="A46" s="3">
        <v>43895</v>
      </c>
      <c r="B46" s="6">
        <f>LN(Raw!B48/Raw!B47)</f>
        <v>3.8959394447831842E-2</v>
      </c>
      <c r="C46" s="6">
        <f>LN(Raw!C48/Raw!C47)</f>
        <v>-8.5944191904987893E-3</v>
      </c>
      <c r="D46" s="6">
        <f>LN(Raw!D48/Raw!D47)</f>
        <v>-4.7420809767468984E-4</v>
      </c>
      <c r="X46" s="3">
        <v>43895</v>
      </c>
      <c r="Y46" cm="1">
        <f t="array" ref="Y46">SUMPRODUCT($T$2:$T$4,TRANSPOSE(B46:D46))</f>
        <v>2.7517597105713453E-2</v>
      </c>
      <c r="AD46" s="3">
        <v>43894</v>
      </c>
      <c r="AE46" s="4">
        <v>-3.5179912350784201E-3</v>
      </c>
      <c r="AF46">
        <f t="shared" si="0"/>
        <v>0</v>
      </c>
      <c r="AG46" s="13"/>
    </row>
    <row r="47" spans="1:33" x14ac:dyDescent="0.35">
      <c r="A47" s="3">
        <v>43896</v>
      </c>
      <c r="B47" s="6">
        <f>LN(Raw!B49/Raw!B48)</f>
        <v>1.30583096130859E-3</v>
      </c>
      <c r="C47" s="6">
        <f>LN(Raw!C49/Raw!C48)</f>
        <v>-1.9297168179192525E-2</v>
      </c>
      <c r="D47" s="6">
        <f>LN(Raw!D49/Raw!D48)</f>
        <v>-2.5950656582247305E-2</v>
      </c>
      <c r="X47" s="3">
        <v>43896</v>
      </c>
      <c r="Y47" cm="1">
        <f t="array" ref="Y47">SUMPRODUCT($T$2:$T$4,TRANSPOSE(B47:D47))</f>
        <v>-4.1547967605472958E-3</v>
      </c>
      <c r="AD47" s="3">
        <v>43895</v>
      </c>
      <c r="AE47" s="4">
        <v>2.7517597105713453E-2</v>
      </c>
      <c r="AF47">
        <f t="shared" si="0"/>
        <v>0</v>
      </c>
      <c r="AG47" s="13"/>
    </row>
    <row r="48" spans="1:33" x14ac:dyDescent="0.35">
      <c r="A48" s="3">
        <v>43899</v>
      </c>
      <c r="B48" s="6">
        <f>LN(Raw!B50/Raw!B49)</f>
        <v>-4.5714430250546556E-2</v>
      </c>
      <c r="C48" s="6">
        <f>LN(Raw!C50/Raw!C49)</f>
        <v>-4.4666143573656898E-2</v>
      </c>
      <c r="D48" s="6">
        <f>LN(Raw!D50/Raw!D49)</f>
        <v>-5.6070767777004989E-2</v>
      </c>
      <c r="X48" s="3">
        <v>43899</v>
      </c>
      <c r="Y48" cm="1">
        <f t="array" ref="Y48">SUMPRODUCT($T$2:$T$4,TRANSPOSE(B48:D48))</f>
        <v>-4.6017761567026902E-2</v>
      </c>
      <c r="AD48" s="3">
        <v>43896</v>
      </c>
      <c r="AE48" s="4">
        <v>-4.1547967605472958E-3</v>
      </c>
      <c r="AF48">
        <f t="shared" si="0"/>
        <v>0</v>
      </c>
      <c r="AG48" s="13"/>
    </row>
    <row r="49" spans="1:33" x14ac:dyDescent="0.35">
      <c r="A49" s="3">
        <v>43901</v>
      </c>
      <c r="B49" s="6">
        <f>LN(Raw!B51/Raw!B50)</f>
        <v>-1.4887916519924984E-2</v>
      </c>
      <c r="C49" s="6">
        <f>LN(Raw!C51/Raw!C50)</f>
        <v>-9.8618843634108396E-4</v>
      </c>
      <c r="D49" s="6">
        <f>LN(Raw!D51/Raw!D50)</f>
        <v>2.491881578852656E-2</v>
      </c>
      <c r="X49" s="3">
        <v>43901</v>
      </c>
      <c r="Y49" cm="1">
        <f t="array" ref="Y49">SUMPRODUCT($T$2:$T$4,TRANSPOSE(B49:D49))</f>
        <v>-1.0143535560713027E-2</v>
      </c>
      <c r="AD49" s="3">
        <v>43899</v>
      </c>
      <c r="AE49" s="4">
        <v>-4.6017761567026902E-2</v>
      </c>
      <c r="AF49">
        <f t="shared" si="0"/>
        <v>1</v>
      </c>
      <c r="AG49" s="13"/>
    </row>
    <row r="50" spans="1:33" x14ac:dyDescent="0.35">
      <c r="A50" s="3">
        <v>43902</v>
      </c>
      <c r="B50" s="6">
        <f>LN(Raw!B52/Raw!B51)</f>
        <v>-7.491968905454767E-2</v>
      </c>
      <c r="C50" s="6">
        <f>LN(Raw!C52/Raw!C51)</f>
        <v>-0.10536065170656769</v>
      </c>
      <c r="D50" s="6">
        <f>LN(Raw!D52/Raw!D51)</f>
        <v>-9.5310219478344851E-2</v>
      </c>
      <c r="X50" s="3">
        <v>43902</v>
      </c>
      <c r="Y50" cm="1">
        <f t="array" ref="Y50">SUMPRODUCT($T$2:$T$4,TRANSPOSE(B50:D50))</f>
        <v>-8.2003862742272865E-2</v>
      </c>
      <c r="AD50" s="3">
        <v>43901</v>
      </c>
      <c r="AE50" s="4">
        <v>-1.0143535560713027E-2</v>
      </c>
      <c r="AF50">
        <f t="shared" si="0"/>
        <v>0</v>
      </c>
      <c r="AG50" s="13"/>
    </row>
    <row r="51" spans="1:33" x14ac:dyDescent="0.35">
      <c r="A51" s="3">
        <v>43903</v>
      </c>
      <c r="B51" s="6">
        <f>LN(Raw!B53/Raw!B52)</f>
        <v>1.9284978511511845E-2</v>
      </c>
      <c r="C51" s="6">
        <f>LN(Raw!C53/Raw!C52)</f>
        <v>2.1335184949225577E-2</v>
      </c>
      <c r="D51" s="6">
        <f>LN(Raw!D53/Raw!D52)</f>
        <v>-1.2229131914480723E-2</v>
      </c>
      <c r="X51" s="3">
        <v>43903</v>
      </c>
      <c r="Y51" cm="1">
        <f t="array" ref="Y51">SUMPRODUCT($T$2:$T$4,TRANSPOSE(B51:D51))</f>
        <v>1.8134497367458993E-2</v>
      </c>
      <c r="AD51" s="3">
        <v>43902</v>
      </c>
      <c r="AE51" s="4">
        <v>-8.2003862742272865E-2</v>
      </c>
      <c r="AF51">
        <f t="shared" si="0"/>
        <v>1</v>
      </c>
      <c r="AG51" s="13"/>
    </row>
    <row r="52" spans="1:33" x14ac:dyDescent="0.35">
      <c r="A52" s="3">
        <v>43906</v>
      </c>
      <c r="B52" s="6">
        <f>LN(Raw!B54/Raw!B53)</f>
        <v>-3.4203268815211726E-2</v>
      </c>
      <c r="C52" s="6">
        <f>LN(Raw!C54/Raw!C53)</f>
        <v>-6.0088123503461273E-2</v>
      </c>
      <c r="D52" s="6">
        <f>LN(Raw!D54/Raw!D53)</f>
        <v>-8.0322432856581708E-2</v>
      </c>
      <c r="X52" s="3">
        <v>43906</v>
      </c>
      <c r="Y52" cm="1">
        <f t="array" ref="Y52">SUMPRODUCT($T$2:$T$4,TRANSPOSE(B52:D52))</f>
        <v>-4.1651501971511934E-2</v>
      </c>
      <c r="AD52" s="3">
        <v>43903</v>
      </c>
      <c r="AE52" s="4">
        <v>1.8134497367458993E-2</v>
      </c>
      <c r="AF52">
        <f t="shared" si="0"/>
        <v>0</v>
      </c>
      <c r="AG52" s="13"/>
    </row>
    <row r="53" spans="1:33" x14ac:dyDescent="0.35">
      <c r="A53" s="3">
        <v>43907</v>
      </c>
      <c r="B53" s="6">
        <f>LN(Raw!B55/Raw!B54)</f>
        <v>-1.1604024903857875E-2</v>
      </c>
      <c r="C53" s="6">
        <f>LN(Raw!C55/Raw!C54)</f>
        <v>-5.1853397623632565E-2</v>
      </c>
      <c r="D53" s="6">
        <f>LN(Raw!D55/Raw!D54)</f>
        <v>1.6231138576803337E-2</v>
      </c>
      <c r="X53" s="3">
        <v>43907</v>
      </c>
      <c r="Y53" cm="1">
        <f t="array" ref="Y53">SUMPRODUCT($T$2:$T$4,TRANSPOSE(B53:D53))</f>
        <v>-1.8258949933873905E-2</v>
      </c>
      <c r="AD53" s="3">
        <v>43906</v>
      </c>
      <c r="AE53" s="4">
        <v>-4.1651501971511934E-2</v>
      </c>
      <c r="AF53">
        <f t="shared" si="0"/>
        <v>0</v>
      </c>
      <c r="AG53" s="13"/>
    </row>
    <row r="54" spans="1:33" x14ac:dyDescent="0.35">
      <c r="A54" s="3">
        <v>43908</v>
      </c>
      <c r="B54" s="6">
        <f>LN(Raw!B56/Raw!B55)</f>
        <v>-7.6762288757072111E-2</v>
      </c>
      <c r="C54" s="6">
        <f>LN(Raw!C56/Raw!C55)</f>
        <v>-8.3851386955131627E-2</v>
      </c>
      <c r="D54" s="6">
        <f>LN(Raw!D56/Raw!D55)</f>
        <v>7.5767773096161797E-2</v>
      </c>
      <c r="X54" s="3">
        <v>43908</v>
      </c>
      <c r="Y54" cm="1">
        <f t="array" ref="Y54">SUMPRODUCT($T$2:$T$4,TRANSPOSE(B54:D54))</f>
        <v>-7.0628316492548276E-2</v>
      </c>
      <c r="AD54" s="3">
        <v>43907</v>
      </c>
      <c r="AE54" s="4">
        <v>-1.8258949933873905E-2</v>
      </c>
      <c r="AF54">
        <f t="shared" si="0"/>
        <v>0</v>
      </c>
      <c r="AG54" s="13"/>
    </row>
    <row r="55" spans="1:33" x14ac:dyDescent="0.35">
      <c r="A55" s="3">
        <v>43909</v>
      </c>
      <c r="B55" s="6">
        <f>LN(Raw!B57/Raw!B56)</f>
        <v>3.3185070261623047E-2</v>
      </c>
      <c r="C55" s="6">
        <f>LN(Raw!C57/Raw!C56)</f>
        <v>-0.10497381073320655</v>
      </c>
      <c r="D55" s="6">
        <f>LN(Raw!D57/Raw!D56)</f>
        <v>-6.2734357966398521E-2</v>
      </c>
      <c r="X55" s="3">
        <v>43909</v>
      </c>
      <c r="Y55" cm="1">
        <f t="array" ref="Y55">SUMPRODUCT($T$2:$T$4,TRANSPOSE(B55:D55))</f>
        <v>8.6590313296716279E-4</v>
      </c>
      <c r="AD55" s="3">
        <v>43908</v>
      </c>
      <c r="AE55" s="4">
        <v>-7.0628316492548276E-2</v>
      </c>
      <c r="AF55">
        <f t="shared" si="0"/>
        <v>1</v>
      </c>
      <c r="AG55" s="13"/>
    </row>
    <row r="56" spans="1:33" x14ac:dyDescent="0.35">
      <c r="A56" s="3">
        <v>43910</v>
      </c>
      <c r="B56" s="6">
        <f>LN(Raw!B58/Raw!B57)</f>
        <v>-2.4535975700764458E-2</v>
      </c>
      <c r="C56" s="6">
        <f>LN(Raw!C58/Raw!C57)</f>
        <v>-8.5738068647647894E-2</v>
      </c>
      <c r="D56" s="6">
        <f>LN(Raw!D58/Raw!D57)</f>
        <v>4.7135194353134062E-2</v>
      </c>
      <c r="X56" s="3">
        <v>43910</v>
      </c>
      <c r="Y56" cm="1">
        <f t="array" ref="Y56">SUMPRODUCT($T$2:$T$4,TRANSPOSE(B56:D56))</f>
        <v>-3.3202946214371698E-2</v>
      </c>
      <c r="AD56" s="3">
        <v>43909</v>
      </c>
      <c r="AE56" s="4">
        <v>8.6590313296716279E-4</v>
      </c>
      <c r="AF56">
        <f t="shared" si="0"/>
        <v>0</v>
      </c>
      <c r="AG56" s="13"/>
    </row>
    <row r="57" spans="1:33" x14ac:dyDescent="0.35">
      <c r="A57" s="3">
        <v>43913</v>
      </c>
      <c r="B57" s="6">
        <f>LN(Raw!B59/Raw!B58)</f>
        <v>-0.1952375282258085</v>
      </c>
      <c r="C57" s="6">
        <f>LN(Raw!C59/Raw!C58)</f>
        <v>-5.0766804159704096E-2</v>
      </c>
      <c r="D57" s="6">
        <f>LN(Raw!D59/Raw!D58)</f>
        <v>-0.10904823011076024</v>
      </c>
      <c r="X57" s="3">
        <v>43913</v>
      </c>
      <c r="Y57" cm="1">
        <f t="array" ref="Y57">SUMPRODUCT($T$2:$T$4,TRANSPOSE(B57:D57))</f>
        <v>-0.16214026246101892</v>
      </c>
      <c r="AD57" s="3">
        <v>43910</v>
      </c>
      <c r="AE57" s="4">
        <v>-3.3202946214371698E-2</v>
      </c>
      <c r="AF57">
        <f t="shared" si="0"/>
        <v>0</v>
      </c>
      <c r="AG57" s="13"/>
    </row>
    <row r="58" spans="1:33" x14ac:dyDescent="0.35">
      <c r="A58" s="3">
        <v>43914</v>
      </c>
      <c r="B58" s="6">
        <f>LN(Raw!B60/Raw!B59)</f>
        <v>2.9395460780981063E-2</v>
      </c>
      <c r="C58" s="6">
        <f>LN(Raw!C60/Raw!C59)</f>
        <v>-5.114750460808816E-2</v>
      </c>
      <c r="D58" s="6">
        <f>LN(Raw!D60/Raw!D59)</f>
        <v>-2.0241068438960282E-2</v>
      </c>
      <c r="X58" s="3">
        <v>43914</v>
      </c>
      <c r="Y58" cm="1">
        <f t="array" ref="Y58">SUMPRODUCT($T$2:$T$4,TRANSPOSE(B58:D58))</f>
        <v>1.0865137587583409E-2</v>
      </c>
      <c r="AD58" s="3">
        <v>43913</v>
      </c>
      <c r="AE58" s="4">
        <v>-0.16214026246101892</v>
      </c>
      <c r="AF58">
        <f t="shared" si="0"/>
        <v>1</v>
      </c>
      <c r="AG58" s="13"/>
    </row>
    <row r="59" spans="1:33" x14ac:dyDescent="0.35">
      <c r="A59" s="3">
        <v>43915</v>
      </c>
      <c r="B59" s="6">
        <f>LN(Raw!B61/Raw!B60)</f>
        <v>0.14623748685781016</v>
      </c>
      <c r="C59" s="6">
        <f>LN(Raw!C61/Raw!C60)</f>
        <v>4.8373546740096827E-2</v>
      </c>
      <c r="D59" s="6">
        <f>LN(Raw!D61/Raw!D60)</f>
        <v>5.2889550490020081E-2</v>
      </c>
      <c r="X59" s="3">
        <v>43915</v>
      </c>
      <c r="Y59" cm="1">
        <f t="array" ref="Y59">SUMPRODUCT($T$2:$T$4,TRANSPOSE(B59:D59))</f>
        <v>0.12208716653679395</v>
      </c>
      <c r="AD59" s="3">
        <v>43914</v>
      </c>
      <c r="AE59" s="4">
        <v>1.0865137587583409E-2</v>
      </c>
      <c r="AF59">
        <f t="shared" si="0"/>
        <v>0</v>
      </c>
      <c r="AG59" s="13"/>
    </row>
    <row r="60" spans="1:33" x14ac:dyDescent="0.35">
      <c r="A60" s="3">
        <v>43916</v>
      </c>
      <c r="B60" s="6">
        <f>LN(Raw!B62/Raw!B61)</f>
        <v>0.10756129994516839</v>
      </c>
      <c r="C60" s="6">
        <f>LN(Raw!C62/Raw!C61)</f>
        <v>4.7201686814132497E-2</v>
      </c>
      <c r="D60" s="6">
        <f>LN(Raw!D62/Raw!D61)</f>
        <v>0.13949825883998554</v>
      </c>
      <c r="X60" s="3">
        <v>43916</v>
      </c>
      <c r="Y60" cm="1">
        <f t="array" ref="Y60">SUMPRODUCT($T$2:$T$4,TRANSPOSE(B60:D60))</f>
        <v>9.7096009954086654E-2</v>
      </c>
      <c r="AD60" s="3">
        <v>43915</v>
      </c>
      <c r="AE60" s="4">
        <v>0.12208716653679395</v>
      </c>
      <c r="AF60">
        <f t="shared" si="0"/>
        <v>0</v>
      </c>
      <c r="AG60" s="13"/>
    </row>
    <row r="61" spans="1:33" x14ac:dyDescent="0.35">
      <c r="A61" s="3">
        <v>43917</v>
      </c>
      <c r="B61" s="6">
        <f>LN(Raw!B63/Raw!B62)</f>
        <v>-6.9901730152506031E-2</v>
      </c>
      <c r="C61" s="6">
        <f>LN(Raw!C63/Raw!C62)</f>
        <v>4.8613464351130765E-2</v>
      </c>
      <c r="D61" s="6">
        <f>LN(Raw!D63/Raw!D62)</f>
        <v>3.8774669031820641E-2</v>
      </c>
      <c r="X61" s="3">
        <v>43917</v>
      </c>
      <c r="Y61" cm="1">
        <f t="array" ref="Y61">SUMPRODUCT($T$2:$T$4,TRANSPOSE(B61:D61))</f>
        <v>-4.0871471806022859E-2</v>
      </c>
      <c r="AD61" s="3">
        <v>43916</v>
      </c>
      <c r="AE61" s="4">
        <v>9.7096009954086654E-2</v>
      </c>
      <c r="AF61">
        <f t="shared" si="0"/>
        <v>0</v>
      </c>
      <c r="AG61" s="13"/>
    </row>
    <row r="62" spans="1:33" x14ac:dyDescent="0.35">
      <c r="A62" s="3">
        <v>43920</v>
      </c>
      <c r="B62" s="6">
        <f>LN(Raw!B64/Raw!B63)</f>
        <v>4.8281382323386354E-3</v>
      </c>
      <c r="C62" s="6">
        <f>LN(Raw!C64/Raw!C63)</f>
        <v>4.2496452490359687E-2</v>
      </c>
      <c r="D62" s="6">
        <f>LN(Raw!D64/Raw!D63)</f>
        <v>0.12876601700167647</v>
      </c>
      <c r="X62" s="3">
        <v>43920</v>
      </c>
      <c r="Y62" cm="1">
        <f t="array" ref="Y62">SUMPRODUCT($T$2:$T$4,TRANSPOSE(B62:D62))</f>
        <v>1.8479230826253534E-2</v>
      </c>
      <c r="AD62" s="3">
        <v>43917</v>
      </c>
      <c r="AE62" s="4">
        <v>-4.0871471806022859E-2</v>
      </c>
      <c r="AF62">
        <f t="shared" si="0"/>
        <v>0</v>
      </c>
      <c r="AG62" s="13"/>
    </row>
    <row r="63" spans="1:33" x14ac:dyDescent="0.35">
      <c r="A63" s="3">
        <v>43921</v>
      </c>
      <c r="B63" s="6">
        <f>LN(Raw!B65/Raw!B64)</f>
        <v>5.1164619461456992E-2</v>
      </c>
      <c r="C63" s="6">
        <f>LN(Raw!C65/Raw!C64)</f>
        <v>1.7742066346998261E-2</v>
      </c>
      <c r="D63" s="6">
        <f>LN(Raw!D65/Raw!D64)</f>
        <v>1.3367055501029216E-3</v>
      </c>
      <c r="X63" s="3">
        <v>43921</v>
      </c>
      <c r="Y63" cm="1">
        <f t="array" ref="Y63">SUMPRODUCT($T$2:$T$4,TRANSPOSE(B63:D63))</f>
        <v>4.2028555073274049E-2</v>
      </c>
      <c r="AD63" s="3">
        <v>43920</v>
      </c>
      <c r="AE63" s="4">
        <v>1.8479230826253534E-2</v>
      </c>
      <c r="AF63">
        <f t="shared" si="0"/>
        <v>0</v>
      </c>
      <c r="AG63" s="13"/>
    </row>
    <row r="64" spans="1:33" x14ac:dyDescent="0.35">
      <c r="A64" s="3">
        <v>43922</v>
      </c>
      <c r="B64" s="6">
        <f>LN(Raw!B66/Raw!B65)</f>
        <v>2.2035729092155426E-2</v>
      </c>
      <c r="C64" s="6">
        <f>LN(Raw!C66/Raw!C65)</f>
        <v>9.5014548890195614E-4</v>
      </c>
      <c r="D64" s="6">
        <f>LN(Raw!D66/Raw!D65)</f>
        <v>-6.2463066174841257E-2</v>
      </c>
      <c r="X64" s="3">
        <v>43922</v>
      </c>
      <c r="Y64" cm="1">
        <f t="array" ref="Y64">SUMPRODUCT($T$2:$T$4,TRANSPOSE(B64:D64))</f>
        <v>1.3645864683783242E-2</v>
      </c>
      <c r="AD64" s="3">
        <v>43921</v>
      </c>
      <c r="AE64" s="4">
        <v>4.2028555073274049E-2</v>
      </c>
      <c r="AF64">
        <f t="shared" si="0"/>
        <v>0</v>
      </c>
      <c r="AG64" s="13"/>
    </row>
    <row r="65" spans="1:33" x14ac:dyDescent="0.35">
      <c r="A65" s="3">
        <v>43924</v>
      </c>
      <c r="B65" s="6">
        <f>LN(Raw!B67/Raw!B66)</f>
        <v>-5.645890233225432E-2</v>
      </c>
      <c r="C65" s="6">
        <f>LN(Raw!C67/Raw!C66)</f>
        <v>3.5909684023724756E-2</v>
      </c>
      <c r="D65" s="6">
        <f>LN(Raw!D67/Raw!D66)</f>
        <v>1.5052115419799453E-2</v>
      </c>
      <c r="X65" s="3">
        <v>43924</v>
      </c>
      <c r="Y65" cm="1">
        <f t="array" ref="Y65">SUMPRODUCT($T$2:$T$4,TRANSPOSE(B65:D65))</f>
        <v>-3.4485991506501681E-2</v>
      </c>
      <c r="AD65" s="3">
        <v>43922</v>
      </c>
      <c r="AE65" s="4">
        <v>1.3645864683783242E-2</v>
      </c>
      <c r="AF65">
        <f t="shared" si="0"/>
        <v>0</v>
      </c>
      <c r="AG65" s="13"/>
    </row>
    <row r="66" spans="1:33" x14ac:dyDescent="0.35">
      <c r="A66" s="3">
        <v>43928</v>
      </c>
      <c r="B66" s="6">
        <f>LN(Raw!B68/Raw!B67)</f>
        <v>9.9559206809276421E-2</v>
      </c>
      <c r="C66" s="6">
        <f>LN(Raw!C68/Raw!C67)</f>
        <v>2.3093543214223952E-2</v>
      </c>
      <c r="D66" s="6">
        <f>LN(Raw!D68/Raw!D67)</f>
        <v>1.3447971629970131E-2</v>
      </c>
      <c r="X66" s="3">
        <v>43928</v>
      </c>
      <c r="Y66" cm="1">
        <f t="array" ref="Y66">SUMPRODUCT($T$2:$T$4,TRANSPOSE(B66:D66))</f>
        <v>8.0037445172918956E-2</v>
      </c>
      <c r="AD66" s="3">
        <v>43924</v>
      </c>
      <c r="AE66" s="4">
        <v>-3.4485991506501681E-2</v>
      </c>
      <c r="AF66">
        <f t="shared" si="0"/>
        <v>0</v>
      </c>
      <c r="AG66" s="13"/>
    </row>
    <row r="67" spans="1:33" x14ac:dyDescent="0.35">
      <c r="A67" s="3">
        <v>43929</v>
      </c>
      <c r="B67" s="6">
        <f>LN(Raw!B69/Raw!B68)</f>
        <v>-3.0363432180463752E-3</v>
      </c>
      <c r="C67" s="6">
        <f>LN(Raw!C69/Raw!C68)</f>
        <v>-5.3859327387728645E-3</v>
      </c>
      <c r="D67" s="6">
        <f>LN(Raw!D69/Raw!D68)</f>
        <v>-2.0005467280507037E-2</v>
      </c>
      <c r="X67" s="3">
        <v>43929</v>
      </c>
      <c r="Y67" cm="1">
        <f t="array" ref="Y67">SUMPRODUCT($T$2:$T$4,TRANSPOSE(B67:D67))</f>
        <v>-4.3450500836128862E-3</v>
      </c>
      <c r="AD67" s="3">
        <v>43928</v>
      </c>
      <c r="AE67" s="4">
        <v>8.0037445172918956E-2</v>
      </c>
      <c r="AF67">
        <f t="shared" ref="AF67:AF130" si="1">IF(AE67&lt;$AB$2,1,0)</f>
        <v>0</v>
      </c>
      <c r="AG67" s="13"/>
    </row>
    <row r="68" spans="1:33" x14ac:dyDescent="0.35">
      <c r="A68" s="3">
        <v>43930</v>
      </c>
      <c r="B68" s="6">
        <f>LN(Raw!B70/Raw!B69)</f>
        <v>1.5560992446250959E-2</v>
      </c>
      <c r="C68" s="6">
        <f>LN(Raw!C70/Raw!C69)</f>
        <v>4.788970891788559E-2</v>
      </c>
      <c r="D68" s="6">
        <f>LN(Raw!D70/Raw!D69)</f>
        <v>2.5059303682960526E-2</v>
      </c>
      <c r="X68" s="3">
        <v>43930</v>
      </c>
      <c r="Y68" cm="1">
        <f t="array" ref="Y68">SUMPRODUCT($T$2:$T$4,TRANSPOSE(B68:D68))</f>
        <v>2.2482844945094844E-2</v>
      </c>
      <c r="AD68" s="3">
        <v>43929</v>
      </c>
      <c r="AE68" s="4">
        <v>-4.3450500836128862E-3</v>
      </c>
      <c r="AF68">
        <f t="shared" si="1"/>
        <v>0</v>
      </c>
      <c r="AG68" s="13"/>
    </row>
    <row r="69" spans="1:33" x14ac:dyDescent="0.35">
      <c r="A69" s="3">
        <v>43934</v>
      </c>
      <c r="B69" s="6">
        <f>LN(Raw!B71/Raw!B70)</f>
        <v>-1.9260315557459728E-2</v>
      </c>
      <c r="C69" s="6">
        <f>LN(Raw!C71/Raw!C70)</f>
        <v>1.6592520119754983E-2</v>
      </c>
      <c r="D69" s="6">
        <f>LN(Raw!D71/Raw!D70)</f>
        <v>0.10062901670207526</v>
      </c>
      <c r="X69" s="3">
        <v>43934</v>
      </c>
      <c r="Y69" cm="1">
        <f t="array" ref="Y69">SUMPRODUCT($T$2:$T$4,TRANSPOSE(B69:D69))</f>
        <v>-6.1718973586674516E-3</v>
      </c>
      <c r="AD69" s="3">
        <v>43930</v>
      </c>
      <c r="AE69" s="4">
        <v>2.2482844945094844E-2</v>
      </c>
      <c r="AF69">
        <f t="shared" si="1"/>
        <v>0</v>
      </c>
      <c r="AG69" s="13"/>
    </row>
    <row r="70" spans="1:33" x14ac:dyDescent="0.35">
      <c r="A70" s="3">
        <v>43936</v>
      </c>
      <c r="B70" s="6">
        <f>LN(Raw!B72/Raw!B71)</f>
        <v>5.3487141495473303E-3</v>
      </c>
      <c r="C70" s="6">
        <f>LN(Raw!C72/Raw!C71)</f>
        <v>4.7382675098463875E-2</v>
      </c>
      <c r="D70" s="6">
        <f>LN(Raw!D72/Raw!D71)</f>
        <v>2.2131973729542346E-2</v>
      </c>
      <c r="X70" s="3">
        <v>43936</v>
      </c>
      <c r="Y70" cm="1">
        <f t="array" ref="Y70">SUMPRODUCT($T$2:$T$4,TRANSPOSE(B70:D70))</f>
        <v>1.4567956718402672E-2</v>
      </c>
      <c r="AD70" s="3">
        <v>43934</v>
      </c>
      <c r="AE70" s="4">
        <v>-6.1718973586674516E-3</v>
      </c>
      <c r="AF70">
        <f t="shared" si="1"/>
        <v>0</v>
      </c>
      <c r="AG70" s="13"/>
    </row>
    <row r="71" spans="1:33" x14ac:dyDescent="0.35">
      <c r="A71" s="3">
        <v>43937</v>
      </c>
      <c r="B71" s="6">
        <f>LN(Raw!B73/Raw!B72)</f>
        <v>3.8094719599290898E-3</v>
      </c>
      <c r="C71" s="6">
        <f>LN(Raw!C73/Raw!C72)</f>
        <v>4.8694384446379378E-2</v>
      </c>
      <c r="D71" s="6">
        <f>LN(Raw!D73/Raw!D72)</f>
        <v>1.8474453351812664E-2</v>
      </c>
      <c r="X71" s="3">
        <v>43937</v>
      </c>
      <c r="Y71" cm="1">
        <f t="array" ref="Y71">SUMPRODUCT($T$2:$T$4,TRANSPOSE(B71:D71))</f>
        <v>1.3492839674027609E-2</v>
      </c>
      <c r="AD71" s="3">
        <v>43936</v>
      </c>
      <c r="AE71" s="4">
        <v>1.4567956718402672E-2</v>
      </c>
      <c r="AF71">
        <f t="shared" si="1"/>
        <v>0</v>
      </c>
      <c r="AG71" s="13"/>
    </row>
    <row r="72" spans="1:33" x14ac:dyDescent="0.35">
      <c r="A72" s="3">
        <v>43938</v>
      </c>
      <c r="B72" s="6">
        <f>LN(Raw!B74/Raw!B73)</f>
        <v>3.5774937112632285E-2</v>
      </c>
      <c r="C72" s="6">
        <f>LN(Raw!C74/Raw!C73)</f>
        <v>4.8625794580926987E-2</v>
      </c>
      <c r="D72" s="6">
        <f>LN(Raw!D74/Raw!D73)</f>
        <v>-9.1945958275621315E-3</v>
      </c>
      <c r="X72" s="3">
        <v>43938</v>
      </c>
      <c r="Y72" cm="1">
        <f t="array" ref="Y72">SUMPRODUCT($T$2:$T$4,TRANSPOSE(B72:D72))</f>
        <v>3.6114010789205342E-2</v>
      </c>
      <c r="AD72" s="3">
        <v>43937</v>
      </c>
      <c r="AE72" s="4">
        <v>1.3492839674027609E-2</v>
      </c>
      <c r="AF72">
        <f t="shared" si="1"/>
        <v>0</v>
      </c>
      <c r="AG72" s="13"/>
    </row>
    <row r="73" spans="1:33" x14ac:dyDescent="0.35">
      <c r="A73" s="3">
        <v>43941</v>
      </c>
      <c r="B73" s="6">
        <f>LN(Raw!B75/Raw!B74)</f>
        <v>-7.61605485893075E-3</v>
      </c>
      <c r="C73" s="6">
        <f>LN(Raw!C75/Raw!C74)</f>
        <v>3.2683919031679887E-2</v>
      </c>
      <c r="D73" s="6">
        <f>LN(Raw!D75/Raw!D74)</f>
        <v>-1.8646638067025292E-2</v>
      </c>
      <c r="X73" s="3">
        <v>43941</v>
      </c>
      <c r="Y73" cm="1">
        <f t="array" ref="Y73">SUMPRODUCT($T$2:$T$4,TRANSPOSE(B73:D73))</f>
        <v>-1.1937077658419294E-4</v>
      </c>
      <c r="AD73" s="3">
        <v>43938</v>
      </c>
      <c r="AE73" s="4">
        <v>3.6114010789205342E-2</v>
      </c>
      <c r="AF73">
        <f t="shared" si="1"/>
        <v>0</v>
      </c>
      <c r="AG73" s="13"/>
    </row>
    <row r="74" spans="1:33" x14ac:dyDescent="0.35">
      <c r="A74" s="3">
        <v>43942</v>
      </c>
      <c r="B74" s="6">
        <f>LN(Raw!B76/Raw!B75)</f>
        <v>-2.6475474443372719E-2</v>
      </c>
      <c r="C74" s="6">
        <f>LN(Raw!C76/Raw!C75)</f>
        <v>3.0964394676958794E-2</v>
      </c>
      <c r="D74" s="6">
        <f>LN(Raw!D76/Raw!D75)</f>
        <v>-3.412734942331299E-2</v>
      </c>
      <c r="X74" s="3">
        <v>43942</v>
      </c>
      <c r="Y74" cm="1">
        <f t="array" ref="Y74">SUMPRODUCT($T$2:$T$4,TRANSPOSE(B74:D74))</f>
        <v>-1.5391001422466509E-2</v>
      </c>
      <c r="AD74" s="3">
        <v>43941</v>
      </c>
      <c r="AE74" s="4">
        <v>-1.1937077658419294E-4</v>
      </c>
      <c r="AF74">
        <f t="shared" si="1"/>
        <v>0</v>
      </c>
      <c r="AG74" s="13"/>
    </row>
    <row r="75" spans="1:33" x14ac:dyDescent="0.35">
      <c r="A75" s="3">
        <v>43943</v>
      </c>
      <c r="B75" s="6">
        <f>LN(Raw!B77/Raw!B76)</f>
        <v>-1.7228022293117488E-2</v>
      </c>
      <c r="C75" s="6">
        <f>LN(Raw!C77/Raw!C76)</f>
        <v>0</v>
      </c>
      <c r="D75" s="6">
        <f>LN(Raw!D77/Raw!D76)</f>
        <v>8.4640361093382493E-4</v>
      </c>
      <c r="X75" s="3">
        <v>43943</v>
      </c>
      <c r="Y75" cm="1">
        <f t="array" ref="Y75">SUMPRODUCT($T$2:$T$4,TRANSPOSE(B75:D75))</f>
        <v>-1.2895353348422406E-2</v>
      </c>
      <c r="AD75" s="3">
        <v>43942</v>
      </c>
      <c r="AE75" s="4">
        <v>-1.5391001422466509E-2</v>
      </c>
      <c r="AF75">
        <f t="shared" si="1"/>
        <v>0</v>
      </c>
      <c r="AG75" s="13"/>
    </row>
    <row r="76" spans="1:33" x14ac:dyDescent="0.35">
      <c r="A76" s="3">
        <v>43944</v>
      </c>
      <c r="B76" s="6">
        <f>LN(Raw!B78/Raw!B77)</f>
        <v>4.4165285188717665E-2</v>
      </c>
      <c r="C76" s="6">
        <f>LN(Raw!C78/Raw!C77)</f>
        <v>-2.673307733037027E-2</v>
      </c>
      <c r="D76" s="6">
        <f>LN(Raw!D78/Raw!D77)</f>
        <v>-3.8143364904984095E-3</v>
      </c>
      <c r="X76" s="3">
        <v>43944</v>
      </c>
      <c r="Y76" cm="1">
        <f t="array" ref="Y76">SUMPRODUCT($T$2:$T$4,TRANSPOSE(B76:D76))</f>
        <v>2.7641717370534977E-2</v>
      </c>
      <c r="AD76" s="3">
        <v>43943</v>
      </c>
      <c r="AE76" s="4">
        <v>-1.2895353348422406E-2</v>
      </c>
      <c r="AF76">
        <f t="shared" si="1"/>
        <v>0</v>
      </c>
      <c r="AG76" s="13"/>
    </row>
    <row r="77" spans="1:33" x14ac:dyDescent="0.35">
      <c r="A77" s="3">
        <v>43945</v>
      </c>
      <c r="B77" s="6">
        <f>LN(Raw!B79/Raw!B78)</f>
        <v>-4.6713715037985368E-2</v>
      </c>
      <c r="C77" s="6">
        <f>LN(Raw!C79/Raw!C78)</f>
        <v>-5.1256290091774216E-2</v>
      </c>
      <c r="D77" s="6">
        <f>LN(Raw!D79/Raw!D78)</f>
        <v>-3.2365300390259685E-2</v>
      </c>
      <c r="X77" s="3">
        <v>43945</v>
      </c>
      <c r="Y77" cm="1">
        <f t="array" ref="Y77">SUMPRODUCT($T$2:$T$4,TRANSPOSE(B77:D77))</f>
        <v>-4.6910163059339254E-2</v>
      </c>
      <c r="AD77" s="3">
        <v>43944</v>
      </c>
      <c r="AE77" s="4">
        <v>2.7641717370534977E-2</v>
      </c>
      <c r="AF77">
        <f t="shared" si="1"/>
        <v>0</v>
      </c>
      <c r="AG77" s="13"/>
    </row>
    <row r="78" spans="1:33" x14ac:dyDescent="0.35">
      <c r="A78" s="3">
        <v>43948</v>
      </c>
      <c r="B78" s="6">
        <f>LN(Raw!B80/Raw!B79)</f>
        <v>4.9355523066482887E-2</v>
      </c>
      <c r="C78" s="6">
        <f>LN(Raw!C80/Raw!C79)</f>
        <v>1.9439409765057491E-2</v>
      </c>
      <c r="D78" s="6">
        <f>LN(Raw!D80/Raw!D79)</f>
        <v>6.5771332349155276E-2</v>
      </c>
      <c r="X78" s="3">
        <v>43948</v>
      </c>
      <c r="Y78" cm="1">
        <f t="array" ref="Y78">SUMPRODUCT($T$2:$T$4,TRANSPOSE(B78:D78))</f>
        <v>4.4197641271676941E-2</v>
      </c>
      <c r="AD78" s="3">
        <v>43945</v>
      </c>
      <c r="AE78" s="4">
        <v>-4.6910163059339254E-2</v>
      </c>
      <c r="AF78">
        <f t="shared" si="1"/>
        <v>1</v>
      </c>
      <c r="AG78" s="13"/>
    </row>
    <row r="79" spans="1:33" x14ac:dyDescent="0.35">
      <c r="A79" s="3">
        <v>43949</v>
      </c>
      <c r="B79" s="6">
        <f>LN(Raw!B81/Raw!B80)</f>
        <v>1.2138211949617823E-3</v>
      </c>
      <c r="C79" s="6">
        <f>LN(Raw!C81/Raw!C80)</f>
        <v>-3.8508970072491017E-2</v>
      </c>
      <c r="D79" s="6">
        <f>LN(Raw!D81/Raw!D80)</f>
        <v>-2.0328432124649503E-2</v>
      </c>
      <c r="X79" s="3">
        <v>43949</v>
      </c>
      <c r="Y79" cm="1">
        <f t="array" ref="Y79">SUMPRODUCT($T$2:$T$4,TRANSPOSE(B79:D79))</f>
        <v>-7.7797088316233377E-3</v>
      </c>
      <c r="AD79" s="3">
        <v>43948</v>
      </c>
      <c r="AE79" s="4">
        <v>4.4197641271676941E-2</v>
      </c>
      <c r="AF79">
        <f t="shared" si="1"/>
        <v>0</v>
      </c>
      <c r="AG79" s="13"/>
    </row>
    <row r="80" spans="1:33" x14ac:dyDescent="0.35">
      <c r="A80" s="3">
        <v>43950</v>
      </c>
      <c r="B80" s="6">
        <f>LN(Raw!B82/Raw!B81)</f>
        <v>2.950691059563549E-2</v>
      </c>
      <c r="C80" s="6">
        <f>LN(Raw!C82/Raw!C81)</f>
        <v>3.3775747034206334E-2</v>
      </c>
      <c r="D80" s="6">
        <f>LN(Raw!D82/Raw!D81)</f>
        <v>5.433668047791617E-3</v>
      </c>
      <c r="X80" s="3">
        <v>43950</v>
      </c>
      <c r="Y80" cm="1">
        <f t="array" ref="Y80">SUMPRODUCT($T$2:$T$4,TRANSPOSE(B80:D80))</f>
        <v>2.9167446477406562E-2</v>
      </c>
      <c r="AD80" s="3">
        <v>43949</v>
      </c>
      <c r="AE80" s="4">
        <v>-7.7797088316233377E-3</v>
      </c>
      <c r="AF80">
        <f t="shared" si="1"/>
        <v>0</v>
      </c>
      <c r="AG80" s="13"/>
    </row>
    <row r="81" spans="1:33" x14ac:dyDescent="0.35">
      <c r="A81" s="3">
        <v>43951</v>
      </c>
      <c r="B81" s="6">
        <f>LN(Raw!B83/Raw!B82)</f>
        <v>4.7077483560107485E-2</v>
      </c>
      <c r="C81" s="6">
        <f>LN(Raw!C83/Raw!C82)</f>
        <v>2.1661493252604781E-2</v>
      </c>
      <c r="D81" s="6">
        <f>LN(Raw!D83/Raw!D82)</f>
        <v>-8.34049889350578E-4</v>
      </c>
      <c r="X81" s="3">
        <v>43951</v>
      </c>
      <c r="Y81" cm="1">
        <f t="array" ref="Y81">SUMPRODUCT($T$2:$T$4,TRANSPOSE(B81:D81))</f>
        <v>3.9634115524977399E-2</v>
      </c>
      <c r="AD81" s="3">
        <v>43950</v>
      </c>
      <c r="AE81" s="4">
        <v>2.9167446477406562E-2</v>
      </c>
      <c r="AF81">
        <f t="shared" si="1"/>
        <v>0</v>
      </c>
      <c r="AG81" s="13"/>
    </row>
    <row r="82" spans="1:33" x14ac:dyDescent="0.35">
      <c r="A82" s="3">
        <v>43955</v>
      </c>
      <c r="B82" s="6">
        <f>LN(Raw!B84/Raw!B83)</f>
        <v>-6.5437727259872958E-2</v>
      </c>
      <c r="C82" s="6">
        <f>LN(Raw!C84/Raw!C83)</f>
        <v>-5.1293307108992457E-2</v>
      </c>
      <c r="D82" s="6">
        <f>LN(Raw!D84/Raw!D83)</f>
        <v>-5.3117426355734826E-2</v>
      </c>
      <c r="X82" s="3">
        <v>43955</v>
      </c>
      <c r="Y82" cm="1">
        <f t="array" ref="Y82">SUMPRODUCT($T$2:$T$4,TRANSPOSE(B82:D82))</f>
        <v>-6.2005218767029038E-2</v>
      </c>
      <c r="AD82" s="3">
        <v>43951</v>
      </c>
      <c r="AE82" s="4">
        <v>3.9634115524977399E-2</v>
      </c>
      <c r="AF82">
        <f t="shared" si="1"/>
        <v>0</v>
      </c>
      <c r="AG82" s="13"/>
    </row>
    <row r="83" spans="1:33" x14ac:dyDescent="0.35">
      <c r="A83" s="3">
        <v>43956</v>
      </c>
      <c r="B83" s="6">
        <f>LN(Raw!B85/Raw!B84)</f>
        <v>3.7156689266172817E-3</v>
      </c>
      <c r="C83" s="6">
        <f>LN(Raw!C85/Raw!C84)</f>
        <v>-2.0893487754825329E-2</v>
      </c>
      <c r="D83" s="6">
        <f>LN(Raw!D85/Raw!D84)</f>
        <v>9.4790099890193033E-2</v>
      </c>
      <c r="X83" s="3">
        <v>43956</v>
      </c>
      <c r="Y83" cm="1">
        <f t="array" ref="Y83">SUMPRODUCT($T$2:$T$4,TRANSPOSE(B83:D83))</f>
        <v>3.3117500396893499E-3</v>
      </c>
      <c r="AD83" s="3">
        <v>43955</v>
      </c>
      <c r="AE83" s="4">
        <v>-6.2005218767029038E-2</v>
      </c>
      <c r="AF83">
        <f t="shared" si="1"/>
        <v>1</v>
      </c>
      <c r="AG83" s="13"/>
    </row>
    <row r="84" spans="1:33" x14ac:dyDescent="0.35">
      <c r="A84" s="3">
        <v>43957</v>
      </c>
      <c r="B84" s="6">
        <f>LN(Raw!B86/Raw!B85)</f>
        <v>-9.8949588849904144E-4</v>
      </c>
      <c r="C84" s="6">
        <f>LN(Raw!C86/Raw!C85)</f>
        <v>3.0663325854949257E-3</v>
      </c>
      <c r="D84" s="6">
        <f>LN(Raw!D86/Raw!D85)</f>
        <v>1.1997279764599789E-3</v>
      </c>
      <c r="X84" s="3">
        <v>43957</v>
      </c>
      <c r="Y84" cm="1">
        <f t="array" ref="Y84">SUMPRODUCT($T$2:$T$4,TRANSPOSE(B84:D84))</f>
        <v>-7.1737013674207458E-5</v>
      </c>
      <c r="AD84" s="3">
        <v>43956</v>
      </c>
      <c r="AE84" s="4">
        <v>3.3117500396893499E-3</v>
      </c>
      <c r="AF84">
        <f t="shared" si="1"/>
        <v>0</v>
      </c>
      <c r="AG84" s="13"/>
    </row>
    <row r="85" spans="1:33" x14ac:dyDescent="0.35">
      <c r="A85" s="3">
        <v>43958</v>
      </c>
      <c r="B85" s="6">
        <f>LN(Raw!B87/Raw!B86)</f>
        <v>-1.609917217885541E-3</v>
      </c>
      <c r="C85" s="6">
        <f>LN(Raw!C87/Raw!C86)</f>
        <v>-2.5582787185374468E-2</v>
      </c>
      <c r="D85" s="6">
        <f>LN(Raw!D87/Raw!D86)</f>
        <v>-3.7048673649854189E-2</v>
      </c>
      <c r="X85" s="3">
        <v>43958</v>
      </c>
      <c r="Y85" cm="1">
        <f t="array" ref="Y85">SUMPRODUCT($T$2:$T$4,TRANSPOSE(B85:D85))</f>
        <v>-8.1480049762905141E-3</v>
      </c>
      <c r="AD85" s="3">
        <v>43957</v>
      </c>
      <c r="AE85" s="4">
        <v>-7.1737013674207458E-5</v>
      </c>
      <c r="AF85">
        <f t="shared" si="1"/>
        <v>0</v>
      </c>
      <c r="AG85" s="13"/>
    </row>
    <row r="86" spans="1:33" x14ac:dyDescent="0.35">
      <c r="A86" s="3">
        <v>43959</v>
      </c>
      <c r="B86" s="6">
        <f>LN(Raw!B88/Raw!B87)</f>
        <v>2.0406832241197197E-2</v>
      </c>
      <c r="C86" s="6">
        <f>LN(Raw!C88/Raw!C87)</f>
        <v>1.2873201236854216E-2</v>
      </c>
      <c r="D86" s="6">
        <f>LN(Raw!D88/Raw!D87)</f>
        <v>-2.6051966188878662E-2</v>
      </c>
      <c r="X86" s="3">
        <v>43959</v>
      </c>
      <c r="Y86" cm="1">
        <f t="array" ref="Y86">SUMPRODUCT($T$2:$T$4,TRANSPOSE(B86:D86))</f>
        <v>1.6604108723226024E-2</v>
      </c>
      <c r="AD86" s="3">
        <v>43958</v>
      </c>
      <c r="AE86" s="4">
        <v>-8.1480049762905141E-3</v>
      </c>
      <c r="AF86">
        <f t="shared" si="1"/>
        <v>0</v>
      </c>
      <c r="AG86" s="13"/>
    </row>
    <row r="87" spans="1:33" x14ac:dyDescent="0.35">
      <c r="A87" s="3">
        <v>43962</v>
      </c>
      <c r="B87" s="6">
        <f>LN(Raw!B89/Raw!B88)</f>
        <v>4.9092576809910547E-2</v>
      </c>
      <c r="C87" s="6">
        <f>LN(Raw!C89/Raw!C88)</f>
        <v>8.8751825866075808E-3</v>
      </c>
      <c r="D87" s="6">
        <f>LN(Raw!D89/Raw!D88)</f>
        <v>1.3950790498126905E-2</v>
      </c>
      <c r="X87" s="3">
        <v>43962</v>
      </c>
      <c r="Y87" cm="1">
        <f t="array" ref="Y87">SUMPRODUCT($T$2:$T$4,TRANSPOSE(B87:D87))</f>
        <v>3.9327297039321418E-2</v>
      </c>
      <c r="AD87" s="3">
        <v>43959</v>
      </c>
      <c r="AE87" s="4">
        <v>1.6604108723226024E-2</v>
      </c>
      <c r="AF87">
        <f t="shared" si="1"/>
        <v>0</v>
      </c>
      <c r="AG87" s="13"/>
    </row>
    <row r="88" spans="1:33" x14ac:dyDescent="0.35">
      <c r="A88" s="3">
        <v>43963</v>
      </c>
      <c r="B88" s="6">
        <f>LN(Raw!B90/Raw!B89)</f>
        <v>2.7371855071450672E-2</v>
      </c>
      <c r="C88" s="6">
        <f>LN(Raw!C90/Raw!C89)</f>
        <v>4.175893185566186E-2</v>
      </c>
      <c r="D88" s="6">
        <f>LN(Raw!D90/Raw!D89)</f>
        <v>5.860161875173373E-3</v>
      </c>
      <c r="X88" s="3">
        <v>43963</v>
      </c>
      <c r="Y88" cm="1">
        <f t="array" ref="Y88">SUMPRODUCT($T$2:$T$4,TRANSPOSE(B88:D88))</f>
        <v>2.9178440219779649E-2</v>
      </c>
      <c r="AD88" s="3">
        <v>43962</v>
      </c>
      <c r="AE88" s="4">
        <v>3.9327297039321418E-2</v>
      </c>
      <c r="AF88">
        <f t="shared" si="1"/>
        <v>0</v>
      </c>
      <c r="AG88" s="13"/>
    </row>
    <row r="89" spans="1:33" x14ac:dyDescent="0.35">
      <c r="A89" s="3">
        <v>43964</v>
      </c>
      <c r="B89" s="6">
        <f>LN(Raw!B91/Raw!B90)</f>
        <v>-9.9496737091275475E-3</v>
      </c>
      <c r="C89" s="6">
        <f>LN(Raw!C91/Raw!C90)</f>
        <v>-1.7469209014189972E-2</v>
      </c>
      <c r="D89" s="6">
        <f>LN(Raw!D91/Raw!D90)</f>
        <v>2.9173516014308993E-3</v>
      </c>
      <c r="X89" s="3">
        <v>43964</v>
      </c>
      <c r="Y89" cm="1">
        <f t="array" ref="Y89">SUMPRODUCT($T$2:$T$4,TRANSPOSE(B89:D89))</f>
        <v>-1.0813542431304822E-2</v>
      </c>
      <c r="AD89" s="3">
        <v>43963</v>
      </c>
      <c r="AE89" s="4">
        <v>2.9178440219779649E-2</v>
      </c>
      <c r="AF89">
        <f t="shared" si="1"/>
        <v>0</v>
      </c>
      <c r="AG89" s="13"/>
    </row>
    <row r="90" spans="1:33" x14ac:dyDescent="0.35">
      <c r="A90" s="3">
        <v>43965</v>
      </c>
      <c r="B90" s="6">
        <f>LN(Raw!B92/Raw!B91)</f>
        <v>-5.9777201192738862E-2</v>
      </c>
      <c r="C90" s="6">
        <f>LN(Raw!C92/Raw!C91)</f>
        <v>-1.9307807894542995E-2</v>
      </c>
      <c r="D90" s="6">
        <f>LN(Raw!D92/Raw!D91)</f>
        <v>-2.9134505956794305E-2</v>
      </c>
      <c r="X90" s="3">
        <v>43965</v>
      </c>
      <c r="Y90" cm="1">
        <f t="array" ref="Y90">SUMPRODUCT($T$2:$T$4,TRANSPOSE(B90:D90))</f>
        <v>-5.0184290865570046E-2</v>
      </c>
      <c r="AD90" s="3">
        <v>43964</v>
      </c>
      <c r="AE90" s="4">
        <v>-1.0813542431304822E-2</v>
      </c>
      <c r="AF90">
        <f t="shared" si="1"/>
        <v>0</v>
      </c>
      <c r="AG90" s="13"/>
    </row>
    <row r="91" spans="1:33" x14ac:dyDescent="0.35">
      <c r="A91" s="3">
        <v>43966</v>
      </c>
      <c r="B91" s="6">
        <f>LN(Raw!B93/Raw!B92)</f>
        <v>-8.1554407325949638E-3</v>
      </c>
      <c r="C91" s="6">
        <f>LN(Raw!C93/Raw!C92)</f>
        <v>3.9352956537491719E-2</v>
      </c>
      <c r="D91" s="6">
        <f>LN(Raw!D93/Raw!D92)</f>
        <v>3.4943603730924172E-2</v>
      </c>
      <c r="X91" s="3">
        <v>43966</v>
      </c>
      <c r="Y91" cm="1">
        <f t="array" ref="Y91">SUMPRODUCT($T$2:$T$4,TRANSPOSE(B91:D91))</f>
        <v>3.4586958104637138E-3</v>
      </c>
      <c r="AD91" s="3">
        <v>43965</v>
      </c>
      <c r="AE91" s="4">
        <v>-5.0184290865570046E-2</v>
      </c>
      <c r="AF91">
        <f t="shared" si="1"/>
        <v>1</v>
      </c>
      <c r="AG91" s="13"/>
    </row>
    <row r="92" spans="1:33" x14ac:dyDescent="0.35">
      <c r="A92" s="3">
        <v>43969</v>
      </c>
      <c r="B92" s="6">
        <f>LN(Raw!B94/Raw!B93)</f>
        <v>-5.6195333824542129E-2</v>
      </c>
      <c r="C92" s="6">
        <f>LN(Raw!C94/Raw!C93)</f>
        <v>-4.8183903605099034E-2</v>
      </c>
      <c r="D92" s="6">
        <f>LN(Raw!D94/Raw!D93)</f>
        <v>-5.1794319299585355E-2</v>
      </c>
      <c r="X92" s="3">
        <v>43969</v>
      </c>
      <c r="Y92" cm="1">
        <f t="array" ref="Y92">SUMPRODUCT($T$2:$T$4,TRANSPOSE(B92:D92))</f>
        <v>-5.4378700838251928E-2</v>
      </c>
      <c r="AD92" s="3">
        <v>43966</v>
      </c>
      <c r="AE92" s="4">
        <v>3.4586958104637138E-3</v>
      </c>
      <c r="AF92">
        <f t="shared" si="1"/>
        <v>0</v>
      </c>
      <c r="AG92" s="13"/>
    </row>
    <row r="93" spans="1:33" x14ac:dyDescent="0.35">
      <c r="A93" s="3">
        <v>43970</v>
      </c>
      <c r="B93" s="6">
        <f>LN(Raw!B95/Raw!B94)</f>
        <v>4.7359648966139083E-2</v>
      </c>
      <c r="C93" s="6">
        <f>LN(Raw!C95/Raw!C94)</f>
        <v>-4.4960313753149336E-2</v>
      </c>
      <c r="D93" s="6">
        <f>LN(Raw!D95/Raw!D94)</f>
        <v>1.2126649391320856E-2</v>
      </c>
      <c r="X93" s="3">
        <v>43970</v>
      </c>
      <c r="Y93" cm="1">
        <f t="array" ref="Y93">SUMPRODUCT($T$2:$T$4,TRANSPOSE(B93:D93))</f>
        <v>2.719184501956317E-2</v>
      </c>
      <c r="AD93" s="3">
        <v>43969</v>
      </c>
      <c r="AE93" s="4">
        <v>-5.4378700838251928E-2</v>
      </c>
      <c r="AF93">
        <f t="shared" si="1"/>
        <v>1</v>
      </c>
      <c r="AG93" s="13"/>
    </row>
    <row r="94" spans="1:33" x14ac:dyDescent="0.35">
      <c r="A94" s="3">
        <v>43971</v>
      </c>
      <c r="B94" s="6">
        <f>LN(Raw!B96/Raw!B95)</f>
        <v>1.0132014725612336E-2</v>
      </c>
      <c r="C94" s="6">
        <f>LN(Raw!C96/Raw!C95)</f>
        <v>6.8342192748820276E-3</v>
      </c>
      <c r="D94" s="6">
        <f>LN(Raw!D96/Raw!D95)</f>
        <v>-9.9503825390435761E-3</v>
      </c>
      <c r="X94" s="3">
        <v>43971</v>
      </c>
      <c r="Y94" cm="1">
        <f t="array" ref="Y94">SUMPRODUCT($T$2:$T$4,TRANSPOSE(B94:D94))</f>
        <v>8.4799998723904969E-3</v>
      </c>
      <c r="AD94" s="3">
        <v>43970</v>
      </c>
      <c r="AE94" s="4">
        <v>2.719184501956317E-2</v>
      </c>
      <c r="AF94">
        <f t="shared" si="1"/>
        <v>0</v>
      </c>
      <c r="AG94" s="13"/>
    </row>
    <row r="95" spans="1:33" x14ac:dyDescent="0.35">
      <c r="A95" s="3">
        <v>43972</v>
      </c>
      <c r="B95" s="6">
        <f>LN(Raw!B97/Raw!B96)</f>
        <v>1.1552382183814531E-2</v>
      </c>
      <c r="C95" s="6">
        <f>LN(Raw!C97/Raw!C96)</f>
        <v>-4.006308311042822E-4</v>
      </c>
      <c r="D95" s="6">
        <f>LN(Raw!D97/Raw!D96)</f>
        <v>4.3384450116719592E-3</v>
      </c>
      <c r="X95" s="3">
        <v>43972</v>
      </c>
      <c r="Y95" cm="1">
        <f t="array" ref="Y95">SUMPRODUCT($T$2:$T$4,TRANSPOSE(B95:D95))</f>
        <v>8.8099235810458806E-3</v>
      </c>
      <c r="AD95" s="3">
        <v>43971</v>
      </c>
      <c r="AE95" s="4">
        <v>8.4799998723904969E-3</v>
      </c>
      <c r="AF95">
        <f t="shared" si="1"/>
        <v>0</v>
      </c>
      <c r="AG95" s="13"/>
    </row>
    <row r="96" spans="1:33" x14ac:dyDescent="0.35">
      <c r="A96" s="3">
        <v>43973</v>
      </c>
      <c r="B96" s="6">
        <f>LN(Raw!B98/Raw!B97)</f>
        <v>-9.0454511297110417E-3</v>
      </c>
      <c r="C96" s="6">
        <f>LN(Raw!C98/Raw!C97)</f>
        <v>-8.4525217037614078E-3</v>
      </c>
      <c r="D96" s="6">
        <f>LN(Raw!D98/Raw!D97)</f>
        <v>2.5941019729057236E-3</v>
      </c>
      <c r="X96" s="3">
        <v>43973</v>
      </c>
      <c r="Y96" cm="1">
        <f t="array" ref="Y96">SUMPRODUCT($T$2:$T$4,TRANSPOSE(B96:D96))</f>
        <v>-8.3510785080424532E-3</v>
      </c>
      <c r="AD96" s="3">
        <v>43972</v>
      </c>
      <c r="AE96" s="4">
        <v>8.8099235810458806E-3</v>
      </c>
      <c r="AF96">
        <f t="shared" si="1"/>
        <v>0</v>
      </c>
      <c r="AG96" s="13"/>
    </row>
    <row r="97" spans="1:33" x14ac:dyDescent="0.35">
      <c r="A97" s="3">
        <v>43977</v>
      </c>
      <c r="B97" s="6">
        <f>LN(Raw!B99/Raw!B98)</f>
        <v>-3.8440746147750484E-3</v>
      </c>
      <c r="C97" s="6">
        <f>LN(Raw!C99/Raw!C98)</f>
        <v>-1.6300323124672091E-2</v>
      </c>
      <c r="D97" s="6">
        <f>LN(Raw!D99/Raw!D98)</f>
        <v>-9.9806070916218185E-3</v>
      </c>
      <c r="X97" s="3">
        <v>43977</v>
      </c>
      <c r="Y97" cm="1">
        <f t="array" ref="Y97">SUMPRODUCT($T$2:$T$4,TRANSPOSE(B97:D97))</f>
        <v>-6.6336419571394432E-3</v>
      </c>
      <c r="AD97" s="3">
        <v>43973</v>
      </c>
      <c r="AE97" s="4">
        <v>-8.3510785080424532E-3</v>
      </c>
      <c r="AF97">
        <f t="shared" si="1"/>
        <v>0</v>
      </c>
      <c r="AG97" s="13"/>
    </row>
    <row r="98" spans="1:33" x14ac:dyDescent="0.35">
      <c r="A98" s="3">
        <v>43978</v>
      </c>
      <c r="B98" s="6">
        <f>LN(Raw!B100/Raw!B99)</f>
        <v>-6.4871927016202488E-4</v>
      </c>
      <c r="C98" s="6">
        <f>LN(Raw!C100/Raw!C99)</f>
        <v>4.1446325808876458E-2</v>
      </c>
      <c r="D98" s="6">
        <f>LN(Raw!D100/Raw!D99)</f>
        <v>4.7856562749000638E-3</v>
      </c>
      <c r="X98" s="3">
        <v>43978</v>
      </c>
      <c r="Y98" cm="1">
        <f t="array" ref="Y98">SUMPRODUCT($T$2:$T$4,TRANSPOSE(B98:D98))</f>
        <v>8.0210562842533556E-3</v>
      </c>
      <c r="AD98" s="3">
        <v>43977</v>
      </c>
      <c r="AE98" s="4">
        <v>-6.6336419571394432E-3</v>
      </c>
      <c r="AF98">
        <f t="shared" si="1"/>
        <v>0</v>
      </c>
      <c r="AG98" s="13"/>
    </row>
    <row r="99" spans="1:33" x14ac:dyDescent="0.35">
      <c r="A99" s="3">
        <v>43979</v>
      </c>
      <c r="B99" s="6">
        <f>LN(Raw!B101/Raw!B100)</f>
        <v>1.745268310872931E-2</v>
      </c>
      <c r="C99" s="6">
        <f>LN(Raw!C101/Raw!C100)</f>
        <v>4.7343834980850305E-2</v>
      </c>
      <c r="D99" s="6">
        <f>LN(Raw!D101/Raw!D100)</f>
        <v>2.2742993209723793E-2</v>
      </c>
      <c r="X99" s="3">
        <v>43979</v>
      </c>
      <c r="Y99" cm="1">
        <f t="array" ref="Y99">SUMPRODUCT($T$2:$T$4,TRANSPOSE(B99:D99))</f>
        <v>2.3679821047041572E-2</v>
      </c>
      <c r="AD99" s="3">
        <v>43978</v>
      </c>
      <c r="AE99" s="4">
        <v>8.0210562842533556E-3</v>
      </c>
      <c r="AF99">
        <f t="shared" si="1"/>
        <v>0</v>
      </c>
      <c r="AG99" s="13"/>
    </row>
    <row r="100" spans="1:33" x14ac:dyDescent="0.35">
      <c r="A100" s="3">
        <v>43980</v>
      </c>
      <c r="B100" s="6">
        <f>LN(Raw!B102/Raw!B101)</f>
        <v>3.6364669107566194E-2</v>
      </c>
      <c r="C100" s="6">
        <f>LN(Raw!C102/Raw!C101)</f>
        <v>4.0521150790971038E-2</v>
      </c>
      <c r="D100" s="6">
        <f>LN(Raw!D102/Raw!D101)</f>
        <v>2.4723565371732724E-2</v>
      </c>
      <c r="X100" s="3">
        <v>43980</v>
      </c>
      <c r="Y100" cm="1">
        <f t="array" ref="Y100">SUMPRODUCT($T$2:$T$4,TRANSPOSE(B100:D100))</f>
        <v>3.6618050412848907E-2</v>
      </c>
      <c r="AD100" s="3">
        <v>43979</v>
      </c>
      <c r="AE100" s="4">
        <v>2.3679821047041572E-2</v>
      </c>
      <c r="AF100">
        <f t="shared" si="1"/>
        <v>0</v>
      </c>
      <c r="AG100" s="13"/>
    </row>
    <row r="101" spans="1:33" x14ac:dyDescent="0.35">
      <c r="A101" s="3">
        <v>43983</v>
      </c>
      <c r="B101" s="6">
        <f>LN(Raw!B103/Raw!B102)</f>
        <v>1.4596347037174357E-3</v>
      </c>
      <c r="C101" s="6">
        <f>LN(Raw!C103/Raw!C102)</f>
        <v>6.835767530853883E-3</v>
      </c>
      <c r="D101" s="6">
        <f>LN(Raw!D103/Raw!D102)</f>
        <v>-3.1962244402484248E-2</v>
      </c>
      <c r="X101" s="3">
        <v>43983</v>
      </c>
      <c r="Y101" cm="1">
        <f t="array" ref="Y101">SUMPRODUCT($T$2:$T$4,TRANSPOSE(B101:D101))</f>
        <v>8.7848680525019133E-4</v>
      </c>
      <c r="AD101" s="3">
        <v>43980</v>
      </c>
      <c r="AE101" s="4">
        <v>3.6618050412848907E-2</v>
      </c>
      <c r="AF101">
        <f t="shared" si="1"/>
        <v>0</v>
      </c>
      <c r="AG101" s="13"/>
    </row>
    <row r="102" spans="1:33" x14ac:dyDescent="0.35">
      <c r="A102" s="3">
        <v>43984</v>
      </c>
      <c r="B102" s="6">
        <f>LN(Raw!B104/Raw!B103)</f>
        <v>-6.1603292128407511E-3</v>
      </c>
      <c r="C102" s="6">
        <f>LN(Raw!C104/Raw!C103)</f>
        <v>-7.9192645199120254E-3</v>
      </c>
      <c r="D102" s="6">
        <f>LN(Raw!D104/Raw!D103)</f>
        <v>2.9869295934457116E-3</v>
      </c>
      <c r="X102" s="3">
        <v>43984</v>
      </c>
      <c r="Y102" cm="1">
        <f t="array" ref="Y102">SUMPRODUCT($T$2:$T$4,TRANSPOSE(B102:D102))</f>
        <v>-6.0586576829593005E-3</v>
      </c>
      <c r="AD102" s="3">
        <v>43983</v>
      </c>
      <c r="AE102" s="4">
        <v>8.7848680525019133E-4</v>
      </c>
      <c r="AF102">
        <f t="shared" si="1"/>
        <v>0</v>
      </c>
      <c r="AG102" s="13"/>
    </row>
    <row r="103" spans="1:33" x14ac:dyDescent="0.35">
      <c r="A103" s="3">
        <v>43985</v>
      </c>
      <c r="B103" s="6">
        <f>LN(Raw!B105/Raw!B104)</f>
        <v>-1.7965038774073974E-2</v>
      </c>
      <c r="C103" s="6">
        <f>LN(Raw!C105/Raw!C104)</f>
        <v>-1.8603611489690593E-2</v>
      </c>
      <c r="D103" s="6">
        <f>LN(Raw!D105/Raw!D104)</f>
        <v>0</v>
      </c>
      <c r="X103" s="3">
        <v>43985</v>
      </c>
      <c r="Y103" cm="1">
        <f t="array" ref="Y103">SUMPRODUCT($T$2:$T$4,TRANSPOSE(B103:D103))</f>
        <v>-1.7203385630245156E-2</v>
      </c>
      <c r="AD103" s="3">
        <v>43984</v>
      </c>
      <c r="AE103" s="4">
        <v>-6.0586576829593005E-3</v>
      </c>
      <c r="AF103">
        <f t="shared" si="1"/>
        <v>0</v>
      </c>
      <c r="AG103" s="13"/>
    </row>
    <row r="104" spans="1:33" x14ac:dyDescent="0.35">
      <c r="A104" s="3">
        <v>43986</v>
      </c>
      <c r="B104" s="6">
        <f>LN(Raw!B106/Raw!B105)</f>
        <v>8.0288498593146847E-3</v>
      </c>
      <c r="C104" s="6">
        <f>LN(Raw!C106/Raw!C105)</f>
        <v>-1.5958749770150906E-2</v>
      </c>
      <c r="D104" s="6">
        <f>LN(Raw!D106/Raw!D105)</f>
        <v>-8.5253695837073887E-4</v>
      </c>
      <c r="X104" s="3">
        <v>43986</v>
      </c>
      <c r="Y104" cm="1">
        <f t="array" ref="Y104">SUMPRODUCT($T$2:$T$4,TRANSPOSE(B104:D104))</f>
        <v>2.8021495668687467E-3</v>
      </c>
      <c r="AD104" s="3">
        <v>43985</v>
      </c>
      <c r="AE104" s="4">
        <v>-1.7203385630245156E-2</v>
      </c>
      <c r="AF104">
        <f t="shared" si="1"/>
        <v>0</v>
      </c>
      <c r="AG104" s="13"/>
    </row>
    <row r="105" spans="1:33" x14ac:dyDescent="0.35">
      <c r="A105" s="3">
        <v>43987</v>
      </c>
      <c r="B105" s="6">
        <f>LN(Raw!B107/Raw!B106)</f>
        <v>1.6211861541816325E-2</v>
      </c>
      <c r="C105" s="6">
        <f>LN(Raw!C107/Raw!C106)</f>
        <v>3.0941813766374802E-2</v>
      </c>
      <c r="D105" s="6">
        <f>LN(Raw!D107/Raw!D106)</f>
        <v>1.0604558791874249E-2</v>
      </c>
      <c r="X105" s="3">
        <v>43987</v>
      </c>
      <c r="Y105" cm="1">
        <f t="array" ref="Y105">SUMPRODUCT($T$2:$T$4,TRANSPOSE(B105:D105))</f>
        <v>1.8873983798880088E-2</v>
      </c>
      <c r="AD105" s="3">
        <v>43986</v>
      </c>
      <c r="AE105" s="4">
        <v>2.8021495668687467E-3</v>
      </c>
      <c r="AF105">
        <f t="shared" si="1"/>
        <v>0</v>
      </c>
      <c r="AG105" s="13"/>
    </row>
    <row r="106" spans="1:33" x14ac:dyDescent="0.35">
      <c r="A106" s="3">
        <v>43990</v>
      </c>
      <c r="B106" s="6">
        <f>LN(Raw!B108/Raw!B107)</f>
        <v>-1.0067775879665336E-2</v>
      </c>
      <c r="C106" s="6">
        <f>LN(Raw!C108/Raw!C107)</f>
        <v>9.5079276271776328E-2</v>
      </c>
      <c r="D106" s="6">
        <f>LN(Raw!D108/Raw!D107)</f>
        <v>6.4538508638998696E-2</v>
      </c>
      <c r="X106" s="3">
        <v>43990</v>
      </c>
      <c r="Y106" cm="1">
        <f t="array" ref="Y106">SUMPRODUCT($T$2:$T$4,TRANSPOSE(B106:D106))</f>
        <v>1.4608493643643399E-2</v>
      </c>
      <c r="AD106" s="3">
        <v>43987</v>
      </c>
      <c r="AE106" s="4">
        <v>1.8873983798880088E-2</v>
      </c>
      <c r="AF106">
        <f t="shared" si="1"/>
        <v>0</v>
      </c>
      <c r="AG106" s="13"/>
    </row>
    <row r="107" spans="1:33" x14ac:dyDescent="0.35">
      <c r="A107" s="3">
        <v>43991</v>
      </c>
      <c r="B107" s="6">
        <f>LN(Raw!B109/Raw!B108)</f>
        <v>1.8932656508829589E-2</v>
      </c>
      <c r="C107" s="6">
        <f>LN(Raw!C109/Raw!C108)</f>
        <v>3.3725592570960139E-2</v>
      </c>
      <c r="D107" s="6">
        <f>LN(Raw!D109/Raw!D108)</f>
        <v>4.1075146064297866E-2</v>
      </c>
      <c r="X107" s="3">
        <v>43991</v>
      </c>
      <c r="Y107" cm="1">
        <f t="array" ref="Y107">SUMPRODUCT($T$2:$T$4,TRANSPOSE(B107:D107))</f>
        <v>2.2980688554198214E-2</v>
      </c>
      <c r="AD107" s="3">
        <v>43990</v>
      </c>
      <c r="AE107" s="4">
        <v>1.4608493643643399E-2</v>
      </c>
      <c r="AF107">
        <f t="shared" si="1"/>
        <v>0</v>
      </c>
      <c r="AG107" s="13"/>
    </row>
    <row r="108" spans="1:33" x14ac:dyDescent="0.35">
      <c r="A108" s="3">
        <v>43992</v>
      </c>
      <c r="B108" s="6">
        <f>LN(Raw!B110/Raw!B109)</f>
        <v>2.7729899587540913E-3</v>
      </c>
      <c r="C108" s="6">
        <f>LN(Raw!C110/Raw!C109)</f>
        <v>-1.8018466264467389E-2</v>
      </c>
      <c r="D108" s="6">
        <f>LN(Raw!D110/Raw!D109)</f>
        <v>-3.2802470256331463E-2</v>
      </c>
      <c r="X108" s="3">
        <v>43992</v>
      </c>
      <c r="Y108" cm="1">
        <f t="array" ref="Y108">SUMPRODUCT($T$2:$T$4,TRANSPOSE(B108:D108))</f>
        <v>-3.1369546601377734E-3</v>
      </c>
      <c r="AD108" s="3">
        <v>43991</v>
      </c>
      <c r="AE108" s="4">
        <v>2.2980688554198214E-2</v>
      </c>
      <c r="AF108">
        <f t="shared" si="1"/>
        <v>0</v>
      </c>
      <c r="AG108" s="13"/>
    </row>
    <row r="109" spans="1:33" x14ac:dyDescent="0.35">
      <c r="A109" s="3">
        <v>43993</v>
      </c>
      <c r="B109" s="6">
        <f>LN(Raw!B111/Raw!B110)</f>
        <v>-1.3904639544247744E-2</v>
      </c>
      <c r="C109" s="6">
        <f>LN(Raw!C111/Raw!C110)</f>
        <v>-2.4984895999804111E-2</v>
      </c>
      <c r="D109" s="6">
        <f>LN(Raw!D111/Raw!D110)</f>
        <v>-4.3703072423224056E-2</v>
      </c>
      <c r="X109" s="3">
        <v>43993</v>
      </c>
      <c r="Y109" cm="1">
        <f t="array" ref="Y109">SUMPRODUCT($T$2:$T$4,TRANSPOSE(B109:D109))</f>
        <v>-1.7590632727409863E-2</v>
      </c>
      <c r="AD109" s="3">
        <v>43992</v>
      </c>
      <c r="AE109" s="4">
        <v>-3.1369546601377734E-3</v>
      </c>
      <c r="AF109">
        <f t="shared" si="1"/>
        <v>0</v>
      </c>
      <c r="AG109" s="13"/>
    </row>
    <row r="110" spans="1:33" x14ac:dyDescent="0.35">
      <c r="A110" s="3">
        <v>43994</v>
      </c>
      <c r="B110" s="6">
        <f>LN(Raw!B112/Raw!B111)</f>
        <v>1.1145871068943467E-3</v>
      </c>
      <c r="C110" s="6">
        <f>LN(Raw!C112/Raw!C111)</f>
        <v>-3.2479169272306367E-2</v>
      </c>
      <c r="D110" s="6">
        <f>LN(Raw!D112/Raw!D111)</f>
        <v>3.6817043483737349E-3</v>
      </c>
      <c r="X110" s="3">
        <v>43994</v>
      </c>
      <c r="Y110" cm="1">
        <f t="array" ref="Y110">SUMPRODUCT($T$2:$T$4,TRANSPOSE(B110:D110))</f>
        <v>-5.4626077594790087E-3</v>
      </c>
      <c r="AD110" s="3">
        <v>43993</v>
      </c>
      <c r="AE110" s="4">
        <v>-1.7590632727409863E-2</v>
      </c>
      <c r="AF110">
        <f t="shared" si="1"/>
        <v>0</v>
      </c>
      <c r="AG110" s="13"/>
    </row>
    <row r="111" spans="1:33" x14ac:dyDescent="0.35">
      <c r="A111" s="3">
        <v>43997</v>
      </c>
      <c r="B111" s="6">
        <f>LN(Raw!B113/Raw!B112)</f>
        <v>1.36621501702594E-2</v>
      </c>
      <c r="C111" s="6">
        <f>LN(Raw!C113/Raw!C112)</f>
        <v>-2.2605862318540358E-2</v>
      </c>
      <c r="D111" s="6">
        <f>LN(Raw!D113/Raw!D112)</f>
        <v>1.8608983733456985E-2</v>
      </c>
      <c r="X111" s="3">
        <v>43997</v>
      </c>
      <c r="Y111" cm="1">
        <f t="array" ref="Y111">SUMPRODUCT($T$2:$T$4,TRANSPOSE(B111:D111))</f>
        <v>6.6690314358654728E-3</v>
      </c>
      <c r="AD111" s="3">
        <v>43994</v>
      </c>
      <c r="AE111" s="4">
        <v>-5.4626077594790087E-3</v>
      </c>
      <c r="AF111">
        <f t="shared" si="1"/>
        <v>0</v>
      </c>
      <c r="AG111" s="13"/>
    </row>
    <row r="112" spans="1:33" x14ac:dyDescent="0.35">
      <c r="A112" s="3">
        <v>43998</v>
      </c>
      <c r="B112" s="6">
        <f>LN(Raw!B114/Raw!B113)</f>
        <v>3.2774043419583232E-2</v>
      </c>
      <c r="C112" s="6">
        <f>LN(Raw!C114/Raw!C113)</f>
        <v>3.1506942548433371E-2</v>
      </c>
      <c r="D112" s="6">
        <f>LN(Raw!D114/Raw!D113)</f>
        <v>-7.6443807233041788E-3</v>
      </c>
      <c r="X112" s="3">
        <v>43998</v>
      </c>
      <c r="Y112" cm="1">
        <f t="array" ref="Y112">SUMPRODUCT($T$2:$T$4,TRANSPOSE(B112:D112))</f>
        <v>3.0520858023308423E-2</v>
      </c>
      <c r="AD112" s="3">
        <v>43997</v>
      </c>
      <c r="AE112" s="4">
        <v>6.6690314358654728E-3</v>
      </c>
      <c r="AF112">
        <f t="shared" si="1"/>
        <v>0</v>
      </c>
      <c r="AG112" s="13"/>
    </row>
    <row r="113" spans="1:33" x14ac:dyDescent="0.35">
      <c r="A113" s="3">
        <v>43999</v>
      </c>
      <c r="B113" s="6">
        <f>LN(Raw!B115/Raw!B114)</f>
        <v>-2.1279646966773858E-2</v>
      </c>
      <c r="C113" s="6">
        <f>LN(Raw!C115/Raw!C114)</f>
        <v>5.5358081496496056E-2</v>
      </c>
      <c r="D113" s="6">
        <f>LN(Raw!D115/Raw!D114)</f>
        <v>3.3753382635224954E-2</v>
      </c>
      <c r="X113" s="3">
        <v>43999</v>
      </c>
      <c r="Y113" cm="1">
        <f t="array" ref="Y113">SUMPRODUCT($T$2:$T$4,TRANSPOSE(B113:D113))</f>
        <v>-3.2616111209679294E-3</v>
      </c>
      <c r="AD113" s="3">
        <v>43998</v>
      </c>
      <c r="AE113" s="4">
        <v>3.0520858023308423E-2</v>
      </c>
      <c r="AF113">
        <f t="shared" si="1"/>
        <v>0</v>
      </c>
      <c r="AG113" s="13"/>
    </row>
    <row r="114" spans="1:33" x14ac:dyDescent="0.35">
      <c r="A114" s="3">
        <v>44000</v>
      </c>
      <c r="B114" s="6">
        <f>LN(Raw!B116/Raw!B115)</f>
        <v>-4.4986892884686817E-2</v>
      </c>
      <c r="C114" s="6">
        <f>LN(Raw!C116/Raw!C115)</f>
        <v>2.8980309850305803E-3</v>
      </c>
      <c r="D114" s="6">
        <f>LN(Raw!D116/Raw!D115)</f>
        <v>4.6748466283827771E-3</v>
      </c>
      <c r="X114" s="3">
        <v>44000</v>
      </c>
      <c r="Y114" cm="1">
        <f t="array" ref="Y114">SUMPRODUCT($T$2:$T$4,TRANSPOSE(B114:D114))</f>
        <v>-3.2972824841324855E-2</v>
      </c>
      <c r="AD114" s="3">
        <v>43999</v>
      </c>
      <c r="AE114" s="4">
        <v>-3.2616111209679294E-3</v>
      </c>
      <c r="AF114">
        <f t="shared" si="1"/>
        <v>0</v>
      </c>
      <c r="AG114" s="13"/>
    </row>
    <row r="115" spans="1:33" x14ac:dyDescent="0.35">
      <c r="A115" s="3">
        <v>44001</v>
      </c>
      <c r="B115" s="6">
        <f>LN(Raw!B117/Raw!B116)</f>
        <v>-4.3597850240793641E-3</v>
      </c>
      <c r="C115" s="6">
        <f>LN(Raw!C117/Raw!C116)</f>
        <v>-1.4248906349489457E-2</v>
      </c>
      <c r="D115" s="6">
        <f>LN(Raw!D117/Raw!D116)</f>
        <v>-3.5202400595716651E-2</v>
      </c>
      <c r="X115" s="3">
        <v>44001</v>
      </c>
      <c r="Y115" cm="1">
        <f t="array" ref="Y115">SUMPRODUCT($T$2:$T$4,TRANSPOSE(B115:D115))</f>
        <v>-7.8597424417021083E-3</v>
      </c>
      <c r="AD115" s="3">
        <v>44000</v>
      </c>
      <c r="AE115" s="4">
        <v>-3.2972824841324855E-2</v>
      </c>
      <c r="AF115">
        <f t="shared" si="1"/>
        <v>0</v>
      </c>
      <c r="AG115" s="13"/>
    </row>
    <row r="116" spans="1:33" x14ac:dyDescent="0.35">
      <c r="A116" s="3">
        <v>44004</v>
      </c>
      <c r="B116" s="6">
        <f>LN(Raw!B118/Raw!B117)</f>
        <v>1.1408901666443551E-3</v>
      </c>
      <c r="C116" s="6">
        <f>LN(Raw!C118/Raw!C117)</f>
        <v>7.7973087455672288E-3</v>
      </c>
      <c r="D116" s="6">
        <f>LN(Raw!D118/Raw!D117)</f>
        <v>2.0107841136293011E-3</v>
      </c>
      <c r="X116" s="3">
        <v>44004</v>
      </c>
      <c r="Y116" cm="1">
        <f t="array" ref="Y116">SUMPRODUCT($T$2:$T$4,TRANSPOSE(B116:D116))</f>
        <v>2.5123500398673768E-3</v>
      </c>
      <c r="AD116" s="3">
        <v>44001</v>
      </c>
      <c r="AE116" s="4">
        <v>-7.8597424417021083E-3</v>
      </c>
      <c r="AF116">
        <f t="shared" si="1"/>
        <v>0</v>
      </c>
      <c r="AG116" s="13"/>
    </row>
    <row r="117" spans="1:33" x14ac:dyDescent="0.35">
      <c r="A117" s="3">
        <v>44005</v>
      </c>
      <c r="B117" s="6">
        <f>LN(Raw!B119/Raw!B118)</f>
        <v>1.4714719193003347E-2</v>
      </c>
      <c r="C117" s="6">
        <f>LN(Raw!C119/Raw!C118)</f>
        <v>3.2355392346698856E-4</v>
      </c>
      <c r="D117" s="6">
        <f>LN(Raw!D119/Raw!D118)</f>
        <v>-1.1313096533182526E-2</v>
      </c>
      <c r="X117" s="3">
        <v>44005</v>
      </c>
      <c r="Y117" cm="1">
        <f t="array" ref="Y117">SUMPRODUCT($T$2:$T$4,TRANSPOSE(B117:D117))</f>
        <v>1.0554582275520211E-2</v>
      </c>
      <c r="AD117" s="3">
        <v>44004</v>
      </c>
      <c r="AE117" s="4">
        <v>2.5123500398673768E-3</v>
      </c>
      <c r="AF117">
        <f t="shared" si="1"/>
        <v>0</v>
      </c>
      <c r="AG117" s="13"/>
    </row>
    <row r="118" spans="1:33" x14ac:dyDescent="0.35">
      <c r="A118" s="3">
        <v>44006</v>
      </c>
      <c r="B118" s="6">
        <f>LN(Raw!B120/Raw!B119)</f>
        <v>2.0516896969254477E-3</v>
      </c>
      <c r="C118" s="6">
        <f>LN(Raw!C120/Raw!C119)</f>
        <v>-1.1387918731838467E-2</v>
      </c>
      <c r="D118" s="6">
        <f>LN(Raw!D120/Raw!D119)</f>
        <v>-1.8868580901382472E-2</v>
      </c>
      <c r="X118" s="3">
        <v>44006</v>
      </c>
      <c r="Y118" cm="1">
        <f t="array" ref="Y118">SUMPRODUCT($T$2:$T$4,TRANSPOSE(B118:D118))</f>
        <v>-1.6657737672568641E-3</v>
      </c>
      <c r="AD118" s="3">
        <v>44005</v>
      </c>
      <c r="AE118" s="4">
        <v>1.0554582275520211E-2</v>
      </c>
      <c r="AF118">
        <f t="shared" si="1"/>
        <v>0</v>
      </c>
      <c r="AG118" s="13"/>
    </row>
    <row r="119" spans="1:33" x14ac:dyDescent="0.35">
      <c r="A119" s="3">
        <v>44007</v>
      </c>
      <c r="B119" s="6">
        <f>LN(Raw!B121/Raw!B120)</f>
        <v>-1.4880884164906186E-2</v>
      </c>
      <c r="C119" s="6">
        <f>LN(Raw!C121/Raw!C120)</f>
        <v>2.2967331746908893E-2</v>
      </c>
      <c r="D119" s="6">
        <f>LN(Raw!D121/Raw!D120)</f>
        <v>-8.6446928498533679E-2</v>
      </c>
      <c r="X119" s="3">
        <v>44007</v>
      </c>
      <c r="Y119" cm="1">
        <f t="array" ref="Y119">SUMPRODUCT($T$2:$T$4,TRANSPOSE(B119:D119))</f>
        <v>-1.0869399248308719E-2</v>
      </c>
      <c r="AD119" s="3">
        <v>44006</v>
      </c>
      <c r="AE119" s="4">
        <v>-1.6657737672568641E-3</v>
      </c>
      <c r="AF119">
        <f t="shared" si="1"/>
        <v>0</v>
      </c>
      <c r="AG119" s="13"/>
    </row>
    <row r="120" spans="1:33" x14ac:dyDescent="0.35">
      <c r="A120" s="3">
        <v>44008</v>
      </c>
      <c r="B120" s="6">
        <f>LN(Raw!B122/Raw!B121)</f>
        <v>-9.0281216704423753E-3</v>
      </c>
      <c r="C120" s="6">
        <f>LN(Raw!C122/Raw!C121)</f>
        <v>-9.3174620572923188E-3</v>
      </c>
      <c r="D120" s="6">
        <f>LN(Raw!D122/Raw!D121)</f>
        <v>2.9361594275057822E-2</v>
      </c>
      <c r="X120" s="3">
        <v>44008</v>
      </c>
      <c r="Y120" cm="1">
        <f t="array" ref="Y120">SUMPRODUCT($T$2:$T$4,TRANSPOSE(B120:D120))</f>
        <v>-7.185953473430387E-3</v>
      </c>
      <c r="AD120" s="3">
        <v>44007</v>
      </c>
      <c r="AE120" s="4">
        <v>-1.0869399248308719E-2</v>
      </c>
      <c r="AF120">
        <f t="shared" si="1"/>
        <v>0</v>
      </c>
      <c r="AG120" s="13"/>
    </row>
    <row r="121" spans="1:33" x14ac:dyDescent="0.35">
      <c r="A121" s="3">
        <v>44011</v>
      </c>
      <c r="B121" s="6">
        <f>LN(Raw!B123/Raw!B122)</f>
        <v>-1.8102616131152504E-2</v>
      </c>
      <c r="C121" s="6">
        <f>LN(Raw!C123/Raw!C122)</f>
        <v>-3.9169084286667682E-2</v>
      </c>
      <c r="D121" s="6">
        <f>LN(Raw!D123/Raw!D122)</f>
        <v>-2.1944142269008063E-3</v>
      </c>
      <c r="X121" s="3">
        <v>44011</v>
      </c>
      <c r="Y121" cm="1">
        <f t="array" ref="Y121">SUMPRODUCT($T$2:$T$4,TRANSPOSE(B121:D121))</f>
        <v>-2.1519512126146265E-2</v>
      </c>
      <c r="AD121" s="3">
        <v>44008</v>
      </c>
      <c r="AE121" s="4">
        <v>-7.185953473430387E-3</v>
      </c>
      <c r="AF121">
        <f t="shared" si="1"/>
        <v>0</v>
      </c>
      <c r="AG121" s="13"/>
    </row>
    <row r="122" spans="1:33" x14ac:dyDescent="0.35">
      <c r="A122" s="3">
        <v>44012</v>
      </c>
      <c r="B122" s="6">
        <f>LN(Raw!B124/Raw!B123)</f>
        <v>2.1305205322993424E-2</v>
      </c>
      <c r="C122" s="6">
        <f>LN(Raw!C124/Raw!C123)</f>
        <v>1.0067127707325675E-3</v>
      </c>
      <c r="D122" s="6">
        <f>LN(Raw!D124/Raw!D123)</f>
        <v>2.4735496500979844E-2</v>
      </c>
      <c r="X122" s="3">
        <v>44012</v>
      </c>
      <c r="Y122" cm="1">
        <f t="array" ref="Y122">SUMPRODUCT($T$2:$T$4,TRANSPOSE(B122:D122))</f>
        <v>1.7424039254635652E-2</v>
      </c>
      <c r="AD122" s="3">
        <v>44011</v>
      </c>
      <c r="AE122" s="4">
        <v>-2.1519512126146265E-2</v>
      </c>
      <c r="AF122">
        <f t="shared" si="1"/>
        <v>0</v>
      </c>
      <c r="AG122" s="13"/>
    </row>
    <row r="123" spans="1:33" x14ac:dyDescent="0.35">
      <c r="A123" s="3">
        <v>44013</v>
      </c>
      <c r="B123" s="6">
        <f>LN(Raw!B125/Raw!B124)</f>
        <v>0</v>
      </c>
      <c r="C123" s="6">
        <f>LN(Raw!C125/Raw!C124)</f>
        <v>1.860503513300461E-2</v>
      </c>
      <c r="D123" s="6">
        <f>LN(Raw!D125/Raw!D124)</f>
        <v>3.2886652333722004E-2</v>
      </c>
      <c r="X123" s="3">
        <v>44013</v>
      </c>
      <c r="Y123" cm="1">
        <f t="array" ref="Y123">SUMPRODUCT($T$2:$T$4,TRANSPOSE(B123:D123))</f>
        <v>5.3405353209657509E-3</v>
      </c>
      <c r="AD123" s="3">
        <v>44012</v>
      </c>
      <c r="AE123" s="4">
        <v>1.7424039254635652E-2</v>
      </c>
      <c r="AF123">
        <f t="shared" si="1"/>
        <v>0</v>
      </c>
      <c r="AG123" s="13"/>
    </row>
    <row r="124" spans="1:33" x14ac:dyDescent="0.35">
      <c r="A124" s="3">
        <v>44014</v>
      </c>
      <c r="B124" s="6">
        <f>LN(Raw!B126/Raw!B125)</f>
        <v>1.7608317865431388E-2</v>
      </c>
      <c r="C124" s="6">
        <f>LN(Raw!C126/Raw!C125)</f>
        <v>3.9421861535793284E-3</v>
      </c>
      <c r="D124" s="6">
        <f>LN(Raw!D126/Raw!D125)</f>
        <v>1.6575996156748165E-3</v>
      </c>
      <c r="X124" s="3">
        <v>44014</v>
      </c>
      <c r="Y124" cm="1">
        <f t="array" ref="Y124">SUMPRODUCT($T$2:$T$4,TRANSPOSE(B124:D124))</f>
        <v>1.4091591138096162E-2</v>
      </c>
      <c r="AD124" s="3">
        <v>44013</v>
      </c>
      <c r="AE124" s="4">
        <v>5.3405353209657509E-3</v>
      </c>
      <c r="AF124">
        <f t="shared" si="1"/>
        <v>0</v>
      </c>
      <c r="AG124" s="13"/>
    </row>
    <row r="125" spans="1:33" x14ac:dyDescent="0.35">
      <c r="A125" s="3">
        <v>44015</v>
      </c>
      <c r="B125" s="6">
        <f>LN(Raw!B127/Raw!B126)</f>
        <v>-7.6311850477133814E-3</v>
      </c>
      <c r="C125" s="6">
        <f>LN(Raw!C127/Raw!C126)</f>
        <v>8.1632916968770661E-3</v>
      </c>
      <c r="D125" s="6">
        <f>LN(Raw!D127/Raw!D126)</f>
        <v>-1.3758775306426383E-2</v>
      </c>
      <c r="X125" s="3">
        <v>44015</v>
      </c>
      <c r="Y125" cm="1">
        <f t="array" ref="Y125">SUMPRODUCT($T$2:$T$4,TRANSPOSE(B125:D125))</f>
        <v>-4.7823665494601611E-3</v>
      </c>
      <c r="AD125" s="3">
        <v>44014</v>
      </c>
      <c r="AE125" s="4">
        <v>1.4091591138096162E-2</v>
      </c>
      <c r="AF125">
        <f t="shared" si="1"/>
        <v>0</v>
      </c>
      <c r="AG125" s="13"/>
    </row>
    <row r="126" spans="1:33" x14ac:dyDescent="0.35">
      <c r="A126" s="3">
        <v>44018</v>
      </c>
      <c r="B126" s="6">
        <f>LN(Raw!B128/Raw!B127)</f>
        <v>6.0397135873824165E-3</v>
      </c>
      <c r="C126" s="6">
        <f>LN(Raw!C128/Raw!C127)</f>
        <v>-8.4910848044387165E-3</v>
      </c>
      <c r="D126" s="6">
        <f>LN(Raw!D128/Raw!D127)</f>
        <v>-5.0505794227965447E-3</v>
      </c>
      <c r="X126" s="3">
        <v>44018</v>
      </c>
      <c r="Y126" cm="1">
        <f t="array" ref="Y126">SUMPRODUCT($T$2:$T$4,TRANSPOSE(B126:D126))</f>
        <v>2.5909700562714274E-3</v>
      </c>
      <c r="AD126" s="3">
        <v>44015</v>
      </c>
      <c r="AE126" s="4">
        <v>-4.7823665494601611E-3</v>
      </c>
      <c r="AF126">
        <f t="shared" si="1"/>
        <v>0</v>
      </c>
      <c r="AG126" s="13"/>
    </row>
    <row r="127" spans="1:33" x14ac:dyDescent="0.35">
      <c r="A127" s="3">
        <v>44019</v>
      </c>
      <c r="B127" s="6">
        <f>LN(Raw!B129/Raw!B128)</f>
        <v>-1.0426922177859652E-2</v>
      </c>
      <c r="C127" s="6">
        <f>LN(Raw!C129/Raw!C128)</f>
        <v>-7.241673751280096E-3</v>
      </c>
      <c r="D127" s="6">
        <f>LN(Raw!D129/Raw!D128)</f>
        <v>-8.0491252812365365E-3</v>
      </c>
      <c r="X127" s="3">
        <v>44019</v>
      </c>
      <c r="Y127" cm="1">
        <f t="array" ref="Y127">SUMPRODUCT($T$2:$T$4,TRANSPOSE(B127:D127))</f>
        <v>-9.6735707195730221E-3</v>
      </c>
      <c r="AD127" s="3">
        <v>44018</v>
      </c>
      <c r="AE127" s="4">
        <v>2.5909700562714274E-3</v>
      </c>
      <c r="AF127">
        <f t="shared" si="1"/>
        <v>0</v>
      </c>
      <c r="AG127" s="13"/>
    </row>
    <row r="128" spans="1:33" x14ac:dyDescent="0.35">
      <c r="A128" s="3">
        <v>44020</v>
      </c>
      <c r="B128" s="6">
        <f>LN(Raw!B130/Raw!B129)</f>
        <v>1.147519387131498E-2</v>
      </c>
      <c r="C128" s="6">
        <f>LN(Raw!C130/Raw!C129)</f>
        <v>6.0877243376287596E-2</v>
      </c>
      <c r="D128" s="6">
        <f>LN(Raw!D130/Raw!D129)</f>
        <v>5.0912256324656142E-3</v>
      </c>
      <c r="X128" s="3">
        <v>44020</v>
      </c>
      <c r="Y128" cm="1">
        <f t="array" ref="Y128">SUMPRODUCT($T$2:$T$4,TRANSPOSE(B128:D128))</f>
        <v>2.101832311112364E-2</v>
      </c>
      <c r="AD128" s="3">
        <v>44019</v>
      </c>
      <c r="AE128" s="4">
        <v>-9.6735707195730221E-3</v>
      </c>
      <c r="AF128">
        <f t="shared" si="1"/>
        <v>0</v>
      </c>
      <c r="AG128" s="13"/>
    </row>
    <row r="129" spans="1:33" x14ac:dyDescent="0.35">
      <c r="A129" s="3">
        <v>44021</v>
      </c>
      <c r="B129" s="6">
        <f>LN(Raw!B131/Raw!B130)</f>
        <v>-1.3518463166181648E-2</v>
      </c>
      <c r="C129" s="6">
        <f>LN(Raw!C131/Raw!C130)</f>
        <v>-9.6831234023519314E-3</v>
      </c>
      <c r="D129" s="6">
        <f>LN(Raw!D131/Raw!D130)</f>
        <v>-1.0636207673342651E-2</v>
      </c>
      <c r="X129" s="3">
        <v>44021</v>
      </c>
      <c r="Y129" cm="1">
        <f t="array" ref="Y129">SUMPRODUCT($T$2:$T$4,TRANSPOSE(B129:D129))</f>
        <v>-1.2610408484745615E-2</v>
      </c>
      <c r="AD129" s="3">
        <v>44020</v>
      </c>
      <c r="AE129" s="4">
        <v>2.101832311112364E-2</v>
      </c>
      <c r="AF129">
        <f t="shared" si="1"/>
        <v>0</v>
      </c>
      <c r="AG129" s="13"/>
    </row>
    <row r="130" spans="1:33" x14ac:dyDescent="0.35">
      <c r="A130" s="3">
        <v>44022</v>
      </c>
      <c r="B130" s="6">
        <f>LN(Raw!B132/Raw!B131)</f>
        <v>-8.6915303720419713E-3</v>
      </c>
      <c r="C130" s="6">
        <f>LN(Raw!C132/Raw!C131)</f>
        <v>-2.6074642700205614E-2</v>
      </c>
      <c r="D130" s="6">
        <f>LN(Raw!D132/Raw!D131)</f>
        <v>-1.9871030824417813E-2</v>
      </c>
      <c r="X130" s="3">
        <v>44022</v>
      </c>
      <c r="Y130" cm="1">
        <f t="array" ref="Y130">SUMPRODUCT($T$2:$T$4,TRANSPOSE(B130:D130))</f>
        <v>-1.2713919506185832E-2</v>
      </c>
      <c r="AD130" s="3">
        <v>44021</v>
      </c>
      <c r="AE130" s="4">
        <v>-1.2610408484745615E-2</v>
      </c>
      <c r="AF130">
        <f t="shared" si="1"/>
        <v>0</v>
      </c>
      <c r="AG130" s="13"/>
    </row>
    <row r="131" spans="1:33" x14ac:dyDescent="0.35">
      <c r="A131" s="3">
        <v>44025</v>
      </c>
      <c r="B131" s="6">
        <f>LN(Raw!B133/Raw!B132)</f>
        <v>1.0852760039627398E-2</v>
      </c>
      <c r="C131" s="6">
        <f>LN(Raw!C133/Raw!C132)</f>
        <v>-1.3296681433517608E-2</v>
      </c>
      <c r="D131" s="6">
        <f>LN(Raw!D133/Raw!D132)</f>
        <v>-7.8844686325012844E-3</v>
      </c>
      <c r="X131" s="3">
        <v>44025</v>
      </c>
      <c r="Y131" cm="1">
        <f t="array" ref="Y131">SUMPRODUCT($T$2:$T$4,TRANSPOSE(B131:D131))</f>
        <v>5.1059945675711888E-3</v>
      </c>
      <c r="AD131" s="3">
        <v>44022</v>
      </c>
      <c r="AE131" s="4">
        <v>-1.2713919506185832E-2</v>
      </c>
      <c r="AF131">
        <f t="shared" ref="AF131:AF194" si="2">IF(AE131&lt;$AB$2,1,0)</f>
        <v>0</v>
      </c>
      <c r="AG131" s="13"/>
    </row>
    <row r="132" spans="1:33" x14ac:dyDescent="0.35">
      <c r="A132" s="3">
        <v>44026</v>
      </c>
      <c r="B132" s="6">
        <f>LN(Raw!B134/Raw!B133)</f>
        <v>-1.0575174468873445E-2</v>
      </c>
      <c r="C132" s="6">
        <f>LN(Raw!C134/Raw!C133)</f>
        <v>-4.2533289813705593E-3</v>
      </c>
      <c r="D132" s="6">
        <f>LN(Raw!D134/Raw!D133)</f>
        <v>-1.5511038349845076E-2</v>
      </c>
      <c r="X132" s="3">
        <v>44026</v>
      </c>
      <c r="Y132" cm="1">
        <f t="array" ref="Y132">SUMPRODUCT($T$2:$T$4,TRANSPOSE(B132:D132))</f>
        <v>-9.5578121967689524E-3</v>
      </c>
      <c r="AD132" s="3">
        <v>44025</v>
      </c>
      <c r="AE132" s="4">
        <v>5.1059945675711888E-3</v>
      </c>
      <c r="AF132">
        <f t="shared" si="2"/>
        <v>0</v>
      </c>
      <c r="AG132" s="13"/>
    </row>
    <row r="133" spans="1:33" x14ac:dyDescent="0.35">
      <c r="A133" s="3">
        <v>44027</v>
      </c>
      <c r="B133" s="6">
        <f>LN(Raw!B135/Raw!B134)</f>
        <v>-6.2072467334477414E-3</v>
      </c>
      <c r="C133" s="6">
        <f>LN(Raw!C135/Raw!C134)</f>
        <v>-2.8601842983797927E-2</v>
      </c>
      <c r="D133" s="6">
        <f>LN(Raw!D135/Raw!D134)</f>
        <v>-3.5793731448433941E-3</v>
      </c>
      <c r="X133" s="3">
        <v>44027</v>
      </c>
      <c r="Y133" cm="1">
        <f t="array" ref="Y133">SUMPRODUCT($T$2:$T$4,TRANSPOSE(B133:D133))</f>
        <v>-1.0546439712039127E-2</v>
      </c>
      <c r="AD133" s="3">
        <v>44026</v>
      </c>
      <c r="AE133" s="4">
        <v>-9.5578121967689524E-3</v>
      </c>
      <c r="AF133">
        <f t="shared" si="2"/>
        <v>0</v>
      </c>
      <c r="AG133" s="13"/>
    </row>
    <row r="134" spans="1:33" x14ac:dyDescent="0.35">
      <c r="A134" s="3">
        <v>44028</v>
      </c>
      <c r="B134" s="6">
        <f>LN(Raw!B136/Raw!B135)</f>
        <v>-2.3580427870402922E-3</v>
      </c>
      <c r="C134" s="6">
        <f>LN(Raw!C136/Raw!C135)</f>
        <v>-1.4271276656552662E-2</v>
      </c>
      <c r="D134" s="6">
        <f>LN(Raw!D136/Raw!D135)</f>
        <v>-9.0049609223463289E-3</v>
      </c>
      <c r="X134" s="3">
        <v>44028</v>
      </c>
      <c r="Y134" cm="1">
        <f t="array" ref="Y134">SUMPRODUCT($T$2:$T$4,TRANSPOSE(B134:D134))</f>
        <v>-5.0645007897316277E-3</v>
      </c>
      <c r="AD134" s="3">
        <v>44027</v>
      </c>
      <c r="AE134" s="4">
        <v>-1.0546439712039127E-2</v>
      </c>
      <c r="AF134">
        <f t="shared" si="2"/>
        <v>0</v>
      </c>
      <c r="AG134" s="13"/>
    </row>
    <row r="135" spans="1:33" x14ac:dyDescent="0.35">
      <c r="A135" s="3">
        <v>44029</v>
      </c>
      <c r="B135" s="6">
        <f>LN(Raw!B137/Raw!B136)</f>
        <v>3.0420242152558046E-2</v>
      </c>
      <c r="C135" s="6">
        <f>LN(Raw!C137/Raw!C136)</f>
        <v>6.4812105108038309E-3</v>
      </c>
      <c r="D135" s="6">
        <f>LN(Raw!D137/Raw!D136)</f>
        <v>3.160854552854741E-3</v>
      </c>
      <c r="X135" s="3">
        <v>44029</v>
      </c>
      <c r="Y135" cm="1">
        <f t="array" ref="Y135">SUMPRODUCT($T$2:$T$4,TRANSPOSE(B135:D135))</f>
        <v>2.4293705027747612E-2</v>
      </c>
      <c r="AD135" s="3">
        <v>44028</v>
      </c>
      <c r="AE135" s="4">
        <v>-5.0645007897316277E-3</v>
      </c>
      <c r="AF135">
        <f t="shared" si="2"/>
        <v>0</v>
      </c>
      <c r="AG135" s="13"/>
    </row>
    <row r="136" spans="1:33" x14ac:dyDescent="0.35">
      <c r="A136" s="3">
        <v>44032</v>
      </c>
      <c r="B136" s="6">
        <f>LN(Raw!B138/Raw!B137)</f>
        <v>2.5368038994353543E-2</v>
      </c>
      <c r="C136" s="6">
        <f>LN(Raw!C138/Raw!C137)</f>
        <v>9.5279259667062396E-2</v>
      </c>
      <c r="D136" s="6">
        <f>LN(Raw!D138/Raw!D137)</f>
        <v>8.550741761874775E-2</v>
      </c>
      <c r="X136" s="3">
        <v>44032</v>
      </c>
      <c r="Y136" cm="1">
        <f t="array" ref="Y136">SUMPRODUCT($T$2:$T$4,TRANSPOSE(B136:D136))</f>
        <v>4.2296391907521547E-2</v>
      </c>
      <c r="AD136" s="3">
        <v>44029</v>
      </c>
      <c r="AE136" s="4">
        <v>2.4293705027747612E-2</v>
      </c>
      <c r="AF136">
        <f t="shared" si="2"/>
        <v>0</v>
      </c>
      <c r="AG136" s="13"/>
    </row>
    <row r="137" spans="1:33" x14ac:dyDescent="0.35">
      <c r="A137" s="3">
        <v>44033</v>
      </c>
      <c r="B137" s="6">
        <f>LN(Raw!B139/Raw!B138)</f>
        <v>9.6776763222298449E-3</v>
      </c>
      <c r="C137" s="6">
        <f>LN(Raw!C139/Raw!C138)</f>
        <v>-2.0612738647204015E-2</v>
      </c>
      <c r="D137" s="6">
        <f>LN(Raw!D139/Raw!D138)</f>
        <v>1.8048146532036794E-2</v>
      </c>
      <c r="X137" s="3">
        <v>44033</v>
      </c>
      <c r="Y137" cm="1">
        <f t="array" ref="Y137">SUMPRODUCT($T$2:$T$4,TRANSPOSE(B137:D137))</f>
        <v>4.0469314874972528E-3</v>
      </c>
      <c r="AD137" s="3">
        <v>44032</v>
      </c>
      <c r="AE137" s="4">
        <v>4.2296391907521547E-2</v>
      </c>
      <c r="AF137">
        <f t="shared" si="2"/>
        <v>0</v>
      </c>
      <c r="AG137" s="13"/>
    </row>
    <row r="138" spans="1:33" x14ac:dyDescent="0.35">
      <c r="A138" s="3">
        <v>44034</v>
      </c>
      <c r="B138" s="6">
        <f>LN(Raw!B140/Raw!B139)</f>
        <v>-3.0360684937482865E-2</v>
      </c>
      <c r="C138" s="6">
        <f>LN(Raw!C140/Raw!C139)</f>
        <v>-3.076190156200086E-2</v>
      </c>
      <c r="D138" s="6">
        <f>LN(Raw!D140/Raw!D139)</f>
        <v>-3.138162649394214E-2</v>
      </c>
      <c r="X138" s="3">
        <v>44034</v>
      </c>
      <c r="Y138" cm="1">
        <f t="array" ref="Y138">SUMPRODUCT($T$2:$T$4,TRANSPOSE(B138:D138))</f>
        <v>-3.0491281223844296E-2</v>
      </c>
      <c r="AD138" s="3">
        <v>44033</v>
      </c>
      <c r="AE138" s="4">
        <v>4.0469314874972528E-3</v>
      </c>
      <c r="AF138">
        <f t="shared" si="2"/>
        <v>0</v>
      </c>
      <c r="AG138" s="13"/>
    </row>
    <row r="139" spans="1:33" x14ac:dyDescent="0.35">
      <c r="A139" s="3">
        <v>44035</v>
      </c>
      <c r="B139" s="6">
        <f>LN(Raw!B141/Raw!B140)</f>
        <v>-8.7297924218341441E-3</v>
      </c>
      <c r="C139" s="6">
        <f>LN(Raw!C141/Raw!C140)</f>
        <v>1.2611376386422974E-2</v>
      </c>
      <c r="D139" s="6">
        <f>LN(Raw!D141/Raw!D140)</f>
        <v>2.2808303600059279E-2</v>
      </c>
      <c r="X139" s="3">
        <v>44035</v>
      </c>
      <c r="Y139" cm="1">
        <f t="array" ref="Y139">SUMPRODUCT($T$2:$T$4,TRANSPOSE(B139:D139))</f>
        <v>-2.9099522563760605E-3</v>
      </c>
      <c r="AD139" s="3">
        <v>44034</v>
      </c>
      <c r="AE139" s="4">
        <v>-3.0491281223844296E-2</v>
      </c>
      <c r="AF139">
        <f t="shared" si="2"/>
        <v>0</v>
      </c>
      <c r="AG139" s="13"/>
    </row>
    <row r="140" spans="1:33" x14ac:dyDescent="0.35">
      <c r="A140" s="3">
        <v>44036</v>
      </c>
      <c r="B140" s="6">
        <f>LN(Raw!B142/Raw!B141)</f>
        <v>1.1198819195725624E-2</v>
      </c>
      <c r="C140" s="6">
        <f>LN(Raw!C142/Raw!C141)</f>
        <v>-1.3588042733558466E-2</v>
      </c>
      <c r="D140" s="6">
        <f>LN(Raw!D142/Raw!D141)</f>
        <v>-3.1656016262460118E-2</v>
      </c>
      <c r="X140" s="3">
        <v>44036</v>
      </c>
      <c r="Y140" cm="1">
        <f t="array" ref="Y140">SUMPRODUCT($T$2:$T$4,TRANSPOSE(B140:D140))</f>
        <v>4.1312619484470603E-3</v>
      </c>
      <c r="AD140" s="3">
        <v>44035</v>
      </c>
      <c r="AE140" s="4">
        <v>-2.9099522563760605E-3</v>
      </c>
      <c r="AF140">
        <f t="shared" si="2"/>
        <v>0</v>
      </c>
      <c r="AG140" s="13"/>
    </row>
    <row r="141" spans="1:33" x14ac:dyDescent="0.35">
      <c r="A141" s="3">
        <v>44039</v>
      </c>
      <c r="B141" s="6">
        <f>LN(Raw!B143/Raw!B142)</f>
        <v>6.9123656927105271E-3</v>
      </c>
      <c r="C141" s="6">
        <f>LN(Raw!C143/Raw!C142)</f>
        <v>-3.0761531808425623E-2</v>
      </c>
      <c r="D141" s="6">
        <f>LN(Raw!D143/Raw!D142)</f>
        <v>-5.5167452125004929E-3</v>
      </c>
      <c r="X141" s="3">
        <v>44039</v>
      </c>
      <c r="Y141" cm="1">
        <f t="array" ref="Y141">SUMPRODUCT($T$2:$T$4,TRANSPOSE(B141:D141))</f>
        <v>-1.2212601564891479E-3</v>
      </c>
      <c r="AD141" s="3">
        <v>44036</v>
      </c>
      <c r="AE141" s="4">
        <v>4.1312619484470603E-3</v>
      </c>
      <c r="AF141">
        <f t="shared" si="2"/>
        <v>0</v>
      </c>
      <c r="AG141" s="13"/>
    </row>
    <row r="142" spans="1:33" x14ac:dyDescent="0.35">
      <c r="A142" s="3">
        <v>44040</v>
      </c>
      <c r="B142" s="6">
        <f>LN(Raw!B144/Raw!B143)</f>
        <v>1.0014485855827194E-2</v>
      </c>
      <c r="C142" s="6">
        <f>LN(Raw!C144/Raw!C143)</f>
        <v>-1.3867873912291651E-2</v>
      </c>
      <c r="D142" s="6">
        <f>LN(Raw!D144/Raw!D143)</f>
        <v>-5.5472809990467194E-3</v>
      </c>
      <c r="X142" s="3">
        <v>44040</v>
      </c>
      <c r="Y142" cm="1">
        <f t="array" ref="Y142">SUMPRODUCT($T$2:$T$4,TRANSPOSE(B142:D142))</f>
        <v>4.4781753280319107E-3</v>
      </c>
      <c r="AD142" s="3">
        <v>44039</v>
      </c>
      <c r="AE142" s="4">
        <v>-1.2212601564891479E-3</v>
      </c>
      <c r="AF142">
        <f t="shared" si="2"/>
        <v>0</v>
      </c>
      <c r="AG142" s="13"/>
    </row>
    <row r="143" spans="1:33" x14ac:dyDescent="0.35">
      <c r="A143" s="3">
        <v>44041</v>
      </c>
      <c r="B143" s="6">
        <f>LN(Raw!B145/Raw!B144)</f>
        <v>-1.3579955460822708E-2</v>
      </c>
      <c r="C143" s="6">
        <f>LN(Raw!C145/Raw!C144)</f>
        <v>3.060648312570803E-3</v>
      </c>
      <c r="D143" s="6">
        <f>LN(Raw!D145/Raw!D144)</f>
        <v>-4.7179198225406555E-3</v>
      </c>
      <c r="X143" s="3">
        <v>44041</v>
      </c>
      <c r="Y143" cm="1">
        <f t="array" ref="Y143">SUMPRODUCT($T$2:$T$4,TRANSPOSE(B143:D143))</f>
        <v>-9.8204387374819287E-3</v>
      </c>
      <c r="AD143" s="3">
        <v>44040</v>
      </c>
      <c r="AE143" s="4">
        <v>4.4781753280319107E-3</v>
      </c>
      <c r="AF143">
        <f t="shared" si="2"/>
        <v>0</v>
      </c>
      <c r="AG143" s="13"/>
    </row>
    <row r="144" spans="1:33" x14ac:dyDescent="0.35">
      <c r="A144" s="3">
        <v>44042</v>
      </c>
      <c r="B144" s="6">
        <f>LN(Raw!B146/Raw!B145)</f>
        <v>1.4867085753646474E-2</v>
      </c>
      <c r="C144" s="6">
        <f>LN(Raw!C146/Raw!C145)</f>
        <v>-1.5743120672371904E-2</v>
      </c>
      <c r="D144" s="6">
        <f>LN(Raw!D146/Raw!D145)</f>
        <v>-1.1675835761140401E-2</v>
      </c>
      <c r="X144" s="3">
        <v>44042</v>
      </c>
      <c r="Y144" cm="1">
        <f t="array" ref="Y144">SUMPRODUCT($T$2:$T$4,TRANSPOSE(B144:D144))</f>
        <v>7.4446531412122787E-3</v>
      </c>
      <c r="AD144" s="3">
        <v>44041</v>
      </c>
      <c r="AE144" s="4">
        <v>-9.8204387374819287E-3</v>
      </c>
      <c r="AF144">
        <f t="shared" si="2"/>
        <v>0</v>
      </c>
      <c r="AG144" s="13"/>
    </row>
    <row r="145" spans="1:33" x14ac:dyDescent="0.35">
      <c r="A145" s="3">
        <v>44043</v>
      </c>
      <c r="B145" s="6">
        <f>LN(Raw!B147/Raw!B146)</f>
        <v>-1.3562076740552402E-2</v>
      </c>
      <c r="C145" s="6">
        <f>LN(Raw!C147/Raw!C146)</f>
        <v>-7.6174518677611805E-3</v>
      </c>
      <c r="D145" s="6">
        <f>LN(Raw!D147/Raw!D146)</f>
        <v>-1.9767854004288755E-2</v>
      </c>
      <c r="X145" s="3">
        <v>44043</v>
      </c>
      <c r="Y145" cm="1">
        <f t="array" ref="Y145">SUMPRODUCT($T$2:$T$4,TRANSPOSE(B145:D145))</f>
        <v>-1.2682843792169845E-2</v>
      </c>
      <c r="AD145" s="3">
        <v>44042</v>
      </c>
      <c r="AE145" s="4">
        <v>7.4446531412122787E-3</v>
      </c>
      <c r="AF145">
        <f t="shared" si="2"/>
        <v>0</v>
      </c>
      <c r="AG145" s="13"/>
    </row>
    <row r="146" spans="1:33" x14ac:dyDescent="0.35">
      <c r="A146" s="3">
        <v>44046</v>
      </c>
      <c r="B146" s="6">
        <f>LN(Raw!B148/Raw!B147)</f>
        <v>1.1706180376984381E-2</v>
      </c>
      <c r="C146" s="6">
        <f>LN(Raw!C148/Raw!C147)</f>
        <v>0</v>
      </c>
      <c r="D146" s="6">
        <f>LN(Raw!D148/Raw!D147)</f>
        <v>-9.8084129889898907E-3</v>
      </c>
      <c r="X146" s="3">
        <v>44046</v>
      </c>
      <c r="Y146" cm="1">
        <f t="array" ref="Y146">SUMPRODUCT($T$2:$T$4,TRANSPOSE(B146:D146))</f>
        <v>8.3052406563044294E-3</v>
      </c>
      <c r="AD146" s="3">
        <v>44043</v>
      </c>
      <c r="AE146" s="4">
        <v>-1.2682843792169845E-2</v>
      </c>
      <c r="AF146">
        <f t="shared" si="2"/>
        <v>0</v>
      </c>
      <c r="AG146" s="13"/>
    </row>
    <row r="147" spans="1:33" x14ac:dyDescent="0.35">
      <c r="A147" s="3">
        <v>44047</v>
      </c>
      <c r="B147" s="6">
        <f>LN(Raw!B149/Raw!B148)</f>
        <v>2.3009671445987714E-2</v>
      </c>
      <c r="C147" s="6">
        <f>LN(Raw!C149/Raw!C148)</f>
        <v>-9.7801845305609293E-3</v>
      </c>
      <c r="D147" s="6">
        <f>LN(Raw!D149/Raw!D148)</f>
        <v>1.3351396445449804E-2</v>
      </c>
      <c r="X147" s="3">
        <v>44047</v>
      </c>
      <c r="Y147" cm="1">
        <f t="array" ref="Y147">SUMPRODUCT($T$2:$T$4,TRANSPOSE(B147:D147))</f>
        <v>1.5987873265792842E-2</v>
      </c>
      <c r="AD147" s="3">
        <v>44046</v>
      </c>
      <c r="AE147" s="4">
        <v>8.3052406563044294E-3</v>
      </c>
      <c r="AF147">
        <f t="shared" si="2"/>
        <v>0</v>
      </c>
      <c r="AG147" s="13"/>
    </row>
    <row r="148" spans="1:33" x14ac:dyDescent="0.35">
      <c r="A148" s="3">
        <v>44048</v>
      </c>
      <c r="B148" s="6">
        <f>LN(Raw!B150/Raw!B149)</f>
        <v>7.7749624313229275E-4</v>
      </c>
      <c r="C148" s="6">
        <f>LN(Raw!C150/Raw!C149)</f>
        <v>5.6003332476657272E-3</v>
      </c>
      <c r="D148" s="6">
        <f>LN(Raw!D150/Raw!D149)</f>
        <v>2.1430953144993947E-2</v>
      </c>
      <c r="X148" s="3">
        <v>44048</v>
      </c>
      <c r="Y148" cm="1">
        <f t="array" ref="Y148">SUMPRODUCT($T$2:$T$4,TRANSPOSE(B148:D148))</f>
        <v>2.7621224362917472E-3</v>
      </c>
      <c r="AD148" s="3">
        <v>44047</v>
      </c>
      <c r="AE148" s="4">
        <v>1.5987873265792842E-2</v>
      </c>
      <c r="AF148">
        <f t="shared" si="2"/>
        <v>0</v>
      </c>
      <c r="AG148" s="13"/>
    </row>
    <row r="149" spans="1:33" x14ac:dyDescent="0.35">
      <c r="A149" s="3">
        <v>44049</v>
      </c>
      <c r="B149" s="6">
        <f>LN(Raw!B151/Raw!B150)</f>
        <v>1.8521378284824388E-2</v>
      </c>
      <c r="C149" s="6">
        <f>LN(Raw!C151/Raw!C150)</f>
        <v>-1.7250828676744129E-2</v>
      </c>
      <c r="D149" s="6">
        <f>LN(Raw!D151/Raw!D150)</f>
        <v>-8.6918769754430227E-3</v>
      </c>
      <c r="X149" s="3">
        <v>44049</v>
      </c>
      <c r="Y149" cm="1">
        <f t="array" ref="Y149">SUMPRODUCT($T$2:$T$4,TRANSPOSE(B149:D149))</f>
        <v>1.0035600167958588E-2</v>
      </c>
      <c r="AD149" s="3">
        <v>44048</v>
      </c>
      <c r="AE149" s="4">
        <v>2.7621224362917472E-3</v>
      </c>
      <c r="AF149">
        <f t="shared" si="2"/>
        <v>0</v>
      </c>
      <c r="AG149" s="13"/>
    </row>
    <row r="150" spans="1:33" x14ac:dyDescent="0.35">
      <c r="A150" s="3">
        <v>44050</v>
      </c>
      <c r="B150" s="6">
        <f>LN(Raw!B152/Raw!B151)</f>
        <v>-1.4347110692679537E-2</v>
      </c>
      <c r="C150" s="6">
        <f>LN(Raw!C152/Raw!C151)</f>
        <v>7.0981488692769146E-4</v>
      </c>
      <c r="D150" s="6">
        <f>LN(Raw!D152/Raw!D151)</f>
        <v>9.9891395947793397E-3</v>
      </c>
      <c r="X150" s="3">
        <v>44050</v>
      </c>
      <c r="Y150" cm="1">
        <f t="array" ref="Y150">SUMPRODUCT($T$2:$T$4,TRANSPOSE(B150:D150))</f>
        <v>-1.0137825023407146E-2</v>
      </c>
      <c r="AD150" s="3">
        <v>44049</v>
      </c>
      <c r="AE150" s="4">
        <v>1.0035600167958588E-2</v>
      </c>
      <c r="AF150">
        <f t="shared" si="2"/>
        <v>0</v>
      </c>
      <c r="AG150" s="13"/>
    </row>
    <row r="151" spans="1:33" x14ac:dyDescent="0.35">
      <c r="A151" s="3">
        <v>44053</v>
      </c>
      <c r="B151" s="6">
        <f>LN(Raw!B153/Raw!B152)</f>
        <v>1.9132464881140024E-2</v>
      </c>
      <c r="C151" s="6">
        <f>LN(Raw!C153/Raw!C152)</f>
        <v>5.9246062481369162E-2</v>
      </c>
      <c r="D151" s="6">
        <f>LN(Raw!D153/Raw!D152)</f>
        <v>1.501212515216763E-2</v>
      </c>
      <c r="X151" s="3">
        <v>44053</v>
      </c>
      <c r="Y151" cm="1">
        <f t="array" ref="Y151">SUMPRODUCT($T$2:$T$4,TRANSPOSE(B151:D151))</f>
        <v>2.6933942679639302E-2</v>
      </c>
      <c r="AD151" s="3">
        <v>44050</v>
      </c>
      <c r="AE151" s="4">
        <v>-1.0137825023407146E-2</v>
      </c>
      <c r="AF151">
        <f t="shared" si="2"/>
        <v>0</v>
      </c>
      <c r="AG151" s="13"/>
    </row>
    <row r="152" spans="1:33" x14ac:dyDescent="0.35">
      <c r="A152" s="3">
        <v>44054</v>
      </c>
      <c r="B152" s="6">
        <f>LN(Raw!B154/Raw!B153)</f>
        <v>-2.4640275798995852E-2</v>
      </c>
      <c r="C152" s="6">
        <f>LN(Raw!C154/Raw!C153)</f>
        <v>-1.7544344704810724E-2</v>
      </c>
      <c r="D152" s="6">
        <f>LN(Raw!D154/Raw!D153)</f>
        <v>-5.97783368110061E-3</v>
      </c>
      <c r="X152" s="3">
        <v>44054</v>
      </c>
      <c r="Y152" cm="1">
        <f t="array" ref="Y152">SUMPRODUCT($T$2:$T$4,TRANSPOSE(B152:D152))</f>
        <v>-2.2300547884855606E-2</v>
      </c>
      <c r="AD152" s="3">
        <v>44053</v>
      </c>
      <c r="AE152" s="4">
        <v>2.6933942679639302E-2</v>
      </c>
      <c r="AF152">
        <f t="shared" si="2"/>
        <v>0</v>
      </c>
      <c r="AG152" s="13"/>
    </row>
    <row r="153" spans="1:33" x14ac:dyDescent="0.35">
      <c r="A153" s="3">
        <v>44055</v>
      </c>
      <c r="B153" s="6">
        <f>LN(Raw!B155/Raw!B154)</f>
        <v>2.1234692556163531E-2</v>
      </c>
      <c r="C153" s="6">
        <f>LN(Raw!C155/Raw!C154)</f>
        <v>-2.7257258801147901E-2</v>
      </c>
      <c r="D153" s="6">
        <f>LN(Raw!D155/Raw!D154)</f>
        <v>-6.8758744518783383E-3</v>
      </c>
      <c r="X153" s="3">
        <v>44055</v>
      </c>
      <c r="Y153" cm="1">
        <f t="array" ref="Y153">SUMPRODUCT($T$2:$T$4,TRANSPOSE(B153:D153))</f>
        <v>1.0166051276041466E-2</v>
      </c>
      <c r="AD153" s="3">
        <v>44054</v>
      </c>
      <c r="AE153" s="4">
        <v>-2.2300547884855606E-2</v>
      </c>
      <c r="AF153">
        <f t="shared" si="2"/>
        <v>0</v>
      </c>
      <c r="AG153" s="13"/>
    </row>
    <row r="154" spans="1:33" x14ac:dyDescent="0.35">
      <c r="A154" s="3">
        <v>44056</v>
      </c>
      <c r="B154" s="6">
        <f>LN(Raw!B156/Raw!B155)</f>
        <v>-9.992666284057615E-3</v>
      </c>
      <c r="C154" s="6">
        <f>LN(Raw!C156/Raw!C155)</f>
        <v>-7.3722745466659641E-3</v>
      </c>
      <c r="D154" s="6">
        <f>LN(Raw!D156/Raw!D155)</f>
        <v>1.1575719748026202E-2</v>
      </c>
      <c r="X154" s="3">
        <v>44056</v>
      </c>
      <c r="Y154" cm="1">
        <f t="array" ref="Y154">SUMPRODUCT($T$2:$T$4,TRANSPOSE(B154:D154))</f>
        <v>-8.4022978505504473E-3</v>
      </c>
      <c r="AD154" s="3">
        <v>44055</v>
      </c>
      <c r="AE154" s="4">
        <v>1.0166051276041466E-2</v>
      </c>
      <c r="AF154">
        <f t="shared" si="2"/>
        <v>0</v>
      </c>
      <c r="AG154" s="13"/>
    </row>
    <row r="155" spans="1:33" x14ac:dyDescent="0.35">
      <c r="A155" s="3">
        <v>44057</v>
      </c>
      <c r="B155" s="6">
        <f>LN(Raw!B157/Raw!B156)</f>
        <v>-4.0695273261556135E-2</v>
      </c>
      <c r="C155" s="6">
        <f>LN(Raw!C157/Raw!C156)</f>
        <v>0</v>
      </c>
      <c r="D155" s="6">
        <f>LN(Raw!D157/Raw!D156)</f>
        <v>-9.4218834822968334E-3</v>
      </c>
      <c r="X155" s="3">
        <v>44057</v>
      </c>
      <c r="Y155" cm="1">
        <f t="array" ref="Y155">SUMPRODUCT($T$2:$T$4,TRANSPOSE(B155:D155))</f>
        <v>-3.1026071521958493E-2</v>
      </c>
      <c r="AD155" s="3">
        <v>44056</v>
      </c>
      <c r="AE155" s="4">
        <v>-8.4022978505504473E-3</v>
      </c>
      <c r="AF155">
        <f t="shared" si="2"/>
        <v>0</v>
      </c>
      <c r="AG155" s="13"/>
    </row>
    <row r="156" spans="1:33" x14ac:dyDescent="0.35">
      <c r="A156" s="3">
        <v>44060</v>
      </c>
      <c r="B156" s="6">
        <f>LN(Raw!B158/Raw!B157)</f>
        <v>-1.1325657005473406E-2</v>
      </c>
      <c r="C156" s="6">
        <f>LN(Raw!C158/Raw!C157)</f>
        <v>-6.7173457957071993E-3</v>
      </c>
      <c r="D156" s="6">
        <f>LN(Raw!D158/Raw!D157)</f>
        <v>2.2549259217542427E-2</v>
      </c>
      <c r="X156" s="3">
        <v>44060</v>
      </c>
      <c r="Y156" cm="1">
        <f t="array" ref="Y156">SUMPRODUCT($T$2:$T$4,TRANSPOSE(B156:D156))</f>
        <v>-8.7295117489310653E-3</v>
      </c>
      <c r="AD156" s="3">
        <v>44057</v>
      </c>
      <c r="AE156" s="4">
        <v>-3.1026071521958493E-2</v>
      </c>
      <c r="AF156">
        <f t="shared" si="2"/>
        <v>0</v>
      </c>
      <c r="AG156" s="13"/>
    </row>
    <row r="157" spans="1:33" x14ac:dyDescent="0.35">
      <c r="A157" s="3">
        <v>44061</v>
      </c>
      <c r="B157" s="6">
        <f>LN(Raw!B159/Raw!B158)</f>
        <v>3.1244229894198366E-2</v>
      </c>
      <c r="C157" s="6">
        <f>LN(Raw!C159/Raw!C158)</f>
        <v>-1.0646535199651938E-3</v>
      </c>
      <c r="D157" s="6">
        <f>LN(Raw!D159/Raw!D158)</f>
        <v>-8.8738177603706371E-3</v>
      </c>
      <c r="X157" s="3">
        <v>44061</v>
      </c>
      <c r="Y157" cm="1">
        <f t="array" ref="Y157">SUMPRODUCT($T$2:$T$4,TRANSPOSE(B157:D157))</f>
        <v>2.2810960949073446E-2</v>
      </c>
      <c r="AD157" s="3">
        <v>44060</v>
      </c>
      <c r="AE157" s="4">
        <v>-8.7295117489310653E-3</v>
      </c>
      <c r="AF157">
        <f t="shared" si="2"/>
        <v>0</v>
      </c>
      <c r="AG157" s="13"/>
    </row>
    <row r="158" spans="1:33" x14ac:dyDescent="0.35">
      <c r="A158" s="3">
        <v>44062</v>
      </c>
      <c r="B158" s="6">
        <f>LN(Raw!B160/Raw!B159)</f>
        <v>-1.9231648474204225E-2</v>
      </c>
      <c r="C158" s="6">
        <f>LN(Raw!C160/Raw!C159)</f>
        <v>3.4552256578306753E-2</v>
      </c>
      <c r="D158" s="6">
        <f>LN(Raw!D160/Raw!D159)</f>
        <v>3.389787235703697E-3</v>
      </c>
      <c r="X158" s="3">
        <v>44062</v>
      </c>
      <c r="Y158" cm="1">
        <f t="array" ref="Y158">SUMPRODUCT($T$2:$T$4,TRANSPOSE(B158:D158))</f>
        <v>-7.3785598306086667E-3</v>
      </c>
      <c r="AD158" s="3">
        <v>44061</v>
      </c>
      <c r="AE158" s="4">
        <v>2.2810960949073446E-2</v>
      </c>
      <c r="AF158">
        <f t="shared" si="2"/>
        <v>0</v>
      </c>
      <c r="AG158" s="13"/>
    </row>
    <row r="159" spans="1:33" x14ac:dyDescent="0.35">
      <c r="A159" s="3">
        <v>44063</v>
      </c>
      <c r="B159" s="6">
        <f>LN(Raw!B161/Raw!B160)</f>
        <v>-9.4290574977459411E-3</v>
      </c>
      <c r="C159" s="6">
        <f>LN(Raw!C161/Raw!C160)</f>
        <v>-1.6952468402535326E-2</v>
      </c>
      <c r="D159" s="6">
        <f>LN(Raw!D161/Raw!D160)</f>
        <v>-1.3628778555892306E-2</v>
      </c>
      <c r="X159" s="3">
        <v>44063</v>
      </c>
      <c r="Y159" cm="1">
        <f t="array" ref="Y159">SUMPRODUCT($T$2:$T$4,TRANSPOSE(B159:D159))</f>
        <v>-1.113833480927527E-2</v>
      </c>
      <c r="AD159" s="3">
        <v>44062</v>
      </c>
      <c r="AE159" s="4">
        <v>-7.3785598306086667E-3</v>
      </c>
      <c r="AF159">
        <f t="shared" si="2"/>
        <v>0</v>
      </c>
      <c r="AG159" s="13"/>
    </row>
    <row r="160" spans="1:33" x14ac:dyDescent="0.35">
      <c r="A160" s="3">
        <v>44064</v>
      </c>
      <c r="B160" s="6">
        <f>LN(Raw!B162/Raw!B161)</f>
        <v>-5.3284629640134307E-3</v>
      </c>
      <c r="C160" s="6">
        <f>LN(Raw!C162/Raw!C161)</f>
        <v>1.5579391046591928E-2</v>
      </c>
      <c r="D160" s="6">
        <f>LN(Raw!D162/Raw!D161)</f>
        <v>5.132532822311975E-3</v>
      </c>
      <c r="X160" s="3">
        <v>44064</v>
      </c>
      <c r="Y160" cm="1">
        <f t="array" ref="Y160">SUMPRODUCT($T$2:$T$4,TRANSPOSE(B160:D160))</f>
        <v>-6.3820662270675204E-4</v>
      </c>
      <c r="AD160" s="3">
        <v>44063</v>
      </c>
      <c r="AE160" s="4">
        <v>-1.113833480927527E-2</v>
      </c>
      <c r="AF160">
        <f t="shared" si="2"/>
        <v>0</v>
      </c>
      <c r="AG160" s="13"/>
    </row>
    <row r="161" spans="1:33" x14ac:dyDescent="0.35">
      <c r="A161" s="3">
        <v>44067</v>
      </c>
      <c r="B161" s="6">
        <f>LN(Raw!B163/Raw!B162)</f>
        <v>-1.2701751209192522E-2</v>
      </c>
      <c r="C161" s="6">
        <f>LN(Raw!C163/Raw!C162)</f>
        <v>4.3360897267512827E-2</v>
      </c>
      <c r="D161" s="6">
        <f>LN(Raw!D163/Raw!D162)</f>
        <v>-1.5044322106557975E-2</v>
      </c>
      <c r="X161" s="3">
        <v>44067</v>
      </c>
      <c r="Y161" cm="1">
        <f t="array" ref="Y161">SUMPRODUCT($T$2:$T$4,TRANSPOSE(B161:D161))</f>
        <v>-1.6293695594118017E-3</v>
      </c>
      <c r="AD161" s="3">
        <v>44064</v>
      </c>
      <c r="AE161" s="4">
        <v>-6.3820662270675204E-4</v>
      </c>
      <c r="AF161">
        <f t="shared" si="2"/>
        <v>0</v>
      </c>
      <c r="AG161" s="13"/>
    </row>
    <row r="162" spans="1:33" x14ac:dyDescent="0.35">
      <c r="A162" s="3">
        <v>44068</v>
      </c>
      <c r="B162" s="6">
        <f>LN(Raw!B164/Raw!B163)</f>
        <v>-7.715192653769222E-3</v>
      </c>
      <c r="C162" s="6">
        <f>LN(Raw!C164/Raw!C163)</f>
        <v>-1.5915451139117739E-2</v>
      </c>
      <c r="D162" s="6">
        <f>LN(Raw!D164/Raw!D163)</f>
        <v>7.3355764069836541E-3</v>
      </c>
      <c r="X162" s="3">
        <v>44068</v>
      </c>
      <c r="Y162" cm="1">
        <f t="array" ref="Y162">SUMPRODUCT($T$2:$T$4,TRANSPOSE(B162:D162))</f>
        <v>-8.6068383029339994E-3</v>
      </c>
      <c r="AD162" s="3">
        <v>44067</v>
      </c>
      <c r="AE162" s="4">
        <v>-1.6293695594118017E-3</v>
      </c>
      <c r="AF162">
        <f t="shared" si="2"/>
        <v>0</v>
      </c>
      <c r="AG162" s="13"/>
    </row>
    <row r="163" spans="1:33" x14ac:dyDescent="0.35">
      <c r="A163" s="3">
        <v>44069</v>
      </c>
      <c r="B163" s="6">
        <f>LN(Raw!B165/Raw!B164)</f>
        <v>-8.6957712795557817E-4</v>
      </c>
      <c r="C163" s="6">
        <f>LN(Raw!C165/Raw!C164)</f>
        <v>2.443167717852425E-2</v>
      </c>
      <c r="D163" s="6">
        <f>LN(Raw!D165/Raw!D164)</f>
        <v>2.6306148203130601E-2</v>
      </c>
      <c r="X163" s="3">
        <v>44069</v>
      </c>
      <c r="Y163" cm="1">
        <f t="array" ref="Y163">SUMPRODUCT($T$2:$T$4,TRANSPOSE(B163:D163))</f>
        <v>5.5246754654719498E-3</v>
      </c>
      <c r="AD163" s="3">
        <v>44068</v>
      </c>
      <c r="AE163" s="4">
        <v>-8.6068383029339994E-3</v>
      </c>
      <c r="AF163">
        <f t="shared" si="2"/>
        <v>0</v>
      </c>
      <c r="AG163" s="13"/>
    </row>
    <row r="164" spans="1:33" x14ac:dyDescent="0.35">
      <c r="A164" s="3">
        <v>44070</v>
      </c>
      <c r="B164" s="6">
        <f>LN(Raw!B166/Raw!B165)</f>
        <v>9.7605207104737371E-3</v>
      </c>
      <c r="C164" s="6">
        <f>LN(Raw!C166/Raw!C165)</f>
        <v>2.5121981010516551E-2</v>
      </c>
      <c r="D164" s="6">
        <f>LN(Raw!D166/Raw!D165)</f>
        <v>-3.3557279719201838E-3</v>
      </c>
      <c r="X164" s="3">
        <v>44070</v>
      </c>
      <c r="Y164" cm="1">
        <f t="array" ref="Y164">SUMPRODUCT($T$2:$T$4,TRANSPOSE(B164:D164))</f>
        <v>1.2177053329185257E-2</v>
      </c>
      <c r="AD164" s="3">
        <v>44069</v>
      </c>
      <c r="AE164" s="4">
        <v>5.5246754654719498E-3</v>
      </c>
      <c r="AF164">
        <f t="shared" si="2"/>
        <v>0</v>
      </c>
      <c r="AG164" s="13"/>
    </row>
    <row r="165" spans="1:33" x14ac:dyDescent="0.35">
      <c r="A165" s="3">
        <v>44071</v>
      </c>
      <c r="B165" s="6">
        <f>LN(Raw!B167/Raw!B166)</f>
        <v>5.6626816041127678E-3</v>
      </c>
      <c r="C165" s="6">
        <f>LN(Raw!C167/Raw!C166)</f>
        <v>-1.6677778511900745E-2</v>
      </c>
      <c r="D165" s="6">
        <f>LN(Raw!D167/Raw!D166)</f>
        <v>-8.4389530259166776E-3</v>
      </c>
      <c r="X165" s="3">
        <v>44071</v>
      </c>
      <c r="Y165" cm="1">
        <f t="array" ref="Y165">SUMPRODUCT($T$2:$T$4,TRANSPOSE(B165:D165))</f>
        <v>5.0634718357506984E-4</v>
      </c>
      <c r="AD165" s="3">
        <v>44070</v>
      </c>
      <c r="AE165" s="4">
        <v>1.2177053329185257E-2</v>
      </c>
      <c r="AF165">
        <f t="shared" si="2"/>
        <v>0</v>
      </c>
      <c r="AG165" s="13"/>
    </row>
    <row r="166" spans="1:33" x14ac:dyDescent="0.35">
      <c r="A166" s="3">
        <v>44074</v>
      </c>
      <c r="B166" s="6">
        <f>LN(Raw!B168/Raw!B167)</f>
        <v>-2.1412946156928635E-2</v>
      </c>
      <c r="C166" s="6">
        <f>LN(Raw!C168/Raw!C167)</f>
        <v>-5.2792279087896937E-2</v>
      </c>
      <c r="D166" s="6">
        <f>LN(Raw!D168/Raw!D167)</f>
        <v>-3.5802802498124023E-2</v>
      </c>
      <c r="X166" s="3">
        <v>44074</v>
      </c>
      <c r="Y166" cm="1">
        <f t="array" ref="Y166">SUMPRODUCT($T$2:$T$4,TRANSPOSE(B166:D166))</f>
        <v>-2.8387415047626013E-2</v>
      </c>
      <c r="AD166" s="3">
        <v>44071</v>
      </c>
      <c r="AE166" s="4">
        <v>5.0634718357506984E-4</v>
      </c>
      <c r="AF166">
        <f t="shared" si="2"/>
        <v>0</v>
      </c>
      <c r="AG166" s="13"/>
    </row>
    <row r="167" spans="1:33" x14ac:dyDescent="0.35">
      <c r="A167" s="3">
        <v>44075</v>
      </c>
      <c r="B167" s="6">
        <f>LN(Raw!B169/Raw!B168)</f>
        <v>2.1857656825519964E-3</v>
      </c>
      <c r="C167" s="6">
        <f>LN(Raw!C169/Raw!C168)</f>
        <v>6.8162476141028609E-4</v>
      </c>
      <c r="D167" s="6">
        <f>LN(Raw!D169/Raw!D168)</f>
        <v>-7.9365454494237358E-3</v>
      </c>
      <c r="X167" s="3">
        <v>44075</v>
      </c>
      <c r="Y167" cm="1">
        <f t="array" ref="Y167">SUMPRODUCT($T$2:$T$4,TRANSPOSE(B167:D167))</f>
        <v>1.3846328527514253E-3</v>
      </c>
      <c r="AD167" s="3">
        <v>44074</v>
      </c>
      <c r="AE167" s="4">
        <v>-2.8387415047626013E-2</v>
      </c>
      <c r="AF167">
        <f t="shared" si="2"/>
        <v>0</v>
      </c>
      <c r="AG167" s="13"/>
    </row>
    <row r="168" spans="1:33" x14ac:dyDescent="0.35">
      <c r="A168" s="3">
        <v>44076</v>
      </c>
      <c r="B168" s="6">
        <f>LN(Raw!B170/Raw!B169)</f>
        <v>2.0622507094649259E-3</v>
      </c>
      <c r="C168" s="6">
        <f>LN(Raw!C170/Raw!C169)</f>
        <v>9.8322722415340093E-3</v>
      </c>
      <c r="D168" s="6">
        <f>LN(Raw!D170/Raw!D169)</f>
        <v>4.8576494620864432E-3</v>
      </c>
      <c r="X168" s="3">
        <v>44076</v>
      </c>
      <c r="Y168" cm="1">
        <f t="array" ref="Y168">SUMPRODUCT($T$2:$T$4,TRANSPOSE(B168:D168))</f>
        <v>3.7512436311428108E-3</v>
      </c>
      <c r="AD168" s="3">
        <v>44075</v>
      </c>
      <c r="AE168" s="4">
        <v>1.3846328527514253E-3</v>
      </c>
      <c r="AF168">
        <f t="shared" si="2"/>
        <v>0</v>
      </c>
      <c r="AG168" s="13"/>
    </row>
    <row r="169" spans="1:33" x14ac:dyDescent="0.35">
      <c r="A169" s="3">
        <v>44077</v>
      </c>
      <c r="B169" s="6">
        <f>LN(Raw!B171/Raw!B170)</f>
        <v>2.0547250074786891E-2</v>
      </c>
      <c r="C169" s="6">
        <f>LN(Raw!C171/Raw!C170)</f>
        <v>-3.7181233454574181E-3</v>
      </c>
      <c r="D169" s="6">
        <f>LN(Raw!D171/Raw!D170)</f>
        <v>-4.4070667062633123E-4</v>
      </c>
      <c r="X169" s="3">
        <v>44077</v>
      </c>
      <c r="Y169" cm="1">
        <f t="array" ref="Y169">SUMPRODUCT($T$2:$T$4,TRANSPOSE(B169:D169))</f>
        <v>1.4665959425497945E-2</v>
      </c>
      <c r="AD169" s="3">
        <v>44076</v>
      </c>
      <c r="AE169" s="4">
        <v>3.7512436311428108E-3</v>
      </c>
      <c r="AF169">
        <f t="shared" si="2"/>
        <v>0</v>
      </c>
      <c r="AG169" s="13"/>
    </row>
    <row r="170" spans="1:33" x14ac:dyDescent="0.35">
      <c r="A170" s="3">
        <v>44078</v>
      </c>
      <c r="B170" s="6">
        <f>LN(Raw!B172/Raw!B171)</f>
        <v>1.5127474776030659E-3</v>
      </c>
      <c r="C170" s="6">
        <f>LN(Raw!C172/Raw!C171)</f>
        <v>-2.8161120318776618E-2</v>
      </c>
      <c r="D170" s="6">
        <f>LN(Raw!D172/Raw!D171)</f>
        <v>-6.189183039453241E-3</v>
      </c>
      <c r="X170" s="3">
        <v>44078</v>
      </c>
      <c r="Y170" cm="1">
        <f t="array" ref="Y170">SUMPRODUCT($T$2:$T$4,TRANSPOSE(B170:D170))</f>
        <v>-4.7903790112598377E-3</v>
      </c>
      <c r="AD170" s="3">
        <v>44077</v>
      </c>
      <c r="AE170" s="4">
        <v>1.4665959425497945E-2</v>
      </c>
      <c r="AF170">
        <f t="shared" si="2"/>
        <v>0</v>
      </c>
      <c r="AG170" s="13"/>
    </row>
    <row r="171" spans="1:33" x14ac:dyDescent="0.35">
      <c r="A171" s="3">
        <v>44081</v>
      </c>
      <c r="B171" s="6">
        <f>LN(Raw!B173/Raw!B172)</f>
        <v>-5.5184351113873658E-3</v>
      </c>
      <c r="C171" s="6">
        <f>LN(Raw!C173/Raw!C172)</f>
        <v>9.3603827289556896E-3</v>
      </c>
      <c r="D171" s="6">
        <f>LN(Raw!D173/Raw!D172)</f>
        <v>-9.8040418556394667E-3</v>
      </c>
      <c r="X171" s="3">
        <v>44081</v>
      </c>
      <c r="Y171" cm="1">
        <f t="array" ref="Y171">SUMPRODUCT($T$2:$T$4,TRANSPOSE(B171:D171))</f>
        <v>-2.7611929639356826E-3</v>
      </c>
      <c r="AD171" s="3">
        <v>44078</v>
      </c>
      <c r="AE171" s="4">
        <v>-4.7903790112598377E-3</v>
      </c>
      <c r="AF171">
        <f t="shared" si="2"/>
        <v>0</v>
      </c>
      <c r="AG171" s="13"/>
    </row>
    <row r="172" spans="1:33" x14ac:dyDescent="0.35">
      <c r="A172" s="3">
        <v>44082</v>
      </c>
      <c r="B172" s="6">
        <f>LN(Raw!B174/Raw!B173)</f>
        <v>-1.4958012076825088E-2</v>
      </c>
      <c r="C172" s="6">
        <f>LN(Raw!C174/Raw!C173)</f>
        <v>-4.3009694540136034E-2</v>
      </c>
      <c r="D172" s="6">
        <f>LN(Raw!D174/Raw!D173)</f>
        <v>-2.1272560157258237E-2</v>
      </c>
      <c r="X172" s="3">
        <v>44082</v>
      </c>
      <c r="Y172" cm="1">
        <f t="array" ref="Y172">SUMPRODUCT($T$2:$T$4,TRANSPOSE(B172:D172))</f>
        <v>-2.0868740290577024E-2</v>
      </c>
      <c r="AD172" s="3">
        <v>44081</v>
      </c>
      <c r="AE172" s="4">
        <v>-2.7611929639356826E-3</v>
      </c>
      <c r="AF172">
        <f t="shared" si="2"/>
        <v>0</v>
      </c>
      <c r="AG172" s="13"/>
    </row>
    <row r="173" spans="1:33" x14ac:dyDescent="0.35">
      <c r="A173" s="3">
        <v>44083</v>
      </c>
      <c r="B173" s="6">
        <f>LN(Raw!B175/Raw!B174)</f>
        <v>-3.7151732846935459E-2</v>
      </c>
      <c r="C173" s="6">
        <f>LN(Raw!C175/Raw!C174)</f>
        <v>-3.7435745262670732E-2</v>
      </c>
      <c r="D173" s="6">
        <f>LN(Raw!D175/Raw!D174)</f>
        <v>-1.614051860422824E-2</v>
      </c>
      <c r="X173" s="3">
        <v>44083</v>
      </c>
      <c r="Y173" cm="1">
        <f t="array" ref="Y173">SUMPRODUCT($T$2:$T$4,TRANSPOSE(B173:D173))</f>
        <v>-3.6168565062574397E-2</v>
      </c>
      <c r="AD173" s="3">
        <v>44082</v>
      </c>
      <c r="AE173" s="4">
        <v>-2.0868740290577024E-2</v>
      </c>
      <c r="AF173">
        <f t="shared" si="2"/>
        <v>0</v>
      </c>
      <c r="AG173" s="13"/>
    </row>
    <row r="174" spans="1:33" x14ac:dyDescent="0.35">
      <c r="A174" s="3">
        <v>44084</v>
      </c>
      <c r="B174" s="6">
        <f>LN(Raw!B176/Raw!B175)</f>
        <v>2.861094272891529E-2</v>
      </c>
      <c r="C174" s="6">
        <f>LN(Raw!C176/Raw!C175)</f>
        <v>1.926001930244832E-2</v>
      </c>
      <c r="D174" s="6">
        <f>LN(Raw!D176/Raw!D175)</f>
        <v>2.1615053813205498E-2</v>
      </c>
      <c r="X174" s="3">
        <v>44084</v>
      </c>
      <c r="Y174" cm="1">
        <f t="array" ref="Y174">SUMPRODUCT($T$2:$T$4,TRANSPOSE(B174:D174))</f>
        <v>2.6398569260395469E-2</v>
      </c>
      <c r="AD174" s="3">
        <v>44083</v>
      </c>
      <c r="AE174" s="4">
        <v>-3.6168565062574397E-2</v>
      </c>
      <c r="AF174">
        <f t="shared" si="2"/>
        <v>0</v>
      </c>
      <c r="AG174" s="13"/>
    </row>
    <row r="175" spans="1:33" x14ac:dyDescent="0.35">
      <c r="A175" s="3">
        <v>44085</v>
      </c>
      <c r="B175" s="6">
        <f>LN(Raw!B177/Raw!B176)</f>
        <v>3.5198607497610501E-2</v>
      </c>
      <c r="C175" s="6">
        <f>LN(Raw!C177/Raw!C176)</f>
        <v>-1.2922542671296989E-2</v>
      </c>
      <c r="D175" s="6">
        <f>LN(Raw!D177/Raw!D176)</f>
        <v>-7.7644244562481502E-3</v>
      </c>
      <c r="X175" s="3">
        <v>44085</v>
      </c>
      <c r="Y175" cm="1">
        <f t="array" ref="Y175">SUMPRODUCT($T$2:$T$4,TRANSPOSE(B175:D175))</f>
        <v>2.3468916073781584E-2</v>
      </c>
      <c r="AD175" s="3">
        <v>44084</v>
      </c>
      <c r="AE175" s="4">
        <v>2.6398569260395469E-2</v>
      </c>
      <c r="AF175">
        <f t="shared" si="2"/>
        <v>0</v>
      </c>
      <c r="AG175" s="13"/>
    </row>
    <row r="176" spans="1:33" x14ac:dyDescent="0.35">
      <c r="A176" s="3">
        <v>44088</v>
      </c>
      <c r="B176" s="6">
        <f>LN(Raw!B178/Raw!B177)</f>
        <v>5.4924997853250147E-3</v>
      </c>
      <c r="C176" s="6">
        <f>LN(Raw!C178/Raw!C177)</f>
        <v>-3.7229278766074186E-3</v>
      </c>
      <c r="D176" s="6">
        <f>LN(Raw!D178/Raw!D177)</f>
        <v>2.4010118035651552E-2</v>
      </c>
      <c r="X176" s="3">
        <v>44088</v>
      </c>
      <c r="Y176" cm="1">
        <f t="array" ref="Y176">SUMPRODUCT($T$2:$T$4,TRANSPOSE(B176:D176))</f>
        <v>4.5698333957307066E-3</v>
      </c>
      <c r="AD176" s="3">
        <v>44085</v>
      </c>
      <c r="AE176" s="4">
        <v>2.3468916073781584E-2</v>
      </c>
      <c r="AF176">
        <f t="shared" si="2"/>
        <v>0</v>
      </c>
      <c r="AG176" s="13"/>
    </row>
    <row r="177" spans="1:33" x14ac:dyDescent="0.35">
      <c r="A177" s="3">
        <v>44089</v>
      </c>
      <c r="B177" s="6">
        <f>LN(Raw!B179/Raw!B178)</f>
        <v>-6.5141682543009194E-4</v>
      </c>
      <c r="C177" s="6">
        <f>LN(Raw!C179/Raw!C178)</f>
        <v>-2.9885058645856516E-3</v>
      </c>
      <c r="D177" s="6">
        <f>LN(Raw!D179/Raw!D178)</f>
        <v>-1.0348639298444786E-2</v>
      </c>
      <c r="X177" s="3">
        <v>44089</v>
      </c>
      <c r="Y177" cm="1">
        <f t="array" ref="Y177">SUMPRODUCT($T$2:$T$4,TRANSPOSE(B177:D177))</f>
        <v>-1.5977418113628876E-3</v>
      </c>
      <c r="AD177" s="3">
        <v>44088</v>
      </c>
      <c r="AE177" s="4">
        <v>4.5698333957307066E-3</v>
      </c>
      <c r="AF177">
        <f t="shared" si="2"/>
        <v>0</v>
      </c>
      <c r="AG177" s="13"/>
    </row>
    <row r="178" spans="1:33" x14ac:dyDescent="0.35">
      <c r="A178" s="3">
        <v>44090</v>
      </c>
      <c r="B178" s="6">
        <f>LN(Raw!B180/Raw!B179)</f>
        <v>9.0050594521084437E-3</v>
      </c>
      <c r="C178" s="6">
        <f>LN(Raw!C180/Raw!C179)</f>
        <v>7.4802743057601013E-4</v>
      </c>
      <c r="D178" s="6">
        <f>LN(Raw!D180/Raw!D179)</f>
        <v>-1.9639891266688008E-2</v>
      </c>
      <c r="X178" s="3">
        <v>44090</v>
      </c>
      <c r="Y178" cm="1">
        <f t="array" ref="Y178">SUMPRODUCT($T$2:$T$4,TRANSPOSE(B178:D178))</f>
        <v>5.9395775380177498E-3</v>
      </c>
      <c r="AD178" s="3">
        <v>44089</v>
      </c>
      <c r="AE178" s="4">
        <v>-1.5977418113628876E-3</v>
      </c>
      <c r="AF178">
        <f t="shared" si="2"/>
        <v>0</v>
      </c>
      <c r="AG178" s="13"/>
    </row>
    <row r="179" spans="1:33" x14ac:dyDescent="0.35">
      <c r="A179" s="3">
        <v>44091</v>
      </c>
      <c r="B179" s="6">
        <f>LN(Raw!B181/Raw!B180)</f>
        <v>-2.6793552501918196E-2</v>
      </c>
      <c r="C179" s="6">
        <f>LN(Raw!C181/Raw!C180)</f>
        <v>-5.2473448543108817E-3</v>
      </c>
      <c r="D179" s="6">
        <f>LN(Raw!D181/Raw!D180)</f>
        <v>3.6832676523343619E-3</v>
      </c>
      <c r="X179" s="3">
        <v>44091</v>
      </c>
      <c r="Y179" cm="1">
        <f t="array" ref="Y179">SUMPRODUCT($T$2:$T$4,TRANSPOSE(B179:D179))</f>
        <v>-2.0985315632175965E-2</v>
      </c>
      <c r="AD179" s="3">
        <v>44090</v>
      </c>
      <c r="AE179" s="4">
        <v>5.9395775380177498E-3</v>
      </c>
      <c r="AF179">
        <f t="shared" si="2"/>
        <v>0</v>
      </c>
      <c r="AG179" s="13"/>
    </row>
    <row r="180" spans="1:33" x14ac:dyDescent="0.35">
      <c r="A180" s="3">
        <v>44092</v>
      </c>
      <c r="B180" s="6">
        <f>LN(Raw!B182/Raw!B181)</f>
        <v>1.1212819369345215E-2</v>
      </c>
      <c r="C180" s="6">
        <f>LN(Raw!C182/Raw!C181)</f>
        <v>-3.0912716236186938E-2</v>
      </c>
      <c r="D180" s="6">
        <f>LN(Raw!D182/Raw!D181)</f>
        <v>4.1410057512038877E-2</v>
      </c>
      <c r="X180" s="3">
        <v>44092</v>
      </c>
      <c r="Y180" cm="1">
        <f t="array" ref="Y180">SUMPRODUCT($T$2:$T$4,TRANSPOSE(B180:D180))</f>
        <v>4.3003712361535645E-3</v>
      </c>
      <c r="AD180" s="3">
        <v>44091</v>
      </c>
      <c r="AE180" s="4">
        <v>-2.0985315632175965E-2</v>
      </c>
      <c r="AF180">
        <f t="shared" si="2"/>
        <v>0</v>
      </c>
      <c r="AG180" s="13"/>
    </row>
    <row r="181" spans="1:33" x14ac:dyDescent="0.35">
      <c r="A181" s="3">
        <v>44095</v>
      </c>
      <c r="B181" s="6">
        <f>LN(Raw!B183/Raw!B182)</f>
        <v>-1.5513874400173468E-2</v>
      </c>
      <c r="C181" s="6">
        <f>LN(Raw!C183/Raw!C182)</f>
        <v>-3.2298960347260923E-2</v>
      </c>
      <c r="D181" s="6">
        <f>LN(Raw!D183/Raw!D182)</f>
        <v>-5.0180099644194009E-2</v>
      </c>
      <c r="X181" s="3">
        <v>44095</v>
      </c>
      <c r="Y181" cm="1">
        <f t="array" ref="Y181">SUMPRODUCT($T$2:$T$4,TRANSPOSE(B181:D181))</f>
        <v>-2.0579277065400504E-2</v>
      </c>
      <c r="AD181" s="3">
        <v>44092</v>
      </c>
      <c r="AE181" s="4">
        <v>4.3003712361535645E-3</v>
      </c>
      <c r="AF181">
        <f t="shared" si="2"/>
        <v>0</v>
      </c>
      <c r="AG181" s="13"/>
    </row>
    <row r="182" spans="1:33" x14ac:dyDescent="0.35">
      <c r="A182" s="3">
        <v>44096</v>
      </c>
      <c r="B182" s="6">
        <f>LN(Raw!B184/Raw!B183)</f>
        <v>-1.6793821213428619E-2</v>
      </c>
      <c r="C182" s="6">
        <f>LN(Raw!C184/Raw!C183)</f>
        <v>-1.4110313217410457E-2</v>
      </c>
      <c r="D182" s="6">
        <f>LN(Raw!D184/Raw!D183)</f>
        <v>-2.4402863495339145E-2</v>
      </c>
      <c r="X182" s="3">
        <v>44096</v>
      </c>
      <c r="Y182" cm="1">
        <f t="array" ref="Y182">SUMPRODUCT($T$2:$T$4,TRANSPOSE(B182:D182))</f>
        <v>-1.6634850840094702E-2</v>
      </c>
      <c r="AD182" s="3">
        <v>44095</v>
      </c>
      <c r="AE182" s="4">
        <v>-2.0579277065400504E-2</v>
      </c>
      <c r="AF182">
        <f t="shared" si="2"/>
        <v>0</v>
      </c>
      <c r="AG182" s="13"/>
    </row>
    <row r="183" spans="1:33" x14ac:dyDescent="0.35">
      <c r="A183" s="3">
        <v>44097</v>
      </c>
      <c r="B183" s="6">
        <f>LN(Raw!B185/Raw!B184)</f>
        <v>2.705895110787468E-3</v>
      </c>
      <c r="C183" s="6">
        <f>LN(Raw!C185/Raw!C184)</f>
        <v>-1.0612296744447044E-2</v>
      </c>
      <c r="D183" s="6">
        <f>LN(Raw!D185/Raw!D184)</f>
        <v>-1.628385087374324E-2</v>
      </c>
      <c r="X183" s="3">
        <v>44097</v>
      </c>
      <c r="Y183" cm="1">
        <f t="array" ref="Y183">SUMPRODUCT($T$2:$T$4,TRANSPOSE(B183:D183))</f>
        <v>-8.9179561171532089E-4</v>
      </c>
      <c r="AD183" s="3">
        <v>44096</v>
      </c>
      <c r="AE183" s="4">
        <v>-1.6634850840094702E-2</v>
      </c>
      <c r="AF183">
        <f t="shared" si="2"/>
        <v>0</v>
      </c>
      <c r="AG183" s="13"/>
    </row>
    <row r="184" spans="1:33" x14ac:dyDescent="0.35">
      <c r="A184" s="3">
        <v>44098</v>
      </c>
      <c r="B184" s="6">
        <f>LN(Raw!B186/Raw!B185)</f>
        <v>-5.4594615156905767E-3</v>
      </c>
      <c r="C184" s="6">
        <f>LN(Raw!C186/Raw!C185)</f>
        <v>-5.3488217764013661E-3</v>
      </c>
      <c r="D184" s="6">
        <f>LN(Raw!D186/Raw!D185)</f>
        <v>-2.1474729056114888E-2</v>
      </c>
      <c r="X184" s="3">
        <v>44098</v>
      </c>
      <c r="Y184" cm="1">
        <f t="array" ref="Y184">SUMPRODUCT($T$2:$T$4,TRANSPOSE(B184:D184))</f>
        <v>-6.2299786450188349E-3</v>
      </c>
      <c r="AD184" s="3">
        <v>44097</v>
      </c>
      <c r="AE184" s="4">
        <v>-8.9179561171532089E-4</v>
      </c>
      <c r="AF184">
        <f t="shared" si="2"/>
        <v>0</v>
      </c>
      <c r="AG184" s="13"/>
    </row>
    <row r="185" spans="1:33" x14ac:dyDescent="0.35">
      <c r="A185" s="3">
        <v>44099</v>
      </c>
      <c r="B185" s="6">
        <f>LN(Raw!B187/Raw!B186)</f>
        <v>1.4873396516736954E-2</v>
      </c>
      <c r="C185" s="6">
        <f>LN(Raw!C187/Raw!C186)</f>
        <v>2.2436228798299519E-2</v>
      </c>
      <c r="D185" s="6">
        <f>LN(Raw!D187/Raw!D186)</f>
        <v>2.4367689957362788E-2</v>
      </c>
      <c r="X185" s="3">
        <v>44099</v>
      </c>
      <c r="Y185" cm="1">
        <f t="array" ref="Y185">SUMPRODUCT($T$2:$T$4,TRANSPOSE(B185:D185))</f>
        <v>1.6852569995467231E-2</v>
      </c>
      <c r="AD185" s="3">
        <v>44098</v>
      </c>
      <c r="AE185" s="4">
        <v>-6.2299786450188349E-3</v>
      </c>
      <c r="AF185">
        <f t="shared" si="2"/>
        <v>0</v>
      </c>
      <c r="AG185" s="13"/>
    </row>
    <row r="186" spans="1:33" x14ac:dyDescent="0.35">
      <c r="A186" s="3">
        <v>44102</v>
      </c>
      <c r="B186" s="6">
        <f>LN(Raw!B188/Raw!B187)</f>
        <v>-1.2211476207891006E-3</v>
      </c>
      <c r="C186" s="6">
        <f>LN(Raw!C188/Raw!C187)</f>
        <v>1.2029012971100242E-2</v>
      </c>
      <c r="D186" s="6">
        <f>LN(Raw!D188/Raw!D187)</f>
        <v>2.1905675625546142E-2</v>
      </c>
      <c r="X186" s="3">
        <v>44102</v>
      </c>
      <c r="Y186" cm="1">
        <f t="array" ref="Y186">SUMPRODUCT($T$2:$T$4,TRANSPOSE(B186:D186))</f>
        <v>2.5677106247117571E-3</v>
      </c>
      <c r="AD186" s="3">
        <v>44099</v>
      </c>
      <c r="AE186" s="4">
        <v>1.6852569995467231E-2</v>
      </c>
      <c r="AF186">
        <f t="shared" si="2"/>
        <v>0</v>
      </c>
      <c r="AG186" s="13"/>
    </row>
    <row r="187" spans="1:33" x14ac:dyDescent="0.35">
      <c r="A187" s="3">
        <v>44103</v>
      </c>
      <c r="B187" s="6">
        <f>LN(Raw!B189/Raw!B188)</f>
        <v>-1.4291760614223209E-2</v>
      </c>
      <c r="C187" s="6">
        <f>LN(Raw!C189/Raw!C188)</f>
        <v>-2.1350139856421375E-2</v>
      </c>
      <c r="D187" s="6">
        <f>LN(Raw!D189/Raw!D188)</f>
        <v>-6.6163023244634328E-3</v>
      </c>
      <c r="X187" s="3">
        <v>44103</v>
      </c>
      <c r="Y187" cm="1">
        <f t="array" ref="Y187">SUMPRODUCT($T$2:$T$4,TRANSPOSE(B187:D187))</f>
        <v>-1.5320528483257797E-2</v>
      </c>
      <c r="AD187" s="3">
        <v>44102</v>
      </c>
      <c r="AE187" s="4">
        <v>2.5677106247117571E-3</v>
      </c>
      <c r="AF187">
        <f t="shared" si="2"/>
        <v>0</v>
      </c>
      <c r="AG187" s="13"/>
    </row>
    <row r="188" spans="1:33" x14ac:dyDescent="0.35">
      <c r="A188" s="3">
        <v>44104</v>
      </c>
      <c r="B188" s="6">
        <f>LN(Raw!B190/Raw!B189)</f>
        <v>3.8436389190317409E-2</v>
      </c>
      <c r="C188" s="6">
        <f>LN(Raw!C190/Raw!C189)</f>
        <v>-1.5593347781053375E-2</v>
      </c>
      <c r="D188" s="6">
        <f>LN(Raw!D190/Raw!D189)</f>
        <v>-8.0933381423573016E-3</v>
      </c>
      <c r="X188" s="3">
        <v>44104</v>
      </c>
      <c r="Y188" cm="1">
        <f t="array" ref="Y188">SUMPRODUCT($T$2:$T$4,TRANSPOSE(B188:D188))</f>
        <v>2.5351016217813344E-2</v>
      </c>
      <c r="AD188" s="3">
        <v>44103</v>
      </c>
      <c r="AE188" s="4">
        <v>-1.5320528483257797E-2</v>
      </c>
      <c r="AF188">
        <f t="shared" si="2"/>
        <v>0</v>
      </c>
      <c r="AG188" s="13"/>
    </row>
    <row r="189" spans="1:33" x14ac:dyDescent="0.35">
      <c r="A189" s="3">
        <v>44105</v>
      </c>
      <c r="B189" s="6">
        <f>LN(Raw!B191/Raw!B190)</f>
        <v>1.3838124069342989E-3</v>
      </c>
      <c r="C189" s="6">
        <f>LN(Raw!C191/Raw!C190)</f>
        <v>8.6473658362322733E-3</v>
      </c>
      <c r="D189" s="6">
        <f>LN(Raw!D191/Raw!D190)</f>
        <v>5.2443349691744853E-3</v>
      </c>
      <c r="X189" s="3">
        <v>44105</v>
      </c>
      <c r="Y189" cm="1">
        <f t="array" ref="Y189">SUMPRODUCT($T$2:$T$4,TRANSPOSE(B189:D189))</f>
        <v>3.0244435563566347E-3</v>
      </c>
      <c r="AD189" s="3">
        <v>44104</v>
      </c>
      <c r="AE189" s="4">
        <v>2.5351016217813344E-2</v>
      </c>
      <c r="AF189">
        <f t="shared" si="2"/>
        <v>0</v>
      </c>
      <c r="AG189" s="13"/>
    </row>
    <row r="190" spans="1:33" x14ac:dyDescent="0.35">
      <c r="A190" s="3">
        <v>44109</v>
      </c>
      <c r="B190" s="6">
        <f>LN(Raw!B192/Raw!B191)</f>
        <v>-3.6706374503005304E-2</v>
      </c>
      <c r="C190" s="6">
        <f>LN(Raw!C192/Raw!C191)</f>
        <v>3.8999956512671026E-2</v>
      </c>
      <c r="D190" s="6">
        <f>LN(Raw!D192/Raw!D191)</f>
        <v>5.6899872769462919E-3</v>
      </c>
      <c r="X190" s="3">
        <v>44109</v>
      </c>
      <c r="Y190" cm="1">
        <f t="array" ref="Y190">SUMPRODUCT($T$2:$T$4,TRANSPOSE(B190:D190))</f>
        <v>-1.9499605803674228E-2</v>
      </c>
      <c r="AD190" s="3">
        <v>44105</v>
      </c>
      <c r="AE190" s="4">
        <v>3.0244435563566347E-3</v>
      </c>
      <c r="AF190">
        <f t="shared" si="2"/>
        <v>0</v>
      </c>
      <c r="AG190" s="13"/>
    </row>
    <row r="191" spans="1:33" x14ac:dyDescent="0.35">
      <c r="A191" s="3">
        <v>44110</v>
      </c>
      <c r="B191" s="6">
        <f>LN(Raw!B193/Raw!B192)</f>
        <v>-1.5383760704952136E-2</v>
      </c>
      <c r="C191" s="6">
        <f>LN(Raw!C193/Raw!C192)</f>
        <v>-9.1107988278471119E-3</v>
      </c>
      <c r="D191" s="6">
        <f>LN(Raw!D193/Raw!D192)</f>
        <v>2.361113228691951E-3</v>
      </c>
      <c r="X191" s="3">
        <v>44110</v>
      </c>
      <c r="Y191" cm="1">
        <f t="array" ref="Y191">SUMPRODUCT($T$2:$T$4,TRANSPOSE(B191:D191))</f>
        <v>-1.3253681812991332E-2</v>
      </c>
      <c r="AD191" s="3">
        <v>44109</v>
      </c>
      <c r="AE191" s="4">
        <v>-1.9499605803674228E-2</v>
      </c>
      <c r="AF191">
        <f t="shared" si="2"/>
        <v>0</v>
      </c>
      <c r="AG191" s="13"/>
    </row>
    <row r="192" spans="1:33" x14ac:dyDescent="0.35">
      <c r="A192" s="3">
        <v>44111</v>
      </c>
      <c r="B192" s="6">
        <f>LN(Raw!B194/Raw!B193)</f>
        <v>3.1554932363458375E-2</v>
      </c>
      <c r="C192" s="6">
        <f>LN(Raw!C194/Raw!C193)</f>
        <v>-1.0400114775099334E-2</v>
      </c>
      <c r="D192" s="6">
        <f>LN(Raw!D194/Raw!D193)</f>
        <v>-8.5267370297238999E-3</v>
      </c>
      <c r="X192" s="3">
        <v>44111</v>
      </c>
      <c r="Y192" cm="1">
        <f t="array" ref="Y192">SUMPRODUCT($T$2:$T$4,TRANSPOSE(B192:D192))</f>
        <v>2.1198397317378565E-2</v>
      </c>
      <c r="AD192" s="3">
        <v>44110</v>
      </c>
      <c r="AE192" s="4">
        <v>-1.3253681812991332E-2</v>
      </c>
      <c r="AF192">
        <f t="shared" si="2"/>
        <v>0</v>
      </c>
      <c r="AG192" s="13"/>
    </row>
    <row r="193" spans="1:33" x14ac:dyDescent="0.35">
      <c r="A193" s="3">
        <v>44112</v>
      </c>
      <c r="B193" s="6">
        <f>LN(Raw!B195/Raw!B194)</f>
        <v>-1.8325833825595571E-2</v>
      </c>
      <c r="C193" s="6">
        <f>LN(Raw!C195/Raw!C194)</f>
        <v>-1.7850393180780477E-2</v>
      </c>
      <c r="D193" s="6">
        <f>LN(Raw!D195/Raw!D194)</f>
        <v>-6.20387468034747E-3</v>
      </c>
      <c r="X193" s="3">
        <v>44112</v>
      </c>
      <c r="Y193" cm="1">
        <f t="array" ref="Y193">SUMPRODUCT($T$2:$T$4,TRANSPOSE(B193:D193))</f>
        <v>-1.7631033809049984E-2</v>
      </c>
      <c r="AD193" s="3">
        <v>44111</v>
      </c>
      <c r="AE193" s="4">
        <v>2.1198397317378565E-2</v>
      </c>
      <c r="AF193">
        <f t="shared" si="2"/>
        <v>0</v>
      </c>
      <c r="AG193" s="13"/>
    </row>
    <row r="194" spans="1:33" x14ac:dyDescent="0.35">
      <c r="A194" s="3">
        <v>44113</v>
      </c>
      <c r="B194" s="6">
        <f>LN(Raw!B196/Raw!B195)</f>
        <v>-3.3208608454595593E-3</v>
      </c>
      <c r="C194" s="6">
        <f>LN(Raw!C196/Raw!C195)</f>
        <v>-1.6386497289441701E-3</v>
      </c>
      <c r="D194" s="6">
        <f>LN(Raw!D196/Raw!D195)</f>
        <v>-5.7608589234667629E-3</v>
      </c>
      <c r="X194" s="3">
        <v>44113</v>
      </c>
      <c r="Y194" cm="1">
        <f t="array" ref="Y194">SUMPRODUCT($T$2:$T$4,TRANSPOSE(B194:D194))</f>
        <v>-3.105900930103649E-3</v>
      </c>
      <c r="AD194" s="3">
        <v>44112</v>
      </c>
      <c r="AE194" s="4">
        <v>-1.7631033809049984E-2</v>
      </c>
      <c r="AF194">
        <f t="shared" si="2"/>
        <v>0</v>
      </c>
      <c r="AG194" s="13"/>
    </row>
    <row r="195" spans="1:33" x14ac:dyDescent="0.35">
      <c r="A195" s="3">
        <v>44116</v>
      </c>
      <c r="B195" s="6">
        <f>LN(Raw!B197/Raw!B196)</f>
        <v>-3.2215548066661902E-2</v>
      </c>
      <c r="C195" s="6">
        <f>LN(Raw!C197/Raw!C196)</f>
        <v>2.457003352582443E-3</v>
      </c>
      <c r="D195" s="6">
        <f>LN(Raw!D197/Raw!D196)</f>
        <v>-1.1135491378839405E-2</v>
      </c>
      <c r="X195" s="3">
        <v>44116</v>
      </c>
      <c r="Y195" cm="1">
        <f t="array" ref="Y195">SUMPRODUCT($T$2:$T$4,TRANSPOSE(B195:D195))</f>
        <v>-2.4252758655071857E-2</v>
      </c>
      <c r="AD195" s="3">
        <v>44113</v>
      </c>
      <c r="AE195" s="4">
        <v>-3.105900930103649E-3</v>
      </c>
      <c r="AF195">
        <f t="shared" ref="AF195:AF258" si="3">IF(AE195&lt;$AB$2,1,0)</f>
        <v>0</v>
      </c>
      <c r="AG195" s="13"/>
    </row>
    <row r="196" spans="1:33" x14ac:dyDescent="0.35">
      <c r="A196" s="3">
        <v>44117</v>
      </c>
      <c r="B196" s="6">
        <f>LN(Raw!B198/Raw!B197)</f>
        <v>-4.6466530520092022E-3</v>
      </c>
      <c r="C196" s="6">
        <f>LN(Raw!C198/Raw!C197)</f>
        <v>-2.8670683373225236E-3</v>
      </c>
      <c r="D196" s="6">
        <f>LN(Raw!D198/Raw!D197)</f>
        <v>-5.3697028316023188E-3</v>
      </c>
      <c r="X196" s="3">
        <v>44117</v>
      </c>
      <c r="Y196" cm="1">
        <f t="array" ref="Y196">SUMPRODUCT($T$2:$T$4,TRANSPOSE(B196:D196))</f>
        <v>-4.3272885039555052E-3</v>
      </c>
      <c r="AD196" s="3">
        <v>44116</v>
      </c>
      <c r="AE196" s="4">
        <v>-2.4252758655071857E-2</v>
      </c>
      <c r="AF196">
        <f t="shared" si="3"/>
        <v>0</v>
      </c>
      <c r="AG196" s="13"/>
    </row>
    <row r="197" spans="1:33" x14ac:dyDescent="0.35">
      <c r="A197" s="3">
        <v>44118</v>
      </c>
      <c r="B197" s="6">
        <f>LN(Raw!B199/Raw!B198)</f>
        <v>3.6621698676808478E-2</v>
      </c>
      <c r="C197" s="6">
        <f>LN(Raw!C199/Raw!C198)</f>
        <v>-2.0529901055088215E-3</v>
      </c>
      <c r="D197" s="6">
        <f>LN(Raw!D199/Raw!D198)</f>
        <v>-4.9068301423851142E-3</v>
      </c>
      <c r="X197" s="3">
        <v>44118</v>
      </c>
      <c r="Y197" cm="1">
        <f t="array" ref="Y197">SUMPRODUCT($T$2:$T$4,TRANSPOSE(B197:D197))</f>
        <v>2.6848213205945503E-2</v>
      </c>
      <c r="AD197" s="3">
        <v>44117</v>
      </c>
      <c r="AE197" s="4">
        <v>-4.3272885039555052E-3</v>
      </c>
      <c r="AF197">
        <f t="shared" si="3"/>
        <v>0</v>
      </c>
      <c r="AG197" s="13"/>
    </row>
    <row r="198" spans="1:33" x14ac:dyDescent="0.35">
      <c r="A198" s="3">
        <v>44119</v>
      </c>
      <c r="B198" s="6">
        <f>LN(Raw!B200/Raw!B199)</f>
        <v>2.7221443004805767E-3</v>
      </c>
      <c r="C198" s="6">
        <f>LN(Raw!C200/Raw!C199)</f>
        <v>-1.6995178173198983E-2</v>
      </c>
      <c r="D198" s="6">
        <f>LN(Raw!D200/Raw!D199)</f>
        <v>-5.4253981372293586E-3</v>
      </c>
      <c r="X198" s="3">
        <v>44119</v>
      </c>
      <c r="Y198" cm="1">
        <f t="array" ref="Y198">SUMPRODUCT($T$2:$T$4,TRANSPOSE(B198:D198))</f>
        <v>-1.6160268562618603E-3</v>
      </c>
      <c r="AD198" s="3">
        <v>44118</v>
      </c>
      <c r="AE198" s="4">
        <v>2.6848213205945503E-2</v>
      </c>
      <c r="AF198">
        <f t="shared" si="3"/>
        <v>0</v>
      </c>
      <c r="AG198" s="13"/>
    </row>
    <row r="199" spans="1:33" x14ac:dyDescent="0.35">
      <c r="A199" s="3">
        <v>44120</v>
      </c>
      <c r="B199" s="6">
        <f>LN(Raw!B201/Raw!B200)</f>
        <v>-9.3990525324790745E-3</v>
      </c>
      <c r="C199" s="6">
        <f>LN(Raw!C201/Raw!C200)</f>
        <v>-4.1894117172182541E-3</v>
      </c>
      <c r="D199" s="6">
        <f>LN(Raw!D201/Raw!D200)</f>
        <v>5.4253981372293083E-3</v>
      </c>
      <c r="X199" s="3">
        <v>44120</v>
      </c>
      <c r="Y199" cm="1">
        <f t="array" ref="Y199">SUMPRODUCT($T$2:$T$4,TRANSPOSE(B199:D199))</f>
        <v>-7.6257107096210659E-3</v>
      </c>
      <c r="AD199" s="3">
        <v>44119</v>
      </c>
      <c r="AE199" s="4">
        <v>-1.6160268562618603E-3</v>
      </c>
      <c r="AF199">
        <f t="shared" si="3"/>
        <v>0</v>
      </c>
      <c r="AG199" s="13"/>
    </row>
    <row r="200" spans="1:33" x14ac:dyDescent="0.35">
      <c r="A200" s="3">
        <v>44123</v>
      </c>
      <c r="B200" s="6">
        <f>LN(Raw!B202/Raw!B201)</f>
        <v>1.215384578589437E-2</v>
      </c>
      <c r="C200" s="6">
        <f>LN(Raw!C202/Raw!C201)</f>
        <v>5.4332369955614759E-2</v>
      </c>
      <c r="D200" s="6">
        <f>LN(Raw!D202/Raw!D201)</f>
        <v>4.6139827321044539E-2</v>
      </c>
      <c r="X200" s="3">
        <v>44123</v>
      </c>
      <c r="Y200" cm="1">
        <f t="array" ref="Y200">SUMPRODUCT($T$2:$T$4,TRANSPOSE(B200:D200))</f>
        <v>2.2253303088231743E-2</v>
      </c>
      <c r="AD200" s="3">
        <v>44120</v>
      </c>
      <c r="AE200" s="4">
        <v>-7.6257107096210659E-3</v>
      </c>
      <c r="AF200">
        <f t="shared" si="3"/>
        <v>0</v>
      </c>
      <c r="AG200" s="13"/>
    </row>
    <row r="201" spans="1:33" x14ac:dyDescent="0.35">
      <c r="A201" s="3">
        <v>44124</v>
      </c>
      <c r="B201" s="6">
        <f>LN(Raw!B203/Raw!B202)</f>
        <v>-6.6402160508960513E-3</v>
      </c>
      <c r="C201" s="6">
        <f>LN(Raw!C203/Raw!C202)</f>
        <v>-1.8864716943999181E-2</v>
      </c>
      <c r="D201" s="6">
        <f>LN(Raw!D203/Raw!D202)</f>
        <v>-2.7620763869465579E-2</v>
      </c>
      <c r="X201" s="3">
        <v>44124</v>
      </c>
      <c r="Y201" cm="1">
        <f t="array" ref="Y201">SUMPRODUCT($T$2:$T$4,TRANSPOSE(B201:D201))</f>
        <v>-1.0118165878458641E-2</v>
      </c>
      <c r="AD201" s="3">
        <v>44123</v>
      </c>
      <c r="AE201" s="4">
        <v>2.2253303088231743E-2</v>
      </c>
      <c r="AF201">
        <f t="shared" si="3"/>
        <v>0</v>
      </c>
      <c r="AG201" s="13"/>
    </row>
    <row r="202" spans="1:33" x14ac:dyDescent="0.35">
      <c r="A202" s="3">
        <v>44125</v>
      </c>
      <c r="B202" s="6">
        <f>LN(Raw!B204/Raw!B203)</f>
        <v>-4.1020929661044377E-3</v>
      </c>
      <c r="C202" s="6">
        <f>LN(Raw!C204/Raw!C203)</f>
        <v>-1.1000312862960569E-2</v>
      </c>
      <c r="D202" s="6">
        <f>LN(Raw!D204/Raw!D203)</f>
        <v>-2.901354411992566E-3</v>
      </c>
      <c r="X202" s="3">
        <v>44125</v>
      </c>
      <c r="Y202" cm="1">
        <f t="array" ref="Y202">SUMPRODUCT($T$2:$T$4,TRANSPOSE(B202:D202))</f>
        <v>-5.4193328128947938E-3</v>
      </c>
      <c r="AD202" s="3">
        <v>44124</v>
      </c>
      <c r="AE202" s="4">
        <v>-1.0118165878458641E-2</v>
      </c>
      <c r="AF202">
        <f t="shared" si="3"/>
        <v>0</v>
      </c>
      <c r="AG202" s="13"/>
    </row>
    <row r="203" spans="1:33" x14ac:dyDescent="0.35">
      <c r="A203" s="3">
        <v>44126</v>
      </c>
      <c r="B203" s="6">
        <f>LN(Raw!B205/Raw!B204)</f>
        <v>1.2216565419653165E-2</v>
      </c>
      <c r="C203" s="6">
        <f>LN(Raw!C205/Raw!C204)</f>
        <v>-7.8141915829225365E-3</v>
      </c>
      <c r="D203" s="6">
        <f>LN(Raw!D205/Raw!D204)</f>
        <v>-2.9097967696278333E-3</v>
      </c>
      <c r="X203" s="3">
        <v>44126</v>
      </c>
      <c r="Y203" cm="1">
        <f t="array" ref="Y203">SUMPRODUCT($T$2:$T$4,TRANSPOSE(B203:D203))</f>
        <v>7.4704601017652594E-3</v>
      </c>
      <c r="AD203" s="3">
        <v>44125</v>
      </c>
      <c r="AE203" s="4">
        <v>-5.4193328128947938E-3</v>
      </c>
      <c r="AF203">
        <f t="shared" si="3"/>
        <v>0</v>
      </c>
      <c r="AG203" s="13"/>
    </row>
    <row r="204" spans="1:33" x14ac:dyDescent="0.35">
      <c r="A204" s="3">
        <v>44127</v>
      </c>
      <c r="B204" s="6">
        <f>LN(Raw!B206/Raw!B205)</f>
        <v>1.4718845520180447E-3</v>
      </c>
      <c r="C204" s="6">
        <f>LN(Raw!C206/Raw!C205)</f>
        <v>3.297635047464473E-3</v>
      </c>
      <c r="D204" s="6">
        <f>LN(Raw!D206/Raw!D205)</f>
        <v>-2.4313792959710489E-3</v>
      </c>
      <c r="X204" s="3">
        <v>44127</v>
      </c>
      <c r="Y204" cm="1">
        <f t="array" ref="Y204">SUMPRODUCT($T$2:$T$4,TRANSPOSE(B204:D204))</f>
        <v>1.6430731237443901E-3</v>
      </c>
      <c r="AD204" s="3">
        <v>44126</v>
      </c>
      <c r="AE204" s="4">
        <v>7.4704601017652594E-3</v>
      </c>
      <c r="AF204">
        <f t="shared" si="3"/>
        <v>0</v>
      </c>
      <c r="AG204" s="13"/>
    </row>
    <row r="205" spans="1:33" x14ac:dyDescent="0.35">
      <c r="A205" s="3">
        <v>44130</v>
      </c>
      <c r="B205" s="6">
        <f>LN(Raw!B207/Raw!B206)</f>
        <v>-2.2685536931796148E-3</v>
      </c>
      <c r="C205" s="6">
        <f>LN(Raw!C207/Raw!C206)</f>
        <v>-1.3673299983052877E-2</v>
      </c>
      <c r="D205" s="6">
        <f>LN(Raw!D207/Raw!D206)</f>
        <v>-2.4372282105863002E-3</v>
      </c>
      <c r="X205" s="3">
        <v>44130</v>
      </c>
      <c r="Y205" cm="1">
        <f t="array" ref="Y205">SUMPRODUCT($T$2:$T$4,TRANSPOSE(B205:D205))</f>
        <v>-4.5529248188911119E-3</v>
      </c>
      <c r="AD205" s="3">
        <v>44127</v>
      </c>
      <c r="AE205" s="4">
        <v>1.6430731237443901E-3</v>
      </c>
      <c r="AF205">
        <f t="shared" si="3"/>
        <v>0</v>
      </c>
      <c r="AG205" s="13"/>
    </row>
    <row r="206" spans="1:33" x14ac:dyDescent="0.35">
      <c r="A206" s="3">
        <v>44131</v>
      </c>
      <c r="B206" s="6">
        <f>LN(Raw!B208/Raw!B207)</f>
        <v>-4.8324765994580601E-3</v>
      </c>
      <c r="C206" s="6">
        <f>LN(Raw!C208/Raw!C207)</f>
        <v>6.6528770000212571E-3</v>
      </c>
      <c r="D206" s="6">
        <f>LN(Raw!D208/Raw!D207)</f>
        <v>-1.1288366767374811E-2</v>
      </c>
      <c r="X206" s="3">
        <v>44131</v>
      </c>
      <c r="Y206" cm="1">
        <f t="array" ref="Y206">SUMPRODUCT($T$2:$T$4,TRANSPOSE(B206:D206))</f>
        <v>-2.8598691953995296E-3</v>
      </c>
      <c r="AD206" s="3">
        <v>44130</v>
      </c>
      <c r="AE206" s="4">
        <v>-4.5529248188911119E-3</v>
      </c>
      <c r="AF206">
        <f t="shared" si="3"/>
        <v>0</v>
      </c>
      <c r="AG206" s="13"/>
    </row>
    <row r="207" spans="1:33" x14ac:dyDescent="0.35">
      <c r="A207" s="3">
        <v>44132</v>
      </c>
      <c r="B207" s="6">
        <f>LN(Raw!B209/Raw!B208)</f>
        <v>-1.476134140680401E-2</v>
      </c>
      <c r="C207" s="6">
        <f>LN(Raw!C209/Raw!C208)</f>
        <v>-1.2091129793436061E-2</v>
      </c>
      <c r="D207" s="6">
        <f>LN(Raw!D209/Raw!D208)</f>
        <v>1.9723601080155811E-3</v>
      </c>
      <c r="X207" s="3">
        <v>44132</v>
      </c>
      <c r="Y207" cm="1">
        <f t="array" ref="Y207">SUMPRODUCT($T$2:$T$4,TRANSPOSE(B207:D207))</f>
        <v>-1.3400299539345356E-2</v>
      </c>
      <c r="AD207" s="3">
        <v>44131</v>
      </c>
      <c r="AE207" s="4">
        <v>-2.8598691953995296E-3</v>
      </c>
      <c r="AF207">
        <f t="shared" si="3"/>
        <v>0</v>
      </c>
      <c r="AG207" s="13"/>
    </row>
    <row r="208" spans="1:33" x14ac:dyDescent="0.35">
      <c r="A208" s="3">
        <v>44133</v>
      </c>
      <c r="B208" s="6">
        <f>LN(Raw!B210/Raw!B209)</f>
        <v>9.7844957391356423E-3</v>
      </c>
      <c r="C208" s="6">
        <f>LN(Raw!C210/Raw!C209)</f>
        <v>-8.8476785555204468E-3</v>
      </c>
      <c r="D208" s="6">
        <f>LN(Raw!D210/Raw!D209)</f>
        <v>-4.4433130056244323E-3</v>
      </c>
      <c r="X208" s="3">
        <v>44133</v>
      </c>
      <c r="Y208" cm="1">
        <f t="array" ref="Y208">SUMPRODUCT($T$2:$T$4,TRANSPOSE(B208:D208))</f>
        <v>5.3619724284335781E-3</v>
      </c>
      <c r="AD208" s="3">
        <v>44132</v>
      </c>
      <c r="AE208" s="4">
        <v>-1.3400299539345356E-2</v>
      </c>
      <c r="AF208">
        <f t="shared" si="3"/>
        <v>0</v>
      </c>
      <c r="AG208" s="13"/>
    </row>
    <row r="209" spans="1:33" x14ac:dyDescent="0.35">
      <c r="A209" s="3">
        <v>44134</v>
      </c>
      <c r="B209" s="6">
        <f>LN(Raw!B211/Raw!B210)</f>
        <v>-5.4061571373377592E-3</v>
      </c>
      <c r="C209" s="6">
        <f>LN(Raw!C211/Raw!C210)</f>
        <v>-2.5424456096008736E-3</v>
      </c>
      <c r="D209" s="6">
        <f>LN(Raw!D211/Raw!D210)</f>
        <v>1.9771569064317256E-3</v>
      </c>
      <c r="X209" s="3">
        <v>44134</v>
      </c>
      <c r="Y209" cm="1">
        <f t="array" ref="Y209">SUMPRODUCT($T$2:$T$4,TRANSPOSE(B209:D209))</f>
        <v>-4.469250636712779E-3</v>
      </c>
      <c r="AD209" s="3">
        <v>44133</v>
      </c>
      <c r="AE209" s="4">
        <v>5.3619724284335781E-3</v>
      </c>
      <c r="AF209">
        <f t="shared" si="3"/>
        <v>0</v>
      </c>
      <c r="AG209" s="13"/>
    </row>
    <row r="210" spans="1:33" x14ac:dyDescent="0.35">
      <c r="A210" s="3">
        <v>44137</v>
      </c>
      <c r="B210" s="6">
        <f>LN(Raw!B212/Raw!B211)</f>
        <v>-8.898575981177121E-3</v>
      </c>
      <c r="C210" s="6">
        <f>LN(Raw!C212/Raw!C211)</f>
        <v>3.1324406768660738E-2</v>
      </c>
      <c r="D210" s="6">
        <f>LN(Raw!D212/Raw!D211)</f>
        <v>-7.9326631118022493E-3</v>
      </c>
      <c r="X210" s="3">
        <v>44137</v>
      </c>
      <c r="Y210" cm="1">
        <f t="array" ref="Y210">SUMPRODUCT($T$2:$T$4,TRANSPOSE(B210:D210))</f>
        <v>-8.235489637111377E-4</v>
      </c>
      <c r="AD210" s="3">
        <v>44134</v>
      </c>
      <c r="AE210" s="4">
        <v>-4.469250636712779E-3</v>
      </c>
      <c r="AF210">
        <f t="shared" si="3"/>
        <v>0</v>
      </c>
      <c r="AG210" s="13"/>
    </row>
    <row r="211" spans="1:33" x14ac:dyDescent="0.35">
      <c r="A211" s="3">
        <v>44138</v>
      </c>
      <c r="B211" s="6">
        <f>LN(Raw!B213/Raw!B212)</f>
        <v>8.975968472903392E-4</v>
      </c>
      <c r="C211" s="6">
        <f>LN(Raw!C213/Raw!C212)</f>
        <v>4.922007179592576E-3</v>
      </c>
      <c r="D211" s="6">
        <f>LN(Raw!D213/Raw!D212)</f>
        <v>-2.9908700296881713E-3</v>
      </c>
      <c r="X211" s="3">
        <v>44138</v>
      </c>
      <c r="Y211" cm="1">
        <f t="array" ref="Y211">SUMPRODUCT($T$2:$T$4,TRANSPOSE(B211:D211))</f>
        <v>1.5083000700087945E-3</v>
      </c>
      <c r="AD211" s="3">
        <v>44137</v>
      </c>
      <c r="AE211" s="4">
        <v>-8.235489637111377E-4</v>
      </c>
      <c r="AF211">
        <f t="shared" si="3"/>
        <v>0</v>
      </c>
      <c r="AG211" s="13"/>
    </row>
    <row r="212" spans="1:33" x14ac:dyDescent="0.35">
      <c r="A212" s="3">
        <v>44139</v>
      </c>
      <c r="B212" s="6">
        <f>LN(Raw!B214/Raw!B213)</f>
        <v>4.1912435855411241E-3</v>
      </c>
      <c r="C212" s="6">
        <f>LN(Raw!C214/Raw!C213)</f>
        <v>-2.0478756391950018E-3</v>
      </c>
      <c r="D212" s="6">
        <f>LN(Raw!D214/Raw!D213)</f>
        <v>-4.9946754611782226E-4</v>
      </c>
      <c r="X212" s="3">
        <v>44139</v>
      </c>
      <c r="Y212" cm="1">
        <f t="array" ref="Y212">SUMPRODUCT($T$2:$T$4,TRANSPOSE(B212:D212))</f>
        <v>2.7139706426651555E-3</v>
      </c>
      <c r="AD212" s="3">
        <v>44138</v>
      </c>
      <c r="AE212" s="4">
        <v>1.5083000700087945E-3</v>
      </c>
      <c r="AF212">
        <f t="shared" si="3"/>
        <v>0</v>
      </c>
      <c r="AG212" s="13"/>
    </row>
    <row r="213" spans="1:33" x14ac:dyDescent="0.35">
      <c r="A213" s="3">
        <v>44140</v>
      </c>
      <c r="B213" s="6">
        <f>LN(Raw!B215/Raw!B214)</f>
        <v>9.9801401413796391E-3</v>
      </c>
      <c r="C213" s="6">
        <f>LN(Raw!C215/Raw!C214)</f>
        <v>-6.5816532069671646E-3</v>
      </c>
      <c r="D213" s="6">
        <f>LN(Raw!D215/Raw!D214)</f>
        <v>1.4873841056270735E-2</v>
      </c>
      <c r="X213" s="3">
        <v>44140</v>
      </c>
      <c r="Y213" cm="1">
        <f t="array" ref="Y213">SUMPRODUCT($T$2:$T$4,TRANSPOSE(B213:D213))</f>
        <v>6.9171243965965362E-3</v>
      </c>
      <c r="AD213" s="3">
        <v>44139</v>
      </c>
      <c r="AE213" s="4">
        <v>2.7139706426651555E-3</v>
      </c>
      <c r="AF213">
        <f t="shared" si="3"/>
        <v>0</v>
      </c>
      <c r="AG213" s="13"/>
    </row>
    <row r="214" spans="1:33" x14ac:dyDescent="0.35">
      <c r="A214" s="3">
        <v>44141</v>
      </c>
      <c r="B214" s="6">
        <f>LN(Raw!B216/Raw!B215)</f>
        <v>1.3418116921456726E-2</v>
      </c>
      <c r="C214" s="6">
        <f>LN(Raw!C216/Raw!C215)</f>
        <v>1.649461403637863E-3</v>
      </c>
      <c r="D214" s="6">
        <f>LN(Raw!D216/Raw!D215)</f>
        <v>1.2714203500507492E-2</v>
      </c>
      <c r="X214" s="3">
        <v>44141</v>
      </c>
      <c r="Y214" cm="1">
        <f t="array" ref="Y214">SUMPRODUCT($T$2:$T$4,TRANSPOSE(B214:D214))</f>
        <v>1.103463196163363E-2</v>
      </c>
      <c r="AD214" s="3">
        <v>44140</v>
      </c>
      <c r="AE214" s="4">
        <v>6.9171243965965362E-3</v>
      </c>
      <c r="AF214">
        <f t="shared" si="3"/>
        <v>0</v>
      </c>
      <c r="AG214" s="13"/>
    </row>
    <row r="215" spans="1:33" x14ac:dyDescent="0.35">
      <c r="A215" s="3">
        <v>44144</v>
      </c>
      <c r="B215" s="6">
        <f>LN(Raw!B217/Raw!B216)</f>
        <v>8.5713443927930393E-3</v>
      </c>
      <c r="C215" s="6">
        <f>LN(Raw!C217/Raw!C216)</f>
        <v>2.8800442488156894E-3</v>
      </c>
      <c r="D215" s="6">
        <f>LN(Raw!D217/Raw!D216)</f>
        <v>9.7129366655586229E-4</v>
      </c>
      <c r="X215" s="3">
        <v>44144</v>
      </c>
      <c r="Y215" cm="1">
        <f t="array" ref="Y215">SUMPRODUCT($T$2:$T$4,TRANSPOSE(B215:D215))</f>
        <v>7.0594150861076569E-3</v>
      </c>
      <c r="AD215" s="3">
        <v>44141</v>
      </c>
      <c r="AE215" s="4">
        <v>1.103463196163363E-2</v>
      </c>
      <c r="AF215">
        <f t="shared" si="3"/>
        <v>0</v>
      </c>
      <c r="AG215" s="13"/>
    </row>
    <row r="216" spans="1:33" x14ac:dyDescent="0.35">
      <c r="A216" s="3">
        <v>44145</v>
      </c>
      <c r="B216" s="6">
        <f>LN(Raw!B218/Raw!B217)</f>
        <v>-1.6139720408167133E-3</v>
      </c>
      <c r="C216" s="6">
        <f>LN(Raw!C218/Raw!C217)</f>
        <v>9.4051208433511557E-3</v>
      </c>
      <c r="D216" s="6">
        <f>LN(Raw!D218/Raw!D217)</f>
        <v>3.3923087319868168E-3</v>
      </c>
      <c r="X216" s="3">
        <v>44145</v>
      </c>
      <c r="Y216" cm="1">
        <f t="array" ref="Y216">SUMPRODUCT($T$2:$T$4,TRANSPOSE(B216:D216))</f>
        <v>8.3284866570220394E-4</v>
      </c>
      <c r="AD216" s="3">
        <v>44144</v>
      </c>
      <c r="AE216" s="4">
        <v>7.0594150861076569E-3</v>
      </c>
      <c r="AF216">
        <f t="shared" si="3"/>
        <v>0</v>
      </c>
      <c r="AG216" s="13"/>
    </row>
    <row r="217" spans="1:33" x14ac:dyDescent="0.35">
      <c r="A217" s="3">
        <v>44146</v>
      </c>
      <c r="B217" s="6">
        <f>LN(Raw!B219/Raw!B218)</f>
        <v>-3.0774396253618148E-3</v>
      </c>
      <c r="C217" s="6">
        <f>LN(Raw!C219/Raw!C218)</f>
        <v>5.2771020426873082E-3</v>
      </c>
      <c r="D217" s="6">
        <f>LN(Raw!D219/Raw!D218)</f>
        <v>1.1544133167477891E-2</v>
      </c>
      <c r="X217" s="3">
        <v>44146</v>
      </c>
      <c r="Y217" cm="1">
        <f t="array" ref="Y217">SUMPRODUCT($T$2:$T$4,TRANSPOSE(B217:D217))</f>
        <v>-6.8651645054574305E-4</v>
      </c>
      <c r="AD217" s="3">
        <v>44145</v>
      </c>
      <c r="AE217" s="4">
        <v>8.3284866570220394E-4</v>
      </c>
      <c r="AF217">
        <f t="shared" si="3"/>
        <v>0</v>
      </c>
      <c r="AG217" s="13"/>
    </row>
    <row r="218" spans="1:33" x14ac:dyDescent="0.35">
      <c r="A218" s="3">
        <v>44147</v>
      </c>
      <c r="B218" s="6">
        <f>LN(Raw!B220/Raw!B219)</f>
        <v>-4.7530931546584795E-3</v>
      </c>
      <c r="C218" s="6">
        <f>LN(Raw!C220/Raw!C219)</f>
        <v>1.0070621942395145E-2</v>
      </c>
      <c r="D218" s="6">
        <f>LN(Raw!D220/Raw!D219)</f>
        <v>2.3883320983798329E-3</v>
      </c>
      <c r="X218" s="3">
        <v>44147</v>
      </c>
      <c r="Y218" cm="1">
        <f t="array" ref="Y218">SUMPRODUCT($T$2:$T$4,TRANSPOSE(B218:D218))</f>
        <v>-1.4413227032364045E-3</v>
      </c>
      <c r="AD218" s="3">
        <v>44146</v>
      </c>
      <c r="AE218" s="4">
        <v>-6.8651645054574305E-4</v>
      </c>
      <c r="AF218">
        <f t="shared" si="3"/>
        <v>0</v>
      </c>
      <c r="AG218" s="13"/>
    </row>
    <row r="219" spans="1:33" x14ac:dyDescent="0.35">
      <c r="A219" s="3">
        <v>44148</v>
      </c>
      <c r="B219" s="6">
        <f>LN(Raw!B221/Raw!B220)</f>
        <v>2.9689544211430274E-2</v>
      </c>
      <c r="C219" s="6">
        <f>LN(Raw!C221/Raw!C220)</f>
        <v>1.5115593894023791E-2</v>
      </c>
      <c r="D219" s="6">
        <f>LN(Raw!D221/Raw!D220)</f>
        <v>8.7210159985032301E-2</v>
      </c>
      <c r="X219" s="3">
        <v>44148</v>
      </c>
      <c r="Y219" cm="1">
        <f t="array" ref="Y219">SUMPRODUCT($T$2:$T$4,TRANSPOSE(B219:D219))</f>
        <v>2.9627750089912551E-2</v>
      </c>
      <c r="AD219" s="3">
        <v>44147</v>
      </c>
      <c r="AE219" s="4">
        <v>-1.4413227032364045E-3</v>
      </c>
      <c r="AF219">
        <f t="shared" si="3"/>
        <v>0</v>
      </c>
      <c r="AG219" s="13"/>
    </row>
    <row r="220" spans="1:33" x14ac:dyDescent="0.35">
      <c r="A220" s="3">
        <v>44149</v>
      </c>
      <c r="B220" s="6">
        <f>LN(Raw!B222/Raw!B221)</f>
        <v>-1.0796266714258377E-3</v>
      </c>
      <c r="C220" s="6">
        <f>LN(Raw!C222/Raw!C221)</f>
        <v>1.5778870864190341E-3</v>
      </c>
      <c r="D220" s="6">
        <f>LN(Raw!D222/Raw!D221)</f>
        <v>-2.1887200560342219E-3</v>
      </c>
      <c r="X220" s="3">
        <v>44149</v>
      </c>
      <c r="Y220" cm="1">
        <f t="array" ref="Y220">SUMPRODUCT($T$2:$T$4,TRANSPOSE(B220:D220))</f>
        <v>-6.0416087217648421E-4</v>
      </c>
      <c r="AD220" s="3">
        <v>44148</v>
      </c>
      <c r="AE220" s="4">
        <v>2.9627750089912551E-2</v>
      </c>
      <c r="AF220">
        <f t="shared" si="3"/>
        <v>0</v>
      </c>
      <c r="AG220" s="13"/>
    </row>
    <row r="221" spans="1:33" x14ac:dyDescent="0.35">
      <c r="A221" s="3">
        <v>44152</v>
      </c>
      <c r="B221" s="6">
        <f>LN(Raw!B223/Raw!B222)</f>
        <v>2.5371670249977267E-2</v>
      </c>
      <c r="C221" s="6">
        <f>LN(Raw!C223/Raw!C222)</f>
        <v>-6.3266090523034267E-3</v>
      </c>
      <c r="D221" s="6">
        <f>LN(Raw!D223/Raw!D222)</f>
        <v>2.7659529835536857E-2</v>
      </c>
      <c r="X221" s="3">
        <v>44152</v>
      </c>
      <c r="Y221" cm="1">
        <f t="array" ref="Y221">SUMPRODUCT($T$2:$T$4,TRANSPOSE(B221:D221))</f>
        <v>1.9158931424197358E-2</v>
      </c>
      <c r="AD221" s="3">
        <v>44149</v>
      </c>
      <c r="AE221" s="4">
        <v>-6.0416087217648421E-4</v>
      </c>
      <c r="AF221">
        <f t="shared" si="3"/>
        <v>0</v>
      </c>
      <c r="AG221" s="13"/>
    </row>
    <row r="222" spans="1:33" x14ac:dyDescent="0.35">
      <c r="A222" s="3">
        <v>44153</v>
      </c>
      <c r="B222" s="6">
        <f>LN(Raw!B224/Raw!B223)</f>
        <v>-1.3596246008573998E-2</v>
      </c>
      <c r="C222" s="6">
        <f>LN(Raw!C224/Raw!C223)</f>
        <v>-5.5688505265494553E-3</v>
      </c>
      <c r="D222" s="6">
        <f>LN(Raw!D224/Raw!D223)</f>
        <v>-2.8974995683206762E-2</v>
      </c>
      <c r="X222" s="3">
        <v>44153</v>
      </c>
      <c r="Y222" cm="1">
        <f t="array" ref="Y222">SUMPRODUCT($T$2:$T$4,TRANSPOSE(B222:D222))</f>
        <v>-1.2755329914126472E-2</v>
      </c>
      <c r="AD222" s="3">
        <v>44152</v>
      </c>
      <c r="AE222" s="4">
        <v>1.9158931424197358E-2</v>
      </c>
      <c r="AF222">
        <f t="shared" si="3"/>
        <v>0</v>
      </c>
      <c r="AG222" s="13"/>
    </row>
    <row r="223" spans="1:33" x14ac:dyDescent="0.35">
      <c r="A223" s="3">
        <v>44154</v>
      </c>
      <c r="B223" s="6">
        <f>LN(Raw!B225/Raw!B224)</f>
        <v>-1.1351160144191099E-2</v>
      </c>
      <c r="C223" s="6">
        <f>LN(Raw!C225/Raw!C224)</f>
        <v>3.9878104433177086E-4</v>
      </c>
      <c r="D223" s="6">
        <f>LN(Raw!D225/Raw!D224)</f>
        <v>-1.68145697357793E-2</v>
      </c>
      <c r="X223" s="3">
        <v>44154</v>
      </c>
      <c r="Y223" cm="1">
        <f t="array" ref="Y223">SUMPRODUCT($T$2:$T$4,TRANSPOSE(B223:D223))</f>
        <v>-9.2766314732822177E-3</v>
      </c>
      <c r="AD223" s="3">
        <v>44153</v>
      </c>
      <c r="AE223" s="4">
        <v>-1.2755329914126472E-2</v>
      </c>
      <c r="AF223">
        <f t="shared" si="3"/>
        <v>0</v>
      </c>
      <c r="AG223" s="13"/>
    </row>
    <row r="224" spans="1:33" x14ac:dyDescent="0.35">
      <c r="A224" s="3">
        <v>44155</v>
      </c>
      <c r="B224" s="6">
        <f>LN(Raw!B226/Raw!B225)</f>
        <v>4.5130675837776496E-2</v>
      </c>
      <c r="C224" s="6">
        <f>LN(Raw!C226/Raw!C225)</f>
        <v>2.7872252551071641E-3</v>
      </c>
      <c r="D224" s="6">
        <f>LN(Raw!D226/Raw!D225)</f>
        <v>-3.5762436494761935E-3</v>
      </c>
      <c r="X224" s="3">
        <v>44155</v>
      </c>
      <c r="Y224" cm="1">
        <f t="array" ref="Y224">SUMPRODUCT($T$2:$T$4,TRANSPOSE(B224:D224))</f>
        <v>3.4269763175558625E-2</v>
      </c>
      <c r="AD224" s="3">
        <v>44154</v>
      </c>
      <c r="AE224" s="4">
        <v>-9.2766314732822177E-3</v>
      </c>
      <c r="AF224">
        <f t="shared" si="3"/>
        <v>0</v>
      </c>
      <c r="AG224" s="13"/>
    </row>
    <row r="225" spans="1:33" x14ac:dyDescent="0.35">
      <c r="A225" s="3">
        <v>44158</v>
      </c>
      <c r="B225" s="6">
        <f>LN(Raw!B227/Raw!B226)</f>
        <v>-2.5468553268443222E-3</v>
      </c>
      <c r="C225" s="6">
        <f>LN(Raw!C227/Raw!C226)</f>
        <v>3.7460479569252692E-2</v>
      </c>
      <c r="D225" s="6">
        <f>LN(Raw!D227/Raw!D226)</f>
        <v>1.2903456536917124E-2</v>
      </c>
      <c r="X225" s="3">
        <v>44158</v>
      </c>
      <c r="Y225" cm="1">
        <f t="array" ref="Y225">SUMPRODUCT($T$2:$T$4,TRANSPOSE(B225:D225))</f>
        <v>6.2019696923430291E-3</v>
      </c>
      <c r="AD225" s="3">
        <v>44155</v>
      </c>
      <c r="AE225" s="4">
        <v>3.4269763175558625E-2</v>
      </c>
      <c r="AF225">
        <f t="shared" si="3"/>
        <v>0</v>
      </c>
      <c r="AG225" s="13"/>
    </row>
    <row r="226" spans="1:33" x14ac:dyDescent="0.35">
      <c r="A226" s="3">
        <v>44159</v>
      </c>
      <c r="B226" s="6">
        <f>LN(Raw!B228/Raw!B227)</f>
        <v>1.42381630765352E-2</v>
      </c>
      <c r="C226" s="6">
        <f>LN(Raw!C228/Raw!C227)</f>
        <v>4.8589560559681222E-2</v>
      </c>
      <c r="D226" s="6">
        <f>LN(Raw!D228/Raw!D227)</f>
        <v>1.7963221764503098E-2</v>
      </c>
      <c r="X226" s="3">
        <v>44159</v>
      </c>
      <c r="Y226" cm="1">
        <f t="array" ref="Y226">SUMPRODUCT($T$2:$T$4,TRANSPOSE(B226:D226))</f>
        <v>2.1277959272899626E-2</v>
      </c>
      <c r="AD226" s="3">
        <v>44158</v>
      </c>
      <c r="AE226" s="4">
        <v>6.2019696923430291E-3</v>
      </c>
      <c r="AF226">
        <f t="shared" si="3"/>
        <v>0</v>
      </c>
      <c r="AG226" s="13"/>
    </row>
    <row r="227" spans="1:33" x14ac:dyDescent="0.35">
      <c r="A227" s="3">
        <v>44160</v>
      </c>
      <c r="B227" s="6">
        <f>LN(Raw!B229/Raw!B228)</f>
        <v>7.6947760176212087E-3</v>
      </c>
      <c r="C227" s="6">
        <f>LN(Raw!C229/Raw!C228)</f>
        <v>1.7718815327897111E-2</v>
      </c>
      <c r="D227" s="6">
        <f>LN(Raw!D229/Raw!D228)</f>
        <v>2.2752688741917215E-2</v>
      </c>
      <c r="X227" s="3">
        <v>44160</v>
      </c>
      <c r="Y227" cm="1">
        <f t="array" ref="Y227">SUMPRODUCT($T$2:$T$4,TRANSPOSE(B227:D227))</f>
        <v>1.0440472066149481E-2</v>
      </c>
      <c r="AD227" s="3">
        <v>44159</v>
      </c>
      <c r="AE227" s="4">
        <v>2.1277959272899626E-2</v>
      </c>
      <c r="AF227">
        <f t="shared" si="3"/>
        <v>0</v>
      </c>
      <c r="AG227" s="13"/>
    </row>
    <row r="228" spans="1:33" x14ac:dyDescent="0.35">
      <c r="A228" s="3">
        <v>44161</v>
      </c>
      <c r="B228" s="6">
        <f>LN(Raw!B230/Raw!B229)</f>
        <v>5.226732228791358E-2</v>
      </c>
      <c r="C228" s="6">
        <f>LN(Raw!C230/Raw!C229)</f>
        <v>-1.1173338755785757E-2</v>
      </c>
      <c r="D228" s="6">
        <f>LN(Raw!D230/Raw!D229)</f>
        <v>3.389787235703697E-3</v>
      </c>
      <c r="X228" s="3">
        <v>44161</v>
      </c>
      <c r="Y228" cm="1">
        <f t="array" ref="Y228">SUMPRODUCT($T$2:$T$4,TRANSPOSE(B228:D228))</f>
        <v>3.7187635803367446E-2</v>
      </c>
      <c r="AD228" s="3">
        <v>44160</v>
      </c>
      <c r="AE228" s="4">
        <v>1.0440472066149481E-2</v>
      </c>
      <c r="AF228">
        <f t="shared" si="3"/>
        <v>0</v>
      </c>
      <c r="AG228" s="13"/>
    </row>
    <row r="229" spans="1:33" x14ac:dyDescent="0.35">
      <c r="A229" s="3">
        <v>44162</v>
      </c>
      <c r="B229" s="6">
        <f>LN(Raw!B231/Raw!B230)</f>
        <v>-3.8853881312327591E-3</v>
      </c>
      <c r="C229" s="6">
        <f>LN(Raw!C231/Raw!C230)</f>
        <v>2.1513852526436273E-2</v>
      </c>
      <c r="D229" s="6">
        <f>LN(Raw!D231/Raw!D230)</f>
        <v>-5.5142710315321418E-3</v>
      </c>
      <c r="X229" s="3">
        <v>44162</v>
      </c>
      <c r="Y229" cm="1">
        <f t="array" ref="Y229">SUMPRODUCT($T$2:$T$4,TRANSPOSE(B229:D229))</f>
        <v>1.1028762341775585E-3</v>
      </c>
      <c r="AD229" s="3">
        <v>44161</v>
      </c>
      <c r="AE229" s="4">
        <v>3.7187635803367446E-2</v>
      </c>
      <c r="AF229">
        <f t="shared" si="3"/>
        <v>0</v>
      </c>
      <c r="AG229" s="13"/>
    </row>
    <row r="230" spans="1:33" x14ac:dyDescent="0.35">
      <c r="A230" s="3">
        <v>44166</v>
      </c>
      <c r="B230" s="6">
        <f>LN(Raw!B232/Raw!B231)</f>
        <v>1.3516040418154365E-2</v>
      </c>
      <c r="C230" s="6">
        <f>LN(Raw!C232/Raw!C231)</f>
        <v>-6.762773858224852E-3</v>
      </c>
      <c r="D230" s="6">
        <f>LN(Raw!D232/Raw!D231)</f>
        <v>-2.5554335106377215E-3</v>
      </c>
      <c r="X230" s="3">
        <v>44166</v>
      </c>
      <c r="Y230" cm="1">
        <f t="array" ref="Y230">SUMPRODUCT($T$2:$T$4,TRANSPOSE(B230:D230))</f>
        <v>8.6736570900430143E-3</v>
      </c>
      <c r="AD230" s="3">
        <v>44162</v>
      </c>
      <c r="AE230" s="4">
        <v>1.1028762341775585E-3</v>
      </c>
      <c r="AF230">
        <f t="shared" si="3"/>
        <v>0</v>
      </c>
      <c r="AG230" s="13"/>
    </row>
    <row r="231" spans="1:33" x14ac:dyDescent="0.35">
      <c r="A231" s="3">
        <v>44167</v>
      </c>
      <c r="B231" s="6">
        <f>LN(Raw!B233/Raw!B232)</f>
        <v>3.3685029253945169E-2</v>
      </c>
      <c r="C231" s="6">
        <f>LN(Raw!C233/Raw!C232)</f>
        <v>-2.5031701997923865E-3</v>
      </c>
      <c r="D231" s="6">
        <f>LN(Raw!D233/Raw!D232)</f>
        <v>-6.8465204248100084E-3</v>
      </c>
      <c r="X231" s="3">
        <v>44167</v>
      </c>
      <c r="Y231" cm="1">
        <f t="array" ref="Y231">SUMPRODUCT($T$2:$T$4,TRANSPOSE(B231:D231))</f>
        <v>2.4457108338471912E-2</v>
      </c>
      <c r="AD231" s="3">
        <v>44166</v>
      </c>
      <c r="AE231" s="4">
        <v>8.6736570900430143E-3</v>
      </c>
      <c r="AF231">
        <f t="shared" si="3"/>
        <v>0</v>
      </c>
      <c r="AG231" s="13"/>
    </row>
    <row r="232" spans="1:33" x14ac:dyDescent="0.35">
      <c r="A232" s="3">
        <v>44168</v>
      </c>
      <c r="B232" s="6">
        <f>LN(Raw!B234/Raw!B233)</f>
        <v>-2.6269539960349562E-2</v>
      </c>
      <c r="C232" s="6">
        <f>LN(Raw!C234/Raw!C233)</f>
        <v>7.8459536467894789E-3</v>
      </c>
      <c r="D232" s="6">
        <f>LN(Raw!D234/Raw!D233)</f>
        <v>1.5761979556393732E-2</v>
      </c>
      <c r="X232" s="3">
        <v>44168</v>
      </c>
      <c r="Y232" cm="1">
        <f t="array" ref="Y232">SUMPRODUCT($T$2:$T$4,TRANSPOSE(B232:D232))</f>
        <v>-1.7381031382215074E-2</v>
      </c>
      <c r="AD232" s="3">
        <v>44167</v>
      </c>
      <c r="AE232" s="4">
        <v>2.4457108338471912E-2</v>
      </c>
      <c r="AF232">
        <f t="shared" si="3"/>
        <v>0</v>
      </c>
      <c r="AG232" s="13"/>
    </row>
    <row r="233" spans="1:33" x14ac:dyDescent="0.35">
      <c r="A233" s="3">
        <v>44169</v>
      </c>
      <c r="B233" s="6">
        <f>LN(Raw!B235/Raw!B234)</f>
        <v>-2.1724131334435667E-2</v>
      </c>
      <c r="C233" s="6">
        <f>LN(Raw!C235/Raw!C234)</f>
        <v>-9.2791722341648598E-3</v>
      </c>
      <c r="D233" s="6">
        <f>LN(Raw!D235/Raw!D234)</f>
        <v>-1.2332826200027642E-2</v>
      </c>
      <c r="X233" s="3">
        <v>44169</v>
      </c>
      <c r="Y233" cm="1">
        <f t="array" ref="Y233">SUMPRODUCT($T$2:$T$4,TRANSPOSE(B233:D233))</f>
        <v>-1.8775737727199902E-2</v>
      </c>
      <c r="AD233" s="3">
        <v>44168</v>
      </c>
      <c r="AE233" s="4">
        <v>-1.7381031382215074E-2</v>
      </c>
      <c r="AF233">
        <f t="shared" si="3"/>
        <v>0</v>
      </c>
      <c r="AG233" s="13"/>
    </row>
    <row r="234" spans="1:33" x14ac:dyDescent="0.35">
      <c r="A234" s="3">
        <v>44172</v>
      </c>
      <c r="B234" s="6">
        <f>LN(Raw!B236/Raw!B235)</f>
        <v>-5.1848133121408313E-3</v>
      </c>
      <c r="C234" s="6">
        <f>LN(Raw!C236/Raw!C235)</f>
        <v>1.4240102787171357E-2</v>
      </c>
      <c r="D234" s="6">
        <f>LN(Raw!D236/Raw!D235)</f>
        <v>4.4358822499071547E-2</v>
      </c>
      <c r="X234" s="3">
        <v>44172</v>
      </c>
      <c r="Y234" cm="1">
        <f t="array" ref="Y234">SUMPRODUCT($T$2:$T$4,TRANSPOSE(B234:D234))</f>
        <v>1.1437000593696881E-3</v>
      </c>
      <c r="AD234" s="3">
        <v>44169</v>
      </c>
      <c r="AE234" s="4">
        <v>-1.8775737727199902E-2</v>
      </c>
      <c r="AF234">
        <f t="shared" si="3"/>
        <v>0</v>
      </c>
      <c r="AG234" s="13"/>
    </row>
    <row r="235" spans="1:33" x14ac:dyDescent="0.35">
      <c r="A235" s="3">
        <v>44173</v>
      </c>
      <c r="B235" s="6">
        <f>LN(Raw!B237/Raw!B236)</f>
        <v>1.489443459577993E-2</v>
      </c>
      <c r="C235" s="6">
        <f>LN(Raw!C237/Raw!C236)</f>
        <v>8.447957824845833E-3</v>
      </c>
      <c r="D235" s="6">
        <f>LN(Raw!D237/Raw!D236)</f>
        <v>-1.0286110179245208E-2</v>
      </c>
      <c r="X235" s="3">
        <v>44173</v>
      </c>
      <c r="Y235" cm="1">
        <f t="array" ref="Y235">SUMPRODUCT($T$2:$T$4,TRANSPOSE(B235:D235))</f>
        <v>1.2361735511372627E-2</v>
      </c>
      <c r="AD235" s="3">
        <v>44172</v>
      </c>
      <c r="AE235" s="4">
        <v>1.1437000593696881E-3</v>
      </c>
      <c r="AF235">
        <f t="shared" si="3"/>
        <v>0</v>
      </c>
      <c r="AG235" s="13"/>
    </row>
    <row r="236" spans="1:33" x14ac:dyDescent="0.35">
      <c r="A236" s="3">
        <v>44174</v>
      </c>
      <c r="B236" s="6">
        <f>LN(Raw!B238/Raw!B237)</f>
        <v>-7.5396555720298472E-3</v>
      </c>
      <c r="C236" s="6">
        <f>LN(Raw!C238/Raw!C237)</f>
        <v>1.6684429964153986E-2</v>
      </c>
      <c r="D236" s="6">
        <f>LN(Raw!D238/Raw!D237)</f>
        <v>4.8829535990859679E-2</v>
      </c>
      <c r="X236" s="3">
        <v>44174</v>
      </c>
      <c r="Y236" cm="1">
        <f t="array" ref="Y236">SUMPRODUCT($T$2:$T$4,TRANSPOSE(B236:D236))</f>
        <v>8.4416392130608718E-5</v>
      </c>
      <c r="AD236" s="3">
        <v>44173</v>
      </c>
      <c r="AE236" s="4">
        <v>1.2361735511372627E-2</v>
      </c>
      <c r="AF236">
        <f t="shared" si="3"/>
        <v>0</v>
      </c>
      <c r="AG236" s="13"/>
    </row>
    <row r="237" spans="1:33" x14ac:dyDescent="0.35">
      <c r="A237" s="3">
        <v>44175</v>
      </c>
      <c r="B237" s="6">
        <f>LN(Raw!B239/Raw!B238)</f>
        <v>-2.5145049689693183E-3</v>
      </c>
      <c r="C237" s="6">
        <f>LN(Raw!C239/Raw!C238)</f>
        <v>-7.6125313513463041E-3</v>
      </c>
      <c r="D237" s="6">
        <f>LN(Raw!D239/Raw!D238)</f>
        <v>1.8728652120658145E-2</v>
      </c>
      <c r="X237" s="3">
        <v>44175</v>
      </c>
      <c r="Y237" cm="1">
        <f t="array" ref="Y237">SUMPRODUCT($T$2:$T$4,TRANSPOSE(B237:D237))</f>
        <v>-2.4805821704569149E-3</v>
      </c>
      <c r="AD237" s="3">
        <v>44174</v>
      </c>
      <c r="AE237" s="4">
        <v>8.4416392130608718E-5</v>
      </c>
      <c r="AF237">
        <f t="shared" si="3"/>
        <v>0</v>
      </c>
      <c r="AG237" s="13"/>
    </row>
    <row r="238" spans="1:33" x14ac:dyDescent="0.35">
      <c r="A238" s="3">
        <v>44176</v>
      </c>
      <c r="B238" s="6">
        <f>LN(Raw!B240/Raw!B239)</f>
        <v>1.1521679060203677E-2</v>
      </c>
      <c r="C238" s="6">
        <f>LN(Raw!C240/Raw!C239)</f>
        <v>-1.1879982060343899E-2</v>
      </c>
      <c r="D238" s="6">
        <f>LN(Raw!D240/Raw!D239)</f>
        <v>1.9901123332241141E-2</v>
      </c>
      <c r="X238" s="3">
        <v>44176</v>
      </c>
      <c r="Y238" cm="1">
        <f t="array" ref="Y238">SUMPRODUCT($T$2:$T$4,TRANSPOSE(B238:D238))</f>
        <v>7.2661537796237709E-3</v>
      </c>
      <c r="AD238" s="3">
        <v>44175</v>
      </c>
      <c r="AE238" s="4">
        <v>-2.4805821704569149E-3</v>
      </c>
      <c r="AF238">
        <f t="shared" si="3"/>
        <v>0</v>
      </c>
      <c r="AG238" s="13"/>
    </row>
    <row r="239" spans="1:33" x14ac:dyDescent="0.35">
      <c r="A239" s="3">
        <v>44179</v>
      </c>
      <c r="B239" s="6">
        <f>LN(Raw!B241/Raw!B240)</f>
        <v>1.5695443609169895E-2</v>
      </c>
      <c r="C239" s="6">
        <f>LN(Raw!C241/Raw!C240)</f>
        <v>3.5088146910097913E-3</v>
      </c>
      <c r="D239" s="6">
        <f>LN(Raw!D241/Raw!D240)</f>
        <v>7.5765515200647434E-4</v>
      </c>
      <c r="X239" s="3">
        <v>44179</v>
      </c>
      <c r="Y239" cm="1">
        <f t="array" ref="Y239">SUMPRODUCT($T$2:$T$4,TRANSPOSE(B239:D239))</f>
        <v>1.2524108449446512E-2</v>
      </c>
      <c r="AD239" s="3">
        <v>44176</v>
      </c>
      <c r="AE239" s="4">
        <v>7.2661537796237709E-3</v>
      </c>
      <c r="AF239">
        <f t="shared" si="3"/>
        <v>0</v>
      </c>
      <c r="AG239" s="13"/>
    </row>
    <row r="240" spans="1:33" x14ac:dyDescent="0.35">
      <c r="A240" s="3">
        <v>44180</v>
      </c>
      <c r="B240" s="6">
        <f>LN(Raw!B242/Raw!B241)</f>
        <v>-2.3121648415666891E-2</v>
      </c>
      <c r="C240" s="6">
        <f>LN(Raw!C242/Raw!C241)</f>
        <v>-1.339931230695437E-2</v>
      </c>
      <c r="D240" s="6">
        <f>LN(Raw!D242/Raw!D241)</f>
        <v>-1.9499898120440017E-2</v>
      </c>
      <c r="X240" s="3">
        <v>44180</v>
      </c>
      <c r="Y240" cm="1">
        <f t="array" ref="Y240">SUMPRODUCT($T$2:$T$4,TRANSPOSE(B240:D240))</f>
        <v>-2.1002139362720641E-2</v>
      </c>
      <c r="AD240" s="3">
        <v>44179</v>
      </c>
      <c r="AE240" s="4">
        <v>1.2524108449446512E-2</v>
      </c>
      <c r="AF240">
        <f t="shared" si="3"/>
        <v>0</v>
      </c>
      <c r="AG240" s="13"/>
    </row>
    <row r="241" spans="1:33" x14ac:dyDescent="0.35">
      <c r="A241" s="3">
        <v>44181</v>
      </c>
      <c r="B241" s="6">
        <f>LN(Raw!B243/Raw!B242)</f>
        <v>1.6116008920054516E-2</v>
      </c>
      <c r="C241" s="6">
        <f>LN(Raw!C243/Raw!C242)</f>
        <v>3.5435692299331037E-3</v>
      </c>
      <c r="D241" s="6">
        <f>LN(Raw!D243/Raw!D242)</f>
        <v>6.9258257012704228E-3</v>
      </c>
      <c r="X241" s="3">
        <v>44181</v>
      </c>
      <c r="Y241" cm="1">
        <f t="array" ref="Y241">SUMPRODUCT($T$2:$T$4,TRANSPOSE(B241:D241))</f>
        <v>1.3152127848232862E-2</v>
      </c>
      <c r="AD241" s="3">
        <v>44180</v>
      </c>
      <c r="AE241" s="4">
        <v>-2.1002139362720641E-2</v>
      </c>
      <c r="AF241">
        <f t="shared" si="3"/>
        <v>0</v>
      </c>
      <c r="AG241" s="13"/>
    </row>
    <row r="242" spans="1:33" x14ac:dyDescent="0.35">
      <c r="A242" s="3">
        <v>44182</v>
      </c>
      <c r="B242" s="6">
        <f>LN(Raw!B244/Raw!B243)</f>
        <v>-1.2174168333271738E-3</v>
      </c>
      <c r="C242" s="6">
        <f>LN(Raw!C244/Raw!C243)</f>
        <v>2.7905441468690652E-2</v>
      </c>
      <c r="D242" s="6">
        <f>LN(Raw!D244/Raw!D243)</f>
        <v>1.0299502571900817E-2</v>
      </c>
      <c r="X242" s="3">
        <v>44182</v>
      </c>
      <c r="Y242" cm="1">
        <f t="array" ref="Y242">SUMPRODUCT($T$2:$T$4,TRANSPOSE(B242:D242))</f>
        <v>5.1645499572133139E-3</v>
      </c>
      <c r="AD242" s="3">
        <v>44181</v>
      </c>
      <c r="AE242" s="4">
        <v>1.3152127848232862E-2</v>
      </c>
      <c r="AF242">
        <f t="shared" si="3"/>
        <v>0</v>
      </c>
      <c r="AG242" s="13"/>
    </row>
    <row r="243" spans="1:33" x14ac:dyDescent="0.35">
      <c r="A243" s="3">
        <v>44183</v>
      </c>
      <c r="B243" s="6">
        <f>LN(Raw!B245/Raw!B244)</f>
        <v>-1.0956288721570949E-2</v>
      </c>
      <c r="C243" s="6">
        <f>LN(Raw!C245/Raw!C244)</f>
        <v>-1.8750429635142941E-2</v>
      </c>
      <c r="D243" s="6">
        <f>LN(Raw!D245/Raw!D244)</f>
        <v>1.0570099915295263E-2</v>
      </c>
      <c r="X243" s="3">
        <v>44183</v>
      </c>
      <c r="Y243" cm="1">
        <f t="array" ref="Y243">SUMPRODUCT($T$2:$T$4,TRANSPOSE(B243:D243))</f>
        <v>-1.1446407116458628E-2</v>
      </c>
      <c r="AD243" s="3">
        <v>44182</v>
      </c>
      <c r="AE243" s="4">
        <v>5.1645499572133139E-3</v>
      </c>
      <c r="AF243">
        <f t="shared" si="3"/>
        <v>0</v>
      </c>
      <c r="AG243" s="13"/>
    </row>
    <row r="244" spans="1:33" x14ac:dyDescent="0.35">
      <c r="A244" s="3">
        <v>44186</v>
      </c>
      <c r="B244" s="6">
        <f>LN(Raw!B246/Raw!B245)</f>
        <v>-1.9868266184030547E-2</v>
      </c>
      <c r="C244" s="6">
        <f>LN(Raw!C246/Raw!C245)</f>
        <v>-6.4047981424493944E-2</v>
      </c>
      <c r="D244" s="6">
        <f>LN(Raw!D246/Raw!D245)</f>
        <v>-9.1973612043388067E-2</v>
      </c>
      <c r="X244" s="3">
        <v>44186</v>
      </c>
      <c r="Y244" cm="1">
        <f t="array" ref="Y244">SUMPRODUCT($T$2:$T$4,TRANSPOSE(B244:D244))</f>
        <v>-3.2253628796257434E-2</v>
      </c>
      <c r="AD244" s="3">
        <v>44183</v>
      </c>
      <c r="AE244" s="4">
        <v>-1.1446407116458628E-2</v>
      </c>
      <c r="AF244">
        <f t="shared" si="3"/>
        <v>0</v>
      </c>
      <c r="AG244" s="13"/>
    </row>
    <row r="245" spans="1:33" x14ac:dyDescent="0.35">
      <c r="A245" s="3">
        <v>44187</v>
      </c>
      <c r="B245" s="6">
        <f>LN(Raw!B247/Raw!B246)</f>
        <v>1.7367541580458015E-2</v>
      </c>
      <c r="C245" s="6">
        <f>LN(Raw!C247/Raw!C246)</f>
        <v>2.3634816347039799E-2</v>
      </c>
      <c r="D245" s="6">
        <f>LN(Raw!D247/Raw!D246)</f>
        <v>-1.4514024437260076E-2</v>
      </c>
      <c r="X245" s="3">
        <v>44187</v>
      </c>
      <c r="Y245" cm="1">
        <f t="array" ref="Y245">SUMPRODUCT($T$2:$T$4,TRANSPOSE(B245:D245))</f>
        <v>1.7040467303729118E-2</v>
      </c>
      <c r="AD245" s="3">
        <v>44186</v>
      </c>
      <c r="AE245" s="4">
        <v>-3.2253628796257434E-2</v>
      </c>
      <c r="AF245">
        <f t="shared" si="3"/>
        <v>0</v>
      </c>
      <c r="AG245" s="13"/>
    </row>
    <row r="246" spans="1:33" x14ac:dyDescent="0.35">
      <c r="A246" s="3">
        <v>44188</v>
      </c>
      <c r="B246" s="6">
        <f>LN(Raw!B248/Raw!B247)</f>
        <v>2.7446690889310456E-4</v>
      </c>
      <c r="C246" s="6">
        <f>LN(Raw!C248/Raw!C247)</f>
        <v>3.0550419279816408E-2</v>
      </c>
      <c r="D246" s="6">
        <f>LN(Raw!D248/Raw!D247)</f>
        <v>5.4462861996346326E-2</v>
      </c>
      <c r="X246" s="3">
        <v>44188</v>
      </c>
      <c r="Y246" cm="1">
        <f t="array" ref="Y246">SUMPRODUCT($T$2:$T$4,TRANSPOSE(B246:D246))</f>
        <v>8.9983704515527122E-3</v>
      </c>
      <c r="AD246" s="3">
        <v>44187</v>
      </c>
      <c r="AE246" s="4">
        <v>1.7040467303729118E-2</v>
      </c>
      <c r="AF246">
        <f t="shared" si="3"/>
        <v>0</v>
      </c>
      <c r="AG246" s="13"/>
    </row>
    <row r="247" spans="1:33" x14ac:dyDescent="0.35">
      <c r="A247" s="3">
        <v>44189</v>
      </c>
      <c r="B247" s="6">
        <f>LN(Raw!B249/Raw!B248)</f>
        <v>1.7571998690056951E-2</v>
      </c>
      <c r="C247" s="6">
        <f>LN(Raw!C249/Raw!C248)</f>
        <v>-1.4168524110355269E-3</v>
      </c>
      <c r="D247" s="6">
        <f>LN(Raw!D249/Raw!D248)</f>
        <v>4.5242595853794781E-2</v>
      </c>
      <c r="X247" s="3">
        <v>44189</v>
      </c>
      <c r="Y247" cm="1">
        <f t="array" ref="Y247">SUMPRODUCT($T$2:$T$4,TRANSPOSE(B247:D247))</f>
        <v>1.5151850681932992E-2</v>
      </c>
      <c r="AD247" s="3">
        <v>44188</v>
      </c>
      <c r="AE247" s="4">
        <v>8.9983704515527122E-3</v>
      </c>
      <c r="AF247">
        <f t="shared" si="3"/>
        <v>0</v>
      </c>
      <c r="AG247" s="13"/>
    </row>
    <row r="248" spans="1:33" x14ac:dyDescent="0.35">
      <c r="A248" s="3">
        <v>44193</v>
      </c>
      <c r="B248" s="6">
        <f>LN(Raw!B250/Raw!B249)</f>
        <v>9.122318464550307E-3</v>
      </c>
      <c r="C248" s="6">
        <f>LN(Raw!C250/Raw!C249)</f>
        <v>2.1245863751257394E-3</v>
      </c>
      <c r="D248" s="6">
        <f>LN(Raw!D250/Raw!D249)</f>
        <v>1.0904338719992355E-2</v>
      </c>
      <c r="X248" s="3">
        <v>44193</v>
      </c>
      <c r="Y248" cm="1">
        <f t="array" ref="Y248">SUMPRODUCT($T$2:$T$4,TRANSPOSE(B248:D248))</f>
        <v>7.8139867421753578E-3</v>
      </c>
      <c r="AD248" s="3">
        <v>44189</v>
      </c>
      <c r="AE248" s="4">
        <v>1.5151850681932992E-2</v>
      </c>
      <c r="AF248">
        <f t="shared" si="3"/>
        <v>0</v>
      </c>
      <c r="AG248" s="13"/>
    </row>
    <row r="249" spans="1:33" x14ac:dyDescent="0.35">
      <c r="A249" s="3">
        <v>44194</v>
      </c>
      <c r="B249" s="6">
        <f>LN(Raw!B251/Raw!B250)</f>
        <v>8.411311111214393E-3</v>
      </c>
      <c r="C249" s="6">
        <f>LN(Raw!C251/Raw!C250)</f>
        <v>-8.1690680028898791E-3</v>
      </c>
      <c r="D249" s="6">
        <f>LN(Raw!D251/Raw!D250)</f>
        <v>-2.4991762576681786E-2</v>
      </c>
      <c r="X249" s="3">
        <v>44194</v>
      </c>
      <c r="Y249" cm="1">
        <f t="array" ref="Y249">SUMPRODUCT($T$2:$T$4,TRANSPOSE(B249:D249))</f>
        <v>3.4492747026675132E-3</v>
      </c>
      <c r="AD249" s="3">
        <v>44193</v>
      </c>
      <c r="AE249" s="4">
        <v>7.8139867421753578E-3</v>
      </c>
      <c r="AF249">
        <f t="shared" si="3"/>
        <v>0</v>
      </c>
      <c r="AG249" s="13"/>
    </row>
    <row r="250" spans="1:33" x14ac:dyDescent="0.35">
      <c r="A250" s="3">
        <v>44195</v>
      </c>
      <c r="B250" s="6">
        <f>LN(Raw!B252/Raw!B251)</f>
        <v>-1.3248996521244207E-4</v>
      </c>
      <c r="C250" s="6">
        <f>LN(Raw!C252/Raw!C251)</f>
        <v>-5.3639807755795329E-3</v>
      </c>
      <c r="D250" s="6">
        <f>LN(Raw!D252/Raw!D251)</f>
        <v>-9.6321350631875819E-3</v>
      </c>
      <c r="X250" s="3">
        <v>44195</v>
      </c>
      <c r="Y250" cm="1">
        <f t="array" ref="Y250">SUMPRODUCT($T$2:$T$4,TRANSPOSE(B250:D250))</f>
        <v>-1.6466670605272584E-3</v>
      </c>
      <c r="AD250" s="3">
        <v>44194</v>
      </c>
      <c r="AE250" s="4">
        <v>3.4492747026675132E-3</v>
      </c>
      <c r="AF250">
        <f t="shared" si="3"/>
        <v>0</v>
      </c>
      <c r="AG250" s="13"/>
    </row>
    <row r="251" spans="1:33" x14ac:dyDescent="0.35">
      <c r="A251" s="3">
        <v>44196</v>
      </c>
      <c r="B251" s="6">
        <f>LN(Raw!B253/Raw!B252)</f>
        <v>7.0932738816122855E-3</v>
      </c>
      <c r="C251" s="6">
        <f>LN(Raw!C253/Raw!C252)</f>
        <v>-2.5129338501485056E-3</v>
      </c>
      <c r="D251" s="6">
        <f>LN(Raw!D253/Raw!D252)</f>
        <v>-2.3254586238505973E-3</v>
      </c>
      <c r="X251" s="3">
        <v>44196</v>
      </c>
      <c r="Y251" cm="1">
        <f t="array" ref="Y251">SUMPRODUCT($T$2:$T$4,TRANSPOSE(B251:D251))</f>
        <v>4.7100472012645269E-3</v>
      </c>
      <c r="AD251" s="3">
        <v>44195</v>
      </c>
      <c r="AE251" s="4">
        <v>-1.6466670605272584E-3</v>
      </c>
      <c r="AF251">
        <f t="shared" si="3"/>
        <v>0</v>
      </c>
      <c r="AG251" s="13"/>
    </row>
    <row r="252" spans="1:33" x14ac:dyDescent="0.35">
      <c r="A252" s="3">
        <v>44197</v>
      </c>
      <c r="B252" s="6">
        <f>LN(Raw!B254/Raw!B253)</f>
        <v>-1.0854352470227068E-3</v>
      </c>
      <c r="C252" s="6">
        <f>LN(Raw!C254/Raw!C253)</f>
        <v>7.8769146257279855E-3</v>
      </c>
      <c r="D252" s="6">
        <f>LN(Raw!D254/Raw!D253)</f>
        <v>3.0994113250592411E-3</v>
      </c>
      <c r="X252" s="3">
        <v>44197</v>
      </c>
      <c r="Y252" cm="1">
        <f t="array" ref="Y252">SUMPRODUCT($T$2:$T$4,TRANSPOSE(B252:D252))</f>
        <v>9.1027231410690764E-4</v>
      </c>
      <c r="AD252" s="3">
        <v>44196</v>
      </c>
      <c r="AE252" s="4">
        <v>4.7100472012645269E-3</v>
      </c>
      <c r="AF252">
        <f t="shared" si="3"/>
        <v>0</v>
      </c>
      <c r="AG252" s="13"/>
    </row>
    <row r="253" spans="1:33" x14ac:dyDescent="0.35">
      <c r="A253" s="3">
        <v>44200</v>
      </c>
      <c r="B253" s="6">
        <f>LN(Raw!B255/Raw!B254)</f>
        <v>1.971602954787156E-2</v>
      </c>
      <c r="C253" s="6">
        <f>LN(Raw!C255/Raw!C254)</f>
        <v>1.1700065037234688E-2</v>
      </c>
      <c r="D253" s="6">
        <f>LN(Raw!D255/Raw!D254)</f>
        <v>3.0899565015803303E-3</v>
      </c>
      <c r="X253" s="3">
        <v>44200</v>
      </c>
      <c r="Y253" cm="1">
        <f t="array" ref="Y253">SUMPRODUCT($T$2:$T$4,TRANSPOSE(B253:D253))</f>
        <v>1.72934724920394E-2</v>
      </c>
      <c r="AD253" s="3">
        <v>44197</v>
      </c>
      <c r="AE253" s="4">
        <v>9.1027231410690764E-4</v>
      </c>
      <c r="AF253">
        <f t="shared" si="3"/>
        <v>0</v>
      </c>
      <c r="AG253" s="13"/>
    </row>
    <row r="254" spans="1:33" x14ac:dyDescent="0.35">
      <c r="A254" s="3">
        <v>44201</v>
      </c>
      <c r="B254" s="6">
        <f>LN(Raw!B256/Raw!B255)</f>
        <v>2.2211366129058427E-2</v>
      </c>
      <c r="C254" s="6">
        <f>LN(Raw!C256/Raw!C255)</f>
        <v>-3.177407539323249E-3</v>
      </c>
      <c r="D254" s="6">
        <f>LN(Raw!D256/Raw!D255)</f>
        <v>-1.0856941045487744E-2</v>
      </c>
      <c r="X254" s="3">
        <v>44201</v>
      </c>
      <c r="Y254" cm="1">
        <f t="array" ref="Y254">SUMPRODUCT($T$2:$T$4,TRANSPOSE(B254:D254))</f>
        <v>1.5508022764644329E-2</v>
      </c>
      <c r="AD254" s="3">
        <v>44200</v>
      </c>
      <c r="AE254" s="4">
        <v>1.72934724920394E-2</v>
      </c>
      <c r="AF254">
        <f t="shared" si="3"/>
        <v>0</v>
      </c>
      <c r="AG254" s="13"/>
    </row>
    <row r="255" spans="1:33" x14ac:dyDescent="0.35">
      <c r="A255" s="3">
        <v>44202</v>
      </c>
      <c r="B255" s="6">
        <f>LN(Raw!B257/Raw!B256)</f>
        <v>1.7178253577796981E-2</v>
      </c>
      <c r="C255" s="6">
        <f>LN(Raw!C257/Raw!C256)</f>
        <v>-1.1022252274825634E-2</v>
      </c>
      <c r="D255" s="6">
        <f>LN(Raw!D257/Raw!D256)</f>
        <v>-1.1764835384000836E-2</v>
      </c>
      <c r="X255" s="3">
        <v>44202</v>
      </c>
      <c r="Y255" cm="1">
        <f t="array" ref="Y255">SUMPRODUCT($T$2:$T$4,TRANSPOSE(B255:D255))</f>
        <v>1.0117935735996607E-2</v>
      </c>
      <c r="AD255" s="3">
        <v>44201</v>
      </c>
      <c r="AE255" s="4">
        <v>1.5508022764644329E-2</v>
      </c>
      <c r="AF255">
        <f t="shared" si="3"/>
        <v>0</v>
      </c>
      <c r="AG255" s="13"/>
    </row>
    <row r="256" spans="1:33" x14ac:dyDescent="0.35">
      <c r="A256" s="3">
        <v>44203</v>
      </c>
      <c r="B256" s="6">
        <f>LN(Raw!B258/Raw!B257)</f>
        <v>-2.5449941144490937E-2</v>
      </c>
      <c r="C256" s="6">
        <f>LN(Raw!C258/Raw!C257)</f>
        <v>1.0314888344128916E-2</v>
      </c>
      <c r="D256" s="6">
        <f>LN(Raw!D258/Raw!D257)</f>
        <v>1.4101283823253498E-2</v>
      </c>
      <c r="X256" s="3">
        <v>44203</v>
      </c>
      <c r="Y256" cm="1">
        <f t="array" ref="Y256">SUMPRODUCT($T$2:$T$4,TRANSPOSE(B256:D256))</f>
        <v>-1.6355027810726227E-2</v>
      </c>
      <c r="AD256" s="3">
        <v>44202</v>
      </c>
      <c r="AE256" s="4">
        <v>1.0117935735996607E-2</v>
      </c>
      <c r="AF256">
        <f t="shared" si="3"/>
        <v>0</v>
      </c>
      <c r="AG256" s="13"/>
    </row>
    <row r="257" spans="1:33" x14ac:dyDescent="0.35">
      <c r="A257" s="3">
        <v>44204</v>
      </c>
      <c r="B257" s="6">
        <f>LN(Raw!B259/Raw!B258)</f>
        <v>2.1377722638759544E-2</v>
      </c>
      <c r="C257" s="6">
        <f>LN(Raw!C259/Raw!C258)</f>
        <v>2.3431659592839663E-2</v>
      </c>
      <c r="D257" s="6">
        <f>LN(Raw!D259/Raw!D258)</f>
        <v>8.1349983492011776E-3</v>
      </c>
      <c r="X257" s="3">
        <v>44204</v>
      </c>
      <c r="Y257" cm="1">
        <f t="array" ref="Y257">SUMPRODUCT($T$2:$T$4,TRANSPOSE(B257:D257))</f>
        <v>2.1132238861337065E-2</v>
      </c>
      <c r="AD257" s="3">
        <v>44203</v>
      </c>
      <c r="AE257" s="4">
        <v>-1.6355027810726227E-2</v>
      </c>
      <c r="AF257">
        <f t="shared" si="3"/>
        <v>0</v>
      </c>
      <c r="AG257" s="13"/>
    </row>
    <row r="258" spans="1:33" x14ac:dyDescent="0.35">
      <c r="A258" s="3">
        <v>44207</v>
      </c>
      <c r="B258" s="6">
        <f>LN(Raw!B260/Raw!B259)</f>
        <v>2.8306157152786699E-3</v>
      </c>
      <c r="C258" s="6">
        <f>LN(Raw!C260/Raw!C259)</f>
        <v>1.8154424301229512E-2</v>
      </c>
      <c r="D258" s="6">
        <f>LN(Raw!D260/Raw!D259)</f>
        <v>3.7854588825346827E-2</v>
      </c>
      <c r="X258" s="3">
        <v>44207</v>
      </c>
      <c r="Y258" cm="1">
        <f t="array" ref="Y258">SUMPRODUCT($T$2:$T$4,TRANSPOSE(B258:D258))</f>
        <v>7.6220991383343746E-3</v>
      </c>
      <c r="AD258" s="3">
        <v>44204</v>
      </c>
      <c r="AE258" s="4">
        <v>2.1132238861337065E-2</v>
      </c>
      <c r="AF258">
        <f t="shared" si="3"/>
        <v>0</v>
      </c>
      <c r="AG258" s="13"/>
    </row>
    <row r="259" spans="1:33" x14ac:dyDescent="0.35">
      <c r="A259" s="3">
        <v>44208</v>
      </c>
      <c r="B259" s="6">
        <f>LN(Raw!B261/Raw!B260)</f>
        <v>-2.7555359687972333E-2</v>
      </c>
      <c r="C259" s="6">
        <f>LN(Raw!C261/Raw!C260)</f>
        <v>6.0912738315100782E-3</v>
      </c>
      <c r="D259" s="6">
        <f>LN(Raw!D261/Raw!D260)</f>
        <v>-2.9762692880802737E-3</v>
      </c>
      <c r="X259" s="3">
        <v>44208</v>
      </c>
      <c r="Y259" cm="1">
        <f t="array" ref="Y259">SUMPRODUCT($T$2:$T$4,TRANSPOSE(B259:D259))</f>
        <v>-1.9624143230877491E-2</v>
      </c>
      <c r="AD259" s="3">
        <v>44207</v>
      </c>
      <c r="AE259" s="4">
        <v>7.6220991383343746E-3</v>
      </c>
      <c r="AF259">
        <f t="shared" ref="AF259:AF322" si="4">IF(AE259&lt;$AB$2,1,0)</f>
        <v>0</v>
      </c>
      <c r="AG259" s="13"/>
    </row>
    <row r="260" spans="1:33" x14ac:dyDescent="0.35">
      <c r="A260" s="3">
        <v>44209</v>
      </c>
      <c r="B260" s="6">
        <f>LN(Raw!B262/Raw!B261)</f>
        <v>-1.0882882198195486E-2</v>
      </c>
      <c r="C260" s="6">
        <f>LN(Raw!C262/Raw!C261)</f>
        <v>-2.4245698132739427E-2</v>
      </c>
      <c r="D260" s="6">
        <f>LN(Raw!D262/Raw!D261)</f>
        <v>-1.6150527000664418E-2</v>
      </c>
      <c r="X260" s="3">
        <v>44209</v>
      </c>
      <c r="Y260" cm="1">
        <f t="array" ref="Y260">SUMPRODUCT($T$2:$T$4,TRANSPOSE(B260:D260))</f>
        <v>-1.381037006371125E-2</v>
      </c>
      <c r="AD260" s="3">
        <v>44208</v>
      </c>
      <c r="AE260" s="4">
        <v>-1.9624143230877491E-2</v>
      </c>
      <c r="AF260">
        <f t="shared" si="4"/>
        <v>0</v>
      </c>
      <c r="AG260" s="13"/>
    </row>
    <row r="261" spans="1:33" x14ac:dyDescent="0.35">
      <c r="A261" s="3">
        <v>44210</v>
      </c>
      <c r="B261" s="6">
        <f>LN(Raw!B263/Raw!B262)</f>
        <v>3.6729099366377554E-3</v>
      </c>
      <c r="C261" s="6">
        <f>LN(Raw!C263/Raw!C262)</f>
        <v>-1.0374652234301709E-3</v>
      </c>
      <c r="D261" s="6">
        <f>LN(Raw!D263/Raw!D262)</f>
        <v>2.6468937738514712E-3</v>
      </c>
      <c r="X261" s="3">
        <v>44210</v>
      </c>
      <c r="Y261" cm="1">
        <f t="array" ref="Y261">SUMPRODUCT($T$2:$T$4,TRANSPOSE(B261:D261))</f>
        <v>2.6820916836411382E-3</v>
      </c>
      <c r="AD261" s="3">
        <v>44209</v>
      </c>
      <c r="AE261" s="4">
        <v>-1.381037006371125E-2</v>
      </c>
      <c r="AF261">
        <f t="shared" si="4"/>
        <v>0</v>
      </c>
      <c r="AG261" s="13"/>
    </row>
    <row r="262" spans="1:33" x14ac:dyDescent="0.35">
      <c r="A262" s="3">
        <v>44211</v>
      </c>
      <c r="B262" s="6">
        <f>LN(Raw!B264/Raw!B263)</f>
        <v>-2.4793200020481977E-3</v>
      </c>
      <c r="C262" s="6">
        <f>LN(Raw!C264/Raw!C263)</f>
        <v>-1.7100495817610521E-2</v>
      </c>
      <c r="D262" s="6">
        <f>LN(Raw!D264/Raw!D263)</f>
        <v>-3.0287853412034809E-2</v>
      </c>
      <c r="X262" s="3">
        <v>44211</v>
      </c>
      <c r="Y262" cm="1">
        <f t="array" ref="Y262">SUMPRODUCT($T$2:$T$4,TRANSPOSE(B262:D262))</f>
        <v>-6.7734874511062486E-3</v>
      </c>
      <c r="AD262" s="3">
        <v>44210</v>
      </c>
      <c r="AE262" s="4">
        <v>2.6820916836411382E-3</v>
      </c>
      <c r="AF262">
        <f t="shared" si="4"/>
        <v>0</v>
      </c>
      <c r="AG262" s="13"/>
    </row>
    <row r="263" spans="1:33" x14ac:dyDescent="0.35">
      <c r="A263" s="3">
        <v>44214</v>
      </c>
      <c r="B263" s="6">
        <f>LN(Raw!B265/Raw!B264)</f>
        <v>-1.7760110505603346E-2</v>
      </c>
      <c r="C263" s="6">
        <f>LN(Raw!C265/Raw!C264)</f>
        <v>-2.3865698216706751E-2</v>
      </c>
      <c r="D263" s="6">
        <f>LN(Raw!D265/Raw!D264)</f>
        <v>1.6216562521543274E-2</v>
      </c>
      <c r="X263" s="3">
        <v>44214</v>
      </c>
      <c r="Y263" cm="1">
        <f t="array" ref="Y263">SUMPRODUCT($T$2:$T$4,TRANSPOSE(B263:D263))</f>
        <v>-1.7297081574468336E-2</v>
      </c>
      <c r="AD263" s="3">
        <v>44211</v>
      </c>
      <c r="AE263" s="4">
        <v>-6.7734874511062486E-3</v>
      </c>
      <c r="AF263">
        <f t="shared" si="4"/>
        <v>0</v>
      </c>
      <c r="AG263" s="13"/>
    </row>
    <row r="264" spans="1:33" x14ac:dyDescent="0.35">
      <c r="A264" s="3">
        <v>44215</v>
      </c>
      <c r="B264" s="6">
        <f>LN(Raw!B266/Raw!B265)</f>
        <v>-8.9334581792824934E-3</v>
      </c>
      <c r="C264" s="6">
        <f>LN(Raw!C266/Raw!C265)</f>
        <v>9.686112608199007E-3</v>
      </c>
      <c r="D264" s="6">
        <f>LN(Raw!D266/Raw!D265)</f>
        <v>2.9436012730030579E-2</v>
      </c>
      <c r="X264" s="3">
        <v>44215</v>
      </c>
      <c r="Y264" cm="1">
        <f t="array" ref="Y264">SUMPRODUCT($T$2:$T$4,TRANSPOSE(B264:D264))</f>
        <v>-3.3186766404969914E-3</v>
      </c>
      <c r="AD264" s="3">
        <v>44214</v>
      </c>
      <c r="AE264" s="4">
        <v>-1.7297081574468336E-2</v>
      </c>
      <c r="AF264">
        <f t="shared" si="4"/>
        <v>0</v>
      </c>
      <c r="AG264" s="13"/>
    </row>
    <row r="265" spans="1:33" x14ac:dyDescent="0.35">
      <c r="A265" s="3">
        <v>44216</v>
      </c>
      <c r="B265" s="6">
        <f>LN(Raw!B267/Raw!B266)</f>
        <v>-1.0050372326110774E-2</v>
      </c>
      <c r="C265" s="6">
        <f>LN(Raw!C267/Raw!C266)</f>
        <v>4.2750930337623894E-3</v>
      </c>
      <c r="D265" s="6">
        <f>LN(Raw!D267/Raw!D266)</f>
        <v>3.256178532669448E-2</v>
      </c>
      <c r="X265" s="3">
        <v>44216</v>
      </c>
      <c r="Y265" cm="1">
        <f t="array" ref="Y265">SUMPRODUCT($T$2:$T$4,TRANSPOSE(B265:D265))</f>
        <v>-5.0825861631937485E-3</v>
      </c>
      <c r="AD265" s="3">
        <v>44215</v>
      </c>
      <c r="AE265" s="4">
        <v>-3.3186766404969914E-3</v>
      </c>
      <c r="AF265">
        <f t="shared" si="4"/>
        <v>0</v>
      </c>
      <c r="AG265" s="13"/>
    </row>
    <row r="266" spans="1:33" x14ac:dyDescent="0.35">
      <c r="A266" s="3">
        <v>44217</v>
      </c>
      <c r="B266" s="6">
        <f>LN(Raw!B268/Raw!B267)</f>
        <v>-2.1672785337493002E-2</v>
      </c>
      <c r="C266" s="6">
        <f>LN(Raw!C268/Raw!C267)</f>
        <v>-1.5404247850701528E-2</v>
      </c>
      <c r="D266" s="6">
        <f>LN(Raw!D268/Raw!D267)</f>
        <v>-4.6903884636055014E-3</v>
      </c>
      <c r="X266" s="3">
        <v>44217</v>
      </c>
      <c r="Y266" cm="1">
        <f t="array" ref="Y266">SUMPRODUCT($T$2:$T$4,TRANSPOSE(B266:D266))</f>
        <v>-1.9581324432105782E-2</v>
      </c>
      <c r="AD266" s="3">
        <v>44216</v>
      </c>
      <c r="AE266" s="4">
        <v>-5.0825861631937485E-3</v>
      </c>
      <c r="AF266">
        <f t="shared" si="4"/>
        <v>0</v>
      </c>
      <c r="AG266" s="13"/>
    </row>
    <row r="267" spans="1:33" x14ac:dyDescent="0.35">
      <c r="A267" s="3">
        <v>44218</v>
      </c>
      <c r="B267" s="6">
        <f>LN(Raw!B269/Raw!B268)</f>
        <v>-1.6472767579473056E-2</v>
      </c>
      <c r="C267" s="6">
        <f>LN(Raw!C269/Raw!C268)</f>
        <v>-1.5645069960214513E-2</v>
      </c>
      <c r="D267" s="6">
        <f>LN(Raw!D269/Raw!D268)</f>
        <v>-5.0437217451868986E-2</v>
      </c>
      <c r="X267" s="3">
        <v>44218</v>
      </c>
      <c r="Y267" cm="1">
        <f t="array" ref="Y267">SUMPRODUCT($T$2:$T$4,TRANSPOSE(B267:D267))</f>
        <v>-1.7988489735330841E-2</v>
      </c>
      <c r="AD267" s="3">
        <v>44217</v>
      </c>
      <c r="AE267" s="4">
        <v>-1.9581324432105782E-2</v>
      </c>
      <c r="AF267">
        <f t="shared" si="4"/>
        <v>0</v>
      </c>
      <c r="AG267" s="13"/>
    </row>
    <row r="268" spans="1:33" x14ac:dyDescent="0.35">
      <c r="A268" s="3">
        <v>44221</v>
      </c>
      <c r="B268" s="6">
        <f>LN(Raw!B270/Raw!B269)</f>
        <v>-4.8670619684027905E-4</v>
      </c>
      <c r="C268" s="6">
        <f>LN(Raw!C270/Raw!C269)</f>
        <v>-1.9252760858109366E-2</v>
      </c>
      <c r="D268" s="6">
        <f>LN(Raw!D270/Raw!D269)</f>
        <v>-3.0510119745639854E-2</v>
      </c>
      <c r="X268" s="3">
        <v>44221</v>
      </c>
      <c r="Y268" cm="1">
        <f t="array" ref="Y268">SUMPRODUCT($T$2:$T$4,TRANSPOSE(B268:D268))</f>
        <v>-5.7176738735524773E-3</v>
      </c>
      <c r="AD268" s="3">
        <v>44218</v>
      </c>
      <c r="AE268" s="4">
        <v>-1.7988489735330841E-2</v>
      </c>
      <c r="AF268">
        <f t="shared" si="4"/>
        <v>0</v>
      </c>
      <c r="AG268" s="13"/>
    </row>
    <row r="269" spans="1:33" x14ac:dyDescent="0.35">
      <c r="A269" s="3">
        <v>44223</v>
      </c>
      <c r="B269" s="6">
        <f>LN(Raw!B271/Raw!B270)</f>
        <v>-4.2213451034344679E-2</v>
      </c>
      <c r="C269" s="6">
        <f>LN(Raw!C271/Raw!C270)</f>
        <v>-8.2583459607055536E-3</v>
      </c>
      <c r="D269" s="6">
        <f>LN(Raw!D271/Raw!D270)</f>
        <v>1.3632069939880908E-2</v>
      </c>
      <c r="X269" s="3">
        <v>44223</v>
      </c>
      <c r="Y269" cm="1">
        <f t="array" ref="Y269">SUMPRODUCT($T$2:$T$4,TRANSPOSE(B269:D269))</f>
        <v>-3.2673294315498654E-2</v>
      </c>
      <c r="AD269" s="3">
        <v>44221</v>
      </c>
      <c r="AE269" s="4">
        <v>-5.7176738735524773E-3</v>
      </c>
      <c r="AF269">
        <f t="shared" si="4"/>
        <v>0</v>
      </c>
      <c r="AG269" s="13"/>
    </row>
    <row r="270" spans="1:33" x14ac:dyDescent="0.35">
      <c r="A270" s="3">
        <v>44224</v>
      </c>
      <c r="B270" s="6">
        <f>LN(Raw!B272/Raw!B271)</f>
        <v>-5.4906579271093532E-3</v>
      </c>
      <c r="C270" s="6">
        <f>LN(Raw!C272/Raw!C271)</f>
        <v>4.8881246169463514E-3</v>
      </c>
      <c r="D270" s="6">
        <f>LN(Raw!D272/Raw!D271)</f>
        <v>3.0899565015803303E-3</v>
      </c>
      <c r="X270" s="3">
        <v>44224</v>
      </c>
      <c r="Y270" cm="1">
        <f t="array" ref="Y270">SUMPRODUCT($T$2:$T$4,TRANSPOSE(B270:D270))</f>
        <v>-2.9947285363383556E-3</v>
      </c>
      <c r="AD270" s="3">
        <v>44223</v>
      </c>
      <c r="AE270" s="4">
        <v>-3.2673294315498654E-2</v>
      </c>
      <c r="AF270">
        <f t="shared" si="4"/>
        <v>0</v>
      </c>
      <c r="AG270" s="13"/>
    </row>
    <row r="271" spans="1:33" x14ac:dyDescent="0.35">
      <c r="A271" s="3">
        <v>44225</v>
      </c>
      <c r="B271" s="6">
        <f>LN(Raw!B273/Raw!B272)</f>
        <v>-4.1506036807913343E-2</v>
      </c>
      <c r="C271" s="6">
        <f>LN(Raw!C273/Raw!C272)</f>
        <v>-1.0558208648074311E-2</v>
      </c>
      <c r="D271" s="6">
        <f>LN(Raw!D273/Raw!D272)</f>
        <v>-2.0651281653601208E-2</v>
      </c>
      <c r="X271" s="3">
        <v>44225</v>
      </c>
      <c r="Y271" cm="1">
        <f t="array" ref="Y271">SUMPRODUCT($T$2:$T$4,TRANSPOSE(B271:D271))</f>
        <v>-3.429773341854854E-2</v>
      </c>
      <c r="AD271" s="3">
        <v>44224</v>
      </c>
      <c r="AE271" s="4">
        <v>-2.9947285363383556E-3</v>
      </c>
      <c r="AF271">
        <f t="shared" si="4"/>
        <v>0</v>
      </c>
      <c r="AG271" s="13"/>
    </row>
    <row r="272" spans="1:33" x14ac:dyDescent="0.35">
      <c r="A272" s="3">
        <v>44228</v>
      </c>
      <c r="B272" s="6">
        <f>LN(Raw!B274/Raw!B273)</f>
        <v>3.7194009288924024E-2</v>
      </c>
      <c r="C272" s="6">
        <f>LN(Raw!C274/Raw!C273)</f>
        <v>4.9908707134415566E-2</v>
      </c>
      <c r="D272" s="6">
        <f>LN(Raw!D274/Raw!D273)</f>
        <v>8.5961023057117864E-2</v>
      </c>
      <c r="X272" s="3">
        <v>44228</v>
      </c>
      <c r="Y272" cm="1">
        <f t="array" ref="Y272">SUMPRODUCT($T$2:$T$4,TRANSPOSE(B272:D272))</f>
        <v>4.2144941756191955E-2</v>
      </c>
      <c r="AD272" s="3">
        <v>44225</v>
      </c>
      <c r="AE272" s="4">
        <v>-3.429773341854854E-2</v>
      </c>
      <c r="AF272">
        <f t="shared" si="4"/>
        <v>0</v>
      </c>
      <c r="AG272" s="13"/>
    </row>
    <row r="273" spans="1:33" x14ac:dyDescent="0.35">
      <c r="A273" s="3">
        <v>44229</v>
      </c>
      <c r="B273" s="6">
        <f>LN(Raw!B275/Raw!B274)</f>
        <v>1.6416754724423516E-2</v>
      </c>
      <c r="C273" s="6">
        <f>LN(Raw!C275/Raw!C274)</f>
        <v>0</v>
      </c>
      <c r="D273" s="6">
        <f>LN(Raw!D275/Raw!D274)</f>
        <v>-1.8228845750675644E-2</v>
      </c>
      <c r="X273" s="3">
        <v>44229</v>
      </c>
      <c r="Y273" cm="1">
        <f t="array" ref="Y273">SUMPRODUCT($T$2:$T$4,TRANSPOSE(B273:D273))</f>
        <v>1.1425879668523044E-2</v>
      </c>
      <c r="AD273" s="3">
        <v>44228</v>
      </c>
      <c r="AE273" s="4">
        <v>4.2144941756191955E-2</v>
      </c>
      <c r="AF273">
        <f t="shared" si="4"/>
        <v>0</v>
      </c>
      <c r="AG273" s="13"/>
    </row>
    <row r="274" spans="1:33" x14ac:dyDescent="0.35">
      <c r="A274" s="3">
        <v>44230</v>
      </c>
      <c r="B274" s="6">
        <f>LN(Raw!B276/Raw!B275)</f>
        <v>3.4312462378107575E-2</v>
      </c>
      <c r="C274" s="6">
        <f>LN(Raw!C276/Raw!C275)</f>
        <v>-6.5122005366431406E-3</v>
      </c>
      <c r="D274" s="6">
        <f>LN(Raw!D276/Raw!D275)</f>
        <v>-1.4826217959782449E-2</v>
      </c>
      <c r="X274" s="3">
        <v>44230</v>
      </c>
      <c r="Y274" cm="1">
        <f t="array" ref="Y274">SUMPRODUCT($T$2:$T$4,TRANSPOSE(B274:D274))</f>
        <v>2.373328346889856E-2</v>
      </c>
      <c r="AD274" s="3">
        <v>44229</v>
      </c>
      <c r="AE274" s="4">
        <v>1.1425879668523044E-2</v>
      </c>
      <c r="AF274">
        <f t="shared" si="4"/>
        <v>0</v>
      </c>
      <c r="AG274" s="13"/>
    </row>
    <row r="275" spans="1:33" x14ac:dyDescent="0.35">
      <c r="A275" s="3">
        <v>44231</v>
      </c>
      <c r="B275" s="6">
        <f>LN(Raw!B277/Raw!B276)</f>
        <v>2.3292277859031818E-2</v>
      </c>
      <c r="C275" s="6">
        <f>LN(Raw!C277/Raw!C276)</f>
        <v>1.7629502518818188E-2</v>
      </c>
      <c r="D275" s="6">
        <f>LN(Raw!D277/Raw!D276)</f>
        <v>3.2332126395409104E-2</v>
      </c>
      <c r="X275" s="3">
        <v>44231</v>
      </c>
      <c r="Y275" cm="1">
        <f t="array" ref="Y275">SUMPRODUCT($T$2:$T$4,TRANSPOSE(B275:D275))</f>
        <v>2.2609551497048408E-2</v>
      </c>
      <c r="AD275" s="3">
        <v>44230</v>
      </c>
      <c r="AE275" s="4">
        <v>2.373328346889856E-2</v>
      </c>
      <c r="AF275">
        <f t="shared" si="4"/>
        <v>0</v>
      </c>
      <c r="AG275" s="13"/>
    </row>
    <row r="276" spans="1:33" x14ac:dyDescent="0.35">
      <c r="A276" s="3">
        <v>44232</v>
      </c>
      <c r="B276" s="6">
        <f>LN(Raw!B278/Raw!B277)</f>
        <v>-1.7015374518449134E-3</v>
      </c>
      <c r="C276" s="6">
        <f>LN(Raw!C278/Raw!C277)</f>
        <v>-1.2560865015658295E-2</v>
      </c>
      <c r="D276" s="6">
        <f>LN(Raw!D278/Raw!D277)</f>
        <v>-2.6746532584017216E-2</v>
      </c>
      <c r="X276" s="3">
        <v>44232</v>
      </c>
      <c r="Y276" cm="1">
        <f t="array" ref="Y276">SUMPRODUCT($T$2:$T$4,TRANSPOSE(B276:D276))</f>
        <v>-5.1081922293698331E-3</v>
      </c>
      <c r="AD276" s="3">
        <v>44231</v>
      </c>
      <c r="AE276" s="4">
        <v>2.2609551497048408E-2</v>
      </c>
      <c r="AF276">
        <f t="shared" si="4"/>
        <v>0</v>
      </c>
      <c r="AG276" s="13"/>
    </row>
    <row r="277" spans="1:33" x14ac:dyDescent="0.35">
      <c r="A277" s="3">
        <v>44235</v>
      </c>
      <c r="B277" s="6">
        <f>LN(Raw!B279/Raw!B278)</f>
        <v>3.5702952970747969E-3</v>
      </c>
      <c r="C277" s="6">
        <f>LN(Raw!C279/Raw!C278)</f>
        <v>-4.705870285331008E-3</v>
      </c>
      <c r="D277" s="6">
        <f>LN(Raw!D279/Raw!D278)</f>
        <v>-1.858204308227251E-3</v>
      </c>
      <c r="X277" s="3">
        <v>44235</v>
      </c>
      <c r="Y277" cm="1">
        <f t="array" ref="Y277">SUMPRODUCT($T$2:$T$4,TRANSPOSE(B277:D277))</f>
        <v>1.6499796782728079E-3</v>
      </c>
      <c r="AD277" s="3">
        <v>44232</v>
      </c>
      <c r="AE277" s="4">
        <v>-5.1081922293698331E-3</v>
      </c>
      <c r="AF277">
        <f t="shared" si="4"/>
        <v>0</v>
      </c>
      <c r="AG277" s="13"/>
    </row>
    <row r="278" spans="1:33" x14ac:dyDescent="0.35">
      <c r="A278" s="3">
        <v>44236</v>
      </c>
      <c r="B278" s="6">
        <f>LN(Raw!B280/Raw!B279)</f>
        <v>2.6661315264937837E-2</v>
      </c>
      <c r="C278" s="6">
        <f>LN(Raw!C280/Raw!C279)</f>
        <v>-2.2011032763938107E-2</v>
      </c>
      <c r="D278" s="6">
        <f>LN(Raw!D280/Raw!D279)</f>
        <v>-2.4097577381862155E-2</v>
      </c>
      <c r="X278" s="3">
        <v>44236</v>
      </c>
      <c r="Y278" cm="1">
        <f t="array" ref="Y278">SUMPRODUCT($T$2:$T$4,TRANSPOSE(B278:D278))</f>
        <v>1.443580441407224E-2</v>
      </c>
      <c r="AD278" s="3">
        <v>44235</v>
      </c>
      <c r="AE278" s="4">
        <v>1.6499796782728079E-3</v>
      </c>
      <c r="AF278">
        <f t="shared" si="4"/>
        <v>0</v>
      </c>
      <c r="AG278" s="13"/>
    </row>
    <row r="279" spans="1:33" x14ac:dyDescent="0.35">
      <c r="A279" s="3">
        <v>44237</v>
      </c>
      <c r="B279" s="6">
        <f>LN(Raw!B281/Raw!B280)</f>
        <v>-7.8307845929006855E-3</v>
      </c>
      <c r="C279" s="6">
        <f>LN(Raw!C281/Raw!C280)</f>
        <v>1.6918240602240824E-2</v>
      </c>
      <c r="D279" s="6">
        <f>LN(Raw!D281/Raw!D280)</f>
        <v>9.104702239058687E-3</v>
      </c>
      <c r="X279" s="3">
        <v>44237</v>
      </c>
      <c r="Y279" cm="1">
        <f t="array" ref="Y279">SUMPRODUCT($T$2:$T$4,TRANSPOSE(B279:D279))</f>
        <v>-2.0535297689385583E-3</v>
      </c>
      <c r="AD279" s="3">
        <v>44236</v>
      </c>
      <c r="AE279" s="4">
        <v>1.443580441407224E-2</v>
      </c>
      <c r="AF279">
        <f t="shared" si="4"/>
        <v>0</v>
      </c>
      <c r="AG279" s="13"/>
    </row>
    <row r="280" spans="1:33" x14ac:dyDescent="0.35">
      <c r="A280" s="3">
        <v>44238</v>
      </c>
      <c r="B280" s="6">
        <f>LN(Raw!B282/Raw!B281)</f>
        <v>-2.1341790311394616E-3</v>
      </c>
      <c r="C280" s="6">
        <f>LN(Raw!C282/Raw!C281)</f>
        <v>5.4557346737284813E-3</v>
      </c>
      <c r="D280" s="6">
        <f>LN(Raw!D282/Raw!D281)</f>
        <v>1.1322588728265865E-3</v>
      </c>
      <c r="X280" s="3">
        <v>44238</v>
      </c>
      <c r="Y280" cm="1">
        <f t="array" ref="Y280">SUMPRODUCT($T$2:$T$4,TRANSPOSE(B280:D280))</f>
        <v>-4.5781806979713143E-4</v>
      </c>
      <c r="AD280" s="3">
        <v>44237</v>
      </c>
      <c r="AE280" s="4">
        <v>-2.0535297689385583E-3</v>
      </c>
      <c r="AF280">
        <f t="shared" si="4"/>
        <v>0</v>
      </c>
      <c r="AG280" s="13"/>
    </row>
    <row r="281" spans="1:33" x14ac:dyDescent="0.35">
      <c r="A281" s="3">
        <v>44239</v>
      </c>
      <c r="B281" s="6">
        <f>LN(Raw!B283/Raw!B282)</f>
        <v>-1.9382088534409853E-3</v>
      </c>
      <c r="C281" s="6">
        <f>LN(Raw!C283/Raw!C282)</f>
        <v>3.352653132150317E-2</v>
      </c>
      <c r="D281" s="6">
        <f>LN(Raw!D283/Raw!D282)</f>
        <v>3.3386047595869224E-2</v>
      </c>
      <c r="X281" s="3">
        <v>44239</v>
      </c>
      <c r="Y281" cm="1">
        <f t="array" ref="Y281">SUMPRODUCT($T$2:$T$4,TRANSPOSE(B281:D281))</f>
        <v>6.8876228969140529E-3</v>
      </c>
      <c r="AD281" s="3">
        <v>44238</v>
      </c>
      <c r="AE281" s="4">
        <v>-4.5781806979713143E-4</v>
      </c>
      <c r="AF281">
        <f t="shared" si="4"/>
        <v>0</v>
      </c>
      <c r="AG281" s="13"/>
    </row>
    <row r="282" spans="1:33" x14ac:dyDescent="0.35">
      <c r="A282" s="3">
        <v>44242</v>
      </c>
      <c r="B282" s="6">
        <f>LN(Raw!B284/Raw!B283)</f>
        <v>1.8712438864646654E-3</v>
      </c>
      <c r="C282" s="6">
        <f>LN(Raw!C284/Raw!C283)</f>
        <v>8.7306094584676322E-3</v>
      </c>
      <c r="D282" s="6">
        <f>LN(Raw!D284/Raw!D283)</f>
        <v>-4.3875728488412136E-3</v>
      </c>
      <c r="X282" s="3">
        <v>44242</v>
      </c>
      <c r="Y282" cm="1">
        <f t="array" ref="Y282">SUMPRODUCT($T$2:$T$4,TRANSPOSE(B282:D282))</f>
        <v>2.9304048280568784E-3</v>
      </c>
      <c r="AD282" s="3">
        <v>44239</v>
      </c>
      <c r="AE282" s="4">
        <v>6.8876228969140529E-3</v>
      </c>
      <c r="AF282">
        <f t="shared" si="4"/>
        <v>0</v>
      </c>
      <c r="AG282" s="13"/>
    </row>
    <row r="283" spans="1:33" x14ac:dyDescent="0.35">
      <c r="A283" s="3">
        <v>44243</v>
      </c>
      <c r="B283" s="6">
        <f>LN(Raw!B285/Raw!B284)</f>
        <v>4.7958129586020866E-3</v>
      </c>
      <c r="C283" s="6">
        <f>LN(Raw!C285/Raw!C284)</f>
        <v>-1.2948541480092538E-2</v>
      </c>
      <c r="D283" s="6">
        <f>LN(Raw!D285/Raw!D284)</f>
        <v>-5.8802431717884717E-3</v>
      </c>
      <c r="X283" s="3">
        <v>44243</v>
      </c>
      <c r="Y283" cm="1">
        <f t="array" ref="Y283">SUMPRODUCT($T$2:$T$4,TRANSPOSE(B283:D283))</f>
        <v>7.262468266396936E-4</v>
      </c>
      <c r="AD283" s="3">
        <v>44242</v>
      </c>
      <c r="AE283" s="4">
        <v>2.9304048280568784E-3</v>
      </c>
      <c r="AF283">
        <f t="shared" si="4"/>
        <v>0</v>
      </c>
      <c r="AG283" s="13"/>
    </row>
    <row r="284" spans="1:33" x14ac:dyDescent="0.35">
      <c r="A284" s="3">
        <v>44244</v>
      </c>
      <c r="B284" s="6">
        <f>LN(Raw!B286/Raw!B285)</f>
        <v>-4.69549416910951E-3</v>
      </c>
      <c r="C284" s="6">
        <f>LN(Raw!C286/Raw!C285)</f>
        <v>3.5162172680062603E-3</v>
      </c>
      <c r="D284" s="6">
        <f>LN(Raw!D286/Raw!D285)</f>
        <v>8.8073911904883694E-3</v>
      </c>
      <c r="X284" s="3">
        <v>44244</v>
      </c>
      <c r="Y284" cm="1">
        <f t="array" ref="Y284">SUMPRODUCT($T$2:$T$4,TRANSPOSE(B284:D284))</f>
        <v>-2.3884392998874348E-3</v>
      </c>
      <c r="AD284" s="3">
        <v>44243</v>
      </c>
      <c r="AE284" s="4">
        <v>7.262468266396936E-4</v>
      </c>
      <c r="AF284">
        <f t="shared" si="4"/>
        <v>0</v>
      </c>
      <c r="AG284" s="13"/>
    </row>
    <row r="285" spans="1:33" x14ac:dyDescent="0.35">
      <c r="A285" s="3">
        <v>44245</v>
      </c>
      <c r="B285" s="6">
        <f>LN(Raw!B287/Raw!B286)</f>
        <v>2.3361487982472611E-4</v>
      </c>
      <c r="C285" s="6">
        <f>LN(Raw!C287/Raw!C286)</f>
        <v>0.18208752260989872</v>
      </c>
      <c r="D285" s="6">
        <f>LN(Raw!D287/Raw!D286)</f>
        <v>0.18219971991076211</v>
      </c>
      <c r="X285" s="3">
        <v>44245</v>
      </c>
      <c r="Y285" cm="1">
        <f t="array" ref="Y285">SUMPRODUCT($T$2:$T$4,TRANSPOSE(B285:D285))</f>
        <v>4.5531374135540439E-2</v>
      </c>
      <c r="AD285" s="3">
        <v>44244</v>
      </c>
      <c r="AE285" s="4">
        <v>-2.3884392998874348E-3</v>
      </c>
      <c r="AF285">
        <f t="shared" si="4"/>
        <v>0</v>
      </c>
      <c r="AG285" s="13"/>
    </row>
    <row r="286" spans="1:33" x14ac:dyDescent="0.35">
      <c r="A286" s="3">
        <v>44246</v>
      </c>
      <c r="B286" s="6">
        <f>LN(Raw!B288/Raw!B287)</f>
        <v>-2.9747912443224933E-3</v>
      </c>
      <c r="C286" s="6">
        <f>LN(Raw!C288/Raw!C287)</f>
        <v>0.18217525348442543</v>
      </c>
      <c r="D286" s="6">
        <f>LN(Raw!D288/Raw!D287)</f>
        <v>0.13375977650938628</v>
      </c>
      <c r="X286" s="3">
        <v>44246</v>
      </c>
      <c r="Y286" cm="1">
        <f t="array" ref="Y286">SUMPRODUCT($T$2:$T$4,TRANSPOSE(B286:D286))</f>
        <v>4.0742258088833194E-2</v>
      </c>
      <c r="AD286" s="3">
        <v>44245</v>
      </c>
      <c r="AE286" s="4">
        <v>4.5531374135540439E-2</v>
      </c>
      <c r="AF286">
        <f t="shared" si="4"/>
        <v>0</v>
      </c>
      <c r="AG286" s="13"/>
    </row>
    <row r="287" spans="1:33" x14ac:dyDescent="0.35">
      <c r="A287" s="3">
        <v>44249</v>
      </c>
      <c r="B287" s="6">
        <f>LN(Raw!B289/Raw!B288)</f>
        <v>-1.864973449088226E-2</v>
      </c>
      <c r="C287" s="6">
        <f>LN(Raw!C289/Raw!C288)</f>
        <v>-9.6701038952730495E-2</v>
      </c>
      <c r="D287" s="6">
        <f>LN(Raw!D289/Raw!D288)</f>
        <v>-0.21294002489156036</v>
      </c>
      <c r="X287" s="3">
        <v>44249</v>
      </c>
      <c r="Y287" cm="1">
        <f t="array" ref="Y287">SUMPRODUCT($T$2:$T$4,TRANSPOSE(B287:D287))</f>
        <v>-4.3841731681526885E-2</v>
      </c>
      <c r="AD287" s="3">
        <v>44246</v>
      </c>
      <c r="AE287" s="4">
        <v>4.0742258088833194E-2</v>
      </c>
      <c r="AF287">
        <f t="shared" si="4"/>
        <v>0</v>
      </c>
      <c r="AG287" s="13"/>
    </row>
    <row r="288" spans="1:33" x14ac:dyDescent="0.35">
      <c r="A288" s="3">
        <v>44250</v>
      </c>
      <c r="B288" s="6">
        <f>LN(Raw!B290/Raw!B289)</f>
        <v>2.2458407275996684E-2</v>
      </c>
      <c r="C288" s="6">
        <f>LN(Raw!C290/Raw!C289)</f>
        <v>5.3346059793000285E-2</v>
      </c>
      <c r="D288" s="6">
        <f>LN(Raw!D290/Raw!D289)</f>
        <v>8.5251877273526289E-2</v>
      </c>
      <c r="X288" s="3">
        <v>44250</v>
      </c>
      <c r="Y288" cm="1">
        <f t="array" ref="Y288">SUMPRODUCT($T$2:$T$4,TRANSPOSE(B288:D288))</f>
        <v>3.1730252555339532E-2</v>
      </c>
      <c r="AD288" s="3">
        <v>44249</v>
      </c>
      <c r="AE288" s="4">
        <v>-4.3841731681526885E-2</v>
      </c>
      <c r="AF288">
        <f t="shared" si="4"/>
        <v>1</v>
      </c>
      <c r="AG288" s="13"/>
    </row>
    <row r="289" spans="1:33" x14ac:dyDescent="0.35">
      <c r="A289" s="3">
        <v>44251</v>
      </c>
      <c r="B289" s="6">
        <f>LN(Raw!B291/Raw!B290)</f>
        <v>-8.8759014498083176E-3</v>
      </c>
      <c r="C289" s="6">
        <f>LN(Raw!C291/Raw!C290)</f>
        <v>-1.2740619270875254E-3</v>
      </c>
      <c r="D289" s="6">
        <f>LN(Raw!D291/Raw!D290)</f>
        <v>-3.6053776714102453E-2</v>
      </c>
      <c r="X289" s="3">
        <v>44251</v>
      </c>
      <c r="Y289" cm="1">
        <f t="array" ref="Y289">SUMPRODUCT($T$2:$T$4,TRANSPOSE(B289:D289))</f>
        <v>-8.7038527971837441E-3</v>
      </c>
      <c r="AD289" s="3">
        <v>44250</v>
      </c>
      <c r="AE289" s="4">
        <v>3.1730252555339532E-2</v>
      </c>
      <c r="AF289">
        <f t="shared" si="4"/>
        <v>0</v>
      </c>
      <c r="AG289" s="13"/>
    </row>
    <row r="290" spans="1:33" x14ac:dyDescent="0.35">
      <c r="A290" s="3">
        <v>44252</v>
      </c>
      <c r="B290" s="6">
        <f>LN(Raw!B292/Raw!B291)</f>
        <v>-2.5939130746638756E-3</v>
      </c>
      <c r="C290" s="6">
        <f>LN(Raw!C292/Raw!C291)</f>
        <v>1.1912372594173432E-2</v>
      </c>
      <c r="D290" s="6">
        <f>LN(Raw!D292/Raw!D291)</f>
        <v>1.3092498066944994E-2</v>
      </c>
      <c r="X290" s="3">
        <v>44252</v>
      </c>
      <c r="Y290" cm="1">
        <f t="array" ref="Y290">SUMPRODUCT($T$2:$T$4,TRANSPOSE(B290:D290))</f>
        <v>1.0774008574393448E-3</v>
      </c>
      <c r="AD290" s="3">
        <v>44251</v>
      </c>
      <c r="AE290" s="4">
        <v>-8.7038527971837441E-3</v>
      </c>
      <c r="AF290">
        <f t="shared" si="4"/>
        <v>0</v>
      </c>
      <c r="AG290" s="13"/>
    </row>
    <row r="291" spans="1:33" x14ac:dyDescent="0.35">
      <c r="A291" s="3">
        <v>44253</v>
      </c>
      <c r="B291" s="6">
        <f>LN(Raw!B293/Raw!B292)</f>
        <v>-3.8755121113169512E-2</v>
      </c>
      <c r="C291" s="6">
        <f>LN(Raw!C293/Raw!C292)</f>
        <v>-4.8525612700746318E-2</v>
      </c>
      <c r="D291" s="6">
        <f>LN(Raw!D293/Raw!D292)</f>
        <v>-4.9518281228642949E-2</v>
      </c>
      <c r="X291" s="3">
        <v>44253</v>
      </c>
      <c r="Y291" cm="1">
        <f t="array" ref="Y291">SUMPRODUCT($T$2:$T$4,TRANSPOSE(B291:D291))</f>
        <v>-4.1237669088568386E-2</v>
      </c>
      <c r="AD291" s="3">
        <v>44252</v>
      </c>
      <c r="AE291" s="4">
        <v>1.0774008574393448E-3</v>
      </c>
      <c r="AF291">
        <f t="shared" si="4"/>
        <v>0</v>
      </c>
      <c r="AG291" s="13"/>
    </row>
    <row r="292" spans="1:33" x14ac:dyDescent="0.35">
      <c r="A292" s="3">
        <v>44256</v>
      </c>
      <c r="B292" s="6">
        <f>LN(Raw!B294/Raw!B293)</f>
        <v>7.7097970233463921E-4</v>
      </c>
      <c r="C292" s="6">
        <f>LN(Raw!C294/Raw!C293)</f>
        <v>4.4486195197522602E-2</v>
      </c>
      <c r="D292" s="6">
        <f>LN(Raw!D294/Raw!D293)</f>
        <v>1.5499273339904184E-2</v>
      </c>
      <c r="X292" s="3">
        <v>44256</v>
      </c>
      <c r="Y292" cm="1">
        <f t="array" ref="Y292">SUMPRODUCT($T$2:$T$4,TRANSPOSE(B292:D292))</f>
        <v>1.0224046578695968E-2</v>
      </c>
      <c r="AD292" s="3">
        <v>44253</v>
      </c>
      <c r="AE292" s="4">
        <v>-4.1237669088568386E-2</v>
      </c>
      <c r="AF292">
        <f t="shared" si="4"/>
        <v>0</v>
      </c>
      <c r="AG292" s="13"/>
    </row>
    <row r="293" spans="1:33" x14ac:dyDescent="0.35">
      <c r="A293" s="3">
        <v>44257</v>
      </c>
      <c r="B293" s="6">
        <f>LN(Raw!B295/Raw!B294)</f>
        <v>2.868925622788952E-3</v>
      </c>
      <c r="C293" s="6">
        <f>LN(Raw!C295/Raw!C294)</f>
        <v>2.1770031147806606E-2</v>
      </c>
      <c r="D293" s="6">
        <f>LN(Raw!D295/Raw!D294)</f>
        <v>-1.0630105924455248E-2</v>
      </c>
      <c r="X293" s="3">
        <v>44257</v>
      </c>
      <c r="Y293" cm="1">
        <f t="array" ref="Y293">SUMPRODUCT($T$2:$T$4,TRANSPOSE(B293:D293))</f>
        <v>5.972914568213669E-3</v>
      </c>
      <c r="AD293" s="3">
        <v>44256</v>
      </c>
      <c r="AE293" s="4">
        <v>1.0224046578695968E-2</v>
      </c>
      <c r="AF293">
        <f t="shared" si="4"/>
        <v>0</v>
      </c>
      <c r="AG293" s="13"/>
    </row>
    <row r="294" spans="1:33" x14ac:dyDescent="0.35">
      <c r="A294" s="3">
        <v>44258</v>
      </c>
      <c r="B294" s="6">
        <f>LN(Raw!B296/Raw!B295)</f>
        <v>4.4883028005499488E-2</v>
      </c>
      <c r="C294" s="6">
        <f>LN(Raw!C296/Raw!C295)</f>
        <v>-1.9495824708373254E-2</v>
      </c>
      <c r="D294" s="6">
        <f>LN(Raw!D296/Raw!D295)</f>
        <v>-2.5937949245386405E-3</v>
      </c>
      <c r="X294" s="3">
        <v>44258</v>
      </c>
      <c r="Y294" cm="1">
        <f t="array" ref="Y294">SUMPRODUCT($T$2:$T$4,TRANSPOSE(B294:D294))</f>
        <v>2.9685429860399189E-2</v>
      </c>
      <c r="AD294" s="3">
        <v>44257</v>
      </c>
      <c r="AE294" s="4">
        <v>5.972914568213669E-3</v>
      </c>
      <c r="AF294">
        <f t="shared" si="4"/>
        <v>0</v>
      </c>
      <c r="AG294" s="13"/>
    </row>
    <row r="295" spans="1:33" x14ac:dyDescent="0.35">
      <c r="A295" s="3">
        <v>44259</v>
      </c>
      <c r="B295" s="6">
        <f>LN(Raw!B297/Raw!B296)</f>
        <v>-1.7249869070733021E-2</v>
      </c>
      <c r="C295" s="6">
        <f>LN(Raw!C297/Raw!C296)</f>
        <v>6.7915812679734998E-3</v>
      </c>
      <c r="D295" s="6">
        <f>LN(Raw!D297/Raw!D296)</f>
        <v>-1.0772168458580681E-2</v>
      </c>
      <c r="X295" s="3">
        <v>44259</v>
      </c>
      <c r="Y295" cm="1">
        <f t="array" ref="Y295">SUMPRODUCT($T$2:$T$4,TRANSPOSE(B295:D295))</f>
        <v>-1.2131380509305352E-2</v>
      </c>
      <c r="AD295" s="3">
        <v>44258</v>
      </c>
      <c r="AE295" s="4">
        <v>2.9685429860399189E-2</v>
      </c>
      <c r="AF295">
        <f t="shared" si="4"/>
        <v>0</v>
      </c>
      <c r="AG295" s="13"/>
    </row>
    <row r="296" spans="1:33" x14ac:dyDescent="0.35">
      <c r="A296" s="3">
        <v>44260</v>
      </c>
      <c r="B296" s="6">
        <f>LN(Raw!B298/Raw!B297)</f>
        <v>1.6347674794563553E-2</v>
      </c>
      <c r="C296" s="6">
        <f>LN(Raw!C298/Raw!C297)</f>
        <v>-1.3629603700742954E-2</v>
      </c>
      <c r="D296" s="6">
        <f>LN(Raw!D298/Raw!D297)</f>
        <v>-2.8968243368517024E-2</v>
      </c>
      <c r="X296" s="3">
        <v>44260</v>
      </c>
      <c r="Y296" cm="1">
        <f t="array" ref="Y296">SUMPRODUCT($T$2:$T$4,TRANSPOSE(B296:D296))</f>
        <v>8.1224767359827747E-3</v>
      </c>
      <c r="AD296" s="3">
        <v>44259</v>
      </c>
      <c r="AE296" s="4">
        <v>-1.2131380509305352E-2</v>
      </c>
      <c r="AF296">
        <f t="shared" si="4"/>
        <v>0</v>
      </c>
      <c r="AG296" s="13"/>
    </row>
    <row r="297" spans="1:33" x14ac:dyDescent="0.35">
      <c r="A297" s="3">
        <v>44263</v>
      </c>
      <c r="B297" s="6">
        <f>LN(Raw!B299/Raw!B298)</f>
        <v>-9.4390589623935765E-3</v>
      </c>
      <c r="C297" s="6">
        <f>LN(Raw!C299/Raw!C298)</f>
        <v>2.6581243513349024E-2</v>
      </c>
      <c r="D297" s="6">
        <f>LN(Raw!D299/Raw!D298)</f>
        <v>7.0433340655152499E-2</v>
      </c>
      <c r="X297" s="3">
        <v>44263</v>
      </c>
      <c r="Y297" cm="1">
        <f t="array" ref="Y297">SUMPRODUCT($T$2:$T$4,TRANSPOSE(B297:D297))</f>
        <v>1.7023378217551821E-3</v>
      </c>
      <c r="AD297" s="3">
        <v>44260</v>
      </c>
      <c r="AE297" s="4">
        <v>8.1224767359827747E-3</v>
      </c>
      <c r="AF297">
        <f t="shared" si="4"/>
        <v>0</v>
      </c>
      <c r="AG297" s="13"/>
    </row>
    <row r="298" spans="1:33" x14ac:dyDescent="0.35">
      <c r="A298" s="3">
        <v>44264</v>
      </c>
      <c r="B298" s="6">
        <f>LN(Raw!B300/Raw!B299)</f>
        <v>-8.9837542636936746E-3</v>
      </c>
      <c r="C298" s="6">
        <f>LN(Raw!C300/Raw!C299)</f>
        <v>-6.2057888815570646E-3</v>
      </c>
      <c r="D298" s="6">
        <f>LN(Raw!D300/Raw!D299)</f>
        <v>-3.7534534121475893E-2</v>
      </c>
      <c r="X298" s="3">
        <v>44264</v>
      </c>
      <c r="Y298" cm="1">
        <f t="array" ref="Y298">SUMPRODUCT($T$2:$T$4,TRANSPOSE(B298:D298))</f>
        <v>-9.8423421529035601E-3</v>
      </c>
      <c r="AD298" s="3">
        <v>44263</v>
      </c>
      <c r="AE298" s="4">
        <v>1.7023378217551821E-3</v>
      </c>
      <c r="AF298">
        <f t="shared" si="4"/>
        <v>0</v>
      </c>
      <c r="AG298" s="13"/>
    </row>
    <row r="299" spans="1:33" x14ac:dyDescent="0.35">
      <c r="A299" s="3">
        <v>44265</v>
      </c>
      <c r="B299" s="6">
        <f>LN(Raw!B301/Raw!B300)</f>
        <v>1.9391362842383565E-3</v>
      </c>
      <c r="C299" s="6">
        <f>LN(Raw!C301/Raw!C300)</f>
        <v>-7.472488378974456E-4</v>
      </c>
      <c r="D299" s="6">
        <f>LN(Raw!D301/Raw!D300)</f>
        <v>3.1217430664527125E-2</v>
      </c>
      <c r="X299" s="3">
        <v>44265</v>
      </c>
      <c r="Y299" cm="1">
        <f t="array" ref="Y299">SUMPRODUCT($T$2:$T$4,TRANSPOSE(B299:D299))</f>
        <v>2.8520055037927925E-3</v>
      </c>
      <c r="AD299" s="3">
        <v>44264</v>
      </c>
      <c r="AE299" s="4">
        <v>-9.8423421529035601E-3</v>
      </c>
      <c r="AF299">
        <f t="shared" si="4"/>
        <v>0</v>
      </c>
      <c r="AG299" s="13"/>
    </row>
    <row r="300" spans="1:33" x14ac:dyDescent="0.35">
      <c r="A300" s="3">
        <v>44267</v>
      </c>
      <c r="B300" s="6">
        <f>LN(Raw!B302/Raw!B301)</f>
        <v>6.8003385715381922E-5</v>
      </c>
      <c r="C300" s="6">
        <f>LN(Raw!C302/Raw!C301)</f>
        <v>3.5013989236163341E-2</v>
      </c>
      <c r="D300" s="6">
        <f>LN(Raw!D302/Raw!D301)</f>
        <v>4.3100699675609894E-2</v>
      </c>
      <c r="X300" s="3">
        <v>44267</v>
      </c>
      <c r="Y300" cm="1">
        <f t="array" ref="Y300">SUMPRODUCT($T$2:$T$4,TRANSPOSE(B300:D300))</f>
        <v>9.1717998380546201E-3</v>
      </c>
      <c r="AD300" s="3">
        <v>44265</v>
      </c>
      <c r="AE300" s="4">
        <v>2.8520055037927925E-3</v>
      </c>
      <c r="AF300">
        <f t="shared" si="4"/>
        <v>0</v>
      </c>
      <c r="AG300" s="13"/>
    </row>
    <row r="301" spans="1:33" x14ac:dyDescent="0.35">
      <c r="A301" s="3">
        <v>44270</v>
      </c>
      <c r="B301" s="6">
        <f>LN(Raw!B303/Raw!B302)</f>
        <v>-4.2915394010192235E-3</v>
      </c>
      <c r="C301" s="6">
        <f>LN(Raw!C303/Raw!C302)</f>
        <v>6.9535620063668219E-3</v>
      </c>
      <c r="D301" s="6">
        <f>LN(Raw!D303/Raw!D302)</f>
        <v>-9.1464486931707254E-3</v>
      </c>
      <c r="X301" s="3">
        <v>44270</v>
      </c>
      <c r="Y301" cm="1">
        <f t="array" ref="Y301">SUMPRODUCT($T$2:$T$4,TRANSPOSE(B301:D301))</f>
        <v>-2.2876459543235343E-3</v>
      </c>
      <c r="AD301" s="3">
        <v>44267</v>
      </c>
      <c r="AE301" s="4">
        <v>9.1717998380546201E-3</v>
      </c>
      <c r="AF301">
        <f t="shared" si="4"/>
        <v>0</v>
      </c>
      <c r="AG301" s="13"/>
    </row>
    <row r="302" spans="1:33" x14ac:dyDescent="0.35">
      <c r="A302" s="3">
        <v>44271</v>
      </c>
      <c r="B302" s="6">
        <f>LN(Raw!B304/Raw!B303)</f>
        <v>1.9034144862715794E-2</v>
      </c>
      <c r="C302" s="6">
        <f>LN(Raw!C304/Raw!C303)</f>
        <v>7.5898474062689417E-2</v>
      </c>
      <c r="D302" s="6">
        <f>LN(Raw!D304/Raw!D303)</f>
        <v>5.1048239900899274E-2</v>
      </c>
      <c r="X302" s="3">
        <v>44271</v>
      </c>
      <c r="Y302" cm="1">
        <f t="array" ref="Y302">SUMPRODUCT($T$2:$T$4,TRANSPOSE(B302:D302))</f>
        <v>3.1966831276912598E-2</v>
      </c>
      <c r="AD302" s="3">
        <v>44270</v>
      </c>
      <c r="AE302" s="4">
        <v>-2.2876459543235343E-3</v>
      </c>
      <c r="AF302">
        <f t="shared" si="4"/>
        <v>0</v>
      </c>
      <c r="AG302" s="13"/>
    </row>
    <row r="303" spans="1:33" x14ac:dyDescent="0.35">
      <c r="A303" s="3">
        <v>44272</v>
      </c>
      <c r="B303" s="6">
        <f>LN(Raw!B305/Raw!B304)</f>
        <v>-1.20952774704155E-2</v>
      </c>
      <c r="C303" s="6">
        <f>LN(Raw!C305/Raw!C304)</f>
        <v>6.8425998255620592E-3</v>
      </c>
      <c r="D303" s="6">
        <f>LN(Raw!D305/Raw!D304)</f>
        <v>-2.2664627378152096E-2</v>
      </c>
      <c r="X303" s="3">
        <v>44272</v>
      </c>
      <c r="Y303" cm="1">
        <f t="array" ref="Y303">SUMPRODUCT($T$2:$T$4,TRANSPOSE(B303:D303))</f>
        <v>-8.8389596620881521E-3</v>
      </c>
      <c r="AD303" s="3">
        <v>44271</v>
      </c>
      <c r="AE303" s="4">
        <v>3.1966831276912598E-2</v>
      </c>
      <c r="AF303">
        <f t="shared" si="4"/>
        <v>0</v>
      </c>
      <c r="AG303" s="13"/>
    </row>
    <row r="304" spans="1:33" x14ac:dyDescent="0.35">
      <c r="A304" s="3">
        <v>44273</v>
      </c>
      <c r="B304" s="6">
        <f>LN(Raw!B306/Raw!B305)</f>
        <v>-2.2583406602538717E-2</v>
      </c>
      <c r="C304" s="6">
        <f>LN(Raw!C306/Raw!C305)</f>
        <v>-6.3996052137549973E-3</v>
      </c>
      <c r="D304" s="6">
        <f>LN(Raw!D306/Raw!D305)</f>
        <v>-1.7720824228386681E-2</v>
      </c>
      <c r="X304" s="3">
        <v>44273</v>
      </c>
      <c r="Y304" cm="1">
        <f t="array" ref="Y304">SUMPRODUCT($T$2:$T$4,TRANSPOSE(B304:D304))</f>
        <v>-1.9112986359985994E-2</v>
      </c>
      <c r="AD304" s="3">
        <v>44272</v>
      </c>
      <c r="AE304" s="4">
        <v>-8.8389596620881521E-3</v>
      </c>
      <c r="AF304">
        <f t="shared" si="4"/>
        <v>0</v>
      </c>
      <c r="AG304" s="13"/>
    </row>
    <row r="305" spans="1:33" x14ac:dyDescent="0.35">
      <c r="A305" s="3">
        <v>44274</v>
      </c>
      <c r="B305" s="6">
        <f>LN(Raw!B307/Raw!B306)</f>
        <v>-1.1479510679415896E-3</v>
      </c>
      <c r="C305" s="6">
        <f>LN(Raw!C307/Raw!C306)</f>
        <v>-3.0114679453153614E-2</v>
      </c>
      <c r="D305" s="6">
        <f>LN(Raw!D307/Raw!D306)</f>
        <v>0</v>
      </c>
      <c r="X305" s="3">
        <v>44274</v>
      </c>
      <c r="Y305" cm="1">
        <f t="array" ref="Y305">SUMPRODUCT($T$2:$T$4,TRANSPOSE(B305:D305))</f>
        <v>-6.8719734684327977E-3</v>
      </c>
      <c r="AD305" s="3">
        <v>44273</v>
      </c>
      <c r="AE305" s="4">
        <v>-1.9112986359985994E-2</v>
      </c>
      <c r="AF305">
        <f t="shared" si="4"/>
        <v>0</v>
      </c>
      <c r="AG305" s="13"/>
    </row>
    <row r="306" spans="1:33" x14ac:dyDescent="0.35">
      <c r="A306" s="3">
        <v>44277</v>
      </c>
      <c r="B306" s="6">
        <f>LN(Raw!B308/Raw!B307)</f>
        <v>-1.3930512744113627E-3</v>
      </c>
      <c r="C306" s="6">
        <f>LN(Raw!C308/Raw!C307)</f>
        <v>2.2788917646453448E-3</v>
      </c>
      <c r="D306" s="6">
        <f>LN(Raw!D308/Raw!D307)</f>
        <v>2.4544752504250443E-2</v>
      </c>
      <c r="X306" s="3">
        <v>44277</v>
      </c>
      <c r="Y306" cm="1">
        <f t="array" ref="Y306">SUMPRODUCT($T$2:$T$4,TRANSPOSE(B306:D306))</f>
        <v>6.234161308137445E-4</v>
      </c>
      <c r="AD306" s="3">
        <v>44274</v>
      </c>
      <c r="AE306" s="4">
        <v>-6.8719734684327977E-3</v>
      </c>
      <c r="AF306">
        <f t="shared" si="4"/>
        <v>0</v>
      </c>
      <c r="AG306" s="13"/>
    </row>
    <row r="307" spans="1:33" x14ac:dyDescent="0.35">
      <c r="A307" s="3">
        <v>44278</v>
      </c>
      <c r="B307" s="6">
        <f>LN(Raw!B309/Raw!B308)</f>
        <v>2.4716295841628959E-3</v>
      </c>
      <c r="C307" s="6">
        <f>LN(Raw!C309/Raw!C308)</f>
        <v>-1.861041101951778E-2</v>
      </c>
      <c r="D307" s="6">
        <f>LN(Raw!D309/Raw!D308)</f>
        <v>-2.8796118785236059E-2</v>
      </c>
      <c r="X307" s="3">
        <v>44278</v>
      </c>
      <c r="Y307" cm="1">
        <f t="array" ref="Y307">SUMPRODUCT($T$2:$T$4,TRANSPOSE(B307:D307))</f>
        <v>-3.2831172727309068E-3</v>
      </c>
      <c r="AD307" s="3">
        <v>44277</v>
      </c>
      <c r="AE307" s="4">
        <v>6.234161308137445E-4</v>
      </c>
      <c r="AF307">
        <f t="shared" si="4"/>
        <v>0</v>
      </c>
      <c r="AG307" s="13"/>
    </row>
    <row r="308" spans="1:33" x14ac:dyDescent="0.35">
      <c r="A308" s="3">
        <v>44279</v>
      </c>
      <c r="B308" s="6">
        <f>LN(Raw!B310/Raw!B309)</f>
        <v>-2.4851884800467666E-2</v>
      </c>
      <c r="C308" s="6">
        <f>LN(Raw!C310/Raw!C309)</f>
        <v>-1.8254735997103717E-2</v>
      </c>
      <c r="D308" s="6">
        <f>LN(Raw!D310/Raw!D309)</f>
        <v>-2.9650182093087521E-2</v>
      </c>
      <c r="X308" s="3">
        <v>44279</v>
      </c>
      <c r="Y308" cm="1">
        <f t="array" ref="Y308">SUMPRODUCT($T$2:$T$4,TRANSPOSE(B308:D308))</f>
        <v>-2.3772772465029263E-2</v>
      </c>
      <c r="AD308" s="3">
        <v>44278</v>
      </c>
      <c r="AE308" s="4">
        <v>-3.2831172727309068E-3</v>
      </c>
      <c r="AF308">
        <f t="shared" si="4"/>
        <v>0</v>
      </c>
      <c r="AG308" s="13"/>
    </row>
    <row r="309" spans="1:33" x14ac:dyDescent="0.35">
      <c r="A309" s="3">
        <v>44280</v>
      </c>
      <c r="B309" s="6">
        <f>LN(Raw!B311/Raw!B310)</f>
        <v>-1.0461798152775334E-2</v>
      </c>
      <c r="C309" s="6">
        <f>LN(Raw!C311/Raw!C310)</f>
        <v>-3.4602278828256235E-2</v>
      </c>
      <c r="D309" s="6">
        <f>LN(Raw!D311/Raw!D310)</f>
        <v>-5.0798436276253058E-2</v>
      </c>
      <c r="X309" s="3">
        <v>44280</v>
      </c>
      <c r="Y309" cm="1">
        <f t="array" ref="Y309">SUMPRODUCT($T$2:$T$4,TRANSPOSE(B309:D309))</f>
        <v>-1.7275732283787981E-2</v>
      </c>
      <c r="AD309" s="3">
        <v>44279</v>
      </c>
      <c r="AE309" s="4">
        <v>-2.3772772465029263E-2</v>
      </c>
      <c r="AF309">
        <f t="shared" si="4"/>
        <v>0</v>
      </c>
      <c r="AG309" s="13"/>
    </row>
    <row r="310" spans="1:33" x14ac:dyDescent="0.35">
      <c r="A310" s="3">
        <v>44281</v>
      </c>
      <c r="B310" s="6">
        <f>LN(Raw!B312/Raw!B311)</f>
        <v>8.4284156115250197E-3</v>
      </c>
      <c r="C310" s="6">
        <f>LN(Raw!C312/Raw!C311)</f>
        <v>-8.1010598195841999E-3</v>
      </c>
      <c r="D310" s="6">
        <f>LN(Raw!D312/Raw!D311)</f>
        <v>7.8842954952090694E-3</v>
      </c>
      <c r="X310" s="3">
        <v>44281</v>
      </c>
      <c r="Y310" cm="1">
        <f t="array" ref="Y310">SUMPRODUCT($T$2:$T$4,TRANSPOSE(B310:D310))</f>
        <v>5.1027311490785647E-3</v>
      </c>
      <c r="AD310" s="3">
        <v>44280</v>
      </c>
      <c r="AE310" s="4">
        <v>-1.7275732283787981E-2</v>
      </c>
      <c r="AF310">
        <f t="shared" si="4"/>
        <v>0</v>
      </c>
      <c r="AG310" s="13"/>
    </row>
    <row r="311" spans="1:33" x14ac:dyDescent="0.35">
      <c r="A311" s="3">
        <v>44285</v>
      </c>
      <c r="B311" s="6">
        <f>LN(Raw!B313/Raw!B312)</f>
        <v>2.3262764352839707E-2</v>
      </c>
      <c r="C311" s="6">
        <f>LN(Raw!C313/Raw!C312)</f>
        <v>-9.9162880250113342E-2</v>
      </c>
      <c r="D311" s="6">
        <f>LN(Raw!D313/Raw!D312)</f>
        <v>-5.9075162739116172E-3</v>
      </c>
      <c r="X311" s="3">
        <v>44285</v>
      </c>
      <c r="Y311" cm="1">
        <f t="array" ref="Y311">SUMPRODUCT($T$2:$T$4,TRANSPOSE(B311:D311))</f>
        <v>-2.6131281744523234E-3</v>
      </c>
      <c r="AD311" s="3">
        <v>44281</v>
      </c>
      <c r="AE311" s="4">
        <v>5.1027311490785647E-3</v>
      </c>
      <c r="AF311">
        <f t="shared" si="4"/>
        <v>0</v>
      </c>
      <c r="AG311" s="13"/>
    </row>
    <row r="312" spans="1:33" x14ac:dyDescent="0.35">
      <c r="A312" s="3">
        <v>44286</v>
      </c>
      <c r="B312" s="6">
        <f>LN(Raw!B314/Raw!B313)</f>
        <v>1.7462568798854892E-4</v>
      </c>
      <c r="C312" s="6">
        <f>LN(Raw!C314/Raw!C313)</f>
        <v>8.2008824936068495E-2</v>
      </c>
      <c r="D312" s="6">
        <f>LN(Raw!D314/Raw!D313)</f>
        <v>1.6000547703429818E-2</v>
      </c>
      <c r="X312" s="3">
        <v>44286</v>
      </c>
      <c r="Y312" cm="1">
        <f t="array" ref="Y312">SUMPRODUCT($T$2:$T$4,TRANSPOSE(B312:D312))</f>
        <v>1.7289347066757547E-2</v>
      </c>
      <c r="AD312" s="3">
        <v>44285</v>
      </c>
      <c r="AE312" s="4">
        <v>-2.6131281744523234E-3</v>
      </c>
      <c r="AF312">
        <f t="shared" si="4"/>
        <v>0</v>
      </c>
      <c r="AG312" s="13"/>
    </row>
    <row r="313" spans="1:33" x14ac:dyDescent="0.35">
      <c r="A313" s="3">
        <v>44287</v>
      </c>
      <c r="B313" s="6">
        <f>LN(Raw!B315/Raw!B314)</f>
        <v>3.0652295240230273E-3</v>
      </c>
      <c r="C313" s="6">
        <f>LN(Raw!C315/Raw!C314)</f>
        <v>4.3186348048325815E-2</v>
      </c>
      <c r="D313" s="6">
        <f>LN(Raw!D315/Raw!D314)</f>
        <v>8.3870560147394184E-3</v>
      </c>
      <c r="X313" s="3">
        <v>44287</v>
      </c>
      <c r="Y313" cm="1">
        <f t="array" ref="Y313">SUMPRODUCT($T$2:$T$4,TRANSPOSE(B313:D313))</f>
        <v>1.1335502231221414E-2</v>
      </c>
      <c r="AD313" s="3">
        <v>44286</v>
      </c>
      <c r="AE313" s="4">
        <v>1.7289347066757547E-2</v>
      </c>
      <c r="AF313">
        <f t="shared" si="4"/>
        <v>0</v>
      </c>
      <c r="AG313" s="13"/>
    </row>
    <row r="314" spans="1:33" x14ac:dyDescent="0.35">
      <c r="A314" s="3">
        <v>44291</v>
      </c>
      <c r="B314" s="6">
        <f>LN(Raw!B316/Raw!B315)</f>
        <v>-1.8924410188879255E-2</v>
      </c>
      <c r="C314" s="6">
        <f>LN(Raw!C316/Raw!C315)</f>
        <v>-2.4308547497702785E-2</v>
      </c>
      <c r="D314" s="6">
        <f>LN(Raw!D316/Raw!D315)</f>
        <v>-1.9462166901975299E-2</v>
      </c>
      <c r="X314" s="3">
        <v>44291</v>
      </c>
      <c r="Y314" cm="1">
        <f t="array" ref="Y314">SUMPRODUCT($T$2:$T$4,TRANSPOSE(B314:D314))</f>
        <v>-2.0025525661250137E-2</v>
      </c>
      <c r="AD314" s="3">
        <v>44287</v>
      </c>
      <c r="AE314" s="4">
        <v>1.1335502231221414E-2</v>
      </c>
      <c r="AF314">
        <f t="shared" si="4"/>
        <v>0</v>
      </c>
      <c r="AG314" s="13"/>
    </row>
    <row r="315" spans="1:33" x14ac:dyDescent="0.35">
      <c r="A315" s="3">
        <v>44292</v>
      </c>
      <c r="B315" s="6">
        <f>LN(Raw!B317/Raw!B316)</f>
        <v>1.1488794964079356E-2</v>
      </c>
      <c r="C315" s="6">
        <f>LN(Raw!C317/Raw!C316)</f>
        <v>-2.2168974103788453E-3</v>
      </c>
      <c r="D315" s="6">
        <f>LN(Raw!D317/Raw!D316)</f>
        <v>-3.9383028453987088E-3</v>
      </c>
      <c r="X315" s="3">
        <v>44292</v>
      </c>
      <c r="Y315" cm="1">
        <f t="array" ref="Y315">SUMPRODUCT($T$2:$T$4,TRANSPOSE(B315:D315))</f>
        <v>7.9900872755338404E-3</v>
      </c>
      <c r="AD315" s="3">
        <v>44291</v>
      </c>
      <c r="AE315" s="4">
        <v>-2.0025525661250137E-2</v>
      </c>
      <c r="AF315">
        <f t="shared" si="4"/>
        <v>0</v>
      </c>
      <c r="AG315" s="13"/>
    </row>
    <row r="316" spans="1:33" x14ac:dyDescent="0.35">
      <c r="A316" s="3">
        <v>44293</v>
      </c>
      <c r="B316" s="6">
        <f>LN(Raw!B318/Raw!B317)</f>
        <v>1.5679171529226637E-2</v>
      </c>
      <c r="C316" s="6">
        <f>LN(Raw!C318/Raw!C317)</f>
        <v>9.3274807057761172E-3</v>
      </c>
      <c r="D316" s="6">
        <f>LN(Raw!D318/Raw!D317)</f>
        <v>1.6631738293931581E-2</v>
      </c>
      <c r="X316" s="3">
        <v>44293</v>
      </c>
      <c r="Y316" cm="1">
        <f t="array" ref="Y316">SUMPRODUCT($T$2:$T$4,TRANSPOSE(B316:D316))</f>
        <v>1.4458719228473599E-2</v>
      </c>
      <c r="AD316" s="3">
        <v>44292</v>
      </c>
      <c r="AE316" s="4">
        <v>7.9900872755338404E-3</v>
      </c>
      <c r="AF316">
        <f t="shared" si="4"/>
        <v>0</v>
      </c>
      <c r="AG316" s="13"/>
    </row>
    <row r="317" spans="1:33" x14ac:dyDescent="0.35">
      <c r="A317" s="3">
        <v>44294</v>
      </c>
      <c r="B317" s="6">
        <f>LN(Raw!B319/Raw!B318)</f>
        <v>-1.3194573300622603E-2</v>
      </c>
      <c r="C317" s="6">
        <f>LN(Raw!C319/Raw!C318)</f>
        <v>4.2569814442026538E-2</v>
      </c>
      <c r="D317" s="6">
        <f>LN(Raw!D319/Raw!D318)</f>
        <v>1.6995791529389574E-2</v>
      </c>
      <c r="X317" s="3">
        <v>44294</v>
      </c>
      <c r="Y317" cm="1">
        <f t="array" ref="Y317">SUMPRODUCT($T$2:$T$4,TRANSPOSE(B317:D317))</f>
        <v>-5.7165643459692586E-4</v>
      </c>
      <c r="AD317" s="3">
        <v>44293</v>
      </c>
      <c r="AE317" s="4">
        <v>1.4458719228473599E-2</v>
      </c>
      <c r="AF317">
        <f t="shared" si="4"/>
        <v>0</v>
      </c>
      <c r="AG317" s="13"/>
    </row>
    <row r="318" spans="1:33" x14ac:dyDescent="0.35">
      <c r="A318" s="3">
        <v>44295</v>
      </c>
      <c r="B318" s="6">
        <f>LN(Raw!B320/Raw!B319)</f>
        <v>-7.6490154043183092E-3</v>
      </c>
      <c r="C318" s="6">
        <f>LN(Raw!C320/Raw!C319)</f>
        <v>-8.7008043261613769E-3</v>
      </c>
      <c r="D318" s="6">
        <f>LN(Raw!D320/Raw!D319)</f>
        <v>2.2946152735775847E-2</v>
      </c>
      <c r="X318" s="3">
        <v>44295</v>
      </c>
      <c r="Y318" cm="1">
        <f t="array" ref="Y318">SUMPRODUCT($T$2:$T$4,TRANSPOSE(B318:D318))</f>
        <v>-6.3447606371208227E-3</v>
      </c>
      <c r="AD318" s="3">
        <v>44294</v>
      </c>
      <c r="AE318" s="4">
        <v>-5.7165643459692586E-4</v>
      </c>
      <c r="AF318">
        <f t="shared" si="4"/>
        <v>0</v>
      </c>
      <c r="AG318" s="13"/>
    </row>
    <row r="319" spans="1:33" x14ac:dyDescent="0.35">
      <c r="A319" s="3">
        <v>44298</v>
      </c>
      <c r="B319" s="6">
        <f>LN(Raw!B321/Raw!B320)</f>
        <v>-4.949289410857103E-2</v>
      </c>
      <c r="C319" s="6">
        <f>LN(Raw!C321/Raw!C320)</f>
        <v>-7.5271368176317494E-2</v>
      </c>
      <c r="D319" s="6">
        <f>LN(Raw!D321/Raw!D320)</f>
        <v>-9.8890192928852219E-2</v>
      </c>
      <c r="X319" s="3">
        <v>44298</v>
      </c>
      <c r="Y319" cm="1">
        <f t="array" ref="Y319">SUMPRODUCT($T$2:$T$4,TRANSPOSE(B319:D319))</f>
        <v>-5.7082132205617232E-2</v>
      </c>
      <c r="AD319" s="3">
        <v>44295</v>
      </c>
      <c r="AE319" s="4">
        <v>-6.3447606371208227E-3</v>
      </c>
      <c r="AF319">
        <f t="shared" si="4"/>
        <v>0</v>
      </c>
      <c r="AG319" s="13"/>
    </row>
    <row r="320" spans="1:33" x14ac:dyDescent="0.35">
      <c r="A320" s="3">
        <v>44299</v>
      </c>
      <c r="B320" s="6">
        <f>LN(Raw!B322/Raw!B321)</f>
        <v>9.5392973201423679E-3</v>
      </c>
      <c r="C320" s="6">
        <f>LN(Raw!C322/Raw!C321)</f>
        <v>4.7491672366557644E-2</v>
      </c>
      <c r="D320" s="6">
        <f>LN(Raw!D322/Raw!D321)</f>
        <v>2.4399703972807156E-2</v>
      </c>
      <c r="X320" s="3">
        <v>44299</v>
      </c>
      <c r="Y320" cm="1">
        <f t="array" ref="Y320">SUMPRODUCT($T$2:$T$4,TRANSPOSE(B320:D320))</f>
        <v>1.7848823352962957E-2</v>
      </c>
      <c r="AD320" s="3">
        <v>44298</v>
      </c>
      <c r="AE320" s="4">
        <v>-5.7082132205617232E-2</v>
      </c>
      <c r="AF320">
        <f t="shared" si="4"/>
        <v>1</v>
      </c>
      <c r="AG320" s="13"/>
    </row>
    <row r="321" spans="1:33" x14ac:dyDescent="0.35">
      <c r="A321" s="3">
        <v>44301</v>
      </c>
      <c r="B321" s="6">
        <f>LN(Raw!B323/Raw!B322)</f>
        <v>1.643327318648681E-2</v>
      </c>
      <c r="C321" s="6">
        <f>LN(Raw!C323/Raw!C322)</f>
        <v>-2.2842570361088371E-2</v>
      </c>
      <c r="D321" s="6">
        <f>LN(Raw!D323/Raw!D322)</f>
        <v>-2.7836221901690765E-2</v>
      </c>
      <c r="X321" s="3">
        <v>44301</v>
      </c>
      <c r="Y321" cm="1">
        <f t="array" ref="Y321">SUMPRODUCT($T$2:$T$4,TRANSPOSE(B321:D321))</f>
        <v>6.4041658596265157E-3</v>
      </c>
      <c r="AD321" s="3">
        <v>44299</v>
      </c>
      <c r="AE321" s="4">
        <v>1.7848823352962957E-2</v>
      </c>
      <c r="AF321">
        <f t="shared" si="4"/>
        <v>0</v>
      </c>
      <c r="AG321" s="13"/>
    </row>
    <row r="322" spans="1:33" x14ac:dyDescent="0.35">
      <c r="A322" s="3">
        <v>44302</v>
      </c>
      <c r="B322" s="6">
        <f>LN(Raw!B324/Raw!B323)</f>
        <v>2.1793234402220495E-2</v>
      </c>
      <c r="C322" s="6">
        <f>LN(Raw!C324/Raw!C323)</f>
        <v>4.1368394778476633E-2</v>
      </c>
      <c r="D322" s="6">
        <f>LN(Raw!D324/Raw!D323)</f>
        <v>2.4818539246473273E-2</v>
      </c>
      <c r="X322" s="3">
        <v>44302</v>
      </c>
      <c r="Y322" cm="1">
        <f t="array" ref="Y322">SUMPRODUCT($T$2:$T$4,TRANSPOSE(B322:D322))</f>
        <v>2.5849534235660738E-2</v>
      </c>
      <c r="AD322" s="3">
        <v>44301</v>
      </c>
      <c r="AE322" s="4">
        <v>6.4041658596265157E-3</v>
      </c>
      <c r="AF322">
        <f t="shared" si="4"/>
        <v>0</v>
      </c>
      <c r="AG322" s="13"/>
    </row>
    <row r="323" spans="1:33" x14ac:dyDescent="0.35">
      <c r="A323" s="3">
        <v>44305</v>
      </c>
      <c r="B323" s="6">
        <f>LN(Raw!B325/Raw!B324)</f>
        <v>-4.0648652447547125E-2</v>
      </c>
      <c r="C323" s="6">
        <f>LN(Raw!C325/Raw!C324)</f>
        <v>-3.2217858034427158E-2</v>
      </c>
      <c r="D323" s="6">
        <f>LN(Raw!D325/Raw!D324)</f>
        <v>-3.0687641445172931E-2</v>
      </c>
      <c r="X323" s="3">
        <v>44305</v>
      </c>
      <c r="Y323" cm="1">
        <f t="array" ref="Y323">SUMPRODUCT($T$2:$T$4,TRANSPOSE(B323:D323))</f>
        <v>-3.847316305043405E-2</v>
      </c>
      <c r="AD323" s="3">
        <v>44302</v>
      </c>
      <c r="AE323" s="4">
        <v>2.5849534235660738E-2</v>
      </c>
      <c r="AF323">
        <f t="shared" ref="AF323:AF386" si="5">IF(AE323&lt;$AB$2,1,0)</f>
        <v>0</v>
      </c>
      <c r="AG323" s="13"/>
    </row>
    <row r="324" spans="1:33" x14ac:dyDescent="0.35">
      <c r="A324" s="3">
        <v>44306</v>
      </c>
      <c r="B324" s="6">
        <f>LN(Raw!B326/Raw!B325)</f>
        <v>2.775834593032549E-2</v>
      </c>
      <c r="C324" s="6">
        <f>LN(Raw!C326/Raw!C325)</f>
        <v>1.7217917142280932E-3</v>
      </c>
      <c r="D324" s="6">
        <f>LN(Raw!D326/Raw!D325)</f>
        <v>2.8670888302338212E-2</v>
      </c>
      <c r="X324" s="3">
        <v>44306</v>
      </c>
      <c r="Y324" cm="1">
        <f t="array" ref="Y324">SUMPRODUCT($T$2:$T$4,TRANSPOSE(B324:D324))</f>
        <v>2.2607442142350647E-2</v>
      </c>
      <c r="AD324" s="3">
        <v>44305</v>
      </c>
      <c r="AE324" s="4">
        <v>-3.847316305043405E-2</v>
      </c>
      <c r="AF324">
        <f t="shared" si="5"/>
        <v>0</v>
      </c>
      <c r="AG324" s="13"/>
    </row>
    <row r="325" spans="1:33" x14ac:dyDescent="0.35">
      <c r="A325" s="3">
        <v>44308</v>
      </c>
      <c r="B325" s="6">
        <f>LN(Raw!B327/Raw!B326)</f>
        <v>-1.3637754138611501E-2</v>
      </c>
      <c r="C325" s="6">
        <f>LN(Raw!C327/Raw!C326)</f>
        <v>-2.4586011531701547E-4</v>
      </c>
      <c r="D325" s="6">
        <f>LN(Raw!D327/Raw!D326)</f>
        <v>1.403291253771621E-2</v>
      </c>
      <c r="X325" s="3">
        <v>44308</v>
      </c>
      <c r="Y325" cm="1">
        <f t="array" ref="Y325">SUMPRODUCT($T$2:$T$4,TRANSPOSE(B325:D325))</f>
        <v>-9.595735010785535E-3</v>
      </c>
      <c r="AD325" s="3">
        <v>44306</v>
      </c>
      <c r="AE325" s="4">
        <v>2.2607442142350647E-2</v>
      </c>
      <c r="AF325">
        <f t="shared" si="5"/>
        <v>0</v>
      </c>
      <c r="AG325" s="13"/>
    </row>
    <row r="326" spans="1:33" x14ac:dyDescent="0.35">
      <c r="A326" s="3">
        <v>44309</v>
      </c>
      <c r="B326" s="6">
        <f>LN(Raw!B328/Raw!B327)</f>
        <v>8.3275063007410774E-4</v>
      </c>
      <c r="C326" s="6">
        <f>LN(Raw!C328/Raw!C327)</f>
        <v>-3.2006929937533524E-3</v>
      </c>
      <c r="D326" s="6">
        <f>LN(Raw!D328/Raw!D327)</f>
        <v>-1.2016159394881409E-2</v>
      </c>
      <c r="X326" s="3">
        <v>44309</v>
      </c>
      <c r="Y326" cm="1">
        <f t="array" ref="Y326">SUMPRODUCT($T$2:$T$4,TRANSPOSE(B326:D326))</f>
        <v>-6.0808997213357223E-4</v>
      </c>
      <c r="AD326" s="3">
        <v>44308</v>
      </c>
      <c r="AE326" s="4">
        <v>-9.595735010785535E-3</v>
      </c>
      <c r="AF326">
        <f t="shared" si="5"/>
        <v>0</v>
      </c>
      <c r="AG326" s="13"/>
    </row>
    <row r="327" spans="1:33" x14ac:dyDescent="0.35">
      <c r="A327" s="3">
        <v>44312</v>
      </c>
      <c r="B327" s="6">
        <f>LN(Raw!B329/Raw!B328)</f>
        <v>4.9713812628340612E-2</v>
      </c>
      <c r="C327" s="6">
        <f>LN(Raw!C329/Raw!C328)</f>
        <v>-3.7059530430077125E-3</v>
      </c>
      <c r="D327" s="6">
        <f>LN(Raw!D329/Raw!D328)</f>
        <v>3.3564206020421963E-4</v>
      </c>
      <c r="X327" s="3">
        <v>44312</v>
      </c>
      <c r="Y327" cm="1">
        <f t="array" ref="Y327">SUMPRODUCT($T$2:$T$4,TRANSPOSE(B327:D327))</f>
        <v>3.6609200600572343E-2</v>
      </c>
      <c r="AD327" s="3">
        <v>44309</v>
      </c>
      <c r="AE327" s="4">
        <v>-6.0808997213357223E-4</v>
      </c>
      <c r="AF327">
        <f t="shared" si="5"/>
        <v>0</v>
      </c>
      <c r="AG327" s="13"/>
    </row>
    <row r="328" spans="1:33" x14ac:dyDescent="0.35">
      <c r="A328" s="3">
        <v>44313</v>
      </c>
      <c r="B328" s="6">
        <f>LN(Raw!B330/Raw!B329)</f>
        <v>-8.2315804934969435E-3</v>
      </c>
      <c r="C328" s="6">
        <f>LN(Raw!C330/Raw!C329)</f>
        <v>2.1790481820946343E-2</v>
      </c>
      <c r="D328" s="6">
        <f>LN(Raw!D330/Raw!D329)</f>
        <v>3.3512961533135408E-3</v>
      </c>
      <c r="X328" s="3">
        <v>44313</v>
      </c>
      <c r="Y328" cm="1">
        <f t="array" ref="Y328">SUMPRODUCT($T$2:$T$4,TRANSPOSE(B328:D328))</f>
        <v>-1.6668969857939705E-3</v>
      </c>
      <c r="AD328" s="3">
        <v>44312</v>
      </c>
      <c r="AE328" s="4">
        <v>3.6609200600572343E-2</v>
      </c>
      <c r="AF328">
        <f t="shared" si="5"/>
        <v>0</v>
      </c>
      <c r="AG328" s="13"/>
    </row>
    <row r="329" spans="1:33" x14ac:dyDescent="0.35">
      <c r="A329" s="3">
        <v>44314</v>
      </c>
      <c r="B329" s="6">
        <f>LN(Raw!B331/Raw!B330)</f>
        <v>-1.0333125436638746E-2</v>
      </c>
      <c r="C329" s="6">
        <f>LN(Raw!C331/Raw!C330)</f>
        <v>-2.9105036782454598E-3</v>
      </c>
      <c r="D329" s="6">
        <f>LN(Raw!D331/Raw!D330)</f>
        <v>-9.0740825536030512E-3</v>
      </c>
      <c r="X329" s="3">
        <v>44314</v>
      </c>
      <c r="Y329" cm="1">
        <f t="array" ref="Y329">SUMPRODUCT($T$2:$T$4,TRANSPOSE(B329:D329))</f>
        <v>-8.7894967382873522E-3</v>
      </c>
      <c r="AD329" s="3">
        <v>44313</v>
      </c>
      <c r="AE329" s="4">
        <v>-1.6668969857939705E-3</v>
      </c>
      <c r="AF329">
        <f t="shared" si="5"/>
        <v>0</v>
      </c>
      <c r="AG329" s="13"/>
    </row>
    <row r="330" spans="1:33" x14ac:dyDescent="0.35">
      <c r="A330" s="3">
        <v>44315</v>
      </c>
      <c r="B330" s="6">
        <f>LN(Raw!B332/Raw!B331)</f>
        <v>-4.9601146150680016E-3</v>
      </c>
      <c r="C330" s="6">
        <f>LN(Raw!C332/Raw!C331)</f>
        <v>-1.7890424963219631E-2</v>
      </c>
      <c r="D330" s="6">
        <f>LN(Raw!D332/Raw!D331)</f>
        <v>-1.2570344314181858E-2</v>
      </c>
      <c r="X330" s="3">
        <v>44315</v>
      </c>
      <c r="Y330" cm="1">
        <f t="array" ref="Y330">SUMPRODUCT($T$2:$T$4,TRANSPOSE(B330:D330))</f>
        <v>-7.9172229994106096E-3</v>
      </c>
      <c r="AD330" s="3">
        <v>44314</v>
      </c>
      <c r="AE330" s="4">
        <v>-8.7894967382873522E-3</v>
      </c>
      <c r="AF330">
        <f t="shared" si="5"/>
        <v>0</v>
      </c>
      <c r="AG330" s="13"/>
    </row>
    <row r="331" spans="1:33" x14ac:dyDescent="0.35">
      <c r="A331" s="3">
        <v>44316</v>
      </c>
      <c r="B331" s="6">
        <f>LN(Raw!B333/Raw!B332)</f>
        <v>-2.7190772145860979E-3</v>
      </c>
      <c r="C331" s="6">
        <f>LN(Raw!C333/Raw!C332)</f>
        <v>1.2532372745040373E-2</v>
      </c>
      <c r="D331" s="6">
        <f>LN(Raw!D333/Raw!D332)</f>
        <v>-2.7387522849900529E-3</v>
      </c>
      <c r="X331" s="3">
        <v>44316</v>
      </c>
      <c r="Y331" cm="1">
        <f t="array" ref="Y331">SUMPRODUCT($T$2:$T$4,TRANSPOSE(B331:D331))</f>
        <v>3.236518128534781E-4</v>
      </c>
      <c r="AD331" s="3">
        <v>44315</v>
      </c>
      <c r="AE331" s="4">
        <v>-7.9172229994106096E-3</v>
      </c>
      <c r="AF331">
        <f t="shared" si="5"/>
        <v>0</v>
      </c>
      <c r="AG331" s="13"/>
    </row>
    <row r="332" spans="1:33" x14ac:dyDescent="0.35">
      <c r="A332" s="3">
        <v>44319</v>
      </c>
      <c r="B332" s="6">
        <f>LN(Raw!B334/Raw!B333)</f>
        <v>1.5160523371700152E-2</v>
      </c>
      <c r="C332" s="6">
        <f>LN(Raw!C334/Raw!C333)</f>
        <v>0</v>
      </c>
      <c r="D332" s="6">
        <f>LN(Raw!D334/Raw!D333)</f>
        <v>8.8736840336698757E-3</v>
      </c>
      <c r="X332" s="3">
        <v>44319</v>
      </c>
      <c r="Y332" cm="1">
        <f t="array" ref="Y332">SUMPRODUCT($T$2:$T$4,TRANSPOSE(B332:D332))</f>
        <v>1.1823830198271473E-2</v>
      </c>
      <c r="AD332" s="3">
        <v>44316</v>
      </c>
      <c r="AE332" s="4">
        <v>3.236518128534781E-4</v>
      </c>
      <c r="AF332">
        <f t="shared" si="5"/>
        <v>0</v>
      </c>
      <c r="AG332" s="13"/>
    </row>
    <row r="333" spans="1:33" x14ac:dyDescent="0.35">
      <c r="A333" s="3">
        <v>44320</v>
      </c>
      <c r="B333" s="6">
        <f>LN(Raw!B335/Raw!B334)</f>
        <v>5.2797186292625102E-3</v>
      </c>
      <c r="C333" s="6">
        <f>LN(Raw!C335/Raw!C334)</f>
        <v>1.9347611605454354E-2</v>
      </c>
      <c r="D333" s="6">
        <f>LN(Raw!D335/Raw!D334)</f>
        <v>5.6157515705126969E-2</v>
      </c>
      <c r="X333" s="3">
        <v>44320</v>
      </c>
      <c r="Y333" cm="1">
        <f t="array" ref="Y333">SUMPRODUCT($T$2:$T$4,TRANSPOSE(B333:D333))</f>
        <v>1.0605168830026034E-2</v>
      </c>
      <c r="AD333" s="3">
        <v>44319</v>
      </c>
      <c r="AE333" s="4">
        <v>1.1823830198271473E-2</v>
      </c>
      <c r="AF333">
        <f t="shared" si="5"/>
        <v>0</v>
      </c>
      <c r="AG333" s="13"/>
    </row>
    <row r="334" spans="1:33" x14ac:dyDescent="0.35">
      <c r="A334" s="3">
        <v>44321</v>
      </c>
      <c r="B334" s="6">
        <f>LN(Raw!B336/Raw!B335)</f>
        <v>5.8725599775046418E-3</v>
      </c>
      <c r="C334" s="6">
        <f>LN(Raw!C336/Raw!C335)</f>
        <v>-1.4232470464396099E-2</v>
      </c>
      <c r="D334" s="6">
        <f>LN(Raw!D336/Raw!D335)</f>
        <v>-9.0351608325915846E-3</v>
      </c>
      <c r="X334" s="3">
        <v>44321</v>
      </c>
      <c r="Y334" cm="1">
        <f t="array" ref="Y334">SUMPRODUCT($T$2:$T$4,TRANSPOSE(B334:D334))</f>
        <v>1.1224526908005623E-3</v>
      </c>
      <c r="AD334" s="3">
        <v>44320</v>
      </c>
      <c r="AE334" s="4">
        <v>1.0605168830026034E-2</v>
      </c>
      <c r="AF334">
        <f t="shared" si="5"/>
        <v>0</v>
      </c>
      <c r="AG334" s="13"/>
    </row>
    <row r="335" spans="1:33" x14ac:dyDescent="0.35">
      <c r="A335" s="3">
        <v>44322</v>
      </c>
      <c r="B335" s="6">
        <f>LN(Raw!B337/Raw!B336)</f>
        <v>1.4110127822810456E-3</v>
      </c>
      <c r="C335" s="6">
        <f>LN(Raw!C337/Raw!C336)</f>
        <v>-6.581416881703793E-3</v>
      </c>
      <c r="D335" s="6">
        <f>LN(Raw!D337/Raw!D336)</f>
        <v>-1.1082227419477142E-2</v>
      </c>
      <c r="X335" s="3">
        <v>44322</v>
      </c>
      <c r="Y335" cm="1">
        <f t="array" ref="Y335">SUMPRODUCT($T$2:$T$4,TRANSPOSE(B335:D335))</f>
        <v>-8.0231296564280152E-4</v>
      </c>
      <c r="AD335" s="3">
        <v>44321</v>
      </c>
      <c r="AE335" s="4">
        <v>1.1224526908005623E-3</v>
      </c>
      <c r="AF335">
        <f t="shared" si="5"/>
        <v>0</v>
      </c>
      <c r="AG335" s="13"/>
    </row>
    <row r="336" spans="1:33" x14ac:dyDescent="0.35">
      <c r="A336" s="3">
        <v>44323</v>
      </c>
      <c r="B336" s="6">
        <f>LN(Raw!B338/Raw!B337)</f>
        <v>-2.617217363835776E-3</v>
      </c>
      <c r="C336" s="6">
        <f>LN(Raw!C338/Raw!C337)</f>
        <v>-2.6937827253164077E-3</v>
      </c>
      <c r="D336" s="6">
        <f>LN(Raw!D338/Raw!D337)</f>
        <v>-9.2198233021029141E-3</v>
      </c>
      <c r="X336" s="3">
        <v>44323</v>
      </c>
      <c r="Y336" cm="1">
        <f t="array" ref="Y336">SUMPRODUCT($T$2:$T$4,TRANSPOSE(B336:D336))</f>
        <v>-2.9592610324022618E-3</v>
      </c>
      <c r="AD336" s="3">
        <v>44322</v>
      </c>
      <c r="AE336" s="4">
        <v>-8.0231296564280152E-4</v>
      </c>
      <c r="AF336">
        <f t="shared" si="5"/>
        <v>0</v>
      </c>
      <c r="AG336" s="13"/>
    </row>
    <row r="337" spans="1:33" x14ac:dyDescent="0.35">
      <c r="A337" s="3">
        <v>44326</v>
      </c>
      <c r="B337" s="6">
        <f>LN(Raw!B339/Raw!B338)</f>
        <v>3.2201247308275525E-2</v>
      </c>
      <c r="C337" s="6">
        <f>LN(Raw!C339/Raw!C338)</f>
        <v>-1.7064794383815318E-2</v>
      </c>
      <c r="D337" s="6">
        <f>LN(Raw!D339/Raw!D338)</f>
        <v>7.9077801585448783E-3</v>
      </c>
      <c r="X337" s="3">
        <v>44326</v>
      </c>
      <c r="Y337" cm="1">
        <f t="array" ref="Y337">SUMPRODUCT($T$2:$T$4,TRANSPOSE(B337:D337))</f>
        <v>2.1167030894339096E-2</v>
      </c>
      <c r="AD337" s="3">
        <v>44323</v>
      </c>
      <c r="AE337" s="4">
        <v>-2.9592610324022618E-3</v>
      </c>
      <c r="AF337">
        <f t="shared" si="5"/>
        <v>0</v>
      </c>
      <c r="AG337" s="13"/>
    </row>
    <row r="338" spans="1:33" x14ac:dyDescent="0.35">
      <c r="A338" s="3">
        <v>44327</v>
      </c>
      <c r="B338" s="6">
        <f>LN(Raw!B340/Raw!B339)</f>
        <v>-8.4504188726907334E-3</v>
      </c>
      <c r="C338" s="6">
        <f>LN(Raw!C340/Raw!C339)</f>
        <v>7.9503232974621196E-3</v>
      </c>
      <c r="D338" s="6">
        <f>LN(Raw!D340/Raw!D339)</f>
        <v>3.0065360285256117E-2</v>
      </c>
      <c r="X338" s="3">
        <v>44327</v>
      </c>
      <c r="Y338" cm="1">
        <f t="array" ref="Y338">SUMPRODUCT($T$2:$T$4,TRANSPOSE(B338:D338))</f>
        <v>-3.2712039142143825E-3</v>
      </c>
      <c r="AD338" s="3">
        <v>44326</v>
      </c>
      <c r="AE338" s="4">
        <v>2.1167030894339096E-2</v>
      </c>
      <c r="AF338">
        <f t="shared" si="5"/>
        <v>0</v>
      </c>
      <c r="AG338" s="13"/>
    </row>
    <row r="339" spans="1:33" x14ac:dyDescent="0.35">
      <c r="A339" s="3">
        <v>44328</v>
      </c>
      <c r="B339" s="6">
        <f>LN(Raw!B341/Raw!B340)</f>
        <v>-2.0898424699941354E-3</v>
      </c>
      <c r="C339" s="6">
        <f>LN(Raw!C341/Raw!C340)</f>
        <v>-4.4642925666771175E-3</v>
      </c>
      <c r="D339" s="6">
        <f>LN(Raw!D341/Raw!D340)</f>
        <v>-1.7671089722220836E-2</v>
      </c>
      <c r="X339" s="3">
        <v>44328</v>
      </c>
      <c r="Y339" cm="1">
        <f t="array" ref="Y339">SUMPRODUCT($T$2:$T$4,TRANSPOSE(B339:D339))</f>
        <v>-3.3348245465490778E-3</v>
      </c>
      <c r="AD339" s="3">
        <v>44327</v>
      </c>
      <c r="AE339" s="4">
        <v>-3.2712039142143825E-3</v>
      </c>
      <c r="AF339">
        <f t="shared" si="5"/>
        <v>0</v>
      </c>
      <c r="AG339" s="13"/>
    </row>
    <row r="340" spans="1:33" x14ac:dyDescent="0.35">
      <c r="A340" s="3">
        <v>44330</v>
      </c>
      <c r="B340" s="6">
        <f>LN(Raw!B342/Raw!B341)</f>
        <v>-5.8210424615186404E-3</v>
      </c>
      <c r="C340" s="6">
        <f>LN(Raw!C342/Raw!C341)</f>
        <v>-5.983562345754985E-3</v>
      </c>
      <c r="D340" s="6">
        <f>LN(Raw!D342/Raw!D341)</f>
        <v>-1.1410154550088708E-2</v>
      </c>
      <c r="X340" s="3">
        <v>44330</v>
      </c>
      <c r="Y340" cm="1">
        <f t="array" ref="Y340">SUMPRODUCT($T$2:$T$4,TRANSPOSE(B340:D340))</f>
        <v>-6.1300819616117302E-3</v>
      </c>
      <c r="AD340" s="3">
        <v>44328</v>
      </c>
      <c r="AE340" s="4">
        <v>-3.3348245465490778E-3</v>
      </c>
      <c r="AF340">
        <f t="shared" si="5"/>
        <v>0</v>
      </c>
      <c r="AG340" s="13"/>
    </row>
    <row r="341" spans="1:33" x14ac:dyDescent="0.35">
      <c r="A341" s="3">
        <v>44333</v>
      </c>
      <c r="B341" s="6">
        <f>LN(Raw!B343/Raw!B342)</f>
        <v>1.6278665745915861E-3</v>
      </c>
      <c r="C341" s="6">
        <f>LN(Raw!C343/Raw!C342)</f>
        <v>-2.4042672671473635E-2</v>
      </c>
      <c r="D341" s="6">
        <f>LN(Raw!D343/Raw!D342)</f>
        <v>-8.5611451143445434E-3</v>
      </c>
      <c r="X341" s="3">
        <v>44333</v>
      </c>
      <c r="Y341" cm="1">
        <f t="array" ref="Y341">SUMPRODUCT($T$2:$T$4,TRANSPOSE(B341:D341))</f>
        <v>-3.9994092044937906E-3</v>
      </c>
      <c r="AD341" s="3">
        <v>44330</v>
      </c>
      <c r="AE341" s="4">
        <v>-6.1300819616117302E-3</v>
      </c>
      <c r="AF341">
        <f t="shared" si="5"/>
        <v>0</v>
      </c>
      <c r="AG341" s="13"/>
    </row>
    <row r="342" spans="1:33" x14ac:dyDescent="0.35">
      <c r="A342" s="3">
        <v>44334</v>
      </c>
      <c r="B342" s="6">
        <f>LN(Raw!B344/Raw!B343)</f>
        <v>7.7974750415516787E-3</v>
      </c>
      <c r="C342" s="6">
        <f>LN(Raw!C344/Raw!C343)</f>
        <v>9.6865962938077043E-3</v>
      </c>
      <c r="D342" s="6">
        <f>LN(Raw!D344/Raw!D343)</f>
        <v>1.0853656469997204E-2</v>
      </c>
      <c r="X342" s="3">
        <v>44334</v>
      </c>
      <c r="Y342" cm="1">
        <f t="array" ref="Y342">SUMPRODUCT($T$2:$T$4,TRANSPOSE(B342:D342))</f>
        <v>8.3257340460846235E-3</v>
      </c>
      <c r="AD342" s="3">
        <v>44333</v>
      </c>
      <c r="AE342" s="4">
        <v>-3.9994092044937906E-3</v>
      </c>
      <c r="AF342">
        <f t="shared" si="5"/>
        <v>0</v>
      </c>
      <c r="AG342" s="13"/>
    </row>
    <row r="343" spans="1:33" x14ac:dyDescent="0.35">
      <c r="A343" s="3">
        <v>44335</v>
      </c>
      <c r="B343" s="6">
        <f>LN(Raw!B345/Raw!B344)</f>
        <v>1.1965308333562895E-2</v>
      </c>
      <c r="C343" s="6">
        <f>LN(Raw!C345/Raw!C344)</f>
        <v>7.6070254824132466E-4</v>
      </c>
      <c r="D343" s="6">
        <f>LN(Raw!D345/Raw!D344)</f>
        <v>7.7094394052175996E-2</v>
      </c>
      <c r="X343" s="3">
        <v>44335</v>
      </c>
      <c r="Y343" cm="1">
        <f t="array" ref="Y343">SUMPRODUCT($T$2:$T$4,TRANSPOSE(B343:D343))</f>
        <v>1.2952472019839305E-2</v>
      </c>
      <c r="AD343" s="3">
        <v>44334</v>
      </c>
      <c r="AE343" s="4">
        <v>8.3257340460846235E-3</v>
      </c>
      <c r="AF343">
        <f t="shared" si="5"/>
        <v>0</v>
      </c>
      <c r="AG343" s="13"/>
    </row>
    <row r="344" spans="1:33" x14ac:dyDescent="0.35">
      <c r="A344" s="3">
        <v>44336</v>
      </c>
      <c r="B344" s="6">
        <f>LN(Raw!B346/Raw!B345)</f>
        <v>1.5101754485968927E-2</v>
      </c>
      <c r="C344" s="6">
        <f>LN(Raw!C346/Raw!C345)</f>
        <v>-7.1228411009464608E-3</v>
      </c>
      <c r="D344" s="6">
        <f>LN(Raw!D346/Raw!D345)</f>
        <v>4.2307141913051844E-3</v>
      </c>
      <c r="X344" s="3">
        <v>44336</v>
      </c>
      <c r="Y344" cm="1">
        <f t="array" ref="Y344">SUMPRODUCT($T$2:$T$4,TRANSPOSE(B344:D344))</f>
        <v>1.0128425313938526E-2</v>
      </c>
      <c r="AD344" s="3">
        <v>44335</v>
      </c>
      <c r="AE344" s="4">
        <v>1.2952472019839305E-2</v>
      </c>
      <c r="AF344">
        <f t="shared" si="5"/>
        <v>0</v>
      </c>
      <c r="AG344" s="13"/>
    </row>
    <row r="345" spans="1:33" x14ac:dyDescent="0.35">
      <c r="A345" s="3">
        <v>44337</v>
      </c>
      <c r="B345" s="6">
        <f>LN(Raw!B347/Raw!B346)</f>
        <v>-2.9444105520672737E-4</v>
      </c>
      <c r="C345" s="6">
        <f>LN(Raw!C347/Raw!C346)</f>
        <v>-9.2332005606625828E-3</v>
      </c>
      <c r="D345" s="6">
        <f>LN(Raw!D347/Raw!D346)</f>
        <v>-1.0915905629826691E-2</v>
      </c>
      <c r="X345" s="3">
        <v>44337</v>
      </c>
      <c r="Y345" cm="1">
        <f t="array" ref="Y345">SUMPRODUCT($T$2:$T$4,TRANSPOSE(B345:D345))</f>
        <v>-2.6039896469528096E-3</v>
      </c>
      <c r="AD345" s="3">
        <v>44336</v>
      </c>
      <c r="AE345" s="4">
        <v>1.0128425313938526E-2</v>
      </c>
      <c r="AF345">
        <f t="shared" si="5"/>
        <v>0</v>
      </c>
      <c r="AG345" s="13"/>
    </row>
    <row r="346" spans="1:33" x14ac:dyDescent="0.35">
      <c r="A346" s="3">
        <v>44340</v>
      </c>
      <c r="B346" s="6">
        <f>LN(Raw!B348/Raw!B347)</f>
        <v>-2.2444796044566531E-2</v>
      </c>
      <c r="C346" s="6">
        <f>LN(Raw!C348/Raw!C347)</f>
        <v>-3.3553470646085024E-3</v>
      </c>
      <c r="D346" s="6">
        <f>LN(Raw!D348/Raw!D347)</f>
        <v>-1.0419932708043155E-2</v>
      </c>
      <c r="X346" s="3">
        <v>44340</v>
      </c>
      <c r="Y346" cm="1">
        <f t="array" ref="Y346">SUMPRODUCT($T$2:$T$4,TRANSPOSE(B346:D346))</f>
        <v>-1.804003919970713E-2</v>
      </c>
      <c r="AD346" s="3">
        <v>44337</v>
      </c>
      <c r="AE346" s="4">
        <v>-2.6039896469528096E-3</v>
      </c>
      <c r="AF346">
        <f t="shared" si="5"/>
        <v>0</v>
      </c>
      <c r="AG346" s="13"/>
    </row>
    <row r="347" spans="1:33" x14ac:dyDescent="0.35">
      <c r="A347" s="3">
        <v>44341</v>
      </c>
      <c r="B347" s="6">
        <f>LN(Raw!B349/Raw!B348)</f>
        <v>-9.1815673416790252E-3</v>
      </c>
      <c r="C347" s="6">
        <f>LN(Raw!C349/Raw!C348)</f>
        <v>1.2918373529177455E-3</v>
      </c>
      <c r="D347" s="6">
        <f>LN(Raw!D349/Raw!D348)</f>
        <v>2.7948407179024103E-2</v>
      </c>
      <c r="X347" s="3">
        <v>44341</v>
      </c>
      <c r="Y347" cm="1">
        <f t="array" ref="Y347">SUMPRODUCT($T$2:$T$4,TRANSPOSE(B347:D347))</f>
        <v>-5.2538434135645214E-3</v>
      </c>
      <c r="AD347" s="3">
        <v>44340</v>
      </c>
      <c r="AE347" s="4">
        <v>-1.804003919970713E-2</v>
      </c>
      <c r="AF347">
        <f t="shared" si="5"/>
        <v>0</v>
      </c>
      <c r="AG347" s="13"/>
    </row>
    <row r="348" spans="1:33" x14ac:dyDescent="0.35">
      <c r="A348" s="3">
        <v>44342</v>
      </c>
      <c r="B348" s="6">
        <f>LN(Raw!B350/Raw!B349)</f>
        <v>-2.0291949014148167E-3</v>
      </c>
      <c r="C348" s="6">
        <f>LN(Raw!C350/Raw!C349)</f>
        <v>-1.2918373529177728E-3</v>
      </c>
      <c r="D348" s="6">
        <f>LN(Raw!D350/Raw!D349)</f>
        <v>-1.5700637627733813E-2</v>
      </c>
      <c r="X348" s="3">
        <v>44342</v>
      </c>
      <c r="Y348" cm="1">
        <f t="array" ref="Y348">SUMPRODUCT($T$2:$T$4,TRANSPOSE(B348:D348))</f>
        <v>-2.55864303857575E-3</v>
      </c>
      <c r="AD348" s="3">
        <v>44341</v>
      </c>
      <c r="AE348" s="4">
        <v>-5.2538434135645214E-3</v>
      </c>
      <c r="AF348">
        <f t="shared" si="5"/>
        <v>0</v>
      </c>
      <c r="AG348" s="13"/>
    </row>
    <row r="349" spans="1:33" x14ac:dyDescent="0.35">
      <c r="A349" s="3">
        <v>44343</v>
      </c>
      <c r="B349" s="6">
        <f>LN(Raw!B351/Raw!B350)</f>
        <v>-2.0833839044296108E-2</v>
      </c>
      <c r="C349" s="6">
        <f>LN(Raw!C351/Raw!C350)</f>
        <v>-1.852621989318121E-2</v>
      </c>
      <c r="D349" s="6">
        <f>LN(Raw!D351/Raw!D350)</f>
        <v>-1.2247769551290248E-2</v>
      </c>
      <c r="X349" s="3">
        <v>44343</v>
      </c>
      <c r="Y349" cm="1">
        <f t="array" ref="Y349">SUMPRODUCT($T$2:$T$4,TRANSPOSE(B349:D349))</f>
        <v>-1.994838620738983E-2</v>
      </c>
      <c r="AD349" s="3">
        <v>44342</v>
      </c>
      <c r="AE349" s="4">
        <v>-2.55864303857575E-3</v>
      </c>
      <c r="AF349">
        <f t="shared" si="5"/>
        <v>0</v>
      </c>
      <c r="AG349" s="13"/>
    </row>
    <row r="350" spans="1:33" x14ac:dyDescent="0.35">
      <c r="A350" s="3">
        <v>44344</v>
      </c>
      <c r="B350" s="6">
        <f>LN(Raw!B352/Raw!B351)</f>
        <v>2.569741591701635E-2</v>
      </c>
      <c r="C350" s="6">
        <f>LN(Raw!C352/Raw!C351)</f>
        <v>1.6196681285351861E-2</v>
      </c>
      <c r="D350" s="6">
        <f>LN(Raw!D352/Raw!D351)</f>
        <v>6.7548822109189223E-3</v>
      </c>
      <c r="X350" s="3">
        <v>44344</v>
      </c>
      <c r="Y350" cm="1">
        <f t="array" ref="Y350">SUMPRODUCT($T$2:$T$4,TRANSPOSE(B350:D350))</f>
        <v>2.2863904183819613E-2</v>
      </c>
      <c r="AD350" s="3">
        <v>44343</v>
      </c>
      <c r="AE350" s="4">
        <v>-1.994838620738983E-2</v>
      </c>
      <c r="AF350">
        <f t="shared" si="5"/>
        <v>0</v>
      </c>
      <c r="AG350" s="13"/>
    </row>
    <row r="351" spans="1:33" x14ac:dyDescent="0.35">
      <c r="A351" s="3">
        <v>44347</v>
      </c>
      <c r="B351" s="6">
        <f>LN(Raw!B353/Raw!B352)</f>
        <v>-8.2207811958418149E-3</v>
      </c>
      <c r="C351" s="6">
        <f>LN(Raw!C353/Raw!C352)</f>
        <v>1.9757081480148007E-2</v>
      </c>
      <c r="D351" s="6">
        <f>LN(Raw!D353/Raw!D352)</f>
        <v>-6.1219819840604105E-4</v>
      </c>
      <c r="X351" s="3">
        <v>44347</v>
      </c>
      <c r="Y351" cm="1">
        <f t="array" ref="Y351">SUMPRODUCT($T$2:$T$4,TRANSPOSE(B351:D351))</f>
        <v>-2.2607429300896581E-3</v>
      </c>
      <c r="AD351" s="3">
        <v>44344</v>
      </c>
      <c r="AE351" s="4">
        <v>2.2863904183819613E-2</v>
      </c>
      <c r="AF351">
        <f t="shared" si="5"/>
        <v>0</v>
      </c>
      <c r="AG351" s="13"/>
    </row>
    <row r="352" spans="1:33" x14ac:dyDescent="0.35">
      <c r="A352" s="3">
        <v>44348</v>
      </c>
      <c r="B352" s="6">
        <f>LN(Raw!B354/Raw!B353)</f>
        <v>-3.4710983990035816E-3</v>
      </c>
      <c r="C352" s="6">
        <f>LN(Raw!C354/Raw!C353)</f>
        <v>-2.5416891759341806E-4</v>
      </c>
      <c r="D352" s="6">
        <f>LN(Raw!D354/Raw!D353)</f>
        <v>-6.450616189063875E-3</v>
      </c>
      <c r="X352" s="3">
        <v>44348</v>
      </c>
      <c r="Y352" cm="1">
        <f t="array" ref="Y352">SUMPRODUCT($T$2:$T$4,TRANSPOSE(B352:D352))</f>
        <v>-2.9765585602372965E-3</v>
      </c>
      <c r="AD352" s="3">
        <v>44347</v>
      </c>
      <c r="AE352" s="4">
        <v>-2.2607429300896581E-3</v>
      </c>
      <c r="AF352">
        <f t="shared" si="5"/>
        <v>0</v>
      </c>
      <c r="AG352" s="13"/>
    </row>
    <row r="353" spans="1:33" x14ac:dyDescent="0.35">
      <c r="A353" s="3">
        <v>44349</v>
      </c>
      <c r="B353" s="6">
        <f>LN(Raw!B355/Raw!B354)</f>
        <v>2.0447049110357081E-4</v>
      </c>
      <c r="C353" s="6">
        <f>LN(Raw!C355/Raw!C354)</f>
        <v>2.2845115464613262E-3</v>
      </c>
      <c r="D353" s="6">
        <f>LN(Raw!D355/Raw!D354)</f>
        <v>1.7413056323115475E-2</v>
      </c>
      <c r="X353" s="3">
        <v>44349</v>
      </c>
      <c r="Y353" cm="1">
        <f t="array" ref="Y353">SUMPRODUCT($T$2:$T$4,TRANSPOSE(B353:D353))</f>
        <v>1.4712350976191875E-3</v>
      </c>
      <c r="AD353" s="3">
        <v>44348</v>
      </c>
      <c r="AE353" s="4">
        <v>-2.9765585602372965E-3</v>
      </c>
      <c r="AF353">
        <f t="shared" si="5"/>
        <v>0</v>
      </c>
      <c r="AG353" s="13"/>
    </row>
    <row r="354" spans="1:33" x14ac:dyDescent="0.35">
      <c r="A354" s="3">
        <v>44350</v>
      </c>
      <c r="B354" s="6">
        <f>LN(Raw!B356/Raw!B355)</f>
        <v>5.2346479276996179E-3</v>
      </c>
      <c r="C354" s="6">
        <f>LN(Raw!C356/Raw!C355)</f>
        <v>1.4098978775919016E-2</v>
      </c>
      <c r="D354" s="6">
        <f>LN(Raw!D356/Raw!D355)</f>
        <v>2.6006366366079024E-2</v>
      </c>
      <c r="X354" s="3">
        <v>44350</v>
      </c>
      <c r="Y354" cm="1">
        <f t="array" ref="Y354">SUMPRODUCT($T$2:$T$4,TRANSPOSE(B354:D354))</f>
        <v>8.0316800632012422E-3</v>
      </c>
      <c r="AD354" s="3">
        <v>44349</v>
      </c>
      <c r="AE354" s="4">
        <v>1.4712350976191875E-3</v>
      </c>
      <c r="AF354">
        <f t="shared" si="5"/>
        <v>0</v>
      </c>
      <c r="AG354" s="13"/>
    </row>
    <row r="355" spans="1:33" x14ac:dyDescent="0.35">
      <c r="A355" s="3">
        <v>44351</v>
      </c>
      <c r="B355" s="6">
        <f>LN(Raw!B357/Raw!B356)</f>
        <v>-1.868433367408525E-2</v>
      </c>
      <c r="C355" s="6">
        <f>LN(Raw!C357/Raw!C356)</f>
        <v>3.2447154715140717E-3</v>
      </c>
      <c r="D355" s="6">
        <f>LN(Raw!D357/Raw!D356)</f>
        <v>2.7646145037538872E-2</v>
      </c>
      <c r="X355" s="3">
        <v>44351</v>
      </c>
      <c r="Y355" cm="1">
        <f t="array" ref="Y355">SUMPRODUCT($T$2:$T$4,TRANSPOSE(B355:D355))</f>
        <v>-1.2015094636128041E-2</v>
      </c>
      <c r="AD355" s="3">
        <v>44350</v>
      </c>
      <c r="AE355" s="4">
        <v>8.0316800632012422E-3</v>
      </c>
      <c r="AF355">
        <f t="shared" si="5"/>
        <v>0</v>
      </c>
      <c r="AG355" s="13"/>
    </row>
    <row r="356" spans="1:33" x14ac:dyDescent="0.35">
      <c r="A356" s="3">
        <v>44354</v>
      </c>
      <c r="B356" s="6">
        <f>LN(Raw!B358/Raw!B357)</f>
        <v>-2.1784215532655422E-3</v>
      </c>
      <c r="C356" s="6">
        <f>LN(Raw!C358/Raw!C357)</f>
        <v>2.4887451527773256E-3</v>
      </c>
      <c r="D356" s="6">
        <f>LN(Raw!D358/Raw!D357)</f>
        <v>1.4815108457638346E-2</v>
      </c>
      <c r="X356" s="3">
        <v>44354</v>
      </c>
      <c r="Y356" cm="1">
        <f t="array" ref="Y356">SUMPRODUCT($T$2:$T$4,TRANSPOSE(B356:D356))</f>
        <v>-4.0599233997386914E-4</v>
      </c>
      <c r="AD356" s="3">
        <v>44351</v>
      </c>
      <c r="AE356" s="4">
        <v>-1.2015094636128041E-2</v>
      </c>
      <c r="AF356">
        <f t="shared" si="5"/>
        <v>0</v>
      </c>
      <c r="AG356" s="13"/>
    </row>
    <row r="357" spans="1:33" x14ac:dyDescent="0.35">
      <c r="A357" s="3">
        <v>44355</v>
      </c>
      <c r="B357" s="6">
        <f>LN(Raw!B359/Raw!B358)</f>
        <v>1.6036922900039881E-2</v>
      </c>
      <c r="C357" s="6">
        <f>LN(Raw!C359/Raw!C358)</f>
        <v>-9.2396558567486662E-3</v>
      </c>
      <c r="D357" s="6">
        <f>LN(Raw!D359/Raw!D358)</f>
        <v>-1.3380968203063635E-2</v>
      </c>
      <c r="X357" s="3">
        <v>44355</v>
      </c>
      <c r="Y357" cm="1">
        <f t="array" ref="Y357">SUMPRODUCT($T$2:$T$4,TRANSPOSE(B357:D357))</f>
        <v>9.5366296016084068E-3</v>
      </c>
      <c r="AD357" s="3">
        <v>44354</v>
      </c>
      <c r="AE357" s="4">
        <v>-4.0599233997386914E-4</v>
      </c>
      <c r="AF357">
        <f t="shared" si="5"/>
        <v>0</v>
      </c>
      <c r="AG357" s="13"/>
    </row>
    <row r="358" spans="1:33" x14ac:dyDescent="0.35">
      <c r="A358" s="3">
        <v>44356</v>
      </c>
      <c r="B358" s="6">
        <f>LN(Raw!B360/Raw!B359)</f>
        <v>4.2155854182624698E-3</v>
      </c>
      <c r="C358" s="6">
        <f>LN(Raw!C360/Raw!C359)</f>
        <v>-1.7717609809459335E-2</v>
      </c>
      <c r="D358" s="6">
        <f>LN(Raw!D360/Raw!D359)</f>
        <v>-3.9163292502378176E-2</v>
      </c>
      <c r="X358" s="3">
        <v>44356</v>
      </c>
      <c r="Y358" cm="1">
        <f t="array" ref="Y358">SUMPRODUCT($T$2:$T$4,TRANSPOSE(B358:D358))</f>
        <v>-2.3084058775539726E-3</v>
      </c>
      <c r="AD358" s="3">
        <v>44355</v>
      </c>
      <c r="AE358" s="4">
        <v>9.5366296016084068E-3</v>
      </c>
      <c r="AF358">
        <f t="shared" si="5"/>
        <v>0</v>
      </c>
      <c r="AG358" s="13"/>
    </row>
    <row r="359" spans="1:33" x14ac:dyDescent="0.35">
      <c r="A359" s="3">
        <v>44357</v>
      </c>
      <c r="B359" s="6">
        <f>LN(Raw!B361/Raw!B360)</f>
        <v>1.865254884608392E-2</v>
      </c>
      <c r="C359" s="6">
        <f>LN(Raw!C361/Raw!C360)</f>
        <v>3.0598380324718612E-3</v>
      </c>
      <c r="D359" s="6">
        <f>LN(Raw!D361/Raw!D360)</f>
        <v>5.6470775425980875E-3</v>
      </c>
      <c r="X359" s="3">
        <v>44357</v>
      </c>
      <c r="Y359" cm="1">
        <f t="array" ref="Y359">SUMPRODUCT($T$2:$T$4,TRANSPOSE(B359:D359))</f>
        <v>1.4897098992431178E-2</v>
      </c>
      <c r="AD359" s="3">
        <v>44356</v>
      </c>
      <c r="AE359" s="4">
        <v>-2.3084058775539726E-3</v>
      </c>
      <c r="AF359">
        <f t="shared" si="5"/>
        <v>0</v>
      </c>
      <c r="AG359" s="13"/>
    </row>
    <row r="360" spans="1:33" x14ac:dyDescent="0.35">
      <c r="A360" s="3">
        <v>44358</v>
      </c>
      <c r="B360" s="6">
        <f>LN(Raw!B362/Raw!B361)</f>
        <v>9.3458338260815794E-3</v>
      </c>
      <c r="C360" s="6">
        <f>LN(Raw!C362/Raw!C361)</f>
        <v>2.5444955222710353E-4</v>
      </c>
      <c r="D360" s="6">
        <f>LN(Raw!D362/Raw!D361)</f>
        <v>6.7937870403183926E-3</v>
      </c>
      <c r="X360" s="3">
        <v>44358</v>
      </c>
      <c r="Y360" cm="1">
        <f t="array" ref="Y360">SUMPRODUCT($T$2:$T$4,TRANSPOSE(B360:D360))</f>
        <v>7.4051824854497487E-3</v>
      </c>
      <c r="AD360" s="3">
        <v>44357</v>
      </c>
      <c r="AE360" s="4">
        <v>1.4897098992431178E-2</v>
      </c>
      <c r="AF360">
        <f t="shared" si="5"/>
        <v>0</v>
      </c>
      <c r="AG360" s="13"/>
    </row>
    <row r="361" spans="1:33" x14ac:dyDescent="0.35">
      <c r="A361" s="3">
        <v>44361</v>
      </c>
      <c r="B361" s="6">
        <f>LN(Raw!B363/Raw!B362)</f>
        <v>-7.5826049811248495E-3</v>
      </c>
      <c r="C361" s="6">
        <f>LN(Raw!C363/Raw!C362)</f>
        <v>-1.3581259724509499E-2</v>
      </c>
      <c r="D361" s="6">
        <f>LN(Raw!D363/Raw!D362)</f>
        <v>-1.7820479235518258E-2</v>
      </c>
      <c r="X361" s="3">
        <v>44361</v>
      </c>
      <c r="Y361" cm="1">
        <f t="array" ref="Y361">SUMPRODUCT($T$2:$T$4,TRANSPOSE(B361:D361))</f>
        <v>-9.2864184948604593E-3</v>
      </c>
      <c r="AD361" s="3">
        <v>44358</v>
      </c>
      <c r="AE361" s="4">
        <v>7.4051824854497487E-3</v>
      </c>
      <c r="AF361">
        <f t="shared" si="5"/>
        <v>0</v>
      </c>
      <c r="AG361" s="13"/>
    </row>
    <row r="362" spans="1:33" x14ac:dyDescent="0.35">
      <c r="A362" s="3">
        <v>44362</v>
      </c>
      <c r="B362" s="6">
        <f>LN(Raw!B364/Raw!B363)</f>
        <v>-8.6469330474533588E-4</v>
      </c>
      <c r="C362" s="6">
        <f>LN(Raw!C364/Raw!C363)</f>
        <v>5.4034621079144798E-3</v>
      </c>
      <c r="D362" s="6">
        <f>LN(Raw!D364/Raw!D363)</f>
        <v>-5.7099650246028562E-3</v>
      </c>
      <c r="X362" s="3">
        <v>44362</v>
      </c>
      <c r="Y362" cm="1">
        <f t="array" ref="Y362">SUMPRODUCT($T$2:$T$4,TRANSPOSE(B362:D362))</f>
        <v>1.4643747522347024E-4</v>
      </c>
      <c r="AD362" s="3">
        <v>44361</v>
      </c>
      <c r="AE362" s="4">
        <v>-9.2864184948604593E-3</v>
      </c>
      <c r="AF362">
        <f t="shared" si="5"/>
        <v>0</v>
      </c>
      <c r="AG362" s="13"/>
    </row>
    <row r="363" spans="1:33" x14ac:dyDescent="0.35">
      <c r="A363" s="3">
        <v>44363</v>
      </c>
      <c r="B363" s="6">
        <f>LN(Raw!B365/Raw!B364)</f>
        <v>8.7440020774426815E-3</v>
      </c>
      <c r="C363" s="6">
        <f>LN(Raw!C365/Raw!C364)</f>
        <v>3.2069301481031598E-2</v>
      </c>
      <c r="D363" s="6">
        <f>LN(Raw!D365/Raw!D364)</f>
        <v>4.8244590176966189E-2</v>
      </c>
      <c r="X363" s="3">
        <v>44363</v>
      </c>
      <c r="Y363" cm="1">
        <f t="array" ref="Y363">SUMPRODUCT($T$2:$T$4,TRANSPOSE(B363:D363))</f>
        <v>1.535387584740946E-2</v>
      </c>
      <c r="AD363" s="3">
        <v>44362</v>
      </c>
      <c r="AE363" s="4">
        <v>1.4643747522347024E-4</v>
      </c>
      <c r="AF363">
        <f t="shared" si="5"/>
        <v>0</v>
      </c>
      <c r="AG363" s="13"/>
    </row>
    <row r="364" spans="1:33" x14ac:dyDescent="0.35">
      <c r="A364" s="3">
        <v>44364</v>
      </c>
      <c r="B364" s="6">
        <f>LN(Raw!B366/Raw!B365)</f>
        <v>-5.3566157611019925E-3</v>
      </c>
      <c r="C364" s="6">
        <f>LN(Raw!C366/Raw!C365)</f>
        <v>1.1120876563621361E-2</v>
      </c>
      <c r="D364" s="6">
        <f>LN(Raw!D366/Raw!D365)</f>
        <v>-1.3589900349878992E-2</v>
      </c>
      <c r="X364" s="3">
        <v>44364</v>
      </c>
      <c r="Y364" cm="1">
        <f t="array" ref="Y364">SUMPRODUCT($T$2:$T$4,TRANSPOSE(B364:D364))</f>
        <v>-2.4757002099640201E-3</v>
      </c>
      <c r="AD364" s="3">
        <v>44363</v>
      </c>
      <c r="AE364" s="4">
        <v>1.535387584740946E-2</v>
      </c>
      <c r="AF364">
        <f t="shared" si="5"/>
        <v>0</v>
      </c>
      <c r="AG364" s="13"/>
    </row>
    <row r="365" spans="1:33" x14ac:dyDescent="0.35">
      <c r="A365" s="3">
        <v>44365</v>
      </c>
      <c r="B365" s="6">
        <f>LN(Raw!B367/Raw!B366)</f>
        <v>1.702819137847655E-2</v>
      </c>
      <c r="C365" s="6">
        <f>LN(Raw!C367/Raw!C366)</f>
        <v>-8.8868356727281172E-3</v>
      </c>
      <c r="D365" s="6">
        <f>LN(Raw!D367/Raw!D366)</f>
        <v>1.0137563841897238E-2</v>
      </c>
      <c r="X365" s="3">
        <v>44365</v>
      </c>
      <c r="Y365" cm="1">
        <f t="array" ref="Y365">SUMPRODUCT($T$2:$T$4,TRANSPOSE(B365:D365))</f>
        <v>1.1515360895956978E-2</v>
      </c>
      <c r="AD365" s="3">
        <v>44364</v>
      </c>
      <c r="AE365" s="4">
        <v>-2.4757002099640201E-3</v>
      </c>
      <c r="AF365">
        <f t="shared" si="5"/>
        <v>0</v>
      </c>
      <c r="AG365" s="13"/>
    </row>
    <row r="366" spans="1:33" x14ac:dyDescent="0.35">
      <c r="A366" s="3">
        <v>44368</v>
      </c>
      <c r="B366" s="6">
        <f>LN(Raw!B368/Raw!B367)</f>
        <v>-4.3445407933379691E-3</v>
      </c>
      <c r="C366" s="6">
        <f>LN(Raw!C368/Raw!C367)</f>
        <v>-1.5240669241555118E-2</v>
      </c>
      <c r="D366" s="6">
        <f>LN(Raw!D368/Raw!D367)</f>
        <v>-1.305300074811459E-2</v>
      </c>
      <c r="X366" s="3">
        <v>44368</v>
      </c>
      <c r="Y366" cm="1">
        <f t="array" ref="Y366">SUMPRODUCT($T$2:$T$4,TRANSPOSE(B366:D366))</f>
        <v>-6.9500429231952945E-3</v>
      </c>
      <c r="AD366" s="3">
        <v>44365</v>
      </c>
      <c r="AE366" s="4">
        <v>1.1515360895956978E-2</v>
      </c>
      <c r="AF366">
        <f t="shared" si="5"/>
        <v>0</v>
      </c>
      <c r="AG366" s="13"/>
    </row>
    <row r="367" spans="1:33" x14ac:dyDescent="0.35">
      <c r="A367" s="3">
        <v>44369</v>
      </c>
      <c r="B367" s="6">
        <f>LN(Raw!B369/Raw!B368)</f>
        <v>-1.5398067960363383E-3</v>
      </c>
      <c r="C367" s="6">
        <f>LN(Raw!C369/Raw!C368)</f>
        <v>4.5214839501784357E-3</v>
      </c>
      <c r="D367" s="6">
        <f>LN(Raw!D369/Raw!D368)</f>
        <v>-9.9766802831303403E-3</v>
      </c>
      <c r="X367" s="3">
        <v>44369</v>
      </c>
      <c r="Y367" cm="1">
        <f t="array" ref="Y367">SUMPRODUCT($T$2:$T$4,TRANSPOSE(B367:D367))</f>
        <v>-7.4770835966095914E-4</v>
      </c>
      <c r="AD367" s="3">
        <v>44368</v>
      </c>
      <c r="AE367" s="4">
        <v>-6.9500429231952945E-3</v>
      </c>
      <c r="AF367">
        <f t="shared" si="5"/>
        <v>0</v>
      </c>
      <c r="AG367" s="13"/>
    </row>
    <row r="368" spans="1:33" x14ac:dyDescent="0.35">
      <c r="A368" s="3">
        <v>44370</v>
      </c>
      <c r="B368" s="6">
        <f>LN(Raw!B370/Raw!B369)</f>
        <v>5.6235751317339801E-3</v>
      </c>
      <c r="C368" s="6">
        <f>LN(Raw!C370/Raw!C369)</f>
        <v>-4.0181996239907376E-3</v>
      </c>
      <c r="D368" s="6">
        <f>LN(Raw!D370/Raw!D369)</f>
        <v>-1.1866079608182341E-2</v>
      </c>
      <c r="X368" s="3">
        <v>44370</v>
      </c>
      <c r="Y368" cm="1">
        <f t="array" ref="Y368">SUMPRODUCT($T$2:$T$4,TRANSPOSE(B368:D368))</f>
        <v>2.8338195993405603E-3</v>
      </c>
      <c r="AD368" s="3">
        <v>44369</v>
      </c>
      <c r="AE368" s="4">
        <v>-7.4770835966095914E-4</v>
      </c>
      <c r="AF368">
        <f t="shared" si="5"/>
        <v>0</v>
      </c>
      <c r="AG368" s="13"/>
    </row>
    <row r="369" spans="1:33" x14ac:dyDescent="0.35">
      <c r="A369" s="3">
        <v>44371</v>
      </c>
      <c r="B369" s="6">
        <f>LN(Raw!B371/Raw!B370)</f>
        <v>-5.4596549159876577E-3</v>
      </c>
      <c r="C369" s="6">
        <f>LN(Raw!C371/Raw!C370)</f>
        <v>2.5167490376387474E-4</v>
      </c>
      <c r="D369" s="6">
        <f>LN(Raw!D371/Raw!D370)</f>
        <v>-1.0197932584280662E-2</v>
      </c>
      <c r="X369" s="3">
        <v>44371</v>
      </c>
      <c r="Y369" cm="1">
        <f t="array" ref="Y369">SUMPRODUCT($T$2:$T$4,TRANSPOSE(B369:D369))</f>
        <v>-4.5543535693226651E-3</v>
      </c>
      <c r="AD369" s="3">
        <v>44370</v>
      </c>
      <c r="AE369" s="4">
        <v>2.8338195993405603E-3</v>
      </c>
      <c r="AF369">
        <f t="shared" si="5"/>
        <v>0</v>
      </c>
      <c r="AG369" s="13"/>
    </row>
    <row r="370" spans="1:33" x14ac:dyDescent="0.35">
      <c r="A370" s="3">
        <v>44372</v>
      </c>
      <c r="B370" s="6">
        <f>LN(Raw!B372/Raw!B371)</f>
        <v>1.5548054760504169E-2</v>
      </c>
      <c r="C370" s="6">
        <f>LN(Raw!C372/Raw!C371)</f>
        <v>-2.0144925814985426E-3</v>
      </c>
      <c r="D370" s="6">
        <f>LN(Raw!D372/Raw!D371)</f>
        <v>-3.3217505679568647E-3</v>
      </c>
      <c r="X370" s="3">
        <v>44372</v>
      </c>
      <c r="Y370" cm="1">
        <f t="array" ref="Y370">SUMPRODUCT($T$2:$T$4,TRANSPOSE(B370:D370))</f>
        <v>1.1109261890828897E-2</v>
      </c>
      <c r="AD370" s="3">
        <v>44371</v>
      </c>
      <c r="AE370" s="4">
        <v>-4.5543535693226651E-3</v>
      </c>
      <c r="AF370">
        <f t="shared" si="5"/>
        <v>0</v>
      </c>
      <c r="AG370" s="13"/>
    </row>
    <row r="371" spans="1:33" x14ac:dyDescent="0.35">
      <c r="A371" s="3">
        <v>44375</v>
      </c>
      <c r="B371" s="6">
        <f>LN(Raw!B373/Raw!B372)</f>
        <v>3.1265498371819474E-2</v>
      </c>
      <c r="C371" s="6">
        <f>LN(Raw!C373/Raw!C372)</f>
        <v>1.7628176777346857E-3</v>
      </c>
      <c r="D371" s="6">
        <f>LN(Raw!D373/Raw!D372)</f>
        <v>-9.0806766022356758E-4</v>
      </c>
      <c r="X371" s="3">
        <v>44375</v>
      </c>
      <c r="Y371" cm="1">
        <f t="array" ref="Y371">SUMPRODUCT($T$2:$T$4,TRANSPOSE(B371:D371))</f>
        <v>2.3785431203062837E-2</v>
      </c>
      <c r="AD371" s="3">
        <v>44372</v>
      </c>
      <c r="AE371" s="4">
        <v>1.1109261890828897E-2</v>
      </c>
      <c r="AF371">
        <f t="shared" si="5"/>
        <v>0</v>
      </c>
      <c r="AG371" s="13"/>
    </row>
    <row r="372" spans="1:33" x14ac:dyDescent="0.35">
      <c r="A372" s="3">
        <v>44376</v>
      </c>
      <c r="B372" s="6">
        <f>LN(Raw!B374/Raw!B373)</f>
        <v>-1.0345013491640919E-2</v>
      </c>
      <c r="C372" s="6">
        <f>LN(Raw!C374/Raw!C373)</f>
        <v>2.7793461132469121E-2</v>
      </c>
      <c r="D372" s="6">
        <f>LN(Raw!D374/Raw!D373)</f>
        <v>4.5570163983524287E-2</v>
      </c>
      <c r="X372" s="3">
        <v>44376</v>
      </c>
      <c r="Y372" cm="1">
        <f t="array" ref="Y372">SUMPRODUCT($T$2:$T$4,TRANSPOSE(B372:D372))</f>
        <v>3.3457332071068317E-5</v>
      </c>
      <c r="AD372" s="3">
        <v>44375</v>
      </c>
      <c r="AE372" s="4">
        <v>2.3785431203062837E-2</v>
      </c>
      <c r="AF372">
        <f t="shared" si="5"/>
        <v>0</v>
      </c>
      <c r="AG372" s="13"/>
    </row>
    <row r="373" spans="1:33" x14ac:dyDescent="0.35">
      <c r="A373" s="3">
        <v>44377</v>
      </c>
      <c r="B373" s="6">
        <f>LN(Raw!B375/Raw!B374)</f>
        <v>-9.4637104327876462E-3</v>
      </c>
      <c r="C373" s="6">
        <f>LN(Raw!C375/Raw!C374)</f>
        <v>2.0349536078766658E-2</v>
      </c>
      <c r="D373" s="6">
        <f>LN(Raw!D375/Raw!D374)</f>
        <v>-1.8981471167620053E-2</v>
      </c>
      <c r="X373" s="3">
        <v>44377</v>
      </c>
      <c r="Y373" cm="1">
        <f t="array" ref="Y373">SUMPRODUCT($T$2:$T$4,TRANSPOSE(B373:D373))</f>
        <v>-3.9849727304240232E-3</v>
      </c>
      <c r="AD373" s="3">
        <v>44376</v>
      </c>
      <c r="AE373" s="4">
        <v>3.3457332071068317E-5</v>
      </c>
      <c r="AF373">
        <f t="shared" si="5"/>
        <v>0</v>
      </c>
      <c r="AG373" s="13"/>
    </row>
    <row r="374" spans="1:33" x14ac:dyDescent="0.35">
      <c r="A374" s="3">
        <v>44378</v>
      </c>
      <c r="B374" s="6">
        <f>LN(Raw!B376/Raw!B375)</f>
        <v>-5.2466754454527764E-3</v>
      </c>
      <c r="C374" s="6">
        <f>LN(Raw!C376/Raw!C375)</f>
        <v>-1.327718580688865E-2</v>
      </c>
      <c r="D374" s="6">
        <f>LN(Raw!D376/Raw!D375)</f>
        <v>1.6664584398967976E-2</v>
      </c>
      <c r="X374" s="3">
        <v>44378</v>
      </c>
      <c r="Y374" cm="1">
        <f t="array" ref="Y374">SUMPRODUCT($T$2:$T$4,TRANSPOSE(B374:D374))</f>
        <v>-5.7649183698243699E-3</v>
      </c>
      <c r="AD374" s="3">
        <v>44377</v>
      </c>
      <c r="AE374" s="4">
        <v>-3.9849727304240232E-3</v>
      </c>
      <c r="AF374">
        <f t="shared" si="5"/>
        <v>0</v>
      </c>
      <c r="AG374" s="13"/>
    </row>
    <row r="375" spans="1:33" x14ac:dyDescent="0.35">
      <c r="A375" s="3">
        <v>44379</v>
      </c>
      <c r="B375" s="6">
        <f>LN(Raw!B377/Raw!B376)</f>
        <v>-3.4381926906796451E-3</v>
      </c>
      <c r="C375" s="6">
        <f>LN(Raw!C377/Raw!C376)</f>
        <v>-2.7844607029190175E-2</v>
      </c>
      <c r="D375" s="6">
        <f>LN(Raw!D377/Raw!D376)</f>
        <v>-5.799697458507238E-4</v>
      </c>
      <c r="X375" s="3">
        <v>44379</v>
      </c>
      <c r="Y375" cm="1">
        <f t="array" ref="Y375">SUMPRODUCT($T$2:$T$4,TRANSPOSE(B375:D375))</f>
        <v>-8.1674803696575957E-3</v>
      </c>
      <c r="AD375" s="3">
        <v>44378</v>
      </c>
      <c r="AE375" s="4">
        <v>-5.7649183698243699E-3</v>
      </c>
      <c r="AF375">
        <f t="shared" si="5"/>
        <v>0</v>
      </c>
      <c r="AG375" s="13"/>
    </row>
    <row r="376" spans="1:33" x14ac:dyDescent="0.35">
      <c r="A376" s="3">
        <v>44382</v>
      </c>
      <c r="B376" s="6">
        <f>LN(Raw!B378/Raw!B377)</f>
        <v>8.4613099803807785E-3</v>
      </c>
      <c r="C376" s="6">
        <f>LN(Raw!C378/Raw!C377)</f>
        <v>-5.2610637492926981E-3</v>
      </c>
      <c r="D376" s="6">
        <f>LN(Raw!D378/Raw!D377)</f>
        <v>-1.3434851180361114E-2</v>
      </c>
      <c r="X376" s="3">
        <v>44382</v>
      </c>
      <c r="Y376" cm="1">
        <f t="array" ref="Y376">SUMPRODUCT($T$2:$T$4,TRANSPOSE(B376:D376))</f>
        <v>4.6391186006477757E-3</v>
      </c>
      <c r="AD376" s="3">
        <v>44379</v>
      </c>
      <c r="AE376" s="4">
        <v>-8.1674803696575957E-3</v>
      </c>
      <c r="AF376">
        <f t="shared" si="5"/>
        <v>0</v>
      </c>
      <c r="AG376" s="13"/>
    </row>
    <row r="377" spans="1:33" x14ac:dyDescent="0.35">
      <c r="A377" s="3">
        <v>44383</v>
      </c>
      <c r="B377" s="6">
        <f>LN(Raw!B379/Raw!B378)</f>
        <v>1.1483317842159936E-3</v>
      </c>
      <c r="C377" s="6">
        <f>LN(Raw!C379/Raw!C378)</f>
        <v>2.0388428173420587E-2</v>
      </c>
      <c r="D377" s="6">
        <f>LN(Raw!D379/Raw!D378)</f>
        <v>-8.5634068979533098E-3</v>
      </c>
      <c r="X377" s="3">
        <v>44383</v>
      </c>
      <c r="Y377" cm="1">
        <f t="array" ref="Y377">SUMPRODUCT($T$2:$T$4,TRANSPOSE(B377:D377))</f>
        <v>4.5074060401557228E-3</v>
      </c>
      <c r="AD377" s="3">
        <v>44382</v>
      </c>
      <c r="AE377" s="4">
        <v>4.6391186006477757E-3</v>
      </c>
      <c r="AF377">
        <f t="shared" si="5"/>
        <v>0</v>
      </c>
      <c r="AG377" s="13"/>
    </row>
    <row r="378" spans="1:33" x14ac:dyDescent="0.35">
      <c r="A378" s="3">
        <v>44384</v>
      </c>
      <c r="B378" s="6">
        <f>LN(Raw!B380/Raw!B379)</f>
        <v>1.3079949114209408E-2</v>
      </c>
      <c r="C378" s="6">
        <f>LN(Raw!C380/Raw!C379)</f>
        <v>-2.2903632913810798E-2</v>
      </c>
      <c r="D378" s="6">
        <f>LN(Raw!D380/Raw!D379)</f>
        <v>0</v>
      </c>
      <c r="X378" s="3">
        <v>44384</v>
      </c>
      <c r="Y378" cm="1">
        <f t="array" ref="Y378">SUMPRODUCT($T$2:$T$4,TRANSPOSE(B378:D378))</f>
        <v>5.2514461878111329E-3</v>
      </c>
      <c r="AD378" s="3">
        <v>44383</v>
      </c>
      <c r="AE378" s="4">
        <v>4.5074060401557228E-3</v>
      </c>
      <c r="AF378">
        <f t="shared" si="5"/>
        <v>0</v>
      </c>
      <c r="AG378" s="13"/>
    </row>
    <row r="379" spans="1:33" x14ac:dyDescent="0.35">
      <c r="A379" s="3">
        <v>44385</v>
      </c>
      <c r="B379" s="6">
        <f>LN(Raw!B381/Raw!B380)</f>
        <v>-1.2601806015541003E-2</v>
      </c>
      <c r="C379" s="6">
        <f>LN(Raw!C381/Raw!C380)</f>
        <v>-1.0124046442314556E-2</v>
      </c>
      <c r="D379" s="6">
        <f>LN(Raw!D381/Raw!D380)</f>
        <v>-1.4939036338627565E-2</v>
      </c>
      <c r="X379" s="3">
        <v>44385</v>
      </c>
      <c r="Y379" cm="1">
        <f t="array" ref="Y379">SUMPRODUCT($T$2:$T$4,TRANSPOSE(B379:D379))</f>
        <v>-1.2222993948649971E-2</v>
      </c>
      <c r="AD379" s="3">
        <v>44384</v>
      </c>
      <c r="AE379" s="4">
        <v>5.2514461878111329E-3</v>
      </c>
      <c r="AF379">
        <f t="shared" si="5"/>
        <v>0</v>
      </c>
      <c r="AG379" s="13"/>
    </row>
    <row r="380" spans="1:33" x14ac:dyDescent="0.35">
      <c r="A380" s="3">
        <v>44386</v>
      </c>
      <c r="B380" s="6">
        <f>LN(Raw!B382/Raw!B381)</f>
        <v>-3.8252843375664246E-4</v>
      </c>
      <c r="C380" s="6">
        <f>LN(Raw!C382/Raw!C381)</f>
        <v>-1.0741875644231735E-2</v>
      </c>
      <c r="D380" s="6">
        <f>LN(Raw!D382/Raw!D381)</f>
        <v>4.2055814759658994E-3</v>
      </c>
      <c r="X380" s="3">
        <v>44386</v>
      </c>
      <c r="Y380" cm="1">
        <f t="array" ref="Y380">SUMPRODUCT($T$2:$T$4,TRANSPOSE(B380:D380))</f>
        <v>-2.2228574987440959E-3</v>
      </c>
      <c r="AD380" s="3">
        <v>44385</v>
      </c>
      <c r="AE380" s="4">
        <v>-1.2222993948649971E-2</v>
      </c>
      <c r="AF380">
        <f t="shared" si="5"/>
        <v>0</v>
      </c>
      <c r="AG380" s="13"/>
    </row>
    <row r="381" spans="1:33" x14ac:dyDescent="0.35">
      <c r="A381" s="3">
        <v>44389</v>
      </c>
      <c r="B381" s="6">
        <f>LN(Raw!B383/Raw!B382)</f>
        <v>1.0401079540414132E-2</v>
      </c>
      <c r="C381" s="6">
        <f>LN(Raw!C383/Raw!C382)</f>
        <v>-1.4765236845371735E-2</v>
      </c>
      <c r="D381" s="6">
        <f>LN(Raw!D383/Raw!D382)</f>
        <v>-3.0022758957035751E-3</v>
      </c>
      <c r="X381" s="3">
        <v>44389</v>
      </c>
      <c r="Y381" cm="1">
        <f t="array" ref="Y381">SUMPRODUCT($T$2:$T$4,TRANSPOSE(B381:D381))</f>
        <v>4.7153522570406023E-3</v>
      </c>
      <c r="AD381" s="3">
        <v>44386</v>
      </c>
      <c r="AE381" s="4">
        <v>-2.2228574987440959E-3</v>
      </c>
      <c r="AF381">
        <f t="shared" si="5"/>
        <v>0</v>
      </c>
      <c r="AG381" s="13"/>
    </row>
    <row r="382" spans="1:33" x14ac:dyDescent="0.35">
      <c r="A382" s="3">
        <v>44390</v>
      </c>
      <c r="B382" s="6">
        <f>LN(Raw!B384/Raw!B383)</f>
        <v>-2.6726467672810578E-2</v>
      </c>
      <c r="C382" s="6">
        <f>LN(Raw!C384/Raw!C383)</f>
        <v>-1.1548653639738197E-2</v>
      </c>
      <c r="D382" s="6">
        <f>LN(Raw!D384/Raw!D383)</f>
        <v>5.0982635525465515E-3</v>
      </c>
      <c r="X382" s="3">
        <v>44390</v>
      </c>
      <c r="Y382" cm="1">
        <f t="array" ref="Y382">SUMPRODUCT($T$2:$T$4,TRANSPOSE(B382:D382))</f>
        <v>-2.2122450682569419E-2</v>
      </c>
      <c r="AD382" s="3">
        <v>44389</v>
      </c>
      <c r="AE382" s="4">
        <v>4.7153522570406023E-3</v>
      </c>
      <c r="AF382">
        <f t="shared" si="5"/>
        <v>0</v>
      </c>
      <c r="AG382" s="13"/>
    </row>
    <row r="383" spans="1:33" x14ac:dyDescent="0.35">
      <c r="A383" s="3">
        <v>44391</v>
      </c>
      <c r="B383" s="6">
        <f>LN(Raw!B385/Raw!B384)</f>
        <v>-7.512528429158203E-3</v>
      </c>
      <c r="C383" s="6">
        <f>LN(Raw!C385/Raw!C384)</f>
        <v>-1.0882578625090164E-2</v>
      </c>
      <c r="D383" s="6">
        <f>LN(Raw!D385/Raw!D384)</f>
        <v>-5.098263552546574E-3</v>
      </c>
      <c r="X383" s="3">
        <v>44391</v>
      </c>
      <c r="Y383" cm="1">
        <f t="array" ref="Y383">SUMPRODUCT($T$2:$T$4,TRANSPOSE(B383:D383))</f>
        <v>-8.0656006114329208E-3</v>
      </c>
      <c r="AD383" s="3">
        <v>44390</v>
      </c>
      <c r="AE383" s="4">
        <v>-2.2122450682569419E-2</v>
      </c>
      <c r="AF383">
        <f t="shared" si="5"/>
        <v>0</v>
      </c>
      <c r="AG383" s="13"/>
    </row>
    <row r="384" spans="1:33" x14ac:dyDescent="0.35">
      <c r="A384" s="3">
        <v>44392</v>
      </c>
      <c r="B384" s="6">
        <f>LN(Raw!B386/Raw!B385)</f>
        <v>1.0585887982053838E-2</v>
      </c>
      <c r="C384" s="6">
        <f>LN(Raw!C386/Raw!C385)</f>
        <v>-1.3704408694634157E-2</v>
      </c>
      <c r="D384" s="6">
        <f>LN(Raw!D386/Raw!D385)</f>
        <v>-4.2181580729402377E-3</v>
      </c>
      <c r="X384" s="3">
        <v>44392</v>
      </c>
      <c r="Y384" cm="1">
        <f t="array" ref="Y384">SUMPRODUCT($T$2:$T$4,TRANSPOSE(B384:D384))</f>
        <v>5.0056659450721987E-3</v>
      </c>
      <c r="AD384" s="3">
        <v>44391</v>
      </c>
      <c r="AE384" s="4">
        <v>-8.0656006114329208E-3</v>
      </c>
      <c r="AF384">
        <f t="shared" si="5"/>
        <v>0</v>
      </c>
      <c r="AG384" s="13"/>
    </row>
    <row r="385" spans="1:33" x14ac:dyDescent="0.35">
      <c r="A385" s="3">
        <v>44393</v>
      </c>
      <c r="B385" s="6">
        <f>LN(Raw!B387/Raw!B386)</f>
        <v>-1.726773052898898E-2</v>
      </c>
      <c r="C385" s="6">
        <f>LN(Raw!C387/Raw!C386)</f>
        <v>5.4094858435944286E-4</v>
      </c>
      <c r="D385" s="6">
        <f>LN(Raw!D387/Raw!D386)</f>
        <v>-5.4495542004913402E-3</v>
      </c>
      <c r="X385" s="3">
        <v>44393</v>
      </c>
      <c r="Y385" cm="1">
        <f t="array" ref="Y385">SUMPRODUCT($T$2:$T$4,TRANSPOSE(B385:D385))</f>
        <v>-1.3128803485603992E-2</v>
      </c>
      <c r="AD385" s="3">
        <v>44392</v>
      </c>
      <c r="AE385" s="4">
        <v>5.0056659450721987E-3</v>
      </c>
      <c r="AF385">
        <f t="shared" si="5"/>
        <v>0</v>
      </c>
      <c r="AG385" s="13"/>
    </row>
    <row r="386" spans="1:33" x14ac:dyDescent="0.35">
      <c r="A386" s="3">
        <v>44396</v>
      </c>
      <c r="B386" s="6">
        <f>LN(Raw!B388/Raw!B387)</f>
        <v>-2.1055441069295945E-2</v>
      </c>
      <c r="C386" s="6">
        <f>LN(Raw!C388/Raw!C387)</f>
        <v>-8.9637500879793733E-3</v>
      </c>
      <c r="D386" s="6">
        <f>LN(Raw!D388/Raw!D387)</f>
        <v>-3.6495408868514605E-3</v>
      </c>
      <c r="X386" s="3">
        <v>44396</v>
      </c>
      <c r="Y386" cm="1">
        <f t="array" ref="Y386">SUMPRODUCT($T$2:$T$4,TRANSPOSE(B386:D386))</f>
        <v>-1.7780905328293743E-2</v>
      </c>
      <c r="AD386" s="3">
        <v>44393</v>
      </c>
      <c r="AE386" s="4">
        <v>-1.3128803485603992E-2</v>
      </c>
      <c r="AF386">
        <f t="shared" si="5"/>
        <v>0</v>
      </c>
      <c r="AG386" s="13"/>
    </row>
    <row r="387" spans="1:33" x14ac:dyDescent="0.35">
      <c r="A387" s="3">
        <v>44397</v>
      </c>
      <c r="B387" s="6">
        <f>LN(Raw!B389/Raw!B388)</f>
        <v>-8.4599276267407608E-3</v>
      </c>
      <c r="C387" s="6">
        <f>LN(Raw!C389/Raw!C388)</f>
        <v>-3.5266812123842278E-2</v>
      </c>
      <c r="D387" s="6">
        <f>LN(Raw!D389/Raw!D388)</f>
        <v>-3.4721415893997146E-2</v>
      </c>
      <c r="X387" s="3">
        <v>44397</v>
      </c>
      <c r="Y387" cm="1">
        <f t="array" ref="Y387">SUMPRODUCT($T$2:$T$4,TRANSPOSE(B387:D387))</f>
        <v>-1.5109410189154014E-2</v>
      </c>
      <c r="AD387" s="3">
        <v>44396</v>
      </c>
      <c r="AE387" s="4">
        <v>-1.7780905328293743E-2</v>
      </c>
      <c r="AF387">
        <f t="shared" ref="AF387:AF450" si="6">IF(AE387&lt;$AB$2,1,0)</f>
        <v>0</v>
      </c>
      <c r="AG387" s="13"/>
    </row>
    <row r="388" spans="1:33" x14ac:dyDescent="0.35">
      <c r="A388" s="3">
        <v>44399</v>
      </c>
      <c r="B388" s="6">
        <f>LN(Raw!B390/Raw!B389)</f>
        <v>4.4130999140927329E-2</v>
      </c>
      <c r="C388" s="6">
        <f>LN(Raw!C390/Raw!C389)</f>
        <v>-1.3659857769317961E-2</v>
      </c>
      <c r="D388" s="6">
        <f>LN(Raw!D390/Raw!D389)</f>
        <v>1.3784638241953527E-2</v>
      </c>
      <c r="X388" s="3">
        <v>44399</v>
      </c>
      <c r="Y388" cm="1">
        <f t="array" ref="Y388">SUMPRODUCT($T$2:$T$4,TRANSPOSE(B388:D388))</f>
        <v>3.1095943170276825E-2</v>
      </c>
      <c r="AD388" s="3">
        <v>44397</v>
      </c>
      <c r="AE388" s="4">
        <v>-1.5109410189154014E-2</v>
      </c>
      <c r="AF388">
        <f t="shared" si="6"/>
        <v>0</v>
      </c>
      <c r="AG388" s="13"/>
    </row>
    <row r="389" spans="1:33" x14ac:dyDescent="0.35">
      <c r="A389" s="3">
        <v>44400</v>
      </c>
      <c r="B389" s="6">
        <f>LN(Raw!B391/Raw!B390)</f>
        <v>-3.8999412494081155E-2</v>
      </c>
      <c r="C389" s="6">
        <f>LN(Raw!C391/Raw!C390)</f>
        <v>-4.3072079502799298E-3</v>
      </c>
      <c r="D389" s="6">
        <f>LN(Raw!D391/Raw!D390)</f>
        <v>-1.3784638241953518E-2</v>
      </c>
      <c r="X389" s="3">
        <v>44400</v>
      </c>
      <c r="Y389" cm="1">
        <f t="array" ref="Y389">SUMPRODUCT($T$2:$T$4,TRANSPOSE(B389:D389))</f>
        <v>-3.0828073265249802E-2</v>
      </c>
      <c r="AD389" s="3">
        <v>44399</v>
      </c>
      <c r="AE389" s="4">
        <v>3.1095943170276825E-2</v>
      </c>
      <c r="AF389">
        <f t="shared" si="6"/>
        <v>0</v>
      </c>
      <c r="AG389" s="13"/>
    </row>
    <row r="390" spans="1:33" x14ac:dyDescent="0.35">
      <c r="A390" s="3">
        <v>44403</v>
      </c>
      <c r="B390" s="6">
        <f>LN(Raw!B392/Raw!B391)</f>
        <v>-1.9621399753386143E-2</v>
      </c>
      <c r="C390" s="6">
        <f>LN(Raw!C392/Raw!C391)</f>
        <v>6.0249293073566437E-3</v>
      </c>
      <c r="D390" s="6">
        <f>LN(Raw!D392/Raw!D391)</f>
        <v>4.412250095062363E-2</v>
      </c>
      <c r="X390" s="3">
        <v>44403</v>
      </c>
      <c r="Y390" cm="1">
        <f t="array" ref="Y390">SUMPRODUCT($T$2:$T$4,TRANSPOSE(B390:D390))</f>
        <v>-1.1348518104523263E-2</v>
      </c>
      <c r="AD390" s="3">
        <v>44400</v>
      </c>
      <c r="AE390" s="4">
        <v>-3.0828073265249802E-2</v>
      </c>
      <c r="AF390">
        <f t="shared" si="6"/>
        <v>0</v>
      </c>
      <c r="AG390" s="13"/>
    </row>
    <row r="391" spans="1:33" x14ac:dyDescent="0.35">
      <c r="A391" s="3">
        <v>44404</v>
      </c>
      <c r="B391" s="6">
        <f>LN(Raw!B393/Raw!B392)</f>
        <v>1.2423005731886131E-2</v>
      </c>
      <c r="C391" s="6">
        <f>LN(Raw!C393/Raw!C392)</f>
        <v>1.1436394651839481E-3</v>
      </c>
      <c r="D391" s="6">
        <f>LN(Raw!D393/Raw!D392)</f>
        <v>-2.8162301794115482E-2</v>
      </c>
      <c r="X391" s="3">
        <v>44404</v>
      </c>
      <c r="Y391" cm="1">
        <f t="array" ref="Y391">SUMPRODUCT($T$2:$T$4,TRANSPOSE(B391:D391))</f>
        <v>8.1634327581232499E-3</v>
      </c>
      <c r="AD391" s="3">
        <v>44403</v>
      </c>
      <c r="AE391" s="4">
        <v>-1.1348518104523263E-2</v>
      </c>
      <c r="AF391">
        <f t="shared" si="6"/>
        <v>0</v>
      </c>
      <c r="AG391" s="13"/>
    </row>
    <row r="392" spans="1:33" x14ac:dyDescent="0.35">
      <c r="A392" s="3">
        <v>44405</v>
      </c>
      <c r="B392" s="6">
        <f>LN(Raw!B394/Raw!B393)</f>
        <v>1.6950081647988457E-2</v>
      </c>
      <c r="C392" s="6">
        <f>LN(Raw!C394/Raw!C393)</f>
        <v>2.5110558705483121E-2</v>
      </c>
      <c r="D392" s="6">
        <f>LN(Raw!D394/Raw!D393)</f>
        <v>2.2714301654245823E-2</v>
      </c>
      <c r="X392" s="3">
        <v>44405</v>
      </c>
      <c r="Y392" cm="1">
        <f t="array" ref="Y392">SUMPRODUCT($T$2:$T$4,TRANSPOSE(B392:D392))</f>
        <v>1.886392419400747E-2</v>
      </c>
      <c r="AD392" s="3">
        <v>44404</v>
      </c>
      <c r="AE392" s="4">
        <v>8.1634327581232499E-3</v>
      </c>
      <c r="AF392">
        <f t="shared" si="6"/>
        <v>0</v>
      </c>
      <c r="AG392" s="13"/>
    </row>
    <row r="393" spans="1:33" x14ac:dyDescent="0.35">
      <c r="A393" s="3">
        <v>44406</v>
      </c>
      <c r="B393" s="6">
        <f>LN(Raw!B395/Raw!B394)</f>
        <v>-2.2702811767351914E-3</v>
      </c>
      <c r="C393" s="6">
        <f>LN(Raw!C395/Raw!C394)</f>
        <v>-1.9522924442072047E-3</v>
      </c>
      <c r="D393" s="6">
        <f>LN(Raw!D395/Raw!D394)</f>
        <v>-9.7591128152468305E-3</v>
      </c>
      <c r="X393" s="3">
        <v>44406</v>
      </c>
      <c r="Y393" cm="1">
        <f t="array" ref="Y393">SUMPRODUCT($T$2:$T$4,TRANSPOSE(B393:D393))</f>
        <v>-2.5774438481724286E-3</v>
      </c>
      <c r="AD393" s="3">
        <v>44405</v>
      </c>
      <c r="AE393" s="4">
        <v>1.886392419400747E-2</v>
      </c>
      <c r="AF393">
        <f t="shared" si="6"/>
        <v>0</v>
      </c>
      <c r="AG393" s="13"/>
    </row>
    <row r="394" spans="1:33" x14ac:dyDescent="0.35">
      <c r="A394" s="3">
        <v>44407</v>
      </c>
      <c r="B394" s="6">
        <f>LN(Raw!B396/Raw!B395)</f>
        <v>-1.359492019420927E-2</v>
      </c>
      <c r="C394" s="6">
        <f>LN(Raw!C396/Raw!C395)</f>
        <v>7.7864047495218606E-3</v>
      </c>
      <c r="D394" s="6">
        <f>LN(Raw!D396/Raw!D395)</f>
        <v>-8.6182149267405132E-3</v>
      </c>
      <c r="X394" s="3">
        <v>44407</v>
      </c>
      <c r="Y394" cm="1">
        <f t="array" ref="Y394">SUMPRODUCT($T$2:$T$4,TRANSPOSE(B394:D394))</f>
        <v>-9.081592229162912E-3</v>
      </c>
      <c r="AD394" s="3">
        <v>44406</v>
      </c>
      <c r="AE394" s="4">
        <v>-2.5774438481724286E-3</v>
      </c>
      <c r="AF394">
        <f t="shared" si="6"/>
        <v>0</v>
      </c>
      <c r="AG394" s="13"/>
    </row>
    <row r="395" spans="1:33" x14ac:dyDescent="0.35">
      <c r="A395" s="3">
        <v>44410</v>
      </c>
      <c r="B395" s="6">
        <f>LN(Raw!B397/Raw!B396)</f>
        <v>-1.1274611684230485E-2</v>
      </c>
      <c r="C395" s="6">
        <f>LN(Raw!C397/Raw!C396)</f>
        <v>-1.1422247389517751E-2</v>
      </c>
      <c r="D395" s="6">
        <f>LN(Raw!D397/Raw!D396)</f>
        <v>6.1634096706480101E-3</v>
      </c>
      <c r="X395" s="3">
        <v>44410</v>
      </c>
      <c r="Y395" cm="1">
        <f t="array" ref="Y395">SUMPRODUCT($T$2:$T$4,TRANSPOSE(B395:D395))</f>
        <v>-1.0441065385675996E-2</v>
      </c>
      <c r="AD395" s="3">
        <v>44407</v>
      </c>
      <c r="AE395" s="4">
        <v>-9.081592229162912E-3</v>
      </c>
      <c r="AF395">
        <f t="shared" si="6"/>
        <v>0</v>
      </c>
      <c r="AG395" s="13"/>
    </row>
    <row r="396" spans="1:33" x14ac:dyDescent="0.35">
      <c r="A396" s="3">
        <v>44411</v>
      </c>
      <c r="B396" s="6">
        <f>LN(Raw!B398/Raw!B397)</f>
        <v>-4.1314230830097045E-3</v>
      </c>
      <c r="C396" s="6">
        <f>LN(Raw!C398/Raw!C397)</f>
        <v>-1.0987523362557667E-2</v>
      </c>
      <c r="D396" s="6">
        <f>LN(Raw!D398/Raw!D397)</f>
        <v>-1.0810804262319833E-2</v>
      </c>
      <c r="X396" s="3">
        <v>44411</v>
      </c>
      <c r="Y396" cm="1">
        <f t="array" ref="Y396">SUMPRODUCT($T$2:$T$4,TRANSPOSE(B396:D396))</f>
        <v>-5.8302451829349792E-3</v>
      </c>
      <c r="AD396" s="3">
        <v>44410</v>
      </c>
      <c r="AE396" s="4">
        <v>-1.0441065385675996E-2</v>
      </c>
      <c r="AF396">
        <f t="shared" si="6"/>
        <v>0</v>
      </c>
      <c r="AG396" s="13"/>
    </row>
    <row r="397" spans="1:33" x14ac:dyDescent="0.35">
      <c r="A397" s="3">
        <v>44412</v>
      </c>
      <c r="B397" s="6">
        <f>LN(Raw!B399/Raw!B398)</f>
        <v>-2.7293867357876967E-3</v>
      </c>
      <c r="C397" s="6">
        <f>LN(Raw!C399/Raw!C398)</f>
        <v>-1.2829969080533672E-2</v>
      </c>
      <c r="D397" s="6">
        <f>LN(Raw!D399/Raw!D398)</f>
        <v>-2.5158610886381414E-2</v>
      </c>
      <c r="X397" s="3">
        <v>44412</v>
      </c>
      <c r="Y397" cm="1">
        <f t="array" ref="Y397">SUMPRODUCT($T$2:$T$4,TRANSPOSE(B397:D397))</f>
        <v>-5.8551653799148937E-3</v>
      </c>
      <c r="AD397" s="3">
        <v>44411</v>
      </c>
      <c r="AE397" s="4">
        <v>-5.8302451829349792E-3</v>
      </c>
      <c r="AF397">
        <f t="shared" si="6"/>
        <v>0</v>
      </c>
      <c r="AG397" s="13"/>
    </row>
    <row r="398" spans="1:33" x14ac:dyDescent="0.35">
      <c r="A398" s="3">
        <v>44413</v>
      </c>
      <c r="B398" s="6">
        <f>LN(Raw!B400/Raw!B399)</f>
        <v>8.2998211179961064E-4</v>
      </c>
      <c r="C398" s="6">
        <f>LN(Raw!C400/Raw!C399)</f>
        <v>-1.8242817213568012E-2</v>
      </c>
      <c r="D398" s="6">
        <f>LN(Raw!D400/Raw!D399)</f>
        <v>-7.3517864801098979E-3</v>
      </c>
      <c r="X398" s="3">
        <v>44413</v>
      </c>
      <c r="Y398" cm="1">
        <f t="array" ref="Y398">SUMPRODUCT($T$2:$T$4,TRANSPOSE(B398:D398))</f>
        <v>-3.3812566318416636E-3</v>
      </c>
      <c r="AD398" s="3">
        <v>44412</v>
      </c>
      <c r="AE398" s="4">
        <v>-5.8551653799148937E-3</v>
      </c>
      <c r="AF398">
        <f t="shared" si="6"/>
        <v>0</v>
      </c>
      <c r="AG398" s="13"/>
    </row>
    <row r="399" spans="1:33" x14ac:dyDescent="0.35">
      <c r="A399" s="3">
        <v>44414</v>
      </c>
      <c r="B399" s="6">
        <f>LN(Raw!B401/Raw!B400)</f>
        <v>-4.1481772748071179E-4</v>
      </c>
      <c r="C399" s="6">
        <f>LN(Raw!C401/Raw!C400)</f>
        <v>1.1682571632547075E-3</v>
      </c>
      <c r="D399" s="6">
        <f>LN(Raw!D401/Raw!D400)</f>
        <v>1.2824955024282802E-3</v>
      </c>
      <c r="X399" s="3">
        <v>44414</v>
      </c>
      <c r="Y399" cm="1">
        <f t="array" ref="Y399">SUMPRODUCT($T$2:$T$4,TRANSPOSE(B399:D399))</f>
        <v>-1.4886276140530546E-5</v>
      </c>
      <c r="AD399" s="3">
        <v>44413</v>
      </c>
      <c r="AE399" s="4">
        <v>-3.3812566318416636E-3</v>
      </c>
      <c r="AF399">
        <f t="shared" si="6"/>
        <v>0</v>
      </c>
      <c r="AG399" s="13"/>
    </row>
    <row r="400" spans="1:33" x14ac:dyDescent="0.35">
      <c r="A400" s="3">
        <v>44417</v>
      </c>
      <c r="B400" s="6">
        <f>LN(Raw!B402/Raw!B401)</f>
        <v>-5.1310145738493358E-3</v>
      </c>
      <c r="C400" s="6">
        <f>LN(Raw!C402/Raw!C401)</f>
        <v>-8.5007256394822213E-3</v>
      </c>
      <c r="D400" s="6">
        <f>LN(Raw!D402/Raw!D401)</f>
        <v>1.6007087645137823E-3</v>
      </c>
      <c r="X400" s="3">
        <v>44417</v>
      </c>
      <c r="Y400" cm="1">
        <f t="array" ref="Y400">SUMPRODUCT($T$2:$T$4,TRANSPOSE(B400:D400))</f>
        <v>-5.4703476066656547E-3</v>
      </c>
      <c r="AD400" s="3">
        <v>44414</v>
      </c>
      <c r="AE400" s="4">
        <v>-1.4886276140530546E-5</v>
      </c>
      <c r="AF400">
        <f t="shared" si="6"/>
        <v>0</v>
      </c>
      <c r="AG400" s="13"/>
    </row>
    <row r="401" spans="1:33" x14ac:dyDescent="0.35">
      <c r="A401" s="3">
        <v>44418</v>
      </c>
      <c r="B401" s="6">
        <f>LN(Raw!B403/Raw!B402)</f>
        <v>-1.1826431282562762E-3</v>
      </c>
      <c r="C401" s="6">
        <f>LN(Raw!C403/Raw!C402)</f>
        <v>-1.3335453630998763E-2</v>
      </c>
      <c r="D401" s="6">
        <f>LN(Raw!D403/Raw!D402)</f>
        <v>-2.7567816423835396E-2</v>
      </c>
      <c r="X401" s="3">
        <v>44418</v>
      </c>
      <c r="Y401" cm="1">
        <f t="array" ref="Y401">SUMPRODUCT($T$2:$T$4,TRANSPOSE(B401:D401))</f>
        <v>-4.9137613921530592E-3</v>
      </c>
      <c r="AD401" s="3">
        <v>44417</v>
      </c>
      <c r="AE401" s="4">
        <v>-5.4703476066656547E-3</v>
      </c>
      <c r="AF401">
        <f t="shared" si="6"/>
        <v>0</v>
      </c>
      <c r="AG401" s="13"/>
    </row>
    <row r="402" spans="1:33" x14ac:dyDescent="0.35">
      <c r="A402" s="3">
        <v>44419</v>
      </c>
      <c r="B402" s="6">
        <f>LN(Raw!B404/Raw!B403)</f>
        <v>3.3699404901986279E-3</v>
      </c>
      <c r="C402" s="6">
        <f>LN(Raw!C404/Raw!C403)</f>
        <v>-1.9886158273606614E-2</v>
      </c>
      <c r="D402" s="6">
        <f>LN(Raw!D404/Raw!D403)</f>
        <v>-1.6244348166279905E-2</v>
      </c>
      <c r="X402" s="3">
        <v>44419</v>
      </c>
      <c r="Y402" cm="1">
        <f t="array" ref="Y402">SUMPRODUCT($T$2:$T$4,TRANSPOSE(B402:D402))</f>
        <v>-2.2419480151206418E-3</v>
      </c>
      <c r="AD402" s="3">
        <v>44418</v>
      </c>
      <c r="AE402" s="4">
        <v>-4.9137613921530592E-3</v>
      </c>
      <c r="AF402">
        <f t="shared" si="6"/>
        <v>0</v>
      </c>
      <c r="AG402" s="13"/>
    </row>
    <row r="403" spans="1:33" x14ac:dyDescent="0.35">
      <c r="A403" s="3">
        <v>44420</v>
      </c>
      <c r="B403" s="6">
        <f>LN(Raw!B405/Raw!B404)</f>
        <v>5.8096556038598167E-3</v>
      </c>
      <c r="C403" s="6">
        <f>LN(Raw!C405/Raw!C404)</f>
        <v>1.3000918932557072E-2</v>
      </c>
      <c r="D403" s="6">
        <f>LN(Raw!D405/Raw!D404)</f>
        <v>-6.3705744922305362E-3</v>
      </c>
      <c r="X403" s="3">
        <v>44420</v>
      </c>
      <c r="Y403" cm="1">
        <f t="array" ref="Y403">SUMPRODUCT($T$2:$T$4,TRANSPOSE(B403:D403))</f>
        <v>6.6420013201803551E-3</v>
      </c>
      <c r="AD403" s="3">
        <v>44419</v>
      </c>
      <c r="AE403" s="4">
        <v>-2.2419480151206418E-3</v>
      </c>
      <c r="AF403">
        <f t="shared" si="6"/>
        <v>0</v>
      </c>
      <c r="AG403" s="13"/>
    </row>
    <row r="404" spans="1:33" x14ac:dyDescent="0.35">
      <c r="A404" s="3">
        <v>44421</v>
      </c>
      <c r="B404" s="6">
        <f>LN(Raw!B406/Raw!B405)</f>
        <v>0</v>
      </c>
      <c r="C404" s="6">
        <f>LN(Raw!C406/Raw!C405)</f>
        <v>-6.9329747212382876E-3</v>
      </c>
      <c r="D404" s="6">
        <f>LN(Raw!D406/Raw!D405)</f>
        <v>-7.7663608028162258E-3</v>
      </c>
      <c r="X404" s="3">
        <v>44421</v>
      </c>
      <c r="Y404" cm="1">
        <f t="array" ref="Y404">SUMPRODUCT($T$2:$T$4,TRANSPOSE(B404:D404))</f>
        <v>-1.767958560530018E-3</v>
      </c>
      <c r="AD404" s="3">
        <v>44420</v>
      </c>
      <c r="AE404" s="4">
        <v>6.6420013201803551E-3</v>
      </c>
      <c r="AF404">
        <f t="shared" si="6"/>
        <v>0</v>
      </c>
      <c r="AG404" s="13"/>
    </row>
    <row r="405" spans="1:33" x14ac:dyDescent="0.35">
      <c r="A405" s="3">
        <v>44424</v>
      </c>
      <c r="B405" s="6">
        <f>LN(Raw!B407/Raw!B406)</f>
        <v>-6.052433073780639E-3</v>
      </c>
      <c r="C405" s="6">
        <f>LN(Raw!C407/Raw!C406)</f>
        <v>-4.3901975955988513E-2</v>
      </c>
      <c r="D405" s="6">
        <f>LN(Raw!D407/Raw!D406)</f>
        <v>-2.1240847036011864E-2</v>
      </c>
      <c r="X405" s="3">
        <v>44424</v>
      </c>
      <c r="Y405" cm="1">
        <f t="array" ref="Y405">SUMPRODUCT($T$2:$T$4,TRANSPOSE(B405:D405))</f>
        <v>-1.4357670235199857E-2</v>
      </c>
      <c r="AD405" s="3">
        <v>44421</v>
      </c>
      <c r="AE405" s="4">
        <v>-1.767958560530018E-3</v>
      </c>
      <c r="AF405">
        <f t="shared" si="6"/>
        <v>0</v>
      </c>
      <c r="AG405" s="13"/>
    </row>
    <row r="406" spans="1:33" x14ac:dyDescent="0.35">
      <c r="A406" s="3">
        <v>44425</v>
      </c>
      <c r="B406" s="6">
        <f>LN(Raw!B408/Raw!B407)</f>
        <v>6.6729455559531893E-3</v>
      </c>
      <c r="C406" s="6">
        <f>LN(Raw!C408/Raw!C407)</f>
        <v>-1.7536006377258717E-2</v>
      </c>
      <c r="D406" s="6">
        <f>LN(Raw!D408/Raw!D407)</f>
        <v>-3.3090146663371622E-2</v>
      </c>
      <c r="X406" s="3">
        <v>44425</v>
      </c>
      <c r="Y406" cm="1">
        <f t="array" ref="Y406">SUMPRODUCT($T$2:$T$4,TRANSPOSE(B406:D406))</f>
        <v>-1.2626854922923947E-4</v>
      </c>
      <c r="AD406" s="3">
        <v>44424</v>
      </c>
      <c r="AE406" s="4">
        <v>-1.4357670235199857E-2</v>
      </c>
      <c r="AF406">
        <f t="shared" si="6"/>
        <v>0</v>
      </c>
      <c r="AG406" s="13"/>
    </row>
    <row r="407" spans="1:33" x14ac:dyDescent="0.35">
      <c r="A407" s="3">
        <v>44426</v>
      </c>
      <c r="B407" s="6">
        <f>LN(Raw!B409/Raw!B408)</f>
        <v>2.2792153833343643E-2</v>
      </c>
      <c r="C407" s="6">
        <f>LN(Raw!C409/Raw!C408)</f>
        <v>-3.2361105543640648E-2</v>
      </c>
      <c r="D407" s="6">
        <f>LN(Raw!D409/Raw!D408)</f>
        <v>-1.3330903317249976E-2</v>
      </c>
      <c r="X407" s="3">
        <v>44426</v>
      </c>
      <c r="Y407" cm="1">
        <f t="array" ref="Y407">SUMPRODUCT($T$2:$T$4,TRANSPOSE(B407:D407))</f>
        <v>9.9975890161344994E-3</v>
      </c>
      <c r="AD407" s="3">
        <v>44425</v>
      </c>
      <c r="AE407" s="4">
        <v>-1.2626854922923947E-4</v>
      </c>
      <c r="AF407">
        <f t="shared" si="6"/>
        <v>0</v>
      </c>
      <c r="AG407" s="13"/>
    </row>
    <row r="408" spans="1:33" x14ac:dyDescent="0.35">
      <c r="A408" s="3">
        <v>44428</v>
      </c>
      <c r="B408" s="6">
        <f>LN(Raw!B410/Raw!B409)</f>
        <v>-8.2189105831494413E-3</v>
      </c>
      <c r="C408" s="6">
        <f>LN(Raw!C410/Raw!C409)</f>
        <v>-2.1831165077344228E-2</v>
      </c>
      <c r="D408" s="6">
        <f>LN(Raw!D410/Raw!D409)</f>
        <v>-1.7563790532297958E-2</v>
      </c>
      <c r="X408" s="3">
        <v>44428</v>
      </c>
      <c r="Y408" cm="1">
        <f t="array" ref="Y408">SUMPRODUCT($T$2:$T$4,TRANSPOSE(B408:D408))</f>
        <v>-1.1397961260023921E-2</v>
      </c>
      <c r="AD408" s="3">
        <v>44426</v>
      </c>
      <c r="AE408" s="4">
        <v>9.9975890161344994E-3</v>
      </c>
      <c r="AF408">
        <f t="shared" si="6"/>
        <v>0</v>
      </c>
      <c r="AG408" s="13"/>
    </row>
    <row r="409" spans="1:33" x14ac:dyDescent="0.35">
      <c r="A409" s="3">
        <v>44431</v>
      </c>
      <c r="B409" s="6">
        <f>LN(Raw!B411/Raw!B410)</f>
        <v>9.2289694362711269E-3</v>
      </c>
      <c r="C409" s="6">
        <f>LN(Raw!C411/Raw!C410)</f>
        <v>-5.1919005759296782E-2</v>
      </c>
      <c r="D409" s="6">
        <f>LN(Raw!D411/Raw!D410)</f>
        <v>0.1681326896123439</v>
      </c>
      <c r="X409" s="3">
        <v>44431</v>
      </c>
      <c r="Y409" cm="1">
        <f t="array" ref="Y409">SUMPRODUCT($T$2:$T$4,TRANSPOSE(B409:D409))</f>
        <v>4.8899472304645775E-3</v>
      </c>
      <c r="AD409" s="3">
        <v>44428</v>
      </c>
      <c r="AE409" s="4">
        <v>-1.1397961260023921E-2</v>
      </c>
      <c r="AF409">
        <f t="shared" si="6"/>
        <v>0</v>
      </c>
      <c r="AG409" s="13"/>
    </row>
    <row r="410" spans="1:33" x14ac:dyDescent="0.35">
      <c r="A410" s="3">
        <v>44432</v>
      </c>
      <c r="B410" s="6">
        <f>LN(Raw!B412/Raw!B411)</f>
        <v>-1.3994788950439227E-2</v>
      </c>
      <c r="C410" s="6">
        <f>LN(Raw!C412/Raw!C411)</f>
        <v>-1.7898291860941279E-3</v>
      </c>
      <c r="D410" s="6">
        <f>LN(Raw!D412/Raw!D411)</f>
        <v>-4.76053362989695E-2</v>
      </c>
      <c r="X410" s="3">
        <v>44432</v>
      </c>
      <c r="Y410" cm="1">
        <f t="array" ref="Y410">SUMPRODUCT($T$2:$T$4,TRANSPOSE(B410:D410))</f>
        <v>-1.3222457986382491E-2</v>
      </c>
      <c r="AD410" s="3">
        <v>44431</v>
      </c>
      <c r="AE410" s="4">
        <v>4.8899472304645775E-3</v>
      </c>
      <c r="AF410">
        <f t="shared" si="6"/>
        <v>0</v>
      </c>
      <c r="AG410" s="13"/>
    </row>
    <row r="411" spans="1:33" x14ac:dyDescent="0.35">
      <c r="A411" s="3">
        <v>44433</v>
      </c>
      <c r="B411" s="6">
        <f>LN(Raw!B413/Raw!B412)</f>
        <v>-5.4616334103344357E-4</v>
      </c>
      <c r="C411" s="6">
        <f>LN(Raw!C413/Raw!C412)</f>
        <v>0.12131994344733553</v>
      </c>
      <c r="D411" s="6">
        <f>LN(Raw!D413/Raw!D412)</f>
        <v>7.1650822075890505E-2</v>
      </c>
      <c r="X411" s="3">
        <v>44433</v>
      </c>
      <c r="Y411" cm="1">
        <f t="array" ref="Y411">SUMPRODUCT($T$2:$T$4,TRANSPOSE(B411:D411))</f>
        <v>2.7347459413044877E-2</v>
      </c>
      <c r="AD411" s="3">
        <v>44432</v>
      </c>
      <c r="AE411" s="4">
        <v>-1.3222457986382491E-2</v>
      </c>
      <c r="AF411">
        <f t="shared" si="6"/>
        <v>0</v>
      </c>
      <c r="AG411" s="13"/>
    </row>
    <row r="412" spans="1:33" x14ac:dyDescent="0.35">
      <c r="A412" s="3">
        <v>44434</v>
      </c>
      <c r="B412" s="6">
        <f>LN(Raw!B414/Raw!B413)</f>
        <v>4.564674973163511E-3</v>
      </c>
      <c r="C412" s="6">
        <f>LN(Raw!C414/Raw!C413)</f>
        <v>2.1040164169934587E-2</v>
      </c>
      <c r="D412" s="6">
        <f>LN(Raw!D414/Raw!D413)</f>
        <v>3.089177659395383E-2</v>
      </c>
      <c r="X412" s="3">
        <v>44434</v>
      </c>
      <c r="Y412" cm="1">
        <f t="array" ref="Y412">SUMPRODUCT($T$2:$T$4,TRANSPOSE(B412:D412))</f>
        <v>9.1555879619622301E-3</v>
      </c>
      <c r="AD412" s="3">
        <v>44433</v>
      </c>
      <c r="AE412" s="4">
        <v>2.7347459413044877E-2</v>
      </c>
      <c r="AF412">
        <f t="shared" si="6"/>
        <v>0</v>
      </c>
      <c r="AG412" s="13"/>
    </row>
    <row r="413" spans="1:33" x14ac:dyDescent="0.35">
      <c r="A413" s="3">
        <v>44435</v>
      </c>
      <c r="B413" s="6">
        <f>LN(Raw!B415/Raw!B414)</f>
        <v>5.7165976453579195E-2</v>
      </c>
      <c r="C413" s="6">
        <f>LN(Raw!C415/Raw!C414)</f>
        <v>-3.8326122521087941E-2</v>
      </c>
      <c r="D413" s="6">
        <f>LN(Raw!D415/Raw!D414)</f>
        <v>-5.9104387327593439E-4</v>
      </c>
      <c r="X413" s="3">
        <v>44435</v>
      </c>
      <c r="Y413" cm="1">
        <f t="array" ref="Y413">SUMPRODUCT($T$2:$T$4,TRANSPOSE(B413:D413))</f>
        <v>3.525039900940332E-2</v>
      </c>
      <c r="AD413" s="3">
        <v>44434</v>
      </c>
      <c r="AE413" s="4">
        <v>9.1555879619622301E-3</v>
      </c>
      <c r="AF413">
        <f t="shared" si="6"/>
        <v>0</v>
      </c>
      <c r="AG413" s="13"/>
    </row>
    <row r="414" spans="1:33" x14ac:dyDescent="0.35">
      <c r="A414" s="3">
        <v>44438</v>
      </c>
      <c r="B414" s="6">
        <f>LN(Raw!B416/Raw!B415)</f>
        <v>1.7468616540887785E-2</v>
      </c>
      <c r="C414" s="6">
        <f>LN(Raw!C416/Raw!C415)</f>
        <v>-2.8826022511835522E-2</v>
      </c>
      <c r="D414" s="6">
        <f>LN(Raw!D416/Raw!D415)</f>
        <v>-1.1591671876763632E-2</v>
      </c>
      <c r="X414" s="3">
        <v>44438</v>
      </c>
      <c r="Y414" cm="1">
        <f t="array" ref="Y414">SUMPRODUCT($T$2:$T$4,TRANSPOSE(B414:D414))</f>
        <v>6.7914868945735136E-3</v>
      </c>
      <c r="AD414" s="3">
        <v>44435</v>
      </c>
      <c r="AE414" s="4">
        <v>3.525039900940332E-2</v>
      </c>
      <c r="AF414">
        <f t="shared" si="6"/>
        <v>0</v>
      </c>
      <c r="AG414" s="13"/>
    </row>
    <row r="415" spans="1:33" x14ac:dyDescent="0.35">
      <c r="A415" s="3">
        <v>44439</v>
      </c>
      <c r="B415" s="6">
        <f>LN(Raw!B417/Raw!B416)</f>
        <v>5.9440343113233455E-3</v>
      </c>
      <c r="C415" s="6">
        <f>LN(Raw!C417/Raw!C416)</f>
        <v>-1.4730951239818922E-2</v>
      </c>
      <c r="D415" s="6">
        <f>LN(Raw!D417/Raw!D416)</f>
        <v>-3.312858658559182E-2</v>
      </c>
      <c r="X415" s="3">
        <v>44439</v>
      </c>
      <c r="Y415" cm="1">
        <f t="array" ref="Y415">SUMPRODUCT($T$2:$T$4,TRANSPOSE(B415:D415))</f>
        <v>-1.1574136851784812E-4</v>
      </c>
      <c r="AD415" s="3">
        <v>44438</v>
      </c>
      <c r="AE415" s="4">
        <v>6.7914868945735136E-3</v>
      </c>
      <c r="AF415">
        <f t="shared" si="6"/>
        <v>0</v>
      </c>
      <c r="AG415" s="13"/>
    </row>
    <row r="416" spans="1:33" x14ac:dyDescent="0.35">
      <c r="A416" s="3">
        <v>44440</v>
      </c>
      <c r="B416" s="6">
        <f>LN(Raw!B418/Raw!B417)</f>
        <v>2.4071320978680227E-2</v>
      </c>
      <c r="C416" s="6">
        <f>LN(Raw!C418/Raw!C417)</f>
        <v>1.1401903850410242E-2</v>
      </c>
      <c r="D416" s="6">
        <f>LN(Raw!D418/Raw!D417)</f>
        <v>-1.1812492317006783E-2</v>
      </c>
      <c r="X416" s="3">
        <v>44440</v>
      </c>
      <c r="Y416" cm="1">
        <f t="array" ref="Y416">SUMPRODUCT($T$2:$T$4,TRANSPOSE(B416:D416))</f>
        <v>1.9767015573884616E-2</v>
      </c>
      <c r="AD416" s="3">
        <v>44439</v>
      </c>
      <c r="AE416" s="4">
        <v>-1.1574136851784812E-4</v>
      </c>
      <c r="AF416">
        <f t="shared" si="6"/>
        <v>0</v>
      </c>
      <c r="AG416" s="13"/>
    </row>
    <row r="417" spans="1:33" x14ac:dyDescent="0.35">
      <c r="A417" s="3">
        <v>44441</v>
      </c>
      <c r="B417" s="6">
        <f>LN(Raw!B419/Raw!B418)</f>
        <v>-2.7893738365063659E-3</v>
      </c>
      <c r="C417" s="6">
        <f>LN(Raw!C419/Raw!C418)</f>
        <v>-3.3348123055202235E-4</v>
      </c>
      <c r="D417" s="6">
        <f>LN(Raw!D419/Raw!D418)</f>
        <v>-8.163223176451068E-3</v>
      </c>
      <c r="X417" s="3">
        <v>44441</v>
      </c>
      <c r="Y417" cm="1">
        <f t="array" ref="Y417">SUMPRODUCT($T$2:$T$4,TRANSPOSE(B417:D417))</f>
        <v>-2.5652084080640411E-3</v>
      </c>
      <c r="AD417" s="3">
        <v>44440</v>
      </c>
      <c r="AE417" s="4">
        <v>1.9767015573884616E-2</v>
      </c>
      <c r="AF417">
        <f t="shared" si="6"/>
        <v>0</v>
      </c>
      <c r="AG417" s="13"/>
    </row>
    <row r="418" spans="1:33" x14ac:dyDescent="0.35">
      <c r="A418" s="3">
        <v>44442</v>
      </c>
      <c r="B418" s="6">
        <f>LN(Raw!B420/Raw!B419)</f>
        <v>5.2168060042950392E-4</v>
      </c>
      <c r="C418" s="6">
        <f>LN(Raw!C420/Raw!C419)</f>
        <v>-3.0065725314019531E-3</v>
      </c>
      <c r="D418" s="6">
        <f>LN(Raw!D420/Raw!D419)</f>
        <v>1.3464906252052732E-2</v>
      </c>
      <c r="X418" s="3">
        <v>44442</v>
      </c>
      <c r="Y418" cm="1">
        <f t="array" ref="Y418">SUMPRODUCT($T$2:$T$4,TRANSPOSE(B418:D418))</f>
        <v>4.5811550926801994E-4</v>
      </c>
      <c r="AD418" s="3">
        <v>44441</v>
      </c>
      <c r="AE418" s="4">
        <v>-2.5652084080640411E-3</v>
      </c>
      <c r="AF418">
        <f t="shared" si="6"/>
        <v>0</v>
      </c>
      <c r="AG418" s="13"/>
    </row>
    <row r="419" spans="1:33" x14ac:dyDescent="0.35">
      <c r="A419" s="3">
        <v>44445</v>
      </c>
      <c r="B419" s="6">
        <f>LN(Raw!B421/Raw!B420)</f>
        <v>-4.1595605347787938E-2</v>
      </c>
      <c r="C419" s="6">
        <f>LN(Raw!C421/Raw!C420)</f>
        <v>-1.110193640050554E-2</v>
      </c>
      <c r="D419" s="6">
        <f>LN(Raw!D421/Raw!D420)</f>
        <v>-5.927285720334895E-3</v>
      </c>
      <c r="X419" s="3">
        <v>44445</v>
      </c>
      <c r="Y419" cm="1">
        <f t="array" ref="Y419">SUMPRODUCT($T$2:$T$4,TRANSPOSE(B419:D419))</f>
        <v>-3.3744812722716379E-2</v>
      </c>
      <c r="AD419" s="3">
        <v>44442</v>
      </c>
      <c r="AE419" s="4">
        <v>4.5811550926801994E-4</v>
      </c>
      <c r="AF419">
        <f t="shared" si="6"/>
        <v>0</v>
      </c>
      <c r="AG419" s="13"/>
    </row>
    <row r="420" spans="1:33" x14ac:dyDescent="0.35">
      <c r="A420" s="3">
        <v>44446</v>
      </c>
      <c r="B420" s="6">
        <f>LN(Raw!B422/Raw!B421)</f>
        <v>1.6714272936821959E-2</v>
      </c>
      <c r="C420" s="6">
        <f>LN(Raw!C422/Raw!C421)</f>
        <v>-4.7471123439431764E-3</v>
      </c>
      <c r="D420" s="6">
        <f>LN(Raw!D422/Raw!D421)</f>
        <v>2.499967113747505E-3</v>
      </c>
      <c r="X420" s="3">
        <v>44446</v>
      </c>
      <c r="Y420" cm="1">
        <f t="array" ref="Y420">SUMPRODUCT($T$2:$T$4,TRANSPOSE(B420:D420))</f>
        <v>1.1727797597967602E-2</v>
      </c>
      <c r="AD420" s="3">
        <v>44445</v>
      </c>
      <c r="AE420" s="4">
        <v>-3.3744812722716379E-2</v>
      </c>
      <c r="AF420">
        <f t="shared" si="6"/>
        <v>0</v>
      </c>
      <c r="AG420" s="13"/>
    </row>
    <row r="421" spans="1:33" x14ac:dyDescent="0.35">
      <c r="A421" s="3">
        <v>44447</v>
      </c>
      <c r="B421" s="6">
        <f>LN(Raw!B423/Raw!B422)</f>
        <v>1.3154541165504611E-2</v>
      </c>
      <c r="C421" s="6">
        <f>LN(Raw!C423/Raw!C422)</f>
        <v>-1.4724098415516506E-2</v>
      </c>
      <c r="D421" s="6">
        <f>LN(Raw!D423/Raw!D422)</f>
        <v>-1.2246992491795857E-2</v>
      </c>
      <c r="X421" s="3">
        <v>44447</v>
      </c>
      <c r="Y421" cm="1">
        <f t="array" ref="Y421">SUMPRODUCT($T$2:$T$4,TRANSPOSE(B421:D421))</f>
        <v>6.3337295528775716E-3</v>
      </c>
      <c r="AD421" s="3">
        <v>44446</v>
      </c>
      <c r="AE421" s="4">
        <v>1.1727797597967602E-2</v>
      </c>
      <c r="AF421">
        <f t="shared" si="6"/>
        <v>0</v>
      </c>
      <c r="AG421" s="13"/>
    </row>
    <row r="422" spans="1:33" x14ac:dyDescent="0.35">
      <c r="A422" s="3">
        <v>44448</v>
      </c>
      <c r="B422" s="6">
        <f>LN(Raw!B424/Raw!B423)</f>
        <v>6.7442496627263277E-3</v>
      </c>
      <c r="C422" s="6">
        <f>LN(Raw!C424/Raw!C423)</f>
        <v>-5.1874546174633029E-3</v>
      </c>
      <c r="D422" s="6">
        <f>LN(Raw!D424/Raw!D423)</f>
        <v>6.2992965861371902E-3</v>
      </c>
      <c r="X422" s="3">
        <v>44448</v>
      </c>
      <c r="Y422" cm="1">
        <f t="array" ref="Y422">SUMPRODUCT($T$2:$T$4,TRANSPOSE(B422:D422))</f>
        <v>4.3410414052832387E-3</v>
      </c>
      <c r="AD422" s="3">
        <v>44447</v>
      </c>
      <c r="AE422" s="4">
        <v>6.3337295528775716E-3</v>
      </c>
      <c r="AF422">
        <f t="shared" si="6"/>
        <v>0</v>
      </c>
      <c r="AG422" s="13"/>
    </row>
    <row r="423" spans="1:33" x14ac:dyDescent="0.35">
      <c r="A423" s="3">
        <v>44452</v>
      </c>
      <c r="B423" s="6">
        <f>LN(Raw!B425/Raw!B424)</f>
        <v>9.3296013849851755E-3</v>
      </c>
      <c r="C423" s="6">
        <f>LN(Raw!C425/Raw!C424)</f>
        <v>-3.4678114977662919E-4</v>
      </c>
      <c r="D423" s="6">
        <f>LN(Raw!D425/Raw!D424)</f>
        <v>5.3488711818665803E-2</v>
      </c>
      <c r="X423" s="3">
        <v>44452</v>
      </c>
      <c r="Y423" cm="1">
        <f t="array" ref="Y423">SUMPRODUCT($T$2:$T$4,TRANSPOSE(B423:D423))</f>
        <v>9.5839433239868002E-3</v>
      </c>
      <c r="AD423" s="3">
        <v>44448</v>
      </c>
      <c r="AE423" s="4">
        <v>4.3410414052832387E-3</v>
      </c>
      <c r="AF423">
        <f t="shared" si="6"/>
        <v>0</v>
      </c>
      <c r="AG423" s="13"/>
    </row>
    <row r="424" spans="1:33" x14ac:dyDescent="0.35">
      <c r="A424" s="3">
        <v>44453</v>
      </c>
      <c r="B424" s="6">
        <f>LN(Raw!B426/Raw!B425)</f>
        <v>-1.3624629543175393E-2</v>
      </c>
      <c r="C424" s="6">
        <f>LN(Raw!C426/Raw!C425)</f>
        <v>2.6019988359677376E-2</v>
      </c>
      <c r="D424" s="6">
        <f>LN(Raw!D426/Raw!D425)</f>
        <v>2.3821116602828422E-2</v>
      </c>
      <c r="X424" s="3">
        <v>44453</v>
      </c>
      <c r="Y424" cm="1">
        <f t="array" ref="Y424">SUMPRODUCT($T$2:$T$4,TRANSPOSE(B424:D424))</f>
        <v>-3.8596347260041464E-3</v>
      </c>
      <c r="AD424" s="3">
        <v>44452</v>
      </c>
      <c r="AE424" s="4">
        <v>9.5839433239868002E-3</v>
      </c>
      <c r="AF424">
        <f t="shared" si="6"/>
        <v>0</v>
      </c>
      <c r="AG424" s="13"/>
    </row>
    <row r="425" spans="1:33" x14ac:dyDescent="0.35">
      <c r="A425" s="3">
        <v>44454</v>
      </c>
      <c r="B425" s="6">
        <f>LN(Raw!B427/Raw!B426)</f>
        <v>-2.2939780144401812E-3</v>
      </c>
      <c r="C425" s="6">
        <f>LN(Raw!C427/Raw!C426)</f>
        <v>-3.7245322261516786E-3</v>
      </c>
      <c r="D425" s="6">
        <f>LN(Raw!D427/Raw!D426)</f>
        <v>2.9067026692787394E-4</v>
      </c>
      <c r="X425" s="3">
        <v>44454</v>
      </c>
      <c r="Y425" cm="1">
        <f t="array" ref="Y425">SUMPRODUCT($T$2:$T$4,TRANSPOSE(B425:D425))</f>
        <v>-2.4515564401765676E-3</v>
      </c>
      <c r="AD425" s="3">
        <v>44453</v>
      </c>
      <c r="AE425" s="4">
        <v>-3.8596347260041464E-3</v>
      </c>
      <c r="AF425">
        <f t="shared" si="6"/>
        <v>0</v>
      </c>
      <c r="AG425" s="13"/>
    </row>
    <row r="426" spans="1:33" x14ac:dyDescent="0.35">
      <c r="A426" s="3">
        <v>44455</v>
      </c>
      <c r="B426" s="6">
        <f>LN(Raw!B428/Raw!B427)</f>
        <v>3.253466048880944E-3</v>
      </c>
      <c r="C426" s="6">
        <f>LN(Raw!C428/Raw!C427)</f>
        <v>-1.0180996939139193E-3</v>
      </c>
      <c r="D426" s="6">
        <f>LN(Raw!D428/Raw!D427)</f>
        <v>2.4961764289445847E-2</v>
      </c>
      <c r="X426" s="3">
        <v>44455</v>
      </c>
      <c r="Y426" cm="1">
        <f t="array" ref="Y426">SUMPRODUCT($T$2:$T$4,TRANSPOSE(B426:D426))</f>
        <v>3.4753438553451412E-3</v>
      </c>
      <c r="AD426" s="3">
        <v>44454</v>
      </c>
      <c r="AE426" s="4">
        <v>-2.4515564401765676E-3</v>
      </c>
      <c r="AF426">
        <f t="shared" si="6"/>
        <v>0</v>
      </c>
      <c r="AG426" s="13"/>
    </row>
    <row r="427" spans="1:33" x14ac:dyDescent="0.35">
      <c r="A427" s="3">
        <v>44456</v>
      </c>
      <c r="B427" s="6">
        <f>LN(Raw!B429/Raw!B428)</f>
        <v>-7.639296914101425E-3</v>
      </c>
      <c r="C427" s="6">
        <f>LN(Raw!C429/Raw!C428)</f>
        <v>3.7280900870876759E-3</v>
      </c>
      <c r="D427" s="6">
        <f>LN(Raw!D429/Raw!D428)</f>
        <v>-2.8376698412446145E-3</v>
      </c>
      <c r="X427" s="3">
        <v>44456</v>
      </c>
      <c r="Y427" cm="1">
        <f t="array" ref="Y427">SUMPRODUCT($T$2:$T$4,TRANSPOSE(B427:D427))</f>
        <v>-5.1330960989583573E-3</v>
      </c>
      <c r="AD427" s="3">
        <v>44455</v>
      </c>
      <c r="AE427" s="4">
        <v>3.4753438553451412E-3</v>
      </c>
      <c r="AF427">
        <f t="shared" si="6"/>
        <v>0</v>
      </c>
      <c r="AG427" s="13"/>
    </row>
    <row r="428" spans="1:33" x14ac:dyDescent="0.35">
      <c r="A428" s="3">
        <v>44459</v>
      </c>
      <c r="B428" s="6">
        <f>LN(Raw!B430/Raw!B429)</f>
        <v>1.4975170048107443E-2</v>
      </c>
      <c r="C428" s="6">
        <f>LN(Raw!C430/Raw!C429)</f>
        <v>-1.2938513832922679E-2</v>
      </c>
      <c r="D428" s="6">
        <f>LN(Raw!D430/Raw!D429)</f>
        <v>-3.8232169346160479E-2</v>
      </c>
      <c r="X428" s="3">
        <v>44459</v>
      </c>
      <c r="Y428" cm="1">
        <f t="array" ref="Y428">SUMPRODUCT($T$2:$T$4,TRANSPOSE(B428:D428))</f>
        <v>6.7712523379156401E-3</v>
      </c>
      <c r="AD428" s="3">
        <v>44456</v>
      </c>
      <c r="AE428" s="4">
        <v>-5.1330960989583573E-3</v>
      </c>
      <c r="AF428">
        <f t="shared" si="6"/>
        <v>0</v>
      </c>
      <c r="AG428" s="13"/>
    </row>
    <row r="429" spans="1:33" x14ac:dyDescent="0.35">
      <c r="A429" s="3">
        <v>44460</v>
      </c>
      <c r="B429" s="6">
        <f>LN(Raw!B431/Raw!B430)</f>
        <v>6.0620815423681187E-3</v>
      </c>
      <c r="C429" s="6">
        <f>LN(Raw!C431/Raw!C430)</f>
        <v>-7.9133579427308476E-3</v>
      </c>
      <c r="D429" s="6">
        <f>LN(Raw!D431/Raw!D430)</f>
        <v>-3.4543284220416699E-2</v>
      </c>
      <c r="X429" s="3">
        <v>44460</v>
      </c>
      <c r="Y429" cm="1">
        <f t="array" ref="Y429">SUMPRODUCT($T$2:$T$4,TRANSPOSE(B429:D429))</f>
        <v>1.2634657577740634E-3</v>
      </c>
      <c r="AD429" s="3">
        <v>44459</v>
      </c>
      <c r="AE429" s="4">
        <v>6.7712523379156401E-3</v>
      </c>
      <c r="AF429">
        <f t="shared" si="6"/>
        <v>0</v>
      </c>
      <c r="AG429" s="13"/>
    </row>
    <row r="430" spans="1:33" x14ac:dyDescent="0.35">
      <c r="A430" s="3">
        <v>44461</v>
      </c>
      <c r="B430" s="6">
        <f>LN(Raw!B432/Raw!B431)</f>
        <v>-6.3386396215982226E-3</v>
      </c>
      <c r="C430" s="6">
        <f>LN(Raw!C432/Raw!C431)</f>
        <v>-5.8895218109462641E-3</v>
      </c>
      <c r="D430" s="6">
        <f>LN(Raw!D432/Raw!D431)</f>
        <v>-1.1681667439257986E-2</v>
      </c>
      <c r="X430" s="3">
        <v>44461</v>
      </c>
      <c r="Y430" cm="1">
        <f t="array" ref="Y430">SUMPRODUCT($T$2:$T$4,TRANSPOSE(B430:D430))</f>
        <v>-6.5134370138530372E-3</v>
      </c>
      <c r="AD430" s="3">
        <v>44460</v>
      </c>
      <c r="AE430" s="4">
        <v>1.2634657577740634E-3</v>
      </c>
      <c r="AF430">
        <f t="shared" si="6"/>
        <v>0</v>
      </c>
      <c r="AG430" s="13"/>
    </row>
    <row r="431" spans="1:33" x14ac:dyDescent="0.35">
      <c r="A431" s="3">
        <v>44462</v>
      </c>
      <c r="B431" s="6">
        <f>LN(Raw!B433/Raw!B432)</f>
        <v>-3.1802164536347349E-2</v>
      </c>
      <c r="C431" s="6">
        <f>LN(Raw!C433/Raw!C432)</f>
        <v>-4.5271203235164306E-3</v>
      </c>
      <c r="D431" s="6">
        <f>LN(Raw!D433/Raw!D432)</f>
        <v>9.2336226066973923E-3</v>
      </c>
      <c r="X431" s="3">
        <v>44462</v>
      </c>
      <c r="Y431" cm="1">
        <f t="array" ref="Y431">SUMPRODUCT($T$2:$T$4,TRANSPOSE(B431:D431))</f>
        <v>-2.4328070229796547E-2</v>
      </c>
      <c r="AD431" s="3">
        <v>44461</v>
      </c>
      <c r="AE431" s="4">
        <v>-6.5134370138530372E-3</v>
      </c>
      <c r="AF431">
        <f t="shared" si="6"/>
        <v>0</v>
      </c>
      <c r="AG431" s="13"/>
    </row>
    <row r="432" spans="1:33" x14ac:dyDescent="0.35">
      <c r="A432" s="3">
        <v>44463</v>
      </c>
      <c r="B432" s="6">
        <f>LN(Raw!B434/Raw!B433)</f>
        <v>6.5742587326816189E-3</v>
      </c>
      <c r="C432" s="6">
        <f>LN(Raw!C434/Raw!C433)</f>
        <v>1.8672738427763357E-2</v>
      </c>
      <c r="D432" s="6">
        <f>LN(Raw!D434/Raw!D433)</f>
        <v>-9.2336226066973871E-3</v>
      </c>
      <c r="X432" s="3">
        <v>44463</v>
      </c>
      <c r="Y432" cm="1">
        <f t="array" ref="Y432">SUMPRODUCT($T$2:$T$4,TRANSPOSE(B432:D432))</f>
        <v>8.2063953803450749E-3</v>
      </c>
      <c r="AD432" s="3">
        <v>44462</v>
      </c>
      <c r="AE432" s="4">
        <v>-2.4328070229796547E-2</v>
      </c>
      <c r="AF432">
        <f t="shared" si="6"/>
        <v>0</v>
      </c>
      <c r="AG432" s="13"/>
    </row>
    <row r="433" spans="1:33" x14ac:dyDescent="0.35">
      <c r="A433" s="3">
        <v>44466</v>
      </c>
      <c r="B433" s="6">
        <f>LN(Raw!B435/Raw!B434)</f>
        <v>-1.2617571261658151E-2</v>
      </c>
      <c r="C433" s="6">
        <f>LN(Raw!C435/Raw!C434)</f>
        <v>-1.3798117005110151E-2</v>
      </c>
      <c r="D433" s="6">
        <f>LN(Raw!D435/Raw!D434)</f>
        <v>3.3956764349404689E-3</v>
      </c>
      <c r="X433" s="3">
        <v>44466</v>
      </c>
      <c r="Y433" cm="1">
        <f t="array" ref="Y433">SUMPRODUCT($T$2:$T$4,TRANSPOSE(B433:D433))</f>
        <v>-1.2060673038039368E-2</v>
      </c>
      <c r="AD433" s="3">
        <v>44463</v>
      </c>
      <c r="AE433" s="4">
        <v>8.2063953803450749E-3</v>
      </c>
      <c r="AF433">
        <f t="shared" si="6"/>
        <v>0</v>
      </c>
      <c r="AG433" s="13"/>
    </row>
    <row r="434" spans="1:33" x14ac:dyDescent="0.35">
      <c r="A434" s="3">
        <v>44467</v>
      </c>
      <c r="B434" s="6">
        <f>LN(Raw!B436/Raw!B435)</f>
        <v>-3.0674096916258925E-3</v>
      </c>
      <c r="C434" s="6">
        <f>LN(Raw!C436/Raw!C435)</f>
        <v>-9.0718986128076207E-3</v>
      </c>
      <c r="D434" s="6">
        <f>LN(Raw!D436/Raw!D435)</f>
        <v>4.6117696566927704E-3</v>
      </c>
      <c r="X434" s="3">
        <v>44467</v>
      </c>
      <c r="Y434" cm="1">
        <f t="array" ref="Y434">SUMPRODUCT($T$2:$T$4,TRANSPOSE(B434:D434))</f>
        <v>-3.8856706227645521E-3</v>
      </c>
      <c r="AD434" s="3">
        <v>44466</v>
      </c>
      <c r="AE434" s="4">
        <v>-1.2060673038039368E-2</v>
      </c>
      <c r="AF434">
        <f t="shared" si="6"/>
        <v>0</v>
      </c>
      <c r="AG434" s="13"/>
    </row>
    <row r="435" spans="1:33" x14ac:dyDescent="0.35">
      <c r="A435" s="3">
        <v>44468</v>
      </c>
      <c r="B435" s="6">
        <f>LN(Raw!B437/Raw!B436)</f>
        <v>2.3998601484416224E-2</v>
      </c>
      <c r="C435" s="6">
        <f>LN(Raw!C437/Raw!C436)</f>
        <v>-3.6043166124359385E-2</v>
      </c>
      <c r="D435" s="6">
        <f>LN(Raw!D437/Raw!D436)</f>
        <v>-4.6117696566928094E-3</v>
      </c>
      <c r="X435" s="3">
        <v>44468</v>
      </c>
      <c r="Y435" cm="1">
        <f t="array" ref="Y435">SUMPRODUCT($T$2:$T$4,TRANSPOSE(B435:D435))</f>
        <v>1.0600250060045341E-2</v>
      </c>
      <c r="AD435" s="3">
        <v>44467</v>
      </c>
      <c r="AE435" s="4">
        <v>-3.8856706227645521E-3</v>
      </c>
      <c r="AF435">
        <f t="shared" si="6"/>
        <v>0</v>
      </c>
      <c r="AG435" s="13"/>
    </row>
    <row r="436" spans="1:33" x14ac:dyDescent="0.35">
      <c r="A436" s="3">
        <v>44469</v>
      </c>
      <c r="B436" s="6">
        <f>LN(Raw!B438/Raw!B437)</f>
        <v>-6.8341850890449186E-3</v>
      </c>
      <c r="C436" s="6">
        <f>LN(Raw!C438/Raw!C437)</f>
        <v>5.2727596088513282E-2</v>
      </c>
      <c r="D436" s="6">
        <f>LN(Raw!D438/Raw!D437)</f>
        <v>5.8379461717568701E-3</v>
      </c>
      <c r="X436" s="3">
        <v>44469</v>
      </c>
      <c r="Y436" cm="1">
        <f t="array" ref="Y436">SUMPRODUCT($T$2:$T$4,TRANSPOSE(B436:D436))</f>
        <v>5.6795909849922856E-3</v>
      </c>
      <c r="AD436" s="3">
        <v>44468</v>
      </c>
      <c r="AE436" s="4">
        <v>1.0600250060045341E-2</v>
      </c>
      <c r="AF436">
        <f t="shared" si="6"/>
        <v>0</v>
      </c>
      <c r="AG436" s="13"/>
    </row>
    <row r="437" spans="1:33" x14ac:dyDescent="0.35">
      <c r="A437" s="3">
        <v>44470</v>
      </c>
      <c r="B437" s="6">
        <f>LN(Raw!B439/Raw!B438)</f>
        <v>-4.381853248361268E-3</v>
      </c>
      <c r="C437" s="6">
        <f>LN(Raw!C439/Raw!C438)</f>
        <v>-5.8773042408063903E-3</v>
      </c>
      <c r="D437" s="6">
        <f>LN(Raw!D439/Raw!D438)</f>
        <v>-7.3800061926111507E-3</v>
      </c>
      <c r="X437" s="3">
        <v>44470</v>
      </c>
      <c r="Y437" cm="1">
        <f t="array" ref="Y437">SUMPRODUCT($T$2:$T$4,TRANSPOSE(B437:D437))</f>
        <v>-4.8286764243562494E-3</v>
      </c>
      <c r="AD437" s="3">
        <v>44469</v>
      </c>
      <c r="AE437" s="4">
        <v>5.6795909849922856E-3</v>
      </c>
      <c r="AF437">
        <f t="shared" si="6"/>
        <v>0</v>
      </c>
      <c r="AG437" s="13"/>
    </row>
    <row r="438" spans="1:33" x14ac:dyDescent="0.35">
      <c r="A438" s="3">
        <v>44473</v>
      </c>
      <c r="B438" s="6">
        <f>LN(Raw!B440/Raw!B439)</f>
        <v>-3.6718409264075605E-3</v>
      </c>
      <c r="C438" s="6">
        <f>LN(Raw!C440/Raw!C439)</f>
        <v>0</v>
      </c>
      <c r="D438" s="6">
        <f>LN(Raw!D440/Raw!D439)</f>
        <v>1.196518518891047E-2</v>
      </c>
      <c r="X438" s="3">
        <v>44473</v>
      </c>
      <c r="Y438" cm="1">
        <f t="array" ref="Y438">SUMPRODUCT($T$2:$T$4,TRANSPOSE(B438:D438))</f>
        <v>-2.1651804901158455E-3</v>
      </c>
      <c r="AD438" s="3">
        <v>44470</v>
      </c>
      <c r="AE438" s="4">
        <v>-4.8286764243562494E-3</v>
      </c>
      <c r="AF438">
        <f t="shared" si="6"/>
        <v>0</v>
      </c>
      <c r="AG438" s="13"/>
    </row>
    <row r="439" spans="1:33" x14ac:dyDescent="0.35">
      <c r="A439" s="3">
        <v>44474</v>
      </c>
      <c r="B439" s="6">
        <f>LN(Raw!B441/Raw!B440)</f>
        <v>-1.794995204980452E-2</v>
      </c>
      <c r="C439" s="6">
        <f>LN(Raw!C441/Raw!C440)</f>
        <v>4.4975960017732269E-3</v>
      </c>
      <c r="D439" s="6">
        <f>LN(Raw!D441/Raw!D440)</f>
        <v>3.9566945930104326E-3</v>
      </c>
      <c r="X439" s="3">
        <v>44474</v>
      </c>
      <c r="Y439" cm="1">
        <f t="array" ref="Y439">SUMPRODUCT($T$2:$T$4,TRANSPOSE(B439:D439))</f>
        <v>-1.2385975294653333E-2</v>
      </c>
      <c r="AD439" s="3">
        <v>44473</v>
      </c>
      <c r="AE439" s="4">
        <v>-2.1651804901158455E-3</v>
      </c>
      <c r="AF439">
        <f t="shared" si="6"/>
        <v>0</v>
      </c>
      <c r="AG439" s="13"/>
    </row>
    <row r="440" spans="1:33" x14ac:dyDescent="0.35">
      <c r="A440" s="3">
        <v>44475</v>
      </c>
      <c r="B440" s="6">
        <f>LN(Raw!B442/Raw!B441)</f>
        <v>3.094601320610289E-3</v>
      </c>
      <c r="C440" s="6">
        <f>LN(Raw!C442/Raw!C441)</f>
        <v>-1.0758485035938892E-2</v>
      </c>
      <c r="D440" s="6">
        <f>LN(Raw!D442/Raw!D441)</f>
        <v>-7.3170053735968068E-3</v>
      </c>
      <c r="X440" s="3">
        <v>44475</v>
      </c>
      <c r="Y440" cm="1">
        <f t="array" ref="Y440">SUMPRODUCT($T$2:$T$4,TRANSPOSE(B440:D440))</f>
        <v>-1.8530422981793575E-4</v>
      </c>
      <c r="AD440" s="3">
        <v>44474</v>
      </c>
      <c r="AE440" s="4">
        <v>-1.2385975294653333E-2</v>
      </c>
      <c r="AF440">
        <f t="shared" si="6"/>
        <v>0</v>
      </c>
      <c r="AG440" s="13"/>
    </row>
    <row r="441" spans="1:33" x14ac:dyDescent="0.35">
      <c r="A441" s="3">
        <v>44476</v>
      </c>
      <c r="B441" s="6">
        <f>LN(Raw!B443/Raw!B442)</f>
        <v>-3.1913450237334843E-3</v>
      </c>
      <c r="C441" s="6">
        <f>LN(Raw!C443/Raw!C442)</f>
        <v>1.6266049226637793E-2</v>
      </c>
      <c r="D441" s="6">
        <f>LN(Raw!D443/Raw!D442)</f>
        <v>4.458480796272804E-2</v>
      </c>
      <c r="X441" s="3">
        <v>44476</v>
      </c>
      <c r="Y441" cm="1">
        <f t="array" ref="Y441">SUMPRODUCT($T$2:$T$4,TRANSPOSE(B441:D441))</f>
        <v>3.0561770156639946E-3</v>
      </c>
      <c r="AD441" s="3">
        <v>44475</v>
      </c>
      <c r="AE441" s="4">
        <v>-1.8530422981793575E-4</v>
      </c>
      <c r="AF441">
        <f t="shared" si="6"/>
        <v>0</v>
      </c>
      <c r="AG441" s="13"/>
    </row>
    <row r="442" spans="1:33" x14ac:dyDescent="0.35">
      <c r="A442" s="3">
        <v>44477</v>
      </c>
      <c r="B442" s="6">
        <f>LN(Raw!B444/Raw!B443)</f>
        <v>-1.2443465061959794E-2</v>
      </c>
      <c r="C442" s="6">
        <f>LN(Raw!C444/Raw!C443)</f>
        <v>3.0850088839839075E-3</v>
      </c>
      <c r="D442" s="6">
        <f>LN(Raw!D444/Raw!D443)</f>
        <v>-2.5490508471823096E-2</v>
      </c>
      <c r="X442" s="3">
        <v>44477</v>
      </c>
      <c r="Y442" cm="1">
        <f t="array" ref="Y442">SUMPRODUCT($T$2:$T$4,TRANSPOSE(B442:D442))</f>
        <v>-9.9901766841139321E-3</v>
      </c>
      <c r="AD442" s="3">
        <v>44476</v>
      </c>
      <c r="AE442" s="4">
        <v>3.0561770156639946E-3</v>
      </c>
      <c r="AF442">
        <f t="shared" si="6"/>
        <v>0</v>
      </c>
      <c r="AG442" s="13"/>
    </row>
    <row r="443" spans="1:33" x14ac:dyDescent="0.35">
      <c r="A443" s="3">
        <v>44480</v>
      </c>
      <c r="B443" s="6">
        <f>LN(Raw!B445/Raw!B444)</f>
        <v>4.6966305650272258E-3</v>
      </c>
      <c r="C443" s="6">
        <f>LN(Raw!C445/Raw!C444)</f>
        <v>-1.7126413802932658E-3</v>
      </c>
      <c r="D443" s="6">
        <f>LN(Raw!D445/Raw!D444)</f>
        <v>-1.0563029414694312E-2</v>
      </c>
      <c r="X443" s="3">
        <v>44480</v>
      </c>
      <c r="Y443" cm="1">
        <f t="array" ref="Y443">SUMPRODUCT($T$2:$T$4,TRANSPOSE(B443:D443))</f>
        <v>2.6623421335195694E-3</v>
      </c>
      <c r="AD443" s="3">
        <v>44477</v>
      </c>
      <c r="AE443" s="4">
        <v>-9.9901766841139321E-3</v>
      </c>
      <c r="AF443">
        <f t="shared" si="6"/>
        <v>0</v>
      </c>
      <c r="AG443" s="13"/>
    </row>
    <row r="444" spans="1:33" x14ac:dyDescent="0.35">
      <c r="A444" s="3">
        <v>44481</v>
      </c>
      <c r="B444" s="6">
        <f>LN(Raw!B446/Raw!B445)</f>
        <v>-2.3783819068562409E-3</v>
      </c>
      <c r="C444" s="6">
        <f>LN(Raw!C446/Raw!C445)</f>
        <v>3.4262384783766186E-4</v>
      </c>
      <c r="D444" s="6">
        <f>LN(Raw!D446/Raw!D445)</f>
        <v>-6.6970175006955653E-3</v>
      </c>
      <c r="X444" s="3">
        <v>44481</v>
      </c>
      <c r="Y444" cm="1">
        <f t="array" ref="Y444">SUMPRODUCT($T$2:$T$4,TRANSPOSE(B444:D444))</f>
        <v>-2.0490857140258545E-3</v>
      </c>
      <c r="AD444" s="3">
        <v>44480</v>
      </c>
      <c r="AE444" s="4">
        <v>2.6623421335195694E-3</v>
      </c>
      <c r="AF444">
        <f t="shared" si="6"/>
        <v>0</v>
      </c>
      <c r="AG444" s="13"/>
    </row>
    <row r="445" spans="1:33" x14ac:dyDescent="0.35">
      <c r="A445" s="3">
        <v>44482</v>
      </c>
      <c r="B445" s="6">
        <f>LN(Raw!B447/Raw!B446)</f>
        <v>-8.253240385981693E-3</v>
      </c>
      <c r="C445" s="6">
        <f>LN(Raw!C447/Raw!C446)</f>
        <v>2.5043796596821009E-2</v>
      </c>
      <c r="D445" s="6">
        <f>LN(Raw!D447/Raw!D446)</f>
        <v>1.1841661584521771E-2</v>
      </c>
      <c r="X445" s="3">
        <v>44482</v>
      </c>
      <c r="Y445" cm="1">
        <f t="array" ref="Y445">SUMPRODUCT($T$2:$T$4,TRANSPOSE(B445:D445))</f>
        <v>-6.1371537990336986E-4</v>
      </c>
      <c r="AD445" s="3">
        <v>44481</v>
      </c>
      <c r="AE445" s="4">
        <v>-2.0490857140258545E-3</v>
      </c>
      <c r="AF445">
        <f t="shared" si="6"/>
        <v>0</v>
      </c>
      <c r="AG445" s="13"/>
    </row>
    <row r="446" spans="1:33" x14ac:dyDescent="0.35">
      <c r="A446" s="3">
        <v>44483</v>
      </c>
      <c r="B446" s="6">
        <f>LN(Raw!B448/Raw!B447)</f>
        <v>-6.5780384536747304E-5</v>
      </c>
      <c r="C446" s="6">
        <f>LN(Raw!C448/Raw!C447)</f>
        <v>-1.0752979458426647E-2</v>
      </c>
      <c r="D446" s="6">
        <f>LN(Raw!D448/Raw!D447)</f>
        <v>-1.0620725158270594E-2</v>
      </c>
      <c r="X446" s="3">
        <v>44483</v>
      </c>
      <c r="Y446" cm="1">
        <f t="array" ref="Y446">SUMPRODUCT($T$2:$T$4,TRANSPOSE(B446:D446))</f>
        <v>-2.7209696497513497E-3</v>
      </c>
      <c r="AD446" s="3">
        <v>44482</v>
      </c>
      <c r="AE446" s="4">
        <v>-6.1371537990336986E-4</v>
      </c>
      <c r="AF446">
        <f t="shared" si="6"/>
        <v>0</v>
      </c>
      <c r="AG446" s="13"/>
    </row>
    <row r="447" spans="1:33" x14ac:dyDescent="0.35">
      <c r="A447" s="3">
        <v>44487</v>
      </c>
      <c r="B447" s="6">
        <f>LN(Raw!B449/Raw!B448)</f>
        <v>-5.2648190622497026E-4</v>
      </c>
      <c r="C447" s="6">
        <f>LN(Raw!C449/Raw!C448)</f>
        <v>-8.4817951909200509E-3</v>
      </c>
      <c r="D447" s="6">
        <f>LN(Raw!D449/Raw!D448)</f>
        <v>2.4376983386049361E-3</v>
      </c>
      <c r="X447" s="3">
        <v>44487</v>
      </c>
      <c r="Y447" cm="1">
        <f t="array" ref="Y447">SUMPRODUCT($T$2:$T$4,TRANSPOSE(B447:D447))</f>
        <v>-1.967410969290938E-3</v>
      </c>
      <c r="AD447" s="3">
        <v>44483</v>
      </c>
      <c r="AE447" s="4">
        <v>-2.7209696497513497E-3</v>
      </c>
      <c r="AF447">
        <f t="shared" si="6"/>
        <v>0</v>
      </c>
      <c r="AG447" s="13"/>
    </row>
    <row r="448" spans="1:33" x14ac:dyDescent="0.35">
      <c r="A448" s="3">
        <v>44488</v>
      </c>
      <c r="B448" s="6">
        <f>LN(Raw!B450/Raw!B449)</f>
        <v>6.3963025612163212E-3</v>
      </c>
      <c r="C448" s="6">
        <f>LN(Raw!C450/Raw!C449)</f>
        <v>-1.7182512557176653E-2</v>
      </c>
      <c r="D448" s="6">
        <f>LN(Raw!D450/Raw!D449)</f>
        <v>-8.8646249024639193E-3</v>
      </c>
      <c r="X448" s="3">
        <v>44488</v>
      </c>
      <c r="Y448" cm="1">
        <f t="array" ref="Y448">SUMPRODUCT($T$2:$T$4,TRANSPOSE(B448:D448))</f>
        <v>9.3545846413706246E-4</v>
      </c>
      <c r="AD448" s="3">
        <v>44487</v>
      </c>
      <c r="AE448" s="4">
        <v>-1.967410969290938E-3</v>
      </c>
      <c r="AF448">
        <f t="shared" si="6"/>
        <v>0</v>
      </c>
      <c r="AG448" s="13"/>
    </row>
    <row r="449" spans="1:33" x14ac:dyDescent="0.35">
      <c r="A449" s="3">
        <v>44489</v>
      </c>
      <c r="B449" s="6">
        <f>LN(Raw!B451/Raw!B450)</f>
        <v>-1.6350462936436091E-2</v>
      </c>
      <c r="C449" s="6">
        <f>LN(Raw!C451/Raw!C450)</f>
        <v>-2.349752325730731E-2</v>
      </c>
      <c r="D449" s="6">
        <f>LN(Raw!D451/Raw!D450)</f>
        <v>-8.633964726723467E-3</v>
      </c>
      <c r="X449" s="3">
        <v>44489</v>
      </c>
      <c r="Y449" cm="1">
        <f t="array" ref="Y449">SUMPRODUCT($T$2:$T$4,TRANSPOSE(B449:D449))</f>
        <v>-1.7394897631299984E-2</v>
      </c>
      <c r="AD449" s="3">
        <v>44488</v>
      </c>
      <c r="AE449" s="4">
        <v>9.3545846413706246E-4</v>
      </c>
      <c r="AF449">
        <f t="shared" si="6"/>
        <v>0</v>
      </c>
      <c r="AG449" s="13"/>
    </row>
    <row r="450" spans="1:33" x14ac:dyDescent="0.35">
      <c r="A450" s="3">
        <v>44490</v>
      </c>
      <c r="B450" s="6">
        <f>LN(Raw!B452/Raw!B451)</f>
        <v>6.6453531777382207E-4</v>
      </c>
      <c r="C450" s="6">
        <f>LN(Raw!C452/Raw!C451)</f>
        <v>-3.1989855002573678E-3</v>
      </c>
      <c r="D450" s="6">
        <f>LN(Raw!D452/Raw!D451)</f>
        <v>-1.4348417595259805E-2</v>
      </c>
      <c r="X450" s="3">
        <v>44490</v>
      </c>
      <c r="Y450" cm="1">
        <f t="array" ref="Y450">SUMPRODUCT($T$2:$T$4,TRANSPOSE(B450:D450))</f>
        <v>-8.4949283186233518E-4</v>
      </c>
      <c r="AD450" s="3">
        <v>44489</v>
      </c>
      <c r="AE450" s="4">
        <v>-1.7394897631299984E-2</v>
      </c>
      <c r="AF450">
        <f t="shared" si="6"/>
        <v>0</v>
      </c>
      <c r="AG450" s="13"/>
    </row>
    <row r="451" spans="1:33" x14ac:dyDescent="0.35">
      <c r="A451" s="3">
        <v>44491</v>
      </c>
      <c r="B451" s="6">
        <f>LN(Raw!B453/Raw!B452)</f>
        <v>-3.226917101320483E-3</v>
      </c>
      <c r="C451" s="6">
        <f>LN(Raw!C453/Raw!C452)</f>
        <v>-1.0737154044583232E-2</v>
      </c>
      <c r="D451" s="6">
        <f>LN(Raw!D453/Raw!D452)</f>
        <v>6.2815693087755206E-4</v>
      </c>
      <c r="X451" s="3">
        <v>44491</v>
      </c>
      <c r="Y451" cm="1">
        <f t="array" ref="Y451">SUMPRODUCT($T$2:$T$4,TRANSPOSE(B451:D451))</f>
        <v>-4.5349326757758331E-3</v>
      </c>
      <c r="AD451" s="3">
        <v>44490</v>
      </c>
      <c r="AE451" s="4">
        <v>-8.4949283186233518E-4</v>
      </c>
      <c r="AF451">
        <f t="shared" ref="AF451:AF514" si="7">IF(AE451&lt;$AB$2,1,0)</f>
        <v>0</v>
      </c>
      <c r="AG451" s="13"/>
    </row>
    <row r="452" spans="1:33" x14ac:dyDescent="0.35">
      <c r="A452" s="3">
        <v>44494</v>
      </c>
      <c r="B452" s="6">
        <f>LN(Raw!B454/Raw!B453)</f>
        <v>-2.402060765208078E-3</v>
      </c>
      <c r="C452" s="6">
        <f>LN(Raw!C454/Raw!C453)</f>
        <v>-2.1459348548941243E-2</v>
      </c>
      <c r="D452" s="6">
        <f>LN(Raw!D454/Raw!D453)</f>
        <v>1.1550095796497699E-2</v>
      </c>
      <c r="X452" s="3">
        <v>44494</v>
      </c>
      <c r="Y452" cm="1">
        <f t="array" ref="Y452">SUMPRODUCT($T$2:$T$4,TRANSPOSE(B452:D452))</f>
        <v>-5.5147935031534152E-3</v>
      </c>
      <c r="AD452" s="3">
        <v>44491</v>
      </c>
      <c r="AE452" s="4">
        <v>-4.5349326757758331E-3</v>
      </c>
      <c r="AF452">
        <f t="shared" si="7"/>
        <v>0</v>
      </c>
      <c r="AG452" s="13"/>
    </row>
    <row r="453" spans="1:33" x14ac:dyDescent="0.35">
      <c r="A453" s="3">
        <v>44495</v>
      </c>
      <c r="B453" s="6">
        <f>LN(Raw!B455/Raw!B454)</f>
        <v>5.8614190608957074E-3</v>
      </c>
      <c r="C453" s="6">
        <f>LN(Raw!C455/Raw!C454)</f>
        <v>3.3033609396271152E-3</v>
      </c>
      <c r="D453" s="6">
        <f>LN(Raw!D455/Raw!D454)</f>
        <v>-1.5009752558494282E-2</v>
      </c>
      <c r="X453" s="3">
        <v>44495</v>
      </c>
      <c r="Y453" cm="1">
        <f t="array" ref="Y453">SUMPRODUCT($T$2:$T$4,TRANSPOSE(B453:D453))</f>
        <v>4.3179956804315044E-3</v>
      </c>
      <c r="AD453" s="3">
        <v>44494</v>
      </c>
      <c r="AE453" s="4">
        <v>-5.5147935031534152E-3</v>
      </c>
      <c r="AF453">
        <f t="shared" si="7"/>
        <v>0</v>
      </c>
      <c r="AG453" s="13"/>
    </row>
    <row r="454" spans="1:33" x14ac:dyDescent="0.35">
      <c r="A454" s="3">
        <v>44496</v>
      </c>
      <c r="B454" s="6">
        <f>LN(Raw!B456/Raw!B455)</f>
        <v>-3.5594586272325269E-3</v>
      </c>
      <c r="C454" s="6">
        <f>LN(Raw!C456/Raw!C455)</f>
        <v>5.8459351213792886E-3</v>
      </c>
      <c r="D454" s="6">
        <f>LN(Raw!D456/Raw!D455)</f>
        <v>-9.4967925616257672E-3</v>
      </c>
      <c r="X454" s="3">
        <v>44496</v>
      </c>
      <c r="Y454" cm="1">
        <f t="array" ref="Y454">SUMPRODUCT($T$2:$T$4,TRANSPOSE(B454:D454))</f>
        <v>-1.9762814424529639E-3</v>
      </c>
      <c r="AD454" s="3">
        <v>44495</v>
      </c>
      <c r="AE454" s="4">
        <v>4.3179956804315044E-3</v>
      </c>
      <c r="AF454">
        <f t="shared" si="7"/>
        <v>0</v>
      </c>
      <c r="AG454" s="13"/>
    </row>
    <row r="455" spans="1:33" x14ac:dyDescent="0.35">
      <c r="A455" s="3">
        <v>44497</v>
      </c>
      <c r="B455" s="6">
        <f>LN(Raw!B457/Raw!B456)</f>
        <v>-1.9245378226501131E-2</v>
      </c>
      <c r="C455" s="6">
        <f>LN(Raw!C457/Raw!C456)</f>
        <v>-1.8011919268927819E-2</v>
      </c>
      <c r="D455" s="6">
        <f>LN(Raw!D457/Raw!D456)</f>
        <v>-2.1215777049521965E-2</v>
      </c>
      <c r="X455" s="3">
        <v>44497</v>
      </c>
      <c r="Y455" cm="1">
        <f t="array" ref="Y455">SUMPRODUCT($T$2:$T$4,TRANSPOSE(B455:D455))</f>
        <v>-1.9096734268515155E-2</v>
      </c>
      <c r="AD455" s="3">
        <v>44496</v>
      </c>
      <c r="AE455" s="4">
        <v>-1.9762814424529639E-3</v>
      </c>
      <c r="AF455">
        <f t="shared" si="7"/>
        <v>0</v>
      </c>
      <c r="AG455" s="13"/>
    </row>
    <row r="456" spans="1:33" x14ac:dyDescent="0.35">
      <c r="A456" s="3">
        <v>44498</v>
      </c>
      <c r="B456" s="6">
        <f>LN(Raw!B458/Raw!B457)</f>
        <v>9.3238850286860367E-3</v>
      </c>
      <c r="C456" s="6">
        <f>LN(Raw!C458/Raw!C457)</f>
        <v>-1.1190032403588773E-2</v>
      </c>
      <c r="D456" s="6">
        <f>LN(Raw!D458/Raw!D457)</f>
        <v>-1.0122590158786707E-2</v>
      </c>
      <c r="X456" s="3">
        <v>44498</v>
      </c>
      <c r="Y456" cm="1">
        <f t="array" ref="Y456">SUMPRODUCT($T$2:$T$4,TRANSPOSE(B456:D456))</f>
        <v>4.2675534682417001E-3</v>
      </c>
      <c r="AD456" s="3">
        <v>44497</v>
      </c>
      <c r="AE456" s="4">
        <v>-1.9096734268515155E-2</v>
      </c>
      <c r="AF456">
        <f t="shared" si="7"/>
        <v>0</v>
      </c>
      <c r="AG456" s="13"/>
    </row>
    <row r="457" spans="1:33" x14ac:dyDescent="0.35">
      <c r="A457" s="3">
        <v>44501</v>
      </c>
      <c r="B457" s="6">
        <f>LN(Raw!B459/Raw!B458)</f>
        <v>2.4140201615622935E-2</v>
      </c>
      <c r="C457" s="6">
        <f>LN(Raw!C459/Raw!C458)</f>
        <v>-7.5042662606855952E-4</v>
      </c>
      <c r="D457" s="6">
        <f>LN(Raw!D459/Raw!D458)</f>
        <v>4.5841748315958884E-3</v>
      </c>
      <c r="X457" s="3">
        <v>44501</v>
      </c>
      <c r="Y457" cm="1">
        <f t="array" ref="Y457">SUMPRODUCT($T$2:$T$4,TRANSPOSE(B457:D457))</f>
        <v>1.820499639580658E-2</v>
      </c>
      <c r="AD457" s="3">
        <v>44498</v>
      </c>
      <c r="AE457" s="4">
        <v>4.2675534682417001E-3</v>
      </c>
      <c r="AF457">
        <f t="shared" si="7"/>
        <v>0</v>
      </c>
      <c r="AG457" s="13"/>
    </row>
    <row r="458" spans="1:33" x14ac:dyDescent="0.35">
      <c r="A458" s="3">
        <v>44502</v>
      </c>
      <c r="B458" s="6">
        <f>LN(Raw!B460/Raw!B459)</f>
        <v>-6.1794757466900746E-3</v>
      </c>
      <c r="C458" s="6">
        <f>LN(Raw!C460/Raw!C459)</f>
        <v>2.0435326148730507E-2</v>
      </c>
      <c r="D458" s="6">
        <f>LN(Raw!D460/Raw!D459)</f>
        <v>-3.9279898920310521E-3</v>
      </c>
      <c r="X458" s="3">
        <v>44502</v>
      </c>
      <c r="Y458" cm="1">
        <f t="array" ref="Y458">SUMPRODUCT($T$2:$T$4,TRANSPOSE(B458:D458))</f>
        <v>-7.5658425546843062E-4</v>
      </c>
      <c r="AD458" s="3">
        <v>44501</v>
      </c>
      <c r="AE458" s="4">
        <v>1.820499639580658E-2</v>
      </c>
      <c r="AF458">
        <f t="shared" si="7"/>
        <v>0</v>
      </c>
      <c r="AG458" s="13"/>
    </row>
    <row r="459" spans="1:33" x14ac:dyDescent="0.35">
      <c r="A459" s="3">
        <v>44503</v>
      </c>
      <c r="B459" s="6">
        <f>LN(Raw!B461/Raw!B460)</f>
        <v>1.3106546614884368E-2</v>
      </c>
      <c r="C459" s="6">
        <f>LN(Raw!C461/Raw!C460)</f>
        <v>-1.8406248271311016E-3</v>
      </c>
      <c r="D459" s="6">
        <f>LN(Raw!D461/Raw!D460)</f>
        <v>2.7496369223867247E-2</v>
      </c>
      <c r="X459" s="3">
        <v>44503</v>
      </c>
      <c r="Y459" cm="1">
        <f t="array" ref="Y459">SUMPRODUCT($T$2:$T$4,TRANSPOSE(B459:D459))</f>
        <v>1.0835721950350805E-2</v>
      </c>
      <c r="AD459" s="3">
        <v>44502</v>
      </c>
      <c r="AE459" s="4">
        <v>-7.5658425546843062E-4</v>
      </c>
      <c r="AF459">
        <f t="shared" si="7"/>
        <v>0</v>
      </c>
      <c r="AG459" s="13"/>
    </row>
    <row r="460" spans="1:33" x14ac:dyDescent="0.35">
      <c r="A460" s="3">
        <v>44504</v>
      </c>
      <c r="B460" s="6">
        <f>LN(Raw!B462/Raw!B461)</f>
        <v>2.2891244964027234E-4</v>
      </c>
      <c r="C460" s="6">
        <f>LN(Raw!C462/Raw!C461)</f>
        <v>1.5356790471996059E-2</v>
      </c>
      <c r="D460" s="6">
        <f>LN(Raw!D462/Raw!D461)</f>
        <v>9.5701149676721614E-4</v>
      </c>
      <c r="X460" s="3">
        <v>44504</v>
      </c>
      <c r="Y460" cm="1">
        <f t="array" ref="Y460">SUMPRODUCT($T$2:$T$4,TRANSPOSE(B460:D460))</f>
        <v>3.2839878592797493E-3</v>
      </c>
      <c r="AD460" s="3">
        <v>44503</v>
      </c>
      <c r="AE460" s="4">
        <v>1.0835721950350805E-2</v>
      </c>
      <c r="AF460">
        <f t="shared" si="7"/>
        <v>0</v>
      </c>
      <c r="AG460" s="13"/>
    </row>
    <row r="461" spans="1:33" x14ac:dyDescent="0.35">
      <c r="A461" s="3">
        <v>44508</v>
      </c>
      <c r="B461" s="6">
        <f>LN(Raw!B463/Raw!B462)</f>
        <v>-1.1712646664782979E-2</v>
      </c>
      <c r="C461" s="6">
        <f>LN(Raw!C463/Raw!C462)</f>
        <v>1.4051873383371483E-2</v>
      </c>
      <c r="D461" s="6">
        <f>LN(Raw!D463/Raw!D462)</f>
        <v>5.0872810571186535E-3</v>
      </c>
      <c r="X461" s="3">
        <v>44508</v>
      </c>
      <c r="Y461" cm="1">
        <f t="array" ref="Y461">SUMPRODUCT($T$2:$T$4,TRANSPOSE(B461:D461))</f>
        <v>-5.7394402756178022E-3</v>
      </c>
      <c r="AD461" s="3">
        <v>44504</v>
      </c>
      <c r="AE461" s="4">
        <v>3.2839878592797493E-3</v>
      </c>
      <c r="AF461">
        <f t="shared" si="7"/>
        <v>0</v>
      </c>
      <c r="AG461" s="13"/>
    </row>
    <row r="462" spans="1:33" x14ac:dyDescent="0.35">
      <c r="A462" s="3">
        <v>44509</v>
      </c>
      <c r="B462" s="6">
        <f>LN(Raw!B464/Raw!B463)</f>
        <v>-1.2914377584239451E-3</v>
      </c>
      <c r="C462" s="6">
        <f>LN(Raw!C464/Raw!C463)</f>
        <v>3.5763700794166431E-4</v>
      </c>
      <c r="D462" s="6">
        <f>LN(Raw!D464/Raw!D463)</f>
        <v>0</v>
      </c>
      <c r="X462" s="3">
        <v>44509</v>
      </c>
      <c r="Y462" cm="1">
        <f t="array" ref="Y462">SUMPRODUCT($T$2:$T$4,TRANSPOSE(B462:D462))</f>
        <v>-8.984216519211328E-4</v>
      </c>
      <c r="AD462" s="3">
        <v>44508</v>
      </c>
      <c r="AE462" s="4">
        <v>-5.7394402756178022E-3</v>
      </c>
      <c r="AF462">
        <f t="shared" si="7"/>
        <v>0</v>
      </c>
      <c r="AG462" s="13"/>
    </row>
    <row r="463" spans="1:33" x14ac:dyDescent="0.35">
      <c r="A463" s="3">
        <v>44510</v>
      </c>
      <c r="B463" s="6">
        <f>LN(Raw!B465/Raw!B464)</f>
        <v>1.218611102222961E-2</v>
      </c>
      <c r="C463" s="6">
        <f>LN(Raw!C465/Raw!C464)</f>
        <v>3.5701367781789347E-3</v>
      </c>
      <c r="D463" s="6">
        <f>LN(Raw!D465/Raw!D464)</f>
        <v>1.9011903630589014E-3</v>
      </c>
      <c r="X463" s="3">
        <v>44510</v>
      </c>
      <c r="Y463" cm="1">
        <f t="array" ref="Y463">SUMPRODUCT($T$2:$T$4,TRANSPOSE(B463:D463))</f>
        <v>9.9576355574583046E-3</v>
      </c>
      <c r="AD463" s="3">
        <v>44509</v>
      </c>
      <c r="AE463" s="4">
        <v>-8.984216519211328E-4</v>
      </c>
      <c r="AF463">
        <f t="shared" si="7"/>
        <v>0</v>
      </c>
      <c r="AG463" s="13"/>
    </row>
    <row r="464" spans="1:33" x14ac:dyDescent="0.35">
      <c r="A464" s="3">
        <v>44511</v>
      </c>
      <c r="B464" s="6">
        <f>LN(Raw!B466/Raw!B465)</f>
        <v>-1.2915280235669836E-2</v>
      </c>
      <c r="C464" s="6">
        <f>LN(Raw!C466/Raw!C465)</f>
        <v>5.3091500901183232E-2</v>
      </c>
      <c r="D464" s="6">
        <f>LN(Raw!D466/Raw!D465)</f>
        <v>2.1917040115936388E-2</v>
      </c>
      <c r="X464" s="3">
        <v>44511</v>
      </c>
      <c r="Y464" cm="1">
        <f t="array" ref="Y464">SUMPRODUCT($T$2:$T$4,TRANSPOSE(B464:D464))</f>
        <v>1.9814223913099337E-3</v>
      </c>
      <c r="AD464" s="3">
        <v>44510</v>
      </c>
      <c r="AE464" s="4">
        <v>9.9576355574583046E-3</v>
      </c>
      <c r="AF464">
        <f t="shared" si="7"/>
        <v>0</v>
      </c>
      <c r="AG464" s="13"/>
    </row>
    <row r="465" spans="1:33" x14ac:dyDescent="0.35">
      <c r="A465" s="3">
        <v>44512</v>
      </c>
      <c r="B465" s="6">
        <f>LN(Raw!B467/Raw!B466)</f>
        <v>1.6235408266603287E-3</v>
      </c>
      <c r="C465" s="6">
        <f>LN(Raw!C467/Raw!C466)</f>
        <v>-4.0636688087950729E-3</v>
      </c>
      <c r="D465" s="6">
        <f>LN(Raw!D467/Raw!D466)</f>
        <v>-1.2465129308161805E-2</v>
      </c>
      <c r="X465" s="3">
        <v>44512</v>
      </c>
      <c r="Y465" cm="1">
        <f t="array" ref="Y465">SUMPRODUCT($T$2:$T$4,TRANSPOSE(B465:D465))</f>
        <v>-2.0869456819100948E-4</v>
      </c>
      <c r="AD465" s="3">
        <v>44511</v>
      </c>
      <c r="AE465" s="4">
        <v>1.9814223913099337E-3</v>
      </c>
      <c r="AF465">
        <f t="shared" si="7"/>
        <v>0</v>
      </c>
      <c r="AG465" s="13"/>
    </row>
    <row r="466" spans="1:33" x14ac:dyDescent="0.35">
      <c r="A466" s="3">
        <v>44515</v>
      </c>
      <c r="B466" s="6">
        <f>LN(Raw!B468/Raw!B467)</f>
        <v>1.7264527100620649E-2</v>
      </c>
      <c r="C466" s="6">
        <f>LN(Raw!C468/Raw!C467)</f>
        <v>-1.9877317088701406E-2</v>
      </c>
      <c r="D466" s="6">
        <f>LN(Raw!D468/Raw!D467)</f>
        <v>-3.1859989744017506E-2</v>
      </c>
      <c r="X466" s="3">
        <v>44515</v>
      </c>
      <c r="Y466" cm="1">
        <f t="array" ref="Y466">SUMPRODUCT($T$2:$T$4,TRANSPOSE(B466:D466))</f>
        <v>7.4210223847895225E-3</v>
      </c>
      <c r="AD466" s="3">
        <v>44512</v>
      </c>
      <c r="AE466" s="4">
        <v>-2.0869456819100948E-4</v>
      </c>
      <c r="AF466">
        <f t="shared" si="7"/>
        <v>0</v>
      </c>
      <c r="AG466" s="13"/>
    </row>
    <row r="467" spans="1:33" x14ac:dyDescent="0.35">
      <c r="A467" s="3">
        <v>44516</v>
      </c>
      <c r="B467" s="6">
        <f>LN(Raw!B469/Raw!B468)</f>
        <v>-1.0829360324583915E-2</v>
      </c>
      <c r="C467" s="6">
        <f>LN(Raw!C469/Raw!C468)</f>
        <v>-1.7322213124043686E-3</v>
      </c>
      <c r="D467" s="6">
        <f>LN(Raw!D469/Raw!D468)</f>
        <v>-2.9177896855534123E-3</v>
      </c>
      <c r="X467" s="3">
        <v>44516</v>
      </c>
      <c r="Y467" cm="1">
        <f t="array" ref="Y467">SUMPRODUCT($T$2:$T$4,TRANSPOSE(B467:D467))</f>
        <v>-8.6223170892788456E-3</v>
      </c>
      <c r="AD467" s="3">
        <v>44515</v>
      </c>
      <c r="AE467" s="4">
        <v>7.4210223847895225E-3</v>
      </c>
      <c r="AF467">
        <f t="shared" si="7"/>
        <v>0</v>
      </c>
      <c r="AG467" s="13"/>
    </row>
    <row r="468" spans="1:33" x14ac:dyDescent="0.35">
      <c r="A468" s="3">
        <v>44517</v>
      </c>
      <c r="B468" s="6">
        <f>LN(Raw!B470/Raw!B469)</f>
        <v>5.9035706049931358E-3</v>
      </c>
      <c r="C468" s="6">
        <f>LN(Raw!C470/Raw!C469)</f>
        <v>-8.7064033475989545E-3</v>
      </c>
      <c r="D468" s="6">
        <f>LN(Raw!D470/Raw!D469)</f>
        <v>7.7618990482557736E-3</v>
      </c>
      <c r="X468" s="3">
        <v>44517</v>
      </c>
      <c r="Y468" cm="1">
        <f t="array" ref="Y468">SUMPRODUCT($T$2:$T$4,TRANSPOSE(B468:D468))</f>
        <v>3.0798548474312861E-3</v>
      </c>
      <c r="AD468" s="3">
        <v>44516</v>
      </c>
      <c r="AE468" s="4">
        <v>-8.6223170892788456E-3</v>
      </c>
      <c r="AF468">
        <f t="shared" si="7"/>
        <v>0</v>
      </c>
      <c r="AG468" s="13"/>
    </row>
    <row r="469" spans="1:33" x14ac:dyDescent="0.35">
      <c r="A469" s="3">
        <v>44518</v>
      </c>
      <c r="B469" s="6">
        <f>LN(Raw!B471/Raw!B470)</f>
        <v>-1.0949154549831218E-2</v>
      </c>
      <c r="C469" s="6">
        <f>LN(Raw!C471/Raw!C470)</f>
        <v>2.0426554891599266E-2</v>
      </c>
      <c r="D469" s="6">
        <f>LN(Raw!D471/Raw!D470)</f>
        <v>-1.9519049159305944E-2</v>
      </c>
      <c r="X469" s="3">
        <v>44518</v>
      </c>
      <c r="Y469" cm="1">
        <f t="array" ref="Y469">SUMPRODUCT($T$2:$T$4,TRANSPOSE(B469:D469))</f>
        <v>-5.1116890956136515E-3</v>
      </c>
      <c r="AD469" s="3">
        <v>44517</v>
      </c>
      <c r="AE469" s="4">
        <v>3.0798548474312861E-3</v>
      </c>
      <c r="AF469">
        <f t="shared" si="7"/>
        <v>0</v>
      </c>
      <c r="AG469" s="13"/>
    </row>
    <row r="470" spans="1:33" x14ac:dyDescent="0.35">
      <c r="A470" s="3">
        <v>44522</v>
      </c>
      <c r="B470" s="6">
        <f>LN(Raw!B472/Raw!B471)</f>
        <v>-3.3620000492797002E-2</v>
      </c>
      <c r="C470" s="6">
        <f>LN(Raw!C472/Raw!C471)</f>
        <v>-2.5686777502732398E-2</v>
      </c>
      <c r="D470" s="6">
        <f>LN(Raw!D472/Raw!D471)</f>
        <v>-5.2954516451960157E-2</v>
      </c>
      <c r="X470" s="3">
        <v>44522</v>
      </c>
      <c r="Y470" cm="1">
        <f t="array" ref="Y470">SUMPRODUCT($T$2:$T$4,TRANSPOSE(B470:D470))</f>
        <v>-3.2993649357454198E-2</v>
      </c>
      <c r="AD470" s="3">
        <v>44518</v>
      </c>
      <c r="AE470" s="4">
        <v>-5.1116890956136515E-3</v>
      </c>
      <c r="AF470">
        <f t="shared" si="7"/>
        <v>0</v>
      </c>
      <c r="AG470" s="13"/>
    </row>
    <row r="471" spans="1:33" x14ac:dyDescent="0.35">
      <c r="A471" s="3">
        <v>44523</v>
      </c>
      <c r="B471" s="6">
        <f>LN(Raw!B473/Raw!B472)</f>
        <v>-2.636316142842468E-3</v>
      </c>
      <c r="C471" s="6">
        <f>LN(Raw!C473/Raw!C472)</f>
        <v>4.9104085328586259E-3</v>
      </c>
      <c r="D471" s="6">
        <f>LN(Raw!D473/Raw!D472)</f>
        <v>1.2392469826658281E-2</v>
      </c>
      <c r="X471" s="3">
        <v>44523</v>
      </c>
      <c r="Y471" cm="1">
        <f t="array" ref="Y471">SUMPRODUCT($T$2:$T$4,TRANSPOSE(B471:D471))</f>
        <v>-3.8645444082537571E-4</v>
      </c>
      <c r="AD471" s="3">
        <v>44522</v>
      </c>
      <c r="AE471" s="4">
        <v>-3.2993649357454198E-2</v>
      </c>
      <c r="AF471">
        <f t="shared" si="7"/>
        <v>0</v>
      </c>
      <c r="AG471" s="13"/>
    </row>
    <row r="472" spans="1:33" x14ac:dyDescent="0.35">
      <c r="A472" s="3">
        <v>44524</v>
      </c>
      <c r="B472" s="6">
        <f>LN(Raw!B474/Raw!B473)</f>
        <v>1.9957261612750837E-2</v>
      </c>
      <c r="C472" s="6">
        <f>LN(Raw!C474/Raw!C473)</f>
        <v>3.2360862927360304E-2</v>
      </c>
      <c r="D472" s="6">
        <f>LN(Raw!D474/Raw!D473)</f>
        <v>5.4912991660890913E-2</v>
      </c>
      <c r="X472" s="3">
        <v>44524</v>
      </c>
      <c r="Y472" cm="1">
        <f t="array" ref="Y472">SUMPRODUCT($T$2:$T$4,TRANSPOSE(B472:D472))</f>
        <v>2.416258734869204E-2</v>
      </c>
      <c r="AD472" s="3">
        <v>44523</v>
      </c>
      <c r="AE472" s="4">
        <v>-3.8645444082537571E-4</v>
      </c>
      <c r="AF472">
        <f t="shared" si="7"/>
        <v>0</v>
      </c>
      <c r="AG472" s="13"/>
    </row>
    <row r="473" spans="1:33" x14ac:dyDescent="0.35">
      <c r="A473" s="3">
        <v>44525</v>
      </c>
      <c r="B473" s="6">
        <f>LN(Raw!B475/Raw!B474)</f>
        <v>3.3882769354010162E-3</v>
      </c>
      <c r="C473" s="6">
        <f>LN(Raw!C475/Raw!C474)</f>
        <v>-1.5705145699948079E-2</v>
      </c>
      <c r="D473" s="6">
        <f>LN(Raw!D475/Raw!D474)</f>
        <v>-2.0612350787462052E-2</v>
      </c>
      <c r="X473" s="3">
        <v>44525</v>
      </c>
      <c r="Y473" cm="1">
        <f t="array" ref="Y473">SUMPRODUCT($T$2:$T$4,TRANSPOSE(B473:D473))</f>
        <v>-1.6099546479447305E-3</v>
      </c>
      <c r="AD473" s="3">
        <v>44524</v>
      </c>
      <c r="AE473" s="4">
        <v>2.416258734869204E-2</v>
      </c>
      <c r="AF473">
        <f t="shared" si="7"/>
        <v>0</v>
      </c>
      <c r="AG473" s="13"/>
    </row>
    <row r="474" spans="1:33" x14ac:dyDescent="0.35">
      <c r="A474" s="3">
        <v>44526</v>
      </c>
      <c r="B474" s="6">
        <f>LN(Raw!B476/Raw!B475)</f>
        <v>-2.6676411696728641E-2</v>
      </c>
      <c r="C474" s="6">
        <f>LN(Raw!C476/Raw!C475)</f>
        <v>-2.6147670322187865E-2</v>
      </c>
      <c r="D474" s="6">
        <f>LN(Raw!D476/Raw!D475)</f>
        <v>-1.7339573605914805E-2</v>
      </c>
      <c r="X474" s="3">
        <v>44526</v>
      </c>
      <c r="Y474" cm="1">
        <f t="array" ref="Y474">SUMPRODUCT($T$2:$T$4,TRANSPOSE(B474:D474))</f>
        <v>-2.6108810429217925E-2</v>
      </c>
      <c r="AD474" s="3">
        <v>44525</v>
      </c>
      <c r="AE474" s="4">
        <v>-1.6099546479447305E-3</v>
      </c>
      <c r="AF474">
        <f t="shared" si="7"/>
        <v>0</v>
      </c>
      <c r="AG474" s="13"/>
    </row>
    <row r="475" spans="1:33" x14ac:dyDescent="0.35">
      <c r="A475" s="3">
        <v>44529</v>
      </c>
      <c r="B475" s="6">
        <f>LN(Raw!B477/Raw!B476)</f>
        <v>-1.343547327917389E-2</v>
      </c>
      <c r="C475" s="6">
        <f>LN(Raw!C477/Raw!C476)</f>
        <v>3.525957079877671E-3</v>
      </c>
      <c r="D475" s="6">
        <f>LN(Raw!D477/Raw!D476)</f>
        <v>-1.2864102142207704E-2</v>
      </c>
      <c r="X475" s="3">
        <v>44529</v>
      </c>
      <c r="Y475" cm="1">
        <f t="array" ref="Y475">SUMPRODUCT($T$2:$T$4,TRANSPOSE(B475:D475))</f>
        <v>-1.0022235698659921E-2</v>
      </c>
      <c r="AD475" s="3">
        <v>44526</v>
      </c>
      <c r="AE475" s="4">
        <v>-2.6108810429217925E-2</v>
      </c>
      <c r="AF475">
        <f t="shared" si="7"/>
        <v>0</v>
      </c>
      <c r="AG475" s="13"/>
    </row>
    <row r="476" spans="1:33" x14ac:dyDescent="0.35">
      <c r="A476" s="3">
        <v>44530</v>
      </c>
      <c r="B476" s="6">
        <f>LN(Raw!B478/Raw!B477)</f>
        <v>2.159029107773199E-3</v>
      </c>
      <c r="C476" s="6">
        <f>LN(Raw!C478/Raw!C477)</f>
        <v>-2.1139865237861195E-3</v>
      </c>
      <c r="D476" s="6">
        <f>LN(Raw!D478/Raw!D477)</f>
        <v>-1.3722153535574679E-2</v>
      </c>
      <c r="X476" s="3">
        <v>44530</v>
      </c>
      <c r="Y476" cm="1">
        <f t="array" ref="Y476">SUMPRODUCT($T$2:$T$4,TRANSPOSE(B476:D476))</f>
        <v>5.2031006395179217E-4</v>
      </c>
      <c r="AD476" s="3">
        <v>44529</v>
      </c>
      <c r="AE476" s="4">
        <v>-1.0022235698659921E-2</v>
      </c>
      <c r="AF476">
        <f t="shared" si="7"/>
        <v>0</v>
      </c>
      <c r="AG476" s="13"/>
    </row>
    <row r="477" spans="1:33" x14ac:dyDescent="0.35">
      <c r="A477" s="3">
        <v>44531</v>
      </c>
      <c r="B477" s="6">
        <f>LN(Raw!B479/Raw!B478)</f>
        <v>2.1890398851368998E-3</v>
      </c>
      <c r="C477" s="6">
        <f>LN(Raw!C479/Raw!C478)</f>
        <v>1.122414869916492E-2</v>
      </c>
      <c r="D477" s="6">
        <f>LN(Raw!D479/Raw!D478)</f>
        <v>1.0355413679338434E-3</v>
      </c>
      <c r="X477" s="3">
        <v>44531</v>
      </c>
      <c r="Y477" cm="1">
        <f t="array" ref="Y477">SUMPRODUCT($T$2:$T$4,TRANSPOSE(B477:D477))</f>
        <v>3.9350725007436362E-3</v>
      </c>
      <c r="AD477" s="3">
        <v>44530</v>
      </c>
      <c r="AE477" s="4">
        <v>5.2031006395179217E-4</v>
      </c>
      <c r="AF477">
        <f t="shared" si="7"/>
        <v>0</v>
      </c>
      <c r="AG477" s="13"/>
    </row>
    <row r="478" spans="1:33" x14ac:dyDescent="0.35">
      <c r="A478" s="3">
        <v>44532</v>
      </c>
      <c r="B478" s="6">
        <f>LN(Raw!B480/Raw!B479)</f>
        <v>1.597725001493179E-2</v>
      </c>
      <c r="C478" s="6">
        <f>LN(Raw!C480/Raw!C479)</f>
        <v>-7.0003380184692071E-3</v>
      </c>
      <c r="D478" s="6">
        <f>LN(Raw!D480/Raw!D479)</f>
        <v>1.0346879622865168E-3</v>
      </c>
      <c r="X478" s="3">
        <v>44532</v>
      </c>
      <c r="Y478" cm="1">
        <f t="array" ref="Y478">SUMPRODUCT($T$2:$T$4,TRANSPOSE(B478:D478))</f>
        <v>1.0652147515955989E-2</v>
      </c>
      <c r="AD478" s="3">
        <v>44531</v>
      </c>
      <c r="AE478" s="4">
        <v>3.9350725007436362E-3</v>
      </c>
      <c r="AF478">
        <f t="shared" si="7"/>
        <v>0</v>
      </c>
      <c r="AG478" s="13"/>
    </row>
    <row r="479" spans="1:33" x14ac:dyDescent="0.35">
      <c r="A479" s="3">
        <v>44533</v>
      </c>
      <c r="B479" s="6">
        <f>LN(Raw!B481/Raw!B480)</f>
        <v>-9.8177731333180893E-3</v>
      </c>
      <c r="C479" s="6">
        <f>LN(Raw!C481/Raw!C480)</f>
        <v>-7.4035227087084002E-3</v>
      </c>
      <c r="D479" s="6">
        <f>LN(Raw!D481/Raw!D480)</f>
        <v>3.0975472994190373E-3</v>
      </c>
      <c r="X479" s="3">
        <v>44533</v>
      </c>
      <c r="Y479" cm="1">
        <f t="array" ref="Y479">SUMPRODUCT($T$2:$T$4,TRANSPOSE(B479:D479))</f>
        <v>-8.6967850893103129E-3</v>
      </c>
      <c r="AD479" s="3">
        <v>44532</v>
      </c>
      <c r="AE479" s="4">
        <v>1.0652147515955989E-2</v>
      </c>
      <c r="AF479">
        <f t="shared" si="7"/>
        <v>0</v>
      </c>
      <c r="AG479" s="13"/>
    </row>
    <row r="480" spans="1:33" x14ac:dyDescent="0.35">
      <c r="A480" s="3">
        <v>44536</v>
      </c>
      <c r="B480" s="6">
        <f>LN(Raw!B482/Raw!B481)</f>
        <v>-2.0915324835991102E-2</v>
      </c>
      <c r="C480" s="6">
        <f>LN(Raw!C482/Raw!C481)</f>
        <v>-7.1023816987120054E-3</v>
      </c>
      <c r="D480" s="6">
        <f>LN(Raw!D482/Raw!D481)</f>
        <v>-1.6981647073812174E-2</v>
      </c>
      <c r="X480" s="3">
        <v>44536</v>
      </c>
      <c r="Y480" cm="1">
        <f t="array" ref="Y480">SUMPRODUCT($T$2:$T$4,TRANSPOSE(B480:D480))</f>
        <v>-1.7964023849120714E-2</v>
      </c>
      <c r="AD480" s="3">
        <v>44533</v>
      </c>
      <c r="AE480" s="4">
        <v>-8.6967850893103129E-3</v>
      </c>
      <c r="AF480">
        <f t="shared" si="7"/>
        <v>0</v>
      </c>
      <c r="AG480" s="13"/>
    </row>
    <row r="481" spans="1:33" x14ac:dyDescent="0.35">
      <c r="A481" s="3">
        <v>44537</v>
      </c>
      <c r="B481" s="6">
        <f>LN(Raw!B483/Raw!B482)</f>
        <v>-2.1511979097309105E-3</v>
      </c>
      <c r="C481" s="6">
        <f>LN(Raw!C483/Raw!C482)</f>
        <v>1.7803903192164957E-3</v>
      </c>
      <c r="D481" s="6">
        <f>LN(Raw!D483/Raw!D482)</f>
        <v>5.2291396981320615E-3</v>
      </c>
      <c r="X481" s="3">
        <v>44537</v>
      </c>
      <c r="Y481" cm="1">
        <f t="array" ref="Y481">SUMPRODUCT($T$2:$T$4,TRANSPOSE(B481:D481))</f>
        <v>-1.0013246281264571E-3</v>
      </c>
      <c r="AD481" s="3">
        <v>44536</v>
      </c>
      <c r="AE481" s="4">
        <v>-1.7964023849120714E-2</v>
      </c>
      <c r="AF481">
        <f t="shared" si="7"/>
        <v>0</v>
      </c>
      <c r="AG481" s="13"/>
    </row>
    <row r="482" spans="1:33" x14ac:dyDescent="0.35">
      <c r="A482" s="3">
        <v>44538</v>
      </c>
      <c r="B482" s="6">
        <f>LN(Raw!B484/Raw!B483)</f>
        <v>2.0026254962933813E-2</v>
      </c>
      <c r="C482" s="6">
        <f>LN(Raw!C484/Raw!C483)</f>
        <v>9.5592254778012475E-3</v>
      </c>
      <c r="D482" s="6">
        <f>LN(Raw!D484/Raw!D483)</f>
        <v>1.0721238481999597E-2</v>
      </c>
      <c r="X482" s="3">
        <v>44538</v>
      </c>
      <c r="Y482" cm="1">
        <f t="array" ref="Y482">SUMPRODUCT($T$2:$T$4,TRANSPOSE(B482:D482))</f>
        <v>1.7476863438815007E-2</v>
      </c>
      <c r="AD482" s="3">
        <v>44537</v>
      </c>
      <c r="AE482" s="4">
        <v>-1.0013246281264571E-3</v>
      </c>
      <c r="AF482">
        <f t="shared" si="7"/>
        <v>0</v>
      </c>
      <c r="AG482" s="13"/>
    </row>
    <row r="483" spans="1:33" x14ac:dyDescent="0.35">
      <c r="A483" s="3">
        <v>44539</v>
      </c>
      <c r="B483" s="6">
        <f>LN(Raw!B485/Raw!B484)</f>
        <v>-5.1344015897768448E-3</v>
      </c>
      <c r="C483" s="6">
        <f>LN(Raw!C485/Raw!C484)</f>
        <v>-4.9451586602410526E-3</v>
      </c>
      <c r="D483" s="6">
        <f>LN(Raw!D485/Raw!D484)</f>
        <v>-1.3770807188560955E-3</v>
      </c>
      <c r="X483" s="3">
        <v>44539</v>
      </c>
      <c r="Y483" cm="1">
        <f t="array" ref="Y483">SUMPRODUCT($T$2:$T$4,TRANSPOSE(B483:D483))</f>
        <v>-4.9106844767218697E-3</v>
      </c>
      <c r="AD483" s="3">
        <v>44538</v>
      </c>
      <c r="AE483" s="4">
        <v>1.7476863438815007E-2</v>
      </c>
      <c r="AF483">
        <f t="shared" si="7"/>
        <v>0</v>
      </c>
      <c r="AG483" s="13"/>
    </row>
    <row r="484" spans="1:33" x14ac:dyDescent="0.35">
      <c r="A484" s="3">
        <v>44540</v>
      </c>
      <c r="B484" s="6">
        <f>LN(Raw!B486/Raw!B485)</f>
        <v>1.5987307270856883E-3</v>
      </c>
      <c r="C484" s="6">
        <f>LN(Raw!C486/Raw!C485)</f>
        <v>-7.1073690052792481E-3</v>
      </c>
      <c r="D484" s="6">
        <f>LN(Raw!D486/Raw!D485)</f>
        <v>6.5237960165570163E-3</v>
      </c>
      <c r="X484" s="3">
        <v>44540</v>
      </c>
      <c r="Y484" cm="1">
        <f t="array" ref="Y484">SUMPRODUCT($T$2:$T$4,TRANSPOSE(B484:D484))</f>
        <v>1.0501304392551675E-4</v>
      </c>
      <c r="AD484" s="3">
        <v>44539</v>
      </c>
      <c r="AE484" s="4">
        <v>-4.9106844767218697E-3</v>
      </c>
      <c r="AF484">
        <f t="shared" si="7"/>
        <v>0</v>
      </c>
      <c r="AG484" s="13"/>
    </row>
    <row r="485" spans="1:33" x14ac:dyDescent="0.35">
      <c r="A485" s="3">
        <v>44543</v>
      </c>
      <c r="B485" s="6">
        <f>LN(Raw!B487/Raw!B486)</f>
        <v>-1.3248083519212205E-2</v>
      </c>
      <c r="C485" s="6">
        <f>LN(Raw!C487/Raw!C486)</f>
        <v>-8.9557963080649974E-3</v>
      </c>
      <c r="D485" s="6">
        <f>LN(Raw!D487/Raw!D486)</f>
        <v>-4.1154464040206278E-3</v>
      </c>
      <c r="X485" s="3">
        <v>44543</v>
      </c>
      <c r="Y485" cm="1">
        <f t="array" ref="Y485">SUMPRODUCT($T$2:$T$4,TRANSPOSE(B485:D485))</f>
        <v>-1.1939504643063269E-2</v>
      </c>
      <c r="AD485" s="3">
        <v>44540</v>
      </c>
      <c r="AE485" s="4">
        <v>1.0501304392551675E-4</v>
      </c>
      <c r="AF485">
        <f t="shared" si="7"/>
        <v>0</v>
      </c>
      <c r="AG485" s="13"/>
    </row>
    <row r="486" spans="1:33" x14ac:dyDescent="0.35">
      <c r="A486" s="3">
        <v>44544</v>
      </c>
      <c r="B486" s="6">
        <f>LN(Raw!B488/Raw!B487)</f>
        <v>9.8042595816898847E-3</v>
      </c>
      <c r="C486" s="6">
        <f>LN(Raw!C488/Raw!C487)</f>
        <v>3.5918155324854463E-3</v>
      </c>
      <c r="D486" s="6">
        <f>LN(Raw!D488/Raw!D487)</f>
        <v>-1.0015556187638585E-2</v>
      </c>
      <c r="X486" s="3">
        <v>44544</v>
      </c>
      <c r="Y486" cm="1">
        <f t="array" ref="Y486">SUMPRODUCT($T$2:$T$4,TRANSPOSE(B486:D486))</f>
        <v>7.5835690666455928E-3</v>
      </c>
      <c r="AD486" s="3">
        <v>44543</v>
      </c>
      <c r="AE486" s="4">
        <v>-1.1939504643063269E-2</v>
      </c>
      <c r="AF486">
        <f t="shared" si="7"/>
        <v>0</v>
      </c>
      <c r="AG486" s="13"/>
    </row>
    <row r="487" spans="1:33" x14ac:dyDescent="0.35">
      <c r="A487" s="3">
        <v>44545</v>
      </c>
      <c r="B487" s="6">
        <f>LN(Raw!B489/Raw!B488)</f>
        <v>-2.430062315920626E-2</v>
      </c>
      <c r="C487" s="6">
        <f>LN(Raw!C489/Raw!C488)</f>
        <v>-6.4746590613483142E-3</v>
      </c>
      <c r="D487" s="6">
        <f>LN(Raw!D489/Raw!D488)</f>
        <v>-2.1046124229317842E-2</v>
      </c>
      <c r="X487" s="3">
        <v>44545</v>
      </c>
      <c r="Y487" cm="1">
        <f t="array" ref="Y487">SUMPRODUCT($T$2:$T$4,TRANSPOSE(B487:D487))</f>
        <v>-2.0582063853113917E-2</v>
      </c>
      <c r="AD487" s="3">
        <v>44544</v>
      </c>
      <c r="AE487" s="4">
        <v>7.5835690666455928E-3</v>
      </c>
      <c r="AF487">
        <f t="shared" si="7"/>
        <v>0</v>
      </c>
      <c r="AG487" s="13"/>
    </row>
    <row r="488" spans="1:33" x14ac:dyDescent="0.35">
      <c r="A488" s="3">
        <v>44546</v>
      </c>
      <c r="B488" s="6">
        <f>LN(Raw!B490/Raw!B489)</f>
        <v>5.6605325396498606E-3</v>
      </c>
      <c r="C488" s="6">
        <f>LN(Raw!C490/Raw!C489)</f>
        <v>-6.5172223658039128E-3</v>
      </c>
      <c r="D488" s="6">
        <f>LN(Raw!D490/Raw!D489)</f>
        <v>-7.8290861931216479E-3</v>
      </c>
      <c r="X488" s="3">
        <v>44546</v>
      </c>
      <c r="Y488" cm="1">
        <f t="array" ref="Y488">SUMPRODUCT($T$2:$T$4,TRANSPOSE(B488:D488))</f>
        <v>2.5626385124448855E-3</v>
      </c>
      <c r="AD488" s="3">
        <v>44545</v>
      </c>
      <c r="AE488" s="4">
        <v>-2.0582063853113917E-2</v>
      </c>
      <c r="AF488">
        <f t="shared" si="7"/>
        <v>0</v>
      </c>
      <c r="AG488" s="13"/>
    </row>
    <row r="489" spans="1:33" x14ac:dyDescent="0.35">
      <c r="A489" s="3">
        <v>44547</v>
      </c>
      <c r="B489" s="6">
        <f>LN(Raw!B491/Raw!B490)</f>
        <v>-3.5924681583858503E-2</v>
      </c>
      <c r="C489" s="6">
        <f>LN(Raw!C491/Raw!C490)</f>
        <v>1.7999125043348788E-2</v>
      </c>
      <c r="D489" s="6">
        <f>LN(Raw!D491/Raw!D490)</f>
        <v>-8.9720066933595983E-3</v>
      </c>
      <c r="X489" s="3">
        <v>44547</v>
      </c>
      <c r="Y489" cm="1">
        <f t="array" ref="Y489">SUMPRODUCT($T$2:$T$4,TRANSPOSE(B489:D489))</f>
        <v>-2.3829319409269301E-2</v>
      </c>
      <c r="AD489" s="3">
        <v>44546</v>
      </c>
      <c r="AE489" s="4">
        <v>2.5626385124448855E-3</v>
      </c>
      <c r="AF489">
        <f t="shared" si="7"/>
        <v>0</v>
      </c>
      <c r="AG489" s="13"/>
    </row>
    <row r="490" spans="1:33" x14ac:dyDescent="0.35">
      <c r="A490" s="3">
        <v>44550</v>
      </c>
      <c r="B490" s="6">
        <f>LN(Raw!B492/Raw!B491)</f>
        <v>-5.4239857522792824E-3</v>
      </c>
      <c r="C490" s="6">
        <f>LN(Raw!C492/Raw!C491)</f>
        <v>-4.6740841965374168E-2</v>
      </c>
      <c r="D490" s="6">
        <f>LN(Raw!D492/Raw!D491)</f>
        <v>-2.5558131950809398E-2</v>
      </c>
      <c r="X490" s="3">
        <v>44550</v>
      </c>
      <c r="Y490" cm="1">
        <f t="array" ref="Y490">SUMPRODUCT($T$2:$T$4,TRANSPOSE(B490:D490))</f>
        <v>-1.4665952842785017E-2</v>
      </c>
      <c r="AD490" s="3">
        <v>44547</v>
      </c>
      <c r="AE490" s="4">
        <v>-2.3829319409269301E-2</v>
      </c>
      <c r="AF490">
        <f t="shared" si="7"/>
        <v>0</v>
      </c>
      <c r="AG490" s="13"/>
    </row>
    <row r="491" spans="1:33" x14ac:dyDescent="0.35">
      <c r="A491" s="3">
        <v>44551</v>
      </c>
      <c r="B491" s="6">
        <f>LN(Raw!B493/Raw!B492)</f>
        <v>1.3377473253787178E-2</v>
      </c>
      <c r="C491" s="6">
        <f>LN(Raw!C493/Raw!C492)</f>
        <v>1.3737028445472041E-2</v>
      </c>
      <c r="D491" s="6">
        <f>LN(Raw!D493/Raw!D492)</f>
        <v>1.3225755566455808E-2</v>
      </c>
      <c r="X491" s="3">
        <v>44551</v>
      </c>
      <c r="Y491" cm="1">
        <f t="array" ref="Y491">SUMPRODUCT($T$2:$T$4,TRANSPOSE(B491:D491))</f>
        <v>1.3441720357908049E-2</v>
      </c>
      <c r="AD491" s="3">
        <v>44550</v>
      </c>
      <c r="AE491" s="4">
        <v>-1.4665952842785017E-2</v>
      </c>
      <c r="AF491">
        <f t="shared" si="7"/>
        <v>0</v>
      </c>
      <c r="AG491" s="13"/>
    </row>
    <row r="492" spans="1:33" x14ac:dyDescent="0.35">
      <c r="A492" s="3">
        <v>44552</v>
      </c>
      <c r="B492" s="6">
        <f>LN(Raw!B494/Raw!B493)</f>
        <v>-1.7975951468865683E-2</v>
      </c>
      <c r="C492" s="6">
        <f>LN(Raw!C494/Raw!C493)</f>
        <v>1.4736938941031005E-3</v>
      </c>
      <c r="D492" s="6">
        <f>LN(Raw!D494/Raw!D493)</f>
        <v>4.7333129650798857E-3</v>
      </c>
      <c r="X492" s="3">
        <v>44552</v>
      </c>
      <c r="Y492" cm="1">
        <f t="array" ref="Y492">SUMPRODUCT($T$2:$T$4,TRANSPOSE(B492:D492))</f>
        <v>-1.2970538782613523E-2</v>
      </c>
      <c r="AD492" s="3">
        <v>44551</v>
      </c>
      <c r="AE492" s="4">
        <v>1.3441720357908049E-2</v>
      </c>
      <c r="AF492">
        <f t="shared" si="7"/>
        <v>0</v>
      </c>
      <c r="AG492" s="13"/>
    </row>
    <row r="493" spans="1:33" x14ac:dyDescent="0.35">
      <c r="A493" s="3">
        <v>44553</v>
      </c>
      <c r="B493" s="6">
        <f>LN(Raw!B495/Raw!B494)</f>
        <v>6.4096513833556178E-3</v>
      </c>
      <c r="C493" s="6">
        <f>LN(Raw!C495/Raw!C494)</f>
        <v>-6.6494512181980176E-3</v>
      </c>
      <c r="D493" s="6">
        <f>LN(Raw!D495/Raw!D494)</f>
        <v>-2.0921993093896221E-2</v>
      </c>
      <c r="X493" s="3">
        <v>44553</v>
      </c>
      <c r="Y493" cm="1">
        <f t="array" ref="Y493">SUMPRODUCT($T$2:$T$4,TRANSPOSE(B493:D493))</f>
        <v>2.4508251106188004E-3</v>
      </c>
      <c r="AD493" s="3">
        <v>44552</v>
      </c>
      <c r="AE493" s="4">
        <v>-1.2970538782613523E-2</v>
      </c>
      <c r="AF493">
        <f t="shared" si="7"/>
        <v>0</v>
      </c>
      <c r="AG493" s="13"/>
    </row>
    <row r="494" spans="1:33" x14ac:dyDescent="0.35">
      <c r="A494" s="3">
        <v>44554</v>
      </c>
      <c r="B494" s="6">
        <f>LN(Raw!B496/Raw!B495)</f>
        <v>-1.0021482005067748E-2</v>
      </c>
      <c r="C494" s="6">
        <f>LN(Raw!C496/Raw!C495)</f>
        <v>-3.3413172277904648E-3</v>
      </c>
      <c r="D494" s="6">
        <f>LN(Raw!D496/Raw!D495)</f>
        <v>7.4158384847961391E-4</v>
      </c>
      <c r="X494" s="3">
        <v>44554</v>
      </c>
      <c r="Y494" cm="1">
        <f t="array" ref="Y494">SUMPRODUCT($T$2:$T$4,TRANSPOSE(B494:D494))</f>
        <v>-8.155668897168759E-3</v>
      </c>
      <c r="AD494" s="3">
        <v>44553</v>
      </c>
      <c r="AE494" s="4">
        <v>2.4508251106188004E-3</v>
      </c>
      <c r="AF494">
        <f t="shared" si="7"/>
        <v>0</v>
      </c>
      <c r="AG494" s="13"/>
    </row>
    <row r="495" spans="1:33" x14ac:dyDescent="0.35">
      <c r="A495" s="3">
        <v>44557</v>
      </c>
      <c r="B495" s="6">
        <f>LN(Raw!B497/Raw!B496)</f>
        <v>4.6892358857791427E-3</v>
      </c>
      <c r="C495" s="6">
        <f>LN(Raw!C497/Raw!C496)</f>
        <v>5.9325131695621026E-3</v>
      </c>
      <c r="D495" s="6">
        <f>LN(Raw!D497/Raw!D496)</f>
        <v>2.5911043783639611E-3</v>
      </c>
      <c r="X495" s="3">
        <v>44557</v>
      </c>
      <c r="Y495" cm="1">
        <f t="array" ref="Y495">SUMPRODUCT($T$2:$T$4,TRANSPOSE(B495:D495))</f>
        <v>4.833517560726394E-3</v>
      </c>
      <c r="AD495" s="3">
        <v>44554</v>
      </c>
      <c r="AE495" s="4">
        <v>-8.155668897168759E-3</v>
      </c>
      <c r="AF495">
        <f t="shared" si="7"/>
        <v>0</v>
      </c>
      <c r="AG495" s="13"/>
    </row>
    <row r="496" spans="1:33" x14ac:dyDescent="0.35">
      <c r="A496" s="3">
        <v>44558</v>
      </c>
      <c r="B496" s="6">
        <f>LN(Raw!B498/Raw!B497)</f>
        <v>3.1179803261139342E-2</v>
      </c>
      <c r="C496" s="6">
        <f>LN(Raw!C498/Raw!C497)</f>
        <v>4.0582552764263421E-3</v>
      </c>
      <c r="D496" s="6">
        <f>LN(Raw!D498/Raw!D497)</f>
        <v>2.5188368286326351E-2</v>
      </c>
      <c r="X496" s="3">
        <v>44558</v>
      </c>
      <c r="Y496" cm="1">
        <f t="array" ref="Y496">SUMPRODUCT($T$2:$T$4,TRANSPOSE(B496:D496))</f>
        <v>2.5470690719175692E-2</v>
      </c>
      <c r="AD496" s="3">
        <v>44557</v>
      </c>
      <c r="AE496" s="4">
        <v>4.833517560726394E-3</v>
      </c>
      <c r="AF496">
        <f t="shared" si="7"/>
        <v>0</v>
      </c>
      <c r="AG496" s="13"/>
    </row>
    <row r="497" spans="1:33" x14ac:dyDescent="0.35">
      <c r="A497" s="3">
        <v>44559</v>
      </c>
      <c r="B497" s="6">
        <f>LN(Raw!B499/Raw!B498)</f>
        <v>-6.571573963808806E-3</v>
      </c>
      <c r="C497" s="6">
        <f>LN(Raw!C499/Raw!C498)</f>
        <v>-7.3909112797453181E-3</v>
      </c>
      <c r="D497" s="6">
        <f>LN(Raw!D499/Raw!D498)</f>
        <v>-2.0393957635938032E-2</v>
      </c>
      <c r="X497" s="3">
        <v>44559</v>
      </c>
      <c r="Y497" cm="1">
        <f t="array" ref="Y497">SUMPRODUCT($T$2:$T$4,TRANSPOSE(B497:D497))</f>
        <v>-7.419158765820397E-3</v>
      </c>
      <c r="AD497" s="3">
        <v>44558</v>
      </c>
      <c r="AE497" s="4">
        <v>2.5470690719175692E-2</v>
      </c>
      <c r="AF497">
        <f t="shared" si="7"/>
        <v>0</v>
      </c>
      <c r="AG497" s="13"/>
    </row>
    <row r="498" spans="1:33" x14ac:dyDescent="0.35">
      <c r="A498" s="3">
        <v>44560</v>
      </c>
      <c r="B498" s="6">
        <f>LN(Raw!B500/Raw!B499)</f>
        <v>-4.6113316195932879E-3</v>
      </c>
      <c r="C498" s="6">
        <f>LN(Raw!C500/Raw!C499)</f>
        <v>-4.8337256961894781E-3</v>
      </c>
      <c r="D498" s="6">
        <f>LN(Raw!D500/Raw!D499)</f>
        <v>-6.644480719372914E-3</v>
      </c>
      <c r="X498" s="3">
        <v>44560</v>
      </c>
      <c r="Y498" cm="1">
        <f t="array" ref="Y498">SUMPRODUCT($T$2:$T$4,TRANSPOSE(B498:D498))</f>
        <v>-4.7563351120253573E-3</v>
      </c>
      <c r="AD498" s="3">
        <v>44559</v>
      </c>
      <c r="AE498" s="4">
        <v>-7.419158765820397E-3</v>
      </c>
      <c r="AF498">
        <f t="shared" si="7"/>
        <v>0</v>
      </c>
      <c r="AG498" s="13"/>
    </row>
    <row r="499" spans="1:33" x14ac:dyDescent="0.35">
      <c r="A499" s="3">
        <v>44561</v>
      </c>
      <c r="B499" s="6">
        <f>LN(Raw!B501/Raw!B500)</f>
        <v>1.9747837429087353E-2</v>
      </c>
      <c r="C499" s="6">
        <f>LN(Raw!C501/Raw!C500)</f>
        <v>4.8382022110964866E-2</v>
      </c>
      <c r="D499" s="6">
        <f>LN(Raw!D501/Raw!D500)</f>
        <v>3.8151603257660434E-2</v>
      </c>
      <c r="X499" s="3">
        <v>44561</v>
      </c>
      <c r="Y499" cm="1">
        <f t="array" ref="Y499">SUMPRODUCT($T$2:$T$4,TRANSPOSE(B499:D499))</f>
        <v>2.6373111161562088E-2</v>
      </c>
      <c r="AD499" s="3">
        <v>44560</v>
      </c>
      <c r="AE499" s="4">
        <v>-4.7563351120253573E-3</v>
      </c>
      <c r="AF499">
        <f t="shared" si="7"/>
        <v>0</v>
      </c>
      <c r="AG499" s="13"/>
    </row>
    <row r="500" spans="1:33" x14ac:dyDescent="0.35">
      <c r="A500" s="3">
        <v>44564</v>
      </c>
      <c r="B500" s="6">
        <f>LN(Raw!B502/Raw!B501)</f>
        <v>6.0831323334036439E-3</v>
      </c>
      <c r="C500" s="6">
        <f>LN(Raw!C502/Raw!C501)</f>
        <v>-4.9840092080036501E-3</v>
      </c>
      <c r="D500" s="6">
        <f>LN(Raw!D502/Raw!D501)</f>
        <v>-5.3618559338125442E-3</v>
      </c>
      <c r="X500" s="3">
        <v>44564</v>
      </c>
      <c r="Y500" cm="1">
        <f t="array" ref="Y500">SUMPRODUCT($T$2:$T$4,TRANSPOSE(B500:D500))</f>
        <v>3.3080702742029145E-3</v>
      </c>
      <c r="AD500" s="3">
        <v>44561</v>
      </c>
      <c r="AE500" s="4">
        <v>2.6373111161562088E-2</v>
      </c>
      <c r="AF500">
        <f t="shared" si="7"/>
        <v>0</v>
      </c>
      <c r="AG500" s="13"/>
    </row>
    <row r="501" spans="1:33" x14ac:dyDescent="0.35">
      <c r="A501" s="3">
        <v>44565</v>
      </c>
      <c r="B501" s="6">
        <f>LN(Raw!B503/Raw!B502)</f>
        <v>9.7407822213172509E-3</v>
      </c>
      <c r="C501" s="6">
        <f>LN(Raw!C503/Raw!C502)</f>
        <v>-5.7266116570628724E-3</v>
      </c>
      <c r="D501" s="6">
        <f>LN(Raw!D503/Raw!D502)</f>
        <v>5.0053895751551968E-3</v>
      </c>
      <c r="X501" s="3">
        <v>44565</v>
      </c>
      <c r="Y501" cm="1">
        <f t="array" ref="Y501">SUMPRODUCT($T$2:$T$4,TRANSPOSE(B501:D501))</f>
        <v>6.4196287992111054E-3</v>
      </c>
      <c r="AD501" s="3">
        <v>44564</v>
      </c>
      <c r="AE501" s="4">
        <v>3.3080702742029145E-3</v>
      </c>
      <c r="AF501">
        <f t="shared" si="7"/>
        <v>0</v>
      </c>
      <c r="AG501" s="13"/>
    </row>
    <row r="502" spans="1:33" x14ac:dyDescent="0.35">
      <c r="A502" s="3">
        <v>44566</v>
      </c>
      <c r="B502" s="6">
        <f>LN(Raw!B504/Raw!B503)</f>
        <v>1.8064631648264079E-2</v>
      </c>
      <c r="C502" s="6">
        <f>LN(Raw!C504/Raw!C503)</f>
        <v>2.376417235165634E-2</v>
      </c>
      <c r="D502" s="6">
        <f>LN(Raw!D504/Raw!D503)</f>
        <v>-6.4400337115888776E-3</v>
      </c>
      <c r="X502" s="3">
        <v>44566</v>
      </c>
      <c r="Y502" cm="1">
        <f t="array" ref="Y502">SUMPRODUCT($T$2:$T$4,TRANSPOSE(B502:D502))</f>
        <v>1.7989339381464724E-2</v>
      </c>
      <c r="AD502" s="3">
        <v>44565</v>
      </c>
      <c r="AE502" s="4">
        <v>6.4196287992111054E-3</v>
      </c>
      <c r="AF502">
        <f t="shared" si="7"/>
        <v>0</v>
      </c>
      <c r="AG502" s="13"/>
    </row>
    <row r="503" spans="1:33" x14ac:dyDescent="0.35">
      <c r="A503" s="3">
        <v>44567</v>
      </c>
      <c r="B503" s="6">
        <f>LN(Raw!B505/Raw!B504)</f>
        <v>-4.1420820633358992E-4</v>
      </c>
      <c r="C503" s="6">
        <f>LN(Raw!C505/Raw!C504)</f>
        <v>-1.5898583216630794E-2</v>
      </c>
      <c r="D503" s="6">
        <f>LN(Raw!D505/Raw!D504)</f>
        <v>-7.5662073648345169E-3</v>
      </c>
      <c r="X503" s="3">
        <v>44567</v>
      </c>
      <c r="Y503" cm="1">
        <f t="array" ref="Y503">SUMPRODUCT($T$2:$T$4,TRANSPOSE(B503:D503))</f>
        <v>-3.8583485541164664E-3</v>
      </c>
      <c r="AD503" s="3">
        <v>44566</v>
      </c>
      <c r="AE503" s="4">
        <v>1.7989339381464724E-2</v>
      </c>
      <c r="AF503">
        <f t="shared" si="7"/>
        <v>0</v>
      </c>
      <c r="AG503" s="13"/>
    </row>
    <row r="504" spans="1:33" x14ac:dyDescent="0.35">
      <c r="A504" s="3">
        <v>44568</v>
      </c>
      <c r="B504" s="6">
        <f>LN(Raw!B506/Raw!B505)</f>
        <v>-1.6576812092321932E-3</v>
      </c>
      <c r="C504" s="6">
        <f>LN(Raw!C506/Raw!C505)</f>
        <v>-3.567710057628121E-3</v>
      </c>
      <c r="D504" s="6">
        <f>LN(Raw!D506/Raw!D505)</f>
        <v>-7.2372199957993551E-4</v>
      </c>
      <c r="X504" s="3">
        <v>44568</v>
      </c>
      <c r="Y504" cm="1">
        <f t="array" ref="Y504">SUMPRODUCT($T$2:$T$4,TRANSPOSE(B504:D504))</f>
        <v>-1.9926402595906259E-3</v>
      </c>
      <c r="AD504" s="3">
        <v>44567</v>
      </c>
      <c r="AE504" s="4">
        <v>-3.8583485541164664E-3</v>
      </c>
      <c r="AF504">
        <f t="shared" si="7"/>
        <v>0</v>
      </c>
      <c r="AG504" s="13"/>
    </row>
    <row r="505" spans="1:33" x14ac:dyDescent="0.35">
      <c r="A505" s="3">
        <v>44571</v>
      </c>
      <c r="B505" s="6">
        <f>LN(Raw!B507/Raw!B506)</f>
        <v>-1.2104642155735432E-3</v>
      </c>
      <c r="C505" s="6">
        <f>LN(Raw!C507/Raw!C506)</f>
        <v>2.470996586735677E-2</v>
      </c>
      <c r="D505" s="6">
        <f>LN(Raw!D507/Raw!D506)</f>
        <v>2.8912945532503188E-3</v>
      </c>
      <c r="X505" s="3">
        <v>44571</v>
      </c>
      <c r="Y505" cm="1">
        <f t="array" ref="Y505">SUMPRODUCT($T$2:$T$4,TRANSPOSE(B505:D505))</f>
        <v>4.1654229859608297E-3</v>
      </c>
      <c r="AD505" s="3">
        <v>44568</v>
      </c>
      <c r="AE505" s="4">
        <v>-1.9926402595906259E-3</v>
      </c>
      <c r="AF505">
        <f t="shared" si="7"/>
        <v>0</v>
      </c>
      <c r="AG505" s="13"/>
    </row>
    <row r="506" spans="1:33" x14ac:dyDescent="0.35">
      <c r="A506" s="3">
        <v>44572</v>
      </c>
      <c r="B506" s="6">
        <f>LN(Raw!B508/Raw!B507)</f>
        <v>-1.271202203918668E-2</v>
      </c>
      <c r="C506" s="6">
        <f>LN(Raw!C508/Raw!C507)</f>
        <v>-1.3691630417943532E-2</v>
      </c>
      <c r="D506" s="6">
        <f>LN(Raw!D508/Raw!D507)</f>
        <v>6.1162708198096386E-3</v>
      </c>
      <c r="X506" s="3">
        <v>44572</v>
      </c>
      <c r="Y506" cm="1">
        <f t="array" ref="Y506">SUMPRODUCT($T$2:$T$4,TRANSPOSE(B506:D506))</f>
        <v>-1.1975706236782869E-2</v>
      </c>
      <c r="AD506" s="3">
        <v>44571</v>
      </c>
      <c r="AE506" s="4">
        <v>4.1654229859608297E-3</v>
      </c>
      <c r="AF506">
        <f t="shared" si="7"/>
        <v>0</v>
      </c>
      <c r="AG506" s="13"/>
    </row>
    <row r="507" spans="1:33" x14ac:dyDescent="0.35">
      <c r="A507" s="3">
        <v>44573</v>
      </c>
      <c r="B507" s="6">
        <f>LN(Raw!B509/Raw!B508)</f>
        <v>3.8546004313048943E-4</v>
      </c>
      <c r="C507" s="6">
        <f>LN(Raw!C509/Raw!C508)</f>
        <v>9.1486890683192598E-3</v>
      </c>
      <c r="D507" s="6">
        <f>LN(Raw!D509/Raw!D508)</f>
        <v>1.988685900997875E-2</v>
      </c>
      <c r="X507" s="3">
        <v>44573</v>
      </c>
      <c r="Y507" cm="1">
        <f t="array" ref="Y507">SUMPRODUCT($T$2:$T$4,TRANSPOSE(B507:D507))</f>
        <v>3.0994472729839106E-3</v>
      </c>
      <c r="AD507" s="3">
        <v>44572</v>
      </c>
      <c r="AE507" s="4">
        <v>-1.1975706236782869E-2</v>
      </c>
      <c r="AF507">
        <f t="shared" si="7"/>
        <v>0</v>
      </c>
      <c r="AG507" s="13"/>
    </row>
    <row r="508" spans="1:33" x14ac:dyDescent="0.35">
      <c r="A508" s="3">
        <v>44574</v>
      </c>
      <c r="B508" s="6">
        <f>LN(Raw!B510/Raw!B509)</f>
        <v>-1.205466455739722E-2</v>
      </c>
      <c r="C508" s="6">
        <f>LN(Raw!C510/Raw!C509)</f>
        <v>-5.9722834143908264E-3</v>
      </c>
      <c r="D508" s="6">
        <f>LN(Raw!D510/Raw!D509)</f>
        <v>-5.9952535935684685E-3</v>
      </c>
      <c r="X508" s="3">
        <v>44574</v>
      </c>
      <c r="Y508" cm="1">
        <f t="array" ref="Y508">SUMPRODUCT($T$2:$T$4,TRANSPOSE(B508:D508))</f>
        <v>-1.0540934363299372E-2</v>
      </c>
      <c r="AD508" s="3">
        <v>44573</v>
      </c>
      <c r="AE508" s="4">
        <v>3.0994472729839106E-3</v>
      </c>
      <c r="AF508">
        <f t="shared" si="7"/>
        <v>0</v>
      </c>
      <c r="AG508" s="13"/>
    </row>
    <row r="509" spans="1:33" x14ac:dyDescent="0.35">
      <c r="A509" s="3">
        <v>44575</v>
      </c>
      <c r="B509" s="6">
        <f>LN(Raw!B511/Raw!B510)</f>
        <v>3.9283700764957564E-3</v>
      </c>
      <c r="C509" s="6">
        <f>LN(Raw!C511/Raw!C510)</f>
        <v>-4.5911936267204832E-3</v>
      </c>
      <c r="D509" s="6">
        <f>LN(Raw!D511/Raw!D510)</f>
        <v>3.5310563535598588E-3</v>
      </c>
      <c r="X509" s="3">
        <v>44575</v>
      </c>
      <c r="Y509" cm="1">
        <f t="array" ref="Y509">SUMPRODUCT($T$2:$T$4,TRANSPOSE(B509:D509))</f>
        <v>2.2084738947378379E-3</v>
      </c>
      <c r="AD509" s="3">
        <v>44574</v>
      </c>
      <c r="AE509" s="4">
        <v>-1.0540934363299372E-2</v>
      </c>
      <c r="AF509">
        <f t="shared" si="7"/>
        <v>0</v>
      </c>
      <c r="AG509" s="13"/>
    </row>
    <row r="510" spans="1:33" x14ac:dyDescent="0.35">
      <c r="A510" s="3">
        <v>44578</v>
      </c>
      <c r="B510" s="6">
        <f>LN(Raw!B512/Raw!B511)</f>
        <v>1.1798290818996533E-2</v>
      </c>
      <c r="C510" s="6">
        <f>LN(Raw!C512/Raw!C511)</f>
        <v>3.5395952841479959E-4</v>
      </c>
      <c r="D510" s="6">
        <f>LN(Raw!D512/Raw!D511)</f>
        <v>-7.0747374249335573E-3</v>
      </c>
      <c r="X510" s="3">
        <v>44578</v>
      </c>
      <c r="Y510" cm="1">
        <f t="array" ref="Y510">SUMPRODUCT($T$2:$T$4,TRANSPOSE(B510:D510))</f>
        <v>8.5803391653132364E-3</v>
      </c>
      <c r="AD510" s="3">
        <v>44575</v>
      </c>
      <c r="AE510" s="4">
        <v>2.2084738947378379E-3</v>
      </c>
      <c r="AF510">
        <f t="shared" si="7"/>
        <v>0</v>
      </c>
      <c r="AG510" s="13"/>
    </row>
    <row r="511" spans="1:33" x14ac:dyDescent="0.35">
      <c r="A511" s="3">
        <v>44579</v>
      </c>
      <c r="B511" s="6">
        <f>LN(Raw!B513/Raw!B512)</f>
        <v>1.0590570967092929E-2</v>
      </c>
      <c r="C511" s="6">
        <f>LN(Raw!C513/Raw!C512)</f>
        <v>-6.7459052986270042E-3</v>
      </c>
      <c r="D511" s="6">
        <f>LN(Raw!D513/Raw!D512)</f>
        <v>-3.2000854151322889E-3</v>
      </c>
      <c r="X511" s="3">
        <v>44579</v>
      </c>
      <c r="Y511" cm="1">
        <f t="array" ref="Y511">SUMPRODUCT($T$2:$T$4,TRANSPOSE(B511:D511))</f>
        <v>6.448262347436993E-3</v>
      </c>
      <c r="AD511" s="3">
        <v>44578</v>
      </c>
      <c r="AE511" s="4">
        <v>8.5803391653132364E-3</v>
      </c>
      <c r="AF511">
        <f t="shared" si="7"/>
        <v>0</v>
      </c>
      <c r="AG511" s="13"/>
    </row>
    <row r="512" spans="1:33" x14ac:dyDescent="0.35">
      <c r="A512" s="3">
        <v>44580</v>
      </c>
      <c r="B512" s="6">
        <f>LN(Raw!B514/Raw!B513)</f>
        <v>-1.7139601725042353E-2</v>
      </c>
      <c r="C512" s="6">
        <f>LN(Raw!C514/Raw!C513)</f>
        <v>4.265793601225424E-3</v>
      </c>
      <c r="D512" s="6">
        <f>LN(Raw!D514/Raw!D513)</f>
        <v>4.9736076239632818E-3</v>
      </c>
      <c r="X512" s="3">
        <v>44580</v>
      </c>
      <c r="Y512" cm="1">
        <f t="array" ref="Y512">SUMPRODUCT($T$2:$T$4,TRANSPOSE(B512:D512))</f>
        <v>-1.1773382593943445E-2</v>
      </c>
      <c r="AD512" s="3">
        <v>44579</v>
      </c>
      <c r="AE512" s="4">
        <v>6.448262347436993E-3</v>
      </c>
      <c r="AF512">
        <f t="shared" si="7"/>
        <v>0</v>
      </c>
      <c r="AG512" s="13"/>
    </row>
    <row r="513" spans="1:33" x14ac:dyDescent="0.35">
      <c r="A513" s="3">
        <v>44581</v>
      </c>
      <c r="B513" s="6">
        <f>LN(Raw!B515/Raw!B514)</f>
        <v>-2.6056973621657653E-2</v>
      </c>
      <c r="C513" s="6">
        <f>LN(Raw!C515/Raw!C514)</f>
        <v>-7.1198998505880556E-3</v>
      </c>
      <c r="D513" s="6">
        <f>LN(Raw!D515/Raw!D514)</f>
        <v>-4.6174239693870158E-3</v>
      </c>
      <c r="X513" s="3">
        <v>44581</v>
      </c>
      <c r="Y513" cm="1">
        <f t="array" ref="Y513">SUMPRODUCT($T$2:$T$4,TRANSPOSE(B513:D513))</f>
        <v>-2.121669212298501E-2</v>
      </c>
      <c r="AD513" s="3">
        <v>44580</v>
      </c>
      <c r="AE513" s="4">
        <v>-1.1773382593943445E-2</v>
      </c>
      <c r="AF513">
        <f t="shared" si="7"/>
        <v>0</v>
      </c>
      <c r="AG513" s="13"/>
    </row>
    <row r="514" spans="1:33" x14ac:dyDescent="0.35">
      <c r="A514" s="3">
        <v>44582</v>
      </c>
      <c r="B514" s="6">
        <f>LN(Raw!B516/Raw!B515)</f>
        <v>-3.4320301910678442E-3</v>
      </c>
      <c r="C514" s="6">
        <f>LN(Raw!C516/Raw!C515)</f>
        <v>-1.8025079016217249E-2</v>
      </c>
      <c r="D514" s="6">
        <f>LN(Raw!D516/Raw!D515)</f>
        <v>-1.8685328893098208E-2</v>
      </c>
      <c r="X514" s="3">
        <v>44582</v>
      </c>
      <c r="Y514" cm="1">
        <f t="array" ref="Y514">SUMPRODUCT($T$2:$T$4,TRANSPOSE(B514:D514))</f>
        <v>-7.0992244474737823E-3</v>
      </c>
      <c r="AD514" s="3">
        <v>44581</v>
      </c>
      <c r="AE514" s="4">
        <v>-2.121669212298501E-2</v>
      </c>
      <c r="AF514">
        <f t="shared" si="7"/>
        <v>0</v>
      </c>
      <c r="AG514" s="13"/>
    </row>
    <row r="515" spans="1:33" x14ac:dyDescent="0.35">
      <c r="A515" s="3">
        <v>44585</v>
      </c>
      <c r="B515" s="6">
        <f>LN(Raw!B517/Raw!B516)</f>
        <v>-3.7347971438830618E-2</v>
      </c>
      <c r="C515" s="6">
        <f>LN(Raw!C517/Raw!C516)</f>
        <v>-2.5420473567193808E-2</v>
      </c>
      <c r="D515" s="6">
        <f>LN(Raw!D517/Raw!D516)</f>
        <v>-2.6090124352522458E-2</v>
      </c>
      <c r="X515" s="3">
        <v>44585</v>
      </c>
      <c r="Y515" cm="1">
        <f t="array" ref="Y515">SUMPRODUCT($T$2:$T$4,TRANSPOSE(B515:D515))</f>
        <v>-3.4410471082859391E-2</v>
      </c>
      <c r="AD515" s="3">
        <v>44582</v>
      </c>
      <c r="AE515" s="4">
        <v>-7.0992244474737823E-3</v>
      </c>
      <c r="AF515">
        <f t="shared" ref="AF515:AF578" si="8">IF(AE515&lt;$AB$2,1,0)</f>
        <v>0</v>
      </c>
      <c r="AG515" s="13"/>
    </row>
    <row r="516" spans="1:33" x14ac:dyDescent="0.35">
      <c r="A516" s="3">
        <v>44586</v>
      </c>
      <c r="B516" s="6">
        <f>LN(Raw!B518/Raw!B517)</f>
        <v>1.1318336584084321E-2</v>
      </c>
      <c r="C516" s="6">
        <f>LN(Raw!C518/Raw!C517)</f>
        <v>-1.8673085605711538E-3</v>
      </c>
      <c r="D516" s="6">
        <f>LN(Raw!D518/Raw!D517)</f>
        <v>1.6248463352945264E-2</v>
      </c>
      <c r="X516" s="3">
        <v>44586</v>
      </c>
      <c r="Y516" cm="1">
        <f t="array" ref="Y516">SUMPRODUCT($T$2:$T$4,TRANSPOSE(B516:D516))</f>
        <v>8.9308949932428681E-3</v>
      </c>
      <c r="AD516" s="3">
        <v>44585</v>
      </c>
      <c r="AE516" s="4">
        <v>-3.4410471082859391E-2</v>
      </c>
      <c r="AF516">
        <f t="shared" si="8"/>
        <v>0</v>
      </c>
      <c r="AG516" s="13"/>
    </row>
    <row r="517" spans="1:33" x14ac:dyDescent="0.35">
      <c r="A517" s="3">
        <v>44588</v>
      </c>
      <c r="B517" s="6">
        <f>LN(Raw!B519/Raw!B518)</f>
        <v>1.9894992191643642E-2</v>
      </c>
      <c r="C517" s="6">
        <f>LN(Raw!C519/Raw!C518)</f>
        <v>1.1152467063148572E-2</v>
      </c>
      <c r="D517" s="6">
        <f>LN(Raw!D519/Raw!D518)</f>
        <v>2.9261930806556472E-3</v>
      </c>
      <c r="X517" s="3">
        <v>44588</v>
      </c>
      <c r="Y517" cm="1">
        <f t="array" ref="Y517">SUMPRODUCT($T$2:$T$4,TRANSPOSE(B517:D517))</f>
        <v>1.7310475269793749E-2</v>
      </c>
      <c r="AD517" s="3">
        <v>44586</v>
      </c>
      <c r="AE517" s="4">
        <v>8.9308949932428681E-3</v>
      </c>
      <c r="AF517">
        <f t="shared" si="8"/>
        <v>0</v>
      </c>
      <c r="AG517" s="13"/>
    </row>
    <row r="518" spans="1:33" x14ac:dyDescent="0.35">
      <c r="A518" s="3">
        <v>44589</v>
      </c>
      <c r="B518" s="6">
        <f>LN(Raw!B520/Raw!B519)</f>
        <v>0</v>
      </c>
      <c r="C518" s="6">
        <f>LN(Raw!C520/Raw!C519)</f>
        <v>2.5548871865875455E-2</v>
      </c>
      <c r="D518" s="6">
        <f>LN(Raw!D520/Raw!D519)</f>
        <v>1.1258463102710321E-2</v>
      </c>
      <c r="X518" s="3">
        <v>44589</v>
      </c>
      <c r="Y518" cm="1">
        <f t="array" ref="Y518">SUMPRODUCT($T$2:$T$4,TRANSPOSE(B518:D518))</f>
        <v>5.6559221057777154E-3</v>
      </c>
      <c r="AD518" s="3">
        <v>44588</v>
      </c>
      <c r="AE518" s="4">
        <v>1.7310475269793749E-2</v>
      </c>
      <c r="AF518">
        <f t="shared" si="8"/>
        <v>0</v>
      </c>
      <c r="AG518" s="13"/>
    </row>
    <row r="519" spans="1:33" x14ac:dyDescent="0.35">
      <c r="A519" s="3">
        <v>44592</v>
      </c>
      <c r="B519" s="6">
        <f>LN(Raw!B521/Raw!B520)</f>
        <v>-2.9903148755953974E-3</v>
      </c>
      <c r="C519" s="6">
        <f>LN(Raw!C521/Raw!C520)</f>
        <v>2.9471228329644713E-2</v>
      </c>
      <c r="D519" s="6">
        <f>LN(Raw!D521/Raw!D520)</f>
        <v>3.8956765023512516E-2</v>
      </c>
      <c r="X519" s="3">
        <v>44592</v>
      </c>
      <c r="Y519" cm="1">
        <f t="array" ref="Y519">SUMPRODUCT($T$2:$T$4,TRANSPOSE(B519:D519))</f>
        <v>5.563938857744366E-3</v>
      </c>
      <c r="AD519" s="3">
        <v>44589</v>
      </c>
      <c r="AE519" s="4">
        <v>5.6559221057777154E-3</v>
      </c>
      <c r="AF519">
        <f t="shared" si="8"/>
        <v>0</v>
      </c>
      <c r="AG519" s="13"/>
    </row>
    <row r="520" spans="1:33" x14ac:dyDescent="0.35">
      <c r="A520" s="3">
        <v>44593</v>
      </c>
      <c r="B520" s="6">
        <f>LN(Raw!B522/Raw!B521)</f>
        <v>3.6560374272110444E-5</v>
      </c>
      <c r="C520" s="6">
        <f>LN(Raw!C522/Raw!C521)</f>
        <v>-2.1217201571732954E-2</v>
      </c>
      <c r="D520" s="6">
        <f>LN(Raw!D522/Raw!D521)</f>
        <v>-3.1760055506200792E-2</v>
      </c>
      <c r="X520" s="3">
        <v>44593</v>
      </c>
      <c r="Y520" cm="1">
        <f t="array" ref="Y520">SUMPRODUCT($T$2:$T$4,TRANSPOSE(B520:D520))</f>
        <v>-5.7786302729080762E-3</v>
      </c>
      <c r="AD520" s="3">
        <v>44592</v>
      </c>
      <c r="AE520" s="4">
        <v>5.563938857744366E-3</v>
      </c>
      <c r="AF520">
        <f t="shared" si="8"/>
        <v>0</v>
      </c>
      <c r="AG520" s="13"/>
    </row>
    <row r="521" spans="1:33" x14ac:dyDescent="0.35">
      <c r="A521" s="3">
        <v>44594</v>
      </c>
      <c r="B521" s="6">
        <f>LN(Raw!B523/Raw!B522)</f>
        <v>1.0751723858555948E-2</v>
      </c>
      <c r="C521" s="6">
        <f>LN(Raw!C523/Raw!C522)</f>
        <v>1.172524847695737E-2</v>
      </c>
      <c r="D521" s="6">
        <f>LN(Raw!D523/Raw!D522)</f>
        <v>8.568529882708998E-3</v>
      </c>
      <c r="X521" s="3">
        <v>44594</v>
      </c>
      <c r="Y521" cm="1">
        <f t="array" ref="Y521">SUMPRODUCT($T$2:$T$4,TRANSPOSE(B521:D521))</f>
        <v>1.0837961707222787E-2</v>
      </c>
      <c r="AD521" s="3">
        <v>44593</v>
      </c>
      <c r="AE521" s="4">
        <v>-5.7786302729080762E-3</v>
      </c>
      <c r="AF521">
        <f t="shared" si="8"/>
        <v>0</v>
      </c>
      <c r="AG521" s="13"/>
    </row>
    <row r="522" spans="1:33" x14ac:dyDescent="0.35">
      <c r="A522" s="3">
        <v>44595</v>
      </c>
      <c r="B522" s="6">
        <f>LN(Raw!B524/Raw!B523)</f>
        <v>3.2519307546313936E-4</v>
      </c>
      <c r="C522" s="6">
        <f>LN(Raw!C524/Raw!C523)</f>
        <v>-1.2797896956754026E-2</v>
      </c>
      <c r="D522" s="6">
        <f>LN(Raw!D524/Raw!D523)</f>
        <v>-1.288020097303655E-2</v>
      </c>
      <c r="X522" s="3">
        <v>44595</v>
      </c>
      <c r="Y522" cm="1">
        <f t="array" ref="Y522">SUMPRODUCT($T$2:$T$4,TRANSPOSE(B522:D522))</f>
        <v>-2.9472933207232376E-3</v>
      </c>
      <c r="AD522" s="3">
        <v>44594</v>
      </c>
      <c r="AE522" s="4">
        <v>1.0837961707222787E-2</v>
      </c>
      <c r="AF522">
        <f t="shared" si="8"/>
        <v>0</v>
      </c>
      <c r="AG522" s="13"/>
    </row>
    <row r="523" spans="1:33" x14ac:dyDescent="0.35">
      <c r="A523" s="3">
        <v>44596</v>
      </c>
      <c r="B523" s="6">
        <f>LN(Raw!B525/Raw!B524)</f>
        <v>-1.4222411045636962E-2</v>
      </c>
      <c r="C523" s="6">
        <f>LN(Raw!C525/Raw!C524)</f>
        <v>-4.3027447851719325E-3</v>
      </c>
      <c r="D523" s="6">
        <f>LN(Raw!D525/Raw!D524)</f>
        <v>-1.3048382909567667E-2</v>
      </c>
      <c r="X523" s="3">
        <v>44596</v>
      </c>
      <c r="Y523" cm="1">
        <f t="array" ref="Y523">SUMPRODUCT($T$2:$T$4,TRANSPOSE(B523:D523))</f>
        <v>-1.2184659303483286E-2</v>
      </c>
      <c r="AD523" s="3">
        <v>44595</v>
      </c>
      <c r="AE523" s="4">
        <v>-2.9472933207232376E-3</v>
      </c>
      <c r="AF523">
        <f t="shared" si="8"/>
        <v>0</v>
      </c>
      <c r="AG523" s="13"/>
    </row>
    <row r="524" spans="1:33" x14ac:dyDescent="0.35">
      <c r="A524" s="3">
        <v>44599</v>
      </c>
      <c r="B524" s="6">
        <f>LN(Raw!B526/Raw!B525)</f>
        <v>-2.0616211769529675E-2</v>
      </c>
      <c r="C524" s="6">
        <f>LN(Raw!C526/Raw!C525)</f>
        <v>-1.0838255499941805E-2</v>
      </c>
      <c r="D524" s="6">
        <f>LN(Raw!D526/Raw!D525)</f>
        <v>-8.7944813609724896E-3</v>
      </c>
      <c r="X524" s="3">
        <v>44599</v>
      </c>
      <c r="Y524" cm="1">
        <f t="array" ref="Y524">SUMPRODUCT($T$2:$T$4,TRANSPOSE(B524:D524))</f>
        <v>-1.8079784818614376E-2</v>
      </c>
      <c r="AD524" s="3">
        <v>44596</v>
      </c>
      <c r="AE524" s="4">
        <v>-1.2184659303483286E-2</v>
      </c>
      <c r="AF524">
        <f t="shared" si="8"/>
        <v>0</v>
      </c>
      <c r="AG524" s="13"/>
    </row>
    <row r="525" spans="1:33" x14ac:dyDescent="0.35">
      <c r="A525" s="3">
        <v>44600</v>
      </c>
      <c r="B525" s="6">
        <f>LN(Raw!B527/Raw!B526)</f>
        <v>2.1604839045312796E-2</v>
      </c>
      <c r="C525" s="6">
        <f>LN(Raw!C527/Raw!C526)</f>
        <v>-9.8557679401113946E-3</v>
      </c>
      <c r="D525" s="6">
        <f>LN(Raw!D527/Raw!D526)</f>
        <v>-3.6824654463888323E-4</v>
      </c>
      <c r="X525" s="3">
        <v>44600</v>
      </c>
      <c r="Y525" cm="1">
        <f t="array" ref="Y525">SUMPRODUCT($T$2:$T$4,TRANSPOSE(B525:D525))</f>
        <v>1.4238855239262294E-2</v>
      </c>
      <c r="AD525" s="3">
        <v>44599</v>
      </c>
      <c r="AE525" s="4">
        <v>-1.8079784818614376E-2</v>
      </c>
      <c r="AF525">
        <f t="shared" si="8"/>
        <v>0</v>
      </c>
      <c r="AG525" s="13"/>
    </row>
    <row r="526" spans="1:33" x14ac:dyDescent="0.35">
      <c r="A526" s="3">
        <v>44601</v>
      </c>
      <c r="B526" s="6">
        <f>LN(Raw!B528/Raw!B527)</f>
        <v>4.7572892963186131E-4</v>
      </c>
      <c r="C526" s="6">
        <f>LN(Raw!C528/Raw!C527)</f>
        <v>7.6740106644724226E-3</v>
      </c>
      <c r="D526" s="6">
        <f>LN(Raw!D528/Raw!D527)</f>
        <v>2.07695180891737E-2</v>
      </c>
      <c r="X526" s="3">
        <v>44601</v>
      </c>
      <c r="Y526" cm="1">
        <f t="array" ref="Y526">SUMPRODUCT($T$2:$T$4,TRANSPOSE(B526:D526))</f>
        <v>2.9166180953552816E-3</v>
      </c>
      <c r="AD526" s="3">
        <v>44600</v>
      </c>
      <c r="AE526" s="4">
        <v>1.4238855239262294E-2</v>
      </c>
      <c r="AF526">
        <f t="shared" si="8"/>
        <v>0</v>
      </c>
      <c r="AG526" s="13"/>
    </row>
    <row r="527" spans="1:33" x14ac:dyDescent="0.35">
      <c r="A527" s="3">
        <v>44602</v>
      </c>
      <c r="B527" s="6">
        <f>LN(Raw!B529/Raw!B528)</f>
        <v>-1.6672607309162233E-2</v>
      </c>
      <c r="C527" s="6">
        <f>LN(Raw!C529/Raw!C528)</f>
        <v>1.911002748995895E-2</v>
      </c>
      <c r="D527" s="6">
        <f>LN(Raw!D529/Raw!D528)</f>
        <v>-3.6126999492099407E-3</v>
      </c>
      <c r="X527" s="3">
        <v>44602</v>
      </c>
      <c r="Y527" cm="1">
        <f t="array" ref="Y527">SUMPRODUCT($T$2:$T$4,TRANSPOSE(B527:D527))</f>
        <v>-8.8851988753711614E-3</v>
      </c>
      <c r="AD527" s="3">
        <v>44601</v>
      </c>
      <c r="AE527" s="4">
        <v>2.9166180953552816E-3</v>
      </c>
      <c r="AF527">
        <f t="shared" si="8"/>
        <v>0</v>
      </c>
      <c r="AG527" s="13"/>
    </row>
    <row r="528" spans="1:33" x14ac:dyDescent="0.35">
      <c r="A528" s="3">
        <v>44603</v>
      </c>
      <c r="B528" s="6">
        <f>LN(Raw!B530/Raw!B529)</f>
        <v>-5.582416236178504E-4</v>
      </c>
      <c r="C528" s="6">
        <f>LN(Raw!C530/Raw!C529)</f>
        <v>-3.4147735941176982E-2</v>
      </c>
      <c r="D528" s="6">
        <f>LN(Raw!D530/Raw!D529)</f>
        <v>-9.0892088544791173E-3</v>
      </c>
      <c r="X528" s="3">
        <v>44603</v>
      </c>
      <c r="Y528" cm="1">
        <f t="array" ref="Y528">SUMPRODUCT($T$2:$T$4,TRANSPOSE(B528:D528))</f>
        <v>-7.6838313150668584E-3</v>
      </c>
      <c r="AD528" s="3">
        <v>44602</v>
      </c>
      <c r="AE528" s="4">
        <v>-8.8851988753711614E-3</v>
      </c>
      <c r="AF528">
        <f t="shared" si="8"/>
        <v>0</v>
      </c>
      <c r="AG528" s="13"/>
    </row>
    <row r="529" spans="1:33" x14ac:dyDescent="0.35">
      <c r="A529" s="3">
        <v>44606</v>
      </c>
      <c r="B529" s="6">
        <f>LN(Raw!B531/Raw!B530)</f>
        <v>-4.3935819500267786E-2</v>
      </c>
      <c r="C529" s="6">
        <f>LN(Raw!C531/Raw!C530)</f>
        <v>-3.2297287818103357E-2</v>
      </c>
      <c r="D529" s="6">
        <f>LN(Raw!D531/Raw!D530)</f>
        <v>-3.1913655064810406E-2</v>
      </c>
      <c r="X529" s="3">
        <v>44606</v>
      </c>
      <c r="Y529" cm="1">
        <f t="array" ref="Y529">SUMPRODUCT($T$2:$T$4,TRANSPOSE(B529:D529))</f>
        <v>-4.1018161369692677E-2</v>
      </c>
      <c r="AD529" s="3">
        <v>44603</v>
      </c>
      <c r="AE529" s="4">
        <v>-7.6838313150668584E-3</v>
      </c>
      <c r="AF529">
        <f t="shared" si="8"/>
        <v>0</v>
      </c>
      <c r="AG529" s="13"/>
    </row>
    <row r="530" spans="1:33" x14ac:dyDescent="0.35">
      <c r="A530" s="3">
        <v>44607</v>
      </c>
      <c r="B530" s="6">
        <f>LN(Raw!B532/Raw!B531)</f>
        <v>7.2455942032294517E-3</v>
      </c>
      <c r="C530" s="6">
        <f>LN(Raw!C532/Raw!C531)</f>
        <v>5.7087344510076991E-3</v>
      </c>
      <c r="D530" s="6">
        <f>LN(Raw!D532/Raw!D531)</f>
        <v>-7.1902575116139884E-3</v>
      </c>
      <c r="X530" s="3">
        <v>44607</v>
      </c>
      <c r="Y530" cm="1">
        <f t="array" ref="Y530">SUMPRODUCT($T$2:$T$4,TRANSPOSE(B530:D530))</f>
        <v>6.2244541020475396E-3</v>
      </c>
      <c r="AD530" s="3">
        <v>44606</v>
      </c>
      <c r="AE530" s="4">
        <v>-4.1018161369692677E-2</v>
      </c>
      <c r="AF530">
        <f t="shared" si="8"/>
        <v>0</v>
      </c>
      <c r="AG530" s="13"/>
    </row>
    <row r="531" spans="1:33" x14ac:dyDescent="0.35">
      <c r="A531" s="3">
        <v>44608</v>
      </c>
      <c r="B531" s="6">
        <f>LN(Raw!B533/Raw!B532)</f>
        <v>-6.1961779876201269E-3</v>
      </c>
      <c r="C531" s="6">
        <f>LN(Raw!C533/Raw!C532)</f>
        <v>6.4309109106399946E-3</v>
      </c>
      <c r="D531" s="6">
        <f>LN(Raw!D533/Raw!D532)</f>
        <v>1.4703515236803908E-2</v>
      </c>
      <c r="X531" s="3">
        <v>44608</v>
      </c>
      <c r="Y531" cm="1">
        <f t="array" ref="Y531">SUMPRODUCT($T$2:$T$4,TRANSPOSE(B531:D531))</f>
        <v>-2.6418858348643513E-3</v>
      </c>
      <c r="AD531" s="3">
        <v>44607</v>
      </c>
      <c r="AE531" s="4">
        <v>6.2244541020475396E-3</v>
      </c>
      <c r="AF531">
        <f t="shared" si="8"/>
        <v>0</v>
      </c>
      <c r="AG531" s="13"/>
    </row>
    <row r="532" spans="1:33" x14ac:dyDescent="0.35">
      <c r="A532" s="3">
        <v>44609</v>
      </c>
      <c r="B532" s="6">
        <f>LN(Raw!B534/Raw!B533)</f>
        <v>7.6622521474040738E-3</v>
      </c>
      <c r="C532" s="6">
        <f>LN(Raw!C534/Raw!C533)</f>
        <v>-6.8104681305569516E-3</v>
      </c>
      <c r="D532" s="6">
        <f>LN(Raw!D534/Raw!D533)</f>
        <v>-8.2677094730277782E-3</v>
      </c>
      <c r="X532" s="3">
        <v>44609</v>
      </c>
      <c r="Y532" cm="1">
        <f t="array" ref="Y532">SUMPRODUCT($T$2:$T$4,TRANSPOSE(B532:D532))</f>
        <v>3.9855834134442511E-3</v>
      </c>
      <c r="AD532" s="3">
        <v>44608</v>
      </c>
      <c r="AE532" s="4">
        <v>-2.6418858348643513E-3</v>
      </c>
      <c r="AF532">
        <f t="shared" si="8"/>
        <v>0</v>
      </c>
      <c r="AG532" s="13"/>
    </row>
    <row r="533" spans="1:33" x14ac:dyDescent="0.35">
      <c r="A533" s="3">
        <v>44610</v>
      </c>
      <c r="B533" s="6">
        <f>LN(Raw!B535/Raw!B534)</f>
        <v>-1.1164695498511195E-2</v>
      </c>
      <c r="C533" s="6">
        <f>LN(Raw!C535/Raw!C534)</f>
        <v>-1.916503674085944E-2</v>
      </c>
      <c r="D533" s="6">
        <f>LN(Raw!D535/Raw!D534)</f>
        <v>-7.5757493799304756E-3</v>
      </c>
      <c r="X533" s="3">
        <v>44610</v>
      </c>
      <c r="Y533" cm="1">
        <f t="array" ref="Y533">SUMPRODUCT($T$2:$T$4,TRANSPOSE(B533:D533))</f>
        <v>-1.2583690883525499E-2</v>
      </c>
      <c r="AD533" s="3">
        <v>44609</v>
      </c>
      <c r="AE533" s="4">
        <v>3.9855834134442511E-3</v>
      </c>
      <c r="AF533">
        <f t="shared" si="8"/>
        <v>0</v>
      </c>
      <c r="AG533" s="13"/>
    </row>
    <row r="534" spans="1:33" x14ac:dyDescent="0.35">
      <c r="A534" s="3">
        <v>44613</v>
      </c>
      <c r="B534" s="6">
        <f>LN(Raw!B536/Raw!B535)</f>
        <v>-1.2434647294227942E-2</v>
      </c>
      <c r="C534" s="6">
        <f>LN(Raw!C536/Raw!C535)</f>
        <v>-2.9055852028763481E-2</v>
      </c>
      <c r="D534" s="6">
        <f>LN(Raw!D536/Raw!D535)</f>
        <v>-3.6001636225441398E-2</v>
      </c>
      <c r="X534" s="3">
        <v>44613</v>
      </c>
      <c r="Y534" cm="1">
        <f t="array" ref="Y534">SUMPRODUCT($T$2:$T$4,TRANSPOSE(B534:D534))</f>
        <v>-1.6918042109666631E-2</v>
      </c>
      <c r="AD534" s="3">
        <v>44610</v>
      </c>
      <c r="AE534" s="4">
        <v>-1.2583690883525499E-2</v>
      </c>
      <c r="AF534">
        <f t="shared" si="8"/>
        <v>0</v>
      </c>
      <c r="AG534" s="13"/>
    </row>
    <row r="535" spans="1:33" x14ac:dyDescent="0.35">
      <c r="A535" s="3">
        <v>44614</v>
      </c>
      <c r="B535" s="6">
        <f>LN(Raw!B537/Raw!B536)</f>
        <v>7.0797489567344541E-3</v>
      </c>
      <c r="C535" s="6">
        <f>LN(Raw!C537/Raw!C536)</f>
        <v>-2.5828552125275128E-2</v>
      </c>
      <c r="D535" s="6">
        <f>LN(Raw!D537/Raw!D536)</f>
        <v>-2.3934116785853745E-2</v>
      </c>
      <c r="X535" s="3">
        <v>44614</v>
      </c>
      <c r="Y535" cm="1">
        <f t="array" ref="Y535">SUMPRODUCT($T$2:$T$4,TRANSPOSE(B535:D535))</f>
        <v>-1.022577466248329E-3</v>
      </c>
      <c r="AD535" s="3">
        <v>44613</v>
      </c>
      <c r="AE535" s="4">
        <v>-1.6918042109666631E-2</v>
      </c>
      <c r="AF535">
        <f t="shared" si="8"/>
        <v>0</v>
      </c>
      <c r="AG535" s="13"/>
    </row>
    <row r="536" spans="1:33" x14ac:dyDescent="0.35">
      <c r="A536" s="3">
        <v>44615</v>
      </c>
      <c r="B536" s="6">
        <f>LN(Raw!B538/Raw!B537)</f>
        <v>3.2475879082922883E-3</v>
      </c>
      <c r="C536" s="6">
        <f>LN(Raw!C538/Raw!C537)</f>
        <v>-2.0463377531288549E-3</v>
      </c>
      <c r="D536" s="6">
        <f>LN(Raw!D538/Raw!D537)</f>
        <v>-4.4507966387050931E-3</v>
      </c>
      <c r="X536" s="3">
        <v>44615</v>
      </c>
      <c r="Y536" cm="1">
        <f t="array" ref="Y536">SUMPRODUCT($T$2:$T$4,TRANSPOSE(B536:D536))</f>
        <v>1.8100953614574034E-3</v>
      </c>
      <c r="AD536" s="3">
        <v>44614</v>
      </c>
      <c r="AE536" s="4">
        <v>-1.022577466248329E-3</v>
      </c>
      <c r="AF536">
        <f t="shared" si="8"/>
        <v>0</v>
      </c>
      <c r="AG536" s="13"/>
    </row>
    <row r="537" spans="1:33" x14ac:dyDescent="0.35">
      <c r="A537" s="3">
        <v>44616</v>
      </c>
      <c r="B537" s="6">
        <f>LN(Raw!B539/Raw!B538)</f>
        <v>-3.0985221507307301E-2</v>
      </c>
      <c r="C537" s="6">
        <f>LN(Raw!C539/Raw!C538)</f>
        <v>-9.5801860794321653E-2</v>
      </c>
      <c r="D537" s="6">
        <f>LN(Raw!D539/Raw!D538)</f>
        <v>-7.9738609810804245E-2</v>
      </c>
      <c r="X537" s="3">
        <v>44616</v>
      </c>
      <c r="Y537" cm="1">
        <f t="array" ref="Y537">SUMPRODUCT($T$2:$T$4,TRANSPOSE(B537:D537))</f>
        <v>-4.6333364597843221E-2</v>
      </c>
      <c r="AD537" s="3">
        <v>44615</v>
      </c>
      <c r="AE537" s="4">
        <v>1.8100953614574034E-3</v>
      </c>
      <c r="AF537">
        <f t="shared" si="8"/>
        <v>0</v>
      </c>
      <c r="AG537" s="13"/>
    </row>
    <row r="538" spans="1:33" x14ac:dyDescent="0.35">
      <c r="A538" s="3">
        <v>44617</v>
      </c>
      <c r="B538" s="6">
        <f>LN(Raw!B540/Raw!B539)</f>
        <v>2.502972164483221E-2</v>
      </c>
      <c r="C538" s="6">
        <f>LN(Raw!C540/Raw!C539)</f>
        <v>3.325503450637099E-2</v>
      </c>
      <c r="D538" s="6">
        <f>LN(Raw!D540/Raw!D539)</f>
        <v>4.1296169320708967E-2</v>
      </c>
      <c r="X538" s="3">
        <v>44617</v>
      </c>
      <c r="Y538" cm="1">
        <f t="array" ref="Y538">SUMPRODUCT($T$2:$T$4,TRANSPOSE(B538:D538))</f>
        <v>2.7476259672422475E-2</v>
      </c>
      <c r="AD538" s="3">
        <v>44616</v>
      </c>
      <c r="AE538" s="4">
        <v>-4.6333364597843221E-2</v>
      </c>
      <c r="AF538">
        <f t="shared" si="8"/>
        <v>1</v>
      </c>
      <c r="AG538" s="13"/>
    </row>
    <row r="539" spans="1:33" x14ac:dyDescent="0.35">
      <c r="A539" s="3">
        <v>44620</v>
      </c>
      <c r="B539" s="6">
        <f>LN(Raw!B541/Raw!B540)</f>
        <v>-6.7034603066403776E-3</v>
      </c>
      <c r="C539" s="6">
        <f>LN(Raw!C541/Raw!C540)</f>
        <v>1.3428809205654462E-2</v>
      </c>
      <c r="D539" s="6">
        <f>LN(Raw!D541/Raw!D540)</f>
        <v>1.6841879299427523E-3</v>
      </c>
      <c r="X539" s="3">
        <v>44620</v>
      </c>
      <c r="Y539" cm="1">
        <f t="array" ref="Y539">SUMPRODUCT($T$2:$T$4,TRANSPOSE(B539:D539))</f>
        <v>-2.2705960663252159E-3</v>
      </c>
      <c r="AD539" s="3">
        <v>44617</v>
      </c>
      <c r="AE539" s="4">
        <v>2.7476259672422475E-2</v>
      </c>
      <c r="AF539">
        <f t="shared" si="8"/>
        <v>0</v>
      </c>
      <c r="AG539" s="13"/>
    </row>
    <row r="540" spans="1:33" x14ac:dyDescent="0.35">
      <c r="A540" s="3">
        <v>44622</v>
      </c>
      <c r="B540" s="6">
        <f>LN(Raw!B542/Raw!B541)</f>
        <v>-9.7400261875030432E-3</v>
      </c>
      <c r="C540" s="6">
        <f>LN(Raw!C542/Raw!C541)</f>
        <v>2.1491759198539358E-3</v>
      </c>
      <c r="D540" s="6">
        <f>LN(Raw!D542/Raw!D541)</f>
        <v>-6.7538378292446464E-3</v>
      </c>
      <c r="X540" s="3">
        <v>44622</v>
      </c>
      <c r="Y540" cm="1">
        <f t="array" ref="Y540">SUMPRODUCT($T$2:$T$4,TRANSPOSE(B540:D540))</f>
        <v>-7.2195339708405852E-3</v>
      </c>
      <c r="AD540" s="3">
        <v>44620</v>
      </c>
      <c r="AE540" s="4">
        <v>-2.2705960663252159E-3</v>
      </c>
      <c r="AF540">
        <f t="shared" si="8"/>
        <v>0</v>
      </c>
      <c r="AG540" s="13"/>
    </row>
    <row r="541" spans="1:33" x14ac:dyDescent="0.35">
      <c r="A541" s="3">
        <v>44623</v>
      </c>
      <c r="B541" s="6">
        <f>LN(Raw!B543/Raw!B542)</f>
        <v>-8.8282022276210213E-3</v>
      </c>
      <c r="C541" s="6">
        <f>LN(Raw!C543/Raw!C542)</f>
        <v>-6.0293269939385831E-3</v>
      </c>
      <c r="D541" s="6">
        <f>LN(Raw!D543/Raw!D542)</f>
        <v>-3.3941688046262987E-3</v>
      </c>
      <c r="X541" s="3">
        <v>44623</v>
      </c>
      <c r="Y541" cm="1">
        <f t="array" ref="Y541">SUMPRODUCT($T$2:$T$4,TRANSPOSE(B541:D541))</f>
        <v>-8.0007050637531229E-3</v>
      </c>
      <c r="AD541" s="3">
        <v>44622</v>
      </c>
      <c r="AE541" s="4">
        <v>-7.2195339708405852E-3</v>
      </c>
      <c r="AF541">
        <f t="shared" si="8"/>
        <v>0</v>
      </c>
      <c r="AG541" s="13"/>
    </row>
    <row r="542" spans="1:33" x14ac:dyDescent="0.35">
      <c r="A542" s="3">
        <v>44624</v>
      </c>
      <c r="B542" s="6">
        <f>LN(Raw!B544/Raw!B543)</f>
        <v>-1.8098195956323716E-2</v>
      </c>
      <c r="C542" s="6">
        <f>LN(Raw!C544/Raw!C543)</f>
        <v>-1.5673009976288049E-2</v>
      </c>
      <c r="D542" s="6">
        <f>LN(Raw!D544/Raw!D543)</f>
        <v>-1.6713505868589693E-2</v>
      </c>
      <c r="X542" s="3">
        <v>44624</v>
      </c>
      <c r="Y542" cm="1">
        <f t="array" ref="Y542">SUMPRODUCT($T$2:$T$4,TRANSPOSE(B542:D542))</f>
        <v>-1.7545677607309705E-2</v>
      </c>
      <c r="AD542" s="3">
        <v>44623</v>
      </c>
      <c r="AE542" s="4">
        <v>-8.0007050637531229E-3</v>
      </c>
      <c r="AF542">
        <f t="shared" si="8"/>
        <v>0</v>
      </c>
      <c r="AG542" s="13"/>
    </row>
    <row r="543" spans="1:33" x14ac:dyDescent="0.35">
      <c r="A543" s="3">
        <v>44627</v>
      </c>
      <c r="B543" s="6">
        <f>LN(Raw!B545/Raw!B544)</f>
        <v>-1.0686539925067105E-2</v>
      </c>
      <c r="C543" s="6">
        <f>LN(Raw!C545/Raw!C544)</f>
        <v>-1.5031052842095598E-2</v>
      </c>
      <c r="D543" s="6">
        <f>LN(Raw!D545/Raw!D544)</f>
        <v>-1.4802154902964364E-2</v>
      </c>
      <c r="X543" s="3">
        <v>44627</v>
      </c>
      <c r="Y543" cm="1">
        <f t="array" ref="Y543">SUMPRODUCT($T$2:$T$4,TRANSPOSE(B543:D543))</f>
        <v>-1.1757248209708854E-2</v>
      </c>
      <c r="AD543" s="3">
        <v>44624</v>
      </c>
      <c r="AE543" s="4">
        <v>-1.7545677607309705E-2</v>
      </c>
      <c r="AF543">
        <f t="shared" si="8"/>
        <v>0</v>
      </c>
      <c r="AG543" s="13"/>
    </row>
    <row r="544" spans="1:33" x14ac:dyDescent="0.35">
      <c r="A544" s="3">
        <v>44628</v>
      </c>
      <c r="B544" s="6">
        <f>LN(Raw!B546/Raw!B545)</f>
        <v>1.0152892117881906E-2</v>
      </c>
      <c r="C544" s="6">
        <f>LN(Raw!C546/Raw!C545)</f>
        <v>-7.6012229091740584E-3</v>
      </c>
      <c r="D544" s="6">
        <f>LN(Raw!D546/Raw!D545)</f>
        <v>-1.5469901401701078E-2</v>
      </c>
      <c r="X544" s="3">
        <v>44628</v>
      </c>
      <c r="Y544" cm="1">
        <f t="array" ref="Y544">SUMPRODUCT($T$2:$T$4,TRANSPOSE(B544:D544))</f>
        <v>5.3416623751596105E-3</v>
      </c>
      <c r="AD544" s="3">
        <v>44627</v>
      </c>
      <c r="AE544" s="4">
        <v>-1.1757248209708854E-2</v>
      </c>
      <c r="AF544">
        <f t="shared" si="8"/>
        <v>0</v>
      </c>
      <c r="AG544" s="13"/>
    </row>
    <row r="545" spans="1:33" x14ac:dyDescent="0.35">
      <c r="A545" s="3">
        <v>44629</v>
      </c>
      <c r="B545" s="6">
        <f>LN(Raw!B547/Raw!B546)</f>
        <v>1.5038333679723438E-2</v>
      </c>
      <c r="C545" s="6">
        <f>LN(Raw!C547/Raw!C546)</f>
        <v>2.9628491700019546E-2</v>
      </c>
      <c r="D545" s="6">
        <f>LN(Raw!D547/Raw!D546)</f>
        <v>2.5072671933254284E-2</v>
      </c>
      <c r="X545" s="3">
        <v>44629</v>
      </c>
      <c r="Y545" cm="1">
        <f t="array" ref="Y545">SUMPRODUCT($T$2:$T$4,TRANSPOSE(B545:D545))</f>
        <v>1.8446664003493714E-2</v>
      </c>
      <c r="AD545" s="3">
        <v>44628</v>
      </c>
      <c r="AE545" s="4">
        <v>5.3416623751596105E-3</v>
      </c>
      <c r="AF545">
        <f t="shared" si="8"/>
        <v>0</v>
      </c>
      <c r="AG545" s="13"/>
    </row>
    <row r="546" spans="1:33" x14ac:dyDescent="0.35">
      <c r="A546" s="3">
        <v>44630</v>
      </c>
      <c r="B546" s="6">
        <f>LN(Raw!B548/Raw!B547)</f>
        <v>1.9269510109793761E-2</v>
      </c>
      <c r="C546" s="6">
        <f>LN(Raw!C548/Raw!C547)</f>
        <v>1.255694510162305E-2</v>
      </c>
      <c r="D546" s="6">
        <f>LN(Raw!D548/Raw!D547)</f>
        <v>1.7653964836398989E-2</v>
      </c>
      <c r="X546" s="3">
        <v>44630</v>
      </c>
      <c r="Y546" cm="1">
        <f t="array" ref="Y546">SUMPRODUCT($T$2:$T$4,TRANSPOSE(B546:D546))</f>
        <v>1.7849942662268893E-2</v>
      </c>
      <c r="AD546" s="3">
        <v>44629</v>
      </c>
      <c r="AE546" s="4">
        <v>1.8446664003493714E-2</v>
      </c>
      <c r="AF546">
        <f t="shared" si="8"/>
        <v>0</v>
      </c>
      <c r="AG546" s="13"/>
    </row>
    <row r="547" spans="1:33" x14ac:dyDescent="0.35">
      <c r="A547" s="3">
        <v>44631</v>
      </c>
      <c r="B547" s="6">
        <f>LN(Raw!B549/Raw!B548)</f>
        <v>-3.2985705392140547E-3</v>
      </c>
      <c r="C547" s="6">
        <f>LN(Raw!C549/Raw!C548)</f>
        <v>-4.3121854260002573E-3</v>
      </c>
      <c r="D547" s="6">
        <f>LN(Raw!D549/Raw!D548)</f>
        <v>-7.2820899203488339E-3</v>
      </c>
      <c r="X547" s="3">
        <v>44631</v>
      </c>
      <c r="Y547" cm="1">
        <f t="array" ref="Y547">SUMPRODUCT($T$2:$T$4,TRANSPOSE(B547:D547))</f>
        <v>-3.6980005059122664E-3</v>
      </c>
      <c r="AD547" s="3">
        <v>44630</v>
      </c>
      <c r="AE547" s="4">
        <v>1.7849942662268893E-2</v>
      </c>
      <c r="AF547">
        <f t="shared" si="8"/>
        <v>0</v>
      </c>
      <c r="AG547" s="13"/>
    </row>
    <row r="548" spans="1:33" x14ac:dyDescent="0.35">
      <c r="A548" s="3">
        <v>44634</v>
      </c>
      <c r="B548" s="6">
        <f>LN(Raw!B550/Raw!B549)</f>
        <v>8.7548751311395583E-4</v>
      </c>
      <c r="C548" s="6">
        <f>LN(Raw!C550/Raw!C549)</f>
        <v>-1.2611553514673768E-2</v>
      </c>
      <c r="D548" s="6">
        <f>LN(Raw!D550/Raw!D549)</f>
        <v>-2.5829349915785548E-3</v>
      </c>
      <c r="X548" s="3">
        <v>44634</v>
      </c>
      <c r="Y548" cm="1">
        <f t="array" ref="Y548">SUMPRODUCT($T$2:$T$4,TRANSPOSE(B548:D548))</f>
        <v>-1.9872532078844965E-3</v>
      </c>
      <c r="AD548" s="3">
        <v>44631</v>
      </c>
      <c r="AE548" s="4">
        <v>-3.6980005059122664E-3</v>
      </c>
      <c r="AF548">
        <f t="shared" si="8"/>
        <v>0</v>
      </c>
      <c r="AG548" s="13"/>
    </row>
    <row r="549" spans="1:33" x14ac:dyDescent="0.35">
      <c r="A549" s="3">
        <v>44635</v>
      </c>
      <c r="B549" s="6">
        <f>LN(Raw!B551/Raw!B550)</f>
        <v>-3.76090951783591E-2</v>
      </c>
      <c r="C549" s="6">
        <f>LN(Raw!C551/Raw!C550)</f>
        <v>0</v>
      </c>
      <c r="D549" s="6">
        <f>LN(Raw!D551/Raw!D550)</f>
        <v>-1.1270184009799995E-2</v>
      </c>
      <c r="X549" s="3">
        <v>44635</v>
      </c>
      <c r="Y549" cm="1">
        <f t="array" ref="Y549">SUMPRODUCT($T$2:$T$4,TRANSPOSE(B549:D549))</f>
        <v>-2.8800004012448935E-2</v>
      </c>
      <c r="AD549" s="3">
        <v>44634</v>
      </c>
      <c r="AE549" s="4">
        <v>-1.9872532078844965E-3</v>
      </c>
      <c r="AF549">
        <f t="shared" si="8"/>
        <v>0</v>
      </c>
      <c r="AG549" s="13"/>
    </row>
    <row r="550" spans="1:33" x14ac:dyDescent="0.35">
      <c r="A550" s="3">
        <v>44636</v>
      </c>
      <c r="B550" s="6">
        <f>LN(Raw!B552/Raw!B551)</f>
        <v>6.9963379452906349E-3</v>
      </c>
      <c r="C550" s="6">
        <f>LN(Raw!C552/Raw!C551)</f>
        <v>6.8088093776099284E-2</v>
      </c>
      <c r="D550" s="6">
        <f>LN(Raw!D552/Raw!D551)</f>
        <v>8.3991764789809201E-2</v>
      </c>
      <c r="X550" s="3">
        <v>44636</v>
      </c>
      <c r="Y550" cm="1">
        <f t="array" ref="Y550">SUMPRODUCT($T$2:$T$4,TRANSPOSE(B550:D550))</f>
        <v>2.2998814932820782E-2</v>
      </c>
      <c r="AD550" s="3">
        <v>44635</v>
      </c>
      <c r="AE550" s="4">
        <v>-2.8800004012448935E-2</v>
      </c>
      <c r="AF550">
        <f t="shared" si="8"/>
        <v>0</v>
      </c>
      <c r="AG550" s="13"/>
    </row>
    <row r="551" spans="1:33" x14ac:dyDescent="0.35">
      <c r="A551" s="3">
        <v>44637</v>
      </c>
      <c r="B551" s="6">
        <f>LN(Raw!B553/Raw!B552)</f>
        <v>4.0349522049850615E-2</v>
      </c>
      <c r="C551" s="6">
        <f>LN(Raw!C553/Raw!C552)</f>
        <v>-2.3997882809228398E-2</v>
      </c>
      <c r="D551" s="6">
        <f>LN(Raw!D553/Raw!D552)</f>
        <v>-2.4341958886878977E-2</v>
      </c>
      <c r="X551" s="3">
        <v>44637</v>
      </c>
      <c r="Y551" cm="1">
        <f t="array" ref="Y551">SUMPRODUCT($T$2:$T$4,TRANSPOSE(B551:D551))</f>
        <v>2.4306244629526699E-2</v>
      </c>
      <c r="AD551" s="3">
        <v>44636</v>
      </c>
      <c r="AE551" s="4">
        <v>2.2998814932820782E-2</v>
      </c>
      <c r="AF551">
        <f t="shared" si="8"/>
        <v>0</v>
      </c>
      <c r="AG551" s="13"/>
    </row>
    <row r="552" spans="1:33" x14ac:dyDescent="0.35">
      <c r="A552" s="3">
        <v>44641</v>
      </c>
      <c r="B552" s="6">
        <f>LN(Raw!B554/Raw!B553)</f>
        <v>-2.2989681816690213E-2</v>
      </c>
      <c r="C552" s="6">
        <f>LN(Raw!C554/Raw!C553)</f>
        <v>-1.5615470605419792E-2</v>
      </c>
      <c r="D552" s="6">
        <f>LN(Raw!D554/Raw!D553)</f>
        <v>-3.1708982291901069E-2</v>
      </c>
      <c r="X552" s="3">
        <v>44641</v>
      </c>
      <c r="Y552" cm="1">
        <f t="array" ref="Y552">SUMPRODUCT($T$2:$T$4,TRANSPOSE(B552:D552))</f>
        <v>-2.1949543512223602E-2</v>
      </c>
      <c r="AD552" s="3">
        <v>44637</v>
      </c>
      <c r="AE552" s="4">
        <v>2.4306244629526699E-2</v>
      </c>
      <c r="AF552">
        <f t="shared" si="8"/>
        <v>0</v>
      </c>
      <c r="AG552" s="13"/>
    </row>
    <row r="553" spans="1:33" x14ac:dyDescent="0.35">
      <c r="A553" s="3">
        <v>44642</v>
      </c>
      <c r="B553" s="6">
        <f>LN(Raw!B555/Raw!B554)</f>
        <v>7.9087996789621948E-3</v>
      </c>
      <c r="C553" s="6">
        <f>LN(Raw!C555/Raw!C554)</f>
        <v>-1.1981289467356751E-2</v>
      </c>
      <c r="D553" s="6">
        <f>LN(Raw!D555/Raw!D554)</f>
        <v>-1.7101778135101001E-2</v>
      </c>
      <c r="X553" s="3">
        <v>44642</v>
      </c>
      <c r="Y553" cm="1">
        <f t="array" ref="Y553">SUMPRODUCT($T$2:$T$4,TRANSPOSE(B553:D553))</f>
        <v>2.7015963037863534E-3</v>
      </c>
      <c r="AD553" s="3">
        <v>44641</v>
      </c>
      <c r="AE553" s="4">
        <v>-2.1949543512223602E-2</v>
      </c>
      <c r="AF553">
        <f t="shared" si="8"/>
        <v>0</v>
      </c>
      <c r="AG553" s="13"/>
    </row>
    <row r="554" spans="1:33" x14ac:dyDescent="0.35">
      <c r="A554" s="3">
        <v>44643</v>
      </c>
      <c r="B554" s="6">
        <f>LN(Raw!B556/Raw!B555)</f>
        <v>1.6780143656620315E-3</v>
      </c>
      <c r="C554" s="6">
        <f>LN(Raw!C556/Raw!C555)</f>
        <v>-4.31411846569582E-3</v>
      </c>
      <c r="D554" s="6">
        <f>LN(Raw!D556/Raw!D555)</f>
        <v>-1.0403209417745295E-2</v>
      </c>
      <c r="X554" s="3">
        <v>44643</v>
      </c>
      <c r="Y554" cm="1">
        <f t="array" ref="Y554">SUMPRODUCT($T$2:$T$4,TRANSPOSE(B554:D554))</f>
        <v>-1.1572523036424733E-4</v>
      </c>
      <c r="AD554" s="3">
        <v>44642</v>
      </c>
      <c r="AE554" s="4">
        <v>2.7015963037863534E-3</v>
      </c>
      <c r="AF554">
        <f t="shared" si="8"/>
        <v>0</v>
      </c>
      <c r="AG554" s="13"/>
    </row>
    <row r="555" spans="1:33" x14ac:dyDescent="0.35">
      <c r="A555" s="3">
        <v>44644</v>
      </c>
      <c r="B555" s="6">
        <f>LN(Raw!B557/Raw!B556)</f>
        <v>-6.6888857153651442E-3</v>
      </c>
      <c r="C555" s="6">
        <f>LN(Raw!C557/Raw!C556)</f>
        <v>-4.3327372864013216E-3</v>
      </c>
      <c r="D555" s="6">
        <f>LN(Raw!D557/Raw!D556)</f>
        <v>-8.3132650950989637E-3</v>
      </c>
      <c r="X555" s="3">
        <v>44644</v>
      </c>
      <c r="Y555" cm="1">
        <f t="array" ref="Y555">SUMPRODUCT($T$2:$T$4,TRANSPOSE(B555:D555))</f>
        <v>-6.2990643314253742E-3</v>
      </c>
      <c r="AD555" s="3">
        <v>44643</v>
      </c>
      <c r="AE555" s="4">
        <v>-1.1572523036424733E-4</v>
      </c>
      <c r="AF555">
        <f t="shared" si="8"/>
        <v>0</v>
      </c>
      <c r="AG555" s="13"/>
    </row>
    <row r="556" spans="1:33" x14ac:dyDescent="0.35">
      <c r="A556" s="3">
        <v>44645</v>
      </c>
      <c r="B556" s="6">
        <f>LN(Raw!B558/Raw!B557)</f>
        <v>1.7054304207093626E-2</v>
      </c>
      <c r="C556" s="6">
        <f>LN(Raw!C558/Raw!C557)</f>
        <v>2.168678563847485E-3</v>
      </c>
      <c r="D556" s="6">
        <f>LN(Raw!D558/Raw!D557)</f>
        <v>-8.3830952217890126E-3</v>
      </c>
      <c r="X556" s="3">
        <v>44645</v>
      </c>
      <c r="Y556" cm="1">
        <f t="array" ref="Y556">SUMPRODUCT($T$2:$T$4,TRANSPOSE(B556:D556))</f>
        <v>1.2824708524730921E-2</v>
      </c>
      <c r="AD556" s="3">
        <v>44644</v>
      </c>
      <c r="AE556" s="4">
        <v>-6.2990643314253742E-3</v>
      </c>
      <c r="AF556">
        <f t="shared" si="8"/>
        <v>0</v>
      </c>
      <c r="AG556" s="13"/>
    </row>
    <row r="557" spans="1:33" x14ac:dyDescent="0.35">
      <c r="A557" s="3">
        <v>44648</v>
      </c>
      <c r="B557" s="6">
        <f>LN(Raw!B559/Raw!B558)</f>
        <v>1.5789954094417888E-4</v>
      </c>
      <c r="C557" s="6">
        <f>LN(Raw!C559/Raw!C558)</f>
        <v>-2.5451104214037717E-2</v>
      </c>
      <c r="D557" s="6">
        <f>LN(Raw!D559/Raw!D558)</f>
        <v>-1.4729149521174921E-2</v>
      </c>
      <c r="X557" s="3">
        <v>44648</v>
      </c>
      <c r="Y557" cm="1">
        <f t="array" ref="Y557">SUMPRODUCT($T$2:$T$4,TRANSPOSE(B557:D557))</f>
        <v>-5.6896020872071315E-3</v>
      </c>
      <c r="AD557" s="3">
        <v>44645</v>
      </c>
      <c r="AE557" s="4">
        <v>1.2824708524730921E-2</v>
      </c>
      <c r="AF557">
        <f t="shared" si="8"/>
        <v>0</v>
      </c>
      <c r="AG557" s="13"/>
    </row>
    <row r="558" spans="1:33" x14ac:dyDescent="0.35">
      <c r="A558" s="3">
        <v>44649</v>
      </c>
      <c r="B558" s="6">
        <f>LN(Raw!B560/Raw!B559)</f>
        <v>7.9477409755205793E-3</v>
      </c>
      <c r="C558" s="6">
        <f>LN(Raw!C560/Raw!C559)</f>
        <v>-5.7946588924317633E-3</v>
      </c>
      <c r="D558" s="6">
        <f>LN(Raw!D560/Raw!D559)</f>
        <v>-1.3496530088747023E-3</v>
      </c>
      <c r="X558" s="3">
        <v>44649</v>
      </c>
      <c r="Y558" cm="1">
        <f t="array" ref="Y558">SUMPRODUCT($T$2:$T$4,TRANSPOSE(B558:D558))</f>
        <v>4.7450673834387421E-3</v>
      </c>
      <c r="AD558" s="3">
        <v>44648</v>
      </c>
      <c r="AE558" s="4">
        <v>-5.6896020872071315E-3</v>
      </c>
      <c r="AF558">
        <f t="shared" si="8"/>
        <v>0</v>
      </c>
      <c r="AG558" s="13"/>
    </row>
    <row r="559" spans="1:33" x14ac:dyDescent="0.35">
      <c r="A559" s="3">
        <v>44650</v>
      </c>
      <c r="B559" s="6">
        <f>LN(Raw!B561/Raw!B560)</f>
        <v>4.1491310240155399E-2</v>
      </c>
      <c r="C559" s="6">
        <f>LN(Raw!C561/Raw!C560)</f>
        <v>4.030340426115267E-2</v>
      </c>
      <c r="D559" s="6">
        <f>LN(Raw!D561/Raw!D560)</f>
        <v>1.2972580983477972E-2</v>
      </c>
      <c r="X559" s="3">
        <v>44650</v>
      </c>
      <c r="Y559" cm="1">
        <f t="array" ref="Y559">SUMPRODUCT($T$2:$T$4,TRANSPOSE(B559:D559))</f>
        <v>3.9842846740756402E-2</v>
      </c>
      <c r="AD559" s="3">
        <v>44649</v>
      </c>
      <c r="AE559" s="4">
        <v>4.7450673834387421E-3</v>
      </c>
      <c r="AF559">
        <f t="shared" si="8"/>
        <v>0</v>
      </c>
      <c r="AG559" s="13"/>
    </row>
    <row r="560" spans="1:33" x14ac:dyDescent="0.35">
      <c r="A560" s="3">
        <v>44651</v>
      </c>
      <c r="B560" s="6">
        <f>LN(Raw!B562/Raw!B561)</f>
        <v>-1.2038388408423188E-3</v>
      </c>
      <c r="C560" s="6">
        <f>LN(Raw!C562/Raw!C561)</f>
        <v>-2.2580176286795837E-2</v>
      </c>
      <c r="D560" s="6">
        <f>LN(Raw!D562/Raw!D561)</f>
        <v>-7.5842980392309854E-3</v>
      </c>
      <c r="X560" s="3">
        <v>44651</v>
      </c>
      <c r="Y560" cm="1">
        <f t="array" ref="Y560">SUMPRODUCT($T$2:$T$4,TRANSPOSE(B560:D560))</f>
        <v>-5.7856432699933081E-3</v>
      </c>
      <c r="AD560" s="3">
        <v>44650</v>
      </c>
      <c r="AE560" s="4">
        <v>3.9842846740756402E-2</v>
      </c>
      <c r="AF560">
        <f t="shared" si="8"/>
        <v>0</v>
      </c>
      <c r="AG560" s="13"/>
    </row>
    <row r="561" spans="1:33" x14ac:dyDescent="0.35">
      <c r="A561" s="3">
        <v>44652</v>
      </c>
      <c r="B561" s="6">
        <f>LN(Raw!B563/Raw!B562)</f>
        <v>1.5166887350936829E-2</v>
      </c>
      <c r="C561" s="6">
        <f>LN(Raw!C563/Raw!C562)</f>
        <v>2.9000056324538285E-2</v>
      </c>
      <c r="D561" s="6">
        <f>LN(Raw!D563/Raw!D562)</f>
        <v>2.4332169027312136E-2</v>
      </c>
      <c r="X561" s="3">
        <v>44652</v>
      </c>
      <c r="Y561" cm="1">
        <f t="array" ref="Y561">SUMPRODUCT($T$2:$T$4,TRANSPOSE(B561:D561))</f>
        <v>1.8381137111259993E-2</v>
      </c>
      <c r="AD561" s="3">
        <v>44651</v>
      </c>
      <c r="AE561" s="4">
        <v>-5.7856432699933081E-3</v>
      </c>
      <c r="AF561">
        <f t="shared" si="8"/>
        <v>0</v>
      </c>
      <c r="AG561" s="13"/>
    </row>
    <row r="562" spans="1:33" x14ac:dyDescent="0.35">
      <c r="A562" s="3">
        <v>44655</v>
      </c>
      <c r="B562" s="6">
        <f>LN(Raw!B564/Raw!B563)</f>
        <v>1.0005339065715256E-3</v>
      </c>
      <c r="C562" s="6">
        <f>LN(Raw!C564/Raw!C563)</f>
        <v>1.6920851812774296E-2</v>
      </c>
      <c r="D562" s="6">
        <f>LN(Raw!D564/Raw!D563)</f>
        <v>1.9905426444039968E-2</v>
      </c>
      <c r="X562" s="3">
        <v>44655</v>
      </c>
      <c r="Y562" cm="1">
        <f t="array" ref="Y562">SUMPRODUCT($T$2:$T$4,TRANSPOSE(B562:D562))</f>
        <v>5.1133265150750569E-3</v>
      </c>
      <c r="AD562" s="3">
        <v>44652</v>
      </c>
      <c r="AE562" s="4">
        <v>1.8381137111259993E-2</v>
      </c>
      <c r="AF562">
        <f t="shared" si="8"/>
        <v>0</v>
      </c>
      <c r="AG562" s="13"/>
    </row>
    <row r="563" spans="1:33" x14ac:dyDescent="0.35">
      <c r="A563" s="3">
        <v>44656</v>
      </c>
      <c r="B563" s="6">
        <f>LN(Raw!B565/Raw!B564)</f>
        <v>1.4065477721354907E-3</v>
      </c>
      <c r="C563" s="6">
        <f>LN(Raw!C565/Raw!C564)</f>
        <v>1.0847090885862483E-2</v>
      </c>
      <c r="D563" s="6">
        <f>LN(Raw!D565/Raw!D564)</f>
        <v>1.1501751503111304E-2</v>
      </c>
      <c r="X563" s="3">
        <v>44656</v>
      </c>
      <c r="Y563" cm="1">
        <f t="array" ref="Y563">SUMPRODUCT($T$2:$T$4,TRANSPOSE(B563:D563))</f>
        <v>3.790191643788559E-3</v>
      </c>
      <c r="AD563" s="3">
        <v>44655</v>
      </c>
      <c r="AE563" s="4">
        <v>5.1133265150750569E-3</v>
      </c>
      <c r="AF563">
        <f t="shared" si="8"/>
        <v>0</v>
      </c>
      <c r="AG563" s="13"/>
    </row>
    <row r="564" spans="1:33" x14ac:dyDescent="0.35">
      <c r="A564" s="3">
        <v>44657</v>
      </c>
      <c r="B564" s="6">
        <f>LN(Raw!B566/Raw!B565)</f>
        <v>1.1437173519233368E-2</v>
      </c>
      <c r="C564" s="6">
        <f>LN(Raw!C566/Raw!C565)</f>
        <v>3.6263852545979892E-2</v>
      </c>
      <c r="D564" s="6">
        <f>LN(Raw!D566/Raw!D565)</f>
        <v>3.0861502772974808E-2</v>
      </c>
      <c r="X564" s="3">
        <v>44657</v>
      </c>
      <c r="Y564" cm="1">
        <f t="array" ref="Y564">SUMPRODUCT($T$2:$T$4,TRANSPOSE(B564:D564))</f>
        <v>1.7353098489298391E-2</v>
      </c>
      <c r="AD564" s="3">
        <v>44656</v>
      </c>
      <c r="AE564" s="4">
        <v>3.790191643788559E-3</v>
      </c>
      <c r="AF564">
        <f t="shared" si="8"/>
        <v>0</v>
      </c>
      <c r="AG564" s="13"/>
    </row>
    <row r="565" spans="1:33" x14ac:dyDescent="0.35">
      <c r="A565" s="3">
        <v>44658</v>
      </c>
      <c r="B565" s="6">
        <f>LN(Raw!B567/Raw!B566)</f>
        <v>2.1165489214624095E-2</v>
      </c>
      <c r="C565" s="6">
        <f>LN(Raw!C567/Raw!C566)</f>
        <v>9.5580835791206405E-3</v>
      </c>
      <c r="D565" s="6">
        <f>LN(Raw!D567/Raw!D566)</f>
        <v>1.7101384255127472E-2</v>
      </c>
      <c r="X565" s="3">
        <v>44658</v>
      </c>
      <c r="Y565" cm="1">
        <f t="array" ref="Y565">SUMPRODUCT($T$2:$T$4,TRANSPOSE(B565:D565))</f>
        <v>1.8647888274266753E-2</v>
      </c>
      <c r="AD565" s="3">
        <v>44657</v>
      </c>
      <c r="AE565" s="4">
        <v>1.7353098489298391E-2</v>
      </c>
      <c r="AF565">
        <f t="shared" si="8"/>
        <v>0</v>
      </c>
      <c r="AG565" s="13"/>
    </row>
    <row r="566" spans="1:33" x14ac:dyDescent="0.35">
      <c r="A566" s="3">
        <v>44659</v>
      </c>
      <c r="B566" s="6">
        <f>LN(Raw!B568/Raw!B567)</f>
        <v>-1.184834471572035E-2</v>
      </c>
      <c r="C566" s="6">
        <f>LN(Raw!C568/Raw!C567)</f>
        <v>-1.983823229632713E-3</v>
      </c>
      <c r="D566" s="6">
        <f>LN(Raw!D568/Raw!D567)</f>
        <v>-1.9568554393907922E-2</v>
      </c>
      <c r="X566" s="3">
        <v>44659</v>
      </c>
      <c r="Y566" cm="1">
        <f t="array" ref="Y566">SUMPRODUCT($T$2:$T$4,TRANSPOSE(B566:D566))</f>
        <v>-1.0261774930305495E-2</v>
      </c>
      <c r="AD566" s="3">
        <v>44658</v>
      </c>
      <c r="AE566" s="4">
        <v>1.8647888274266753E-2</v>
      </c>
      <c r="AF566">
        <f t="shared" si="8"/>
        <v>0</v>
      </c>
      <c r="AG566" s="13"/>
    </row>
    <row r="567" spans="1:33" x14ac:dyDescent="0.35">
      <c r="A567" s="3">
        <v>44662</v>
      </c>
      <c r="B567" s="6">
        <f>LN(Raw!B569/Raw!B568)</f>
        <v>-1.7689174471801163E-2</v>
      </c>
      <c r="C567" s="6">
        <f>LN(Raw!C569/Raw!C568)</f>
        <v>-8.374855623289797E-3</v>
      </c>
      <c r="D567" s="6">
        <f>LN(Raw!D569/Raw!D568)</f>
        <v>-5.3663781043772488E-3</v>
      </c>
      <c r="X567" s="3">
        <v>44662</v>
      </c>
      <c r="Y567" cm="1">
        <f t="array" ref="Y567">SUMPRODUCT($T$2:$T$4,TRANSPOSE(B567:D567))</f>
        <v>-1.5220476970984538E-2</v>
      </c>
      <c r="AD567" s="3">
        <v>44659</v>
      </c>
      <c r="AE567" s="4">
        <v>-1.0261774930305495E-2</v>
      </c>
      <c r="AF567">
        <f t="shared" si="8"/>
        <v>0</v>
      </c>
      <c r="AG567" s="13"/>
    </row>
    <row r="568" spans="1:33" x14ac:dyDescent="0.35">
      <c r="A568" s="3">
        <v>44663</v>
      </c>
      <c r="B568" s="6">
        <f>LN(Raw!B570/Raw!B569)</f>
        <v>-2.5105350851714692E-3</v>
      </c>
      <c r="C568" s="6">
        <f>LN(Raw!C570/Raw!C569)</f>
        <v>-1.0062515504573438E-2</v>
      </c>
      <c r="D568" s="6">
        <f>LN(Raw!D570/Raw!D569)</f>
        <v>-2.1758147225239406E-2</v>
      </c>
      <c r="X568" s="3">
        <v>44663</v>
      </c>
      <c r="Y568" cm="1">
        <f t="array" ref="Y568">SUMPRODUCT($T$2:$T$4,TRANSPOSE(B568:D568))</f>
        <v>-4.9702357894698618E-3</v>
      </c>
      <c r="AD568" s="3">
        <v>44662</v>
      </c>
      <c r="AE568" s="4">
        <v>-1.5220476970984538E-2</v>
      </c>
      <c r="AF568">
        <f t="shared" si="8"/>
        <v>0</v>
      </c>
      <c r="AG568" s="13"/>
    </row>
    <row r="569" spans="1:33" x14ac:dyDescent="0.35">
      <c r="A569" s="3">
        <v>44664</v>
      </c>
      <c r="B569" s="6">
        <f>LN(Raw!B571/Raw!B570)</f>
        <v>4.4630423164390047E-3</v>
      </c>
      <c r="C569" s="6">
        <f>LN(Raw!C571/Raw!C570)</f>
        <v>-7.7157502672014757E-3</v>
      </c>
      <c r="D569" s="6">
        <f>LN(Raw!D571/Raw!D570)</f>
        <v>-8.0697045421698772E-3</v>
      </c>
      <c r="X569" s="3">
        <v>44664</v>
      </c>
      <c r="Y569" cm="1">
        <f t="array" ref="Y569">SUMPRODUCT($T$2:$T$4,TRANSPOSE(B569:D569))</f>
        <v>1.4122969053438988E-3</v>
      </c>
      <c r="AD569" s="3">
        <v>44663</v>
      </c>
      <c r="AE569" s="4">
        <v>-4.9702357894698618E-3</v>
      </c>
      <c r="AF569">
        <f t="shared" si="8"/>
        <v>0</v>
      </c>
      <c r="AG569" s="13"/>
    </row>
    <row r="570" spans="1:33" x14ac:dyDescent="0.35">
      <c r="A570" s="3">
        <v>44669</v>
      </c>
      <c r="B570" s="6">
        <f>LN(Raw!B572/Raw!B571)</f>
        <v>-9.9412369439249703E-4</v>
      </c>
      <c r="C570" s="6">
        <f>LN(Raw!C572/Raw!C571)</f>
        <v>-1.1892788210486095E-2</v>
      </c>
      <c r="D570" s="6">
        <f>LN(Raw!D572/Raw!D571)</f>
        <v>-1.2012127342662037E-2</v>
      </c>
      <c r="X570" s="3">
        <v>44669</v>
      </c>
      <c r="Y570" cm="1">
        <f t="array" ref="Y570">SUMPRODUCT($T$2:$T$4,TRANSPOSE(B570:D570))</f>
        <v>-3.7144315401533628E-3</v>
      </c>
      <c r="AD570" s="3">
        <v>44664</v>
      </c>
      <c r="AE570" s="4">
        <v>1.4122969053438988E-3</v>
      </c>
      <c r="AF570">
        <f t="shared" si="8"/>
        <v>0</v>
      </c>
      <c r="AG570" s="13"/>
    </row>
    <row r="571" spans="1:33" x14ac:dyDescent="0.35">
      <c r="A571" s="3">
        <v>44670</v>
      </c>
      <c r="B571" s="6">
        <f>LN(Raw!B573/Raw!B572)</f>
        <v>-1.1038469894319515E-2</v>
      </c>
      <c r="C571" s="6">
        <f>LN(Raw!C573/Raw!C572)</f>
        <v>1.6489210168537704E-3</v>
      </c>
      <c r="D571" s="6">
        <f>LN(Raw!D573/Raw!D572)</f>
        <v>-4.75880952899783E-3</v>
      </c>
      <c r="X571" s="3">
        <v>44670</v>
      </c>
      <c r="Y571" cm="1">
        <f t="array" ref="Y571">SUMPRODUCT($T$2:$T$4,TRANSPOSE(B571:D571))</f>
        <v>-8.1956903634696193E-3</v>
      </c>
      <c r="AD571" s="3">
        <v>44669</v>
      </c>
      <c r="AE571" s="4">
        <v>-3.7144315401533628E-3</v>
      </c>
      <c r="AF571">
        <f t="shared" si="8"/>
        <v>0</v>
      </c>
      <c r="AG571" s="13"/>
    </row>
    <row r="572" spans="1:33" x14ac:dyDescent="0.35">
      <c r="A572" s="3">
        <v>44671</v>
      </c>
      <c r="B572" s="6">
        <f>LN(Raw!B574/Raw!B573)</f>
        <v>1.530249843293683E-2</v>
      </c>
      <c r="C572" s="6">
        <f>LN(Raw!C574/Raw!C573)</f>
        <v>-5.3685617390366513E-3</v>
      </c>
      <c r="D572" s="6">
        <f>LN(Raw!D574/Raw!D573)</f>
        <v>8.6694912083666814E-4</v>
      </c>
      <c r="X572" s="3">
        <v>44671</v>
      </c>
      <c r="Y572" cm="1">
        <f t="array" ref="Y572">SUMPRODUCT($T$2:$T$4,TRANSPOSE(B572:D572))</f>
        <v>1.0462797413463761E-2</v>
      </c>
      <c r="AD572" s="3">
        <v>44670</v>
      </c>
      <c r="AE572" s="4">
        <v>-8.1956903634696193E-3</v>
      </c>
      <c r="AF572">
        <f t="shared" si="8"/>
        <v>0</v>
      </c>
      <c r="AG572" s="13"/>
    </row>
    <row r="573" spans="1:33" x14ac:dyDescent="0.35">
      <c r="A573" s="3">
        <v>44672</v>
      </c>
      <c r="B573" s="6">
        <f>LN(Raw!B575/Raw!B574)</f>
        <v>2.7424641332539343E-2</v>
      </c>
      <c r="C573" s="6">
        <f>LN(Raw!C575/Raw!C574)</f>
        <v>1.4388688410023106E-2</v>
      </c>
      <c r="D573" s="6">
        <f>LN(Raw!D575/Raw!D574)</f>
        <v>1.2989476958633081E-3</v>
      </c>
      <c r="X573" s="3">
        <v>44672</v>
      </c>
      <c r="Y573" cm="1">
        <f t="array" ref="Y573">SUMPRODUCT($T$2:$T$4,TRANSPOSE(B573:D573))</f>
        <v>2.3530117457243763E-2</v>
      </c>
      <c r="AD573" s="3">
        <v>44671</v>
      </c>
      <c r="AE573" s="4">
        <v>1.0462797413463761E-2</v>
      </c>
      <c r="AF573">
        <f t="shared" si="8"/>
        <v>0</v>
      </c>
      <c r="AG573" s="13"/>
    </row>
    <row r="574" spans="1:33" x14ac:dyDescent="0.35">
      <c r="A574" s="3">
        <v>44673</v>
      </c>
      <c r="B574" s="6">
        <f>LN(Raw!B576/Raw!B575)</f>
        <v>-6.1070873980136511E-2</v>
      </c>
      <c r="C574" s="6">
        <f>LN(Raw!C576/Raw!C575)</f>
        <v>-4.090100161599314E-3</v>
      </c>
      <c r="D574" s="6">
        <f>LN(Raw!D576/Raw!D575)</f>
        <v>-5.2060825971650768E-3</v>
      </c>
      <c r="X574" s="3">
        <v>44673</v>
      </c>
      <c r="Y574" cm="1">
        <f t="array" ref="Y574">SUMPRODUCT($T$2:$T$4,TRANSPOSE(B574:D574))</f>
        <v>-4.6934574692975899E-2</v>
      </c>
      <c r="AD574" s="3">
        <v>44672</v>
      </c>
      <c r="AE574" s="4">
        <v>2.3530117457243763E-2</v>
      </c>
      <c r="AF574">
        <f t="shared" si="8"/>
        <v>0</v>
      </c>
      <c r="AG574" s="13"/>
    </row>
    <row r="575" spans="1:33" x14ac:dyDescent="0.35">
      <c r="A575" s="3">
        <v>44676</v>
      </c>
      <c r="B575" s="6">
        <f>LN(Raw!B577/Raw!B576)</f>
        <v>-9.3376116812076641E-3</v>
      </c>
      <c r="C575" s="6">
        <f>LN(Raw!C577/Raw!C576)</f>
        <v>-2.1960572785427644E-2</v>
      </c>
      <c r="D575" s="6">
        <f>LN(Raw!D577/Raw!D576)</f>
        <v>-1.578287020211435E-2</v>
      </c>
      <c r="X575" s="3">
        <v>44676</v>
      </c>
      <c r="Y575" cm="1">
        <f t="array" ref="Y575">SUMPRODUCT($T$2:$T$4,TRANSPOSE(B575:D575))</f>
        <v>-1.2175728376421223E-2</v>
      </c>
      <c r="AD575" s="3">
        <v>44673</v>
      </c>
      <c r="AE575" s="4">
        <v>-4.6934574692975899E-2</v>
      </c>
      <c r="AF575">
        <f t="shared" si="8"/>
        <v>1</v>
      </c>
      <c r="AG575" s="13"/>
    </row>
    <row r="576" spans="1:33" x14ac:dyDescent="0.35">
      <c r="A576" s="3">
        <v>44677</v>
      </c>
      <c r="B576" s="6">
        <f>LN(Raw!B578/Raw!B577)</f>
        <v>1.7046948754830493E-2</v>
      </c>
      <c r="C576" s="6">
        <f>LN(Raw!C578/Raw!C577)</f>
        <v>6.6805848264162989E-3</v>
      </c>
      <c r="D576" s="6">
        <f>LN(Raw!D578/Raw!D577)</f>
        <v>7.9225721518610213E-3</v>
      </c>
      <c r="X576" s="3">
        <v>44677</v>
      </c>
      <c r="Y576" cm="1">
        <f t="array" ref="Y576">SUMPRODUCT($T$2:$T$4,TRANSPOSE(B576:D576))</f>
        <v>1.4526586776060458E-2</v>
      </c>
      <c r="AD576" s="3">
        <v>44676</v>
      </c>
      <c r="AE576" s="4">
        <v>-1.2175728376421223E-2</v>
      </c>
      <c r="AF576">
        <f t="shared" si="8"/>
        <v>0</v>
      </c>
      <c r="AG576" s="13"/>
    </row>
    <row r="577" spans="1:33" x14ac:dyDescent="0.35">
      <c r="A577" s="3">
        <v>44678</v>
      </c>
      <c r="B577" s="6">
        <f>LN(Raw!B579/Raw!B578)</f>
        <v>-7.4056502532100993E-3</v>
      </c>
      <c r="C577" s="6">
        <f>LN(Raw!C579/Raw!C578)</f>
        <v>-4.5880728625199031E-3</v>
      </c>
      <c r="D577" s="6">
        <f>LN(Raw!D579/Raw!D578)</f>
        <v>-5.274804139399865E-3</v>
      </c>
      <c r="X577" s="3">
        <v>44678</v>
      </c>
      <c r="Y577" cm="1">
        <f t="array" ref="Y577">SUMPRODUCT($T$2:$T$4,TRANSPOSE(B577:D577))</f>
        <v>-6.7378958478205471E-3</v>
      </c>
      <c r="AD577" s="3">
        <v>44677</v>
      </c>
      <c r="AE577" s="4">
        <v>1.4526586776060458E-2</v>
      </c>
      <c r="AF577">
        <f t="shared" si="8"/>
        <v>0</v>
      </c>
      <c r="AG577" s="13"/>
    </row>
    <row r="578" spans="1:33" x14ac:dyDescent="0.35">
      <c r="A578" s="3">
        <v>44679</v>
      </c>
      <c r="B578" s="6">
        <f>LN(Raw!B580/Raw!B579)</f>
        <v>1.4383151406789004E-2</v>
      </c>
      <c r="C578" s="6">
        <f>LN(Raw!C580/Raw!C579)</f>
        <v>-8.3963771392138349E-3</v>
      </c>
      <c r="D578" s="6">
        <f>LN(Raw!D580/Raw!D579)</f>
        <v>-4.4076166472964857E-4</v>
      </c>
      <c r="X578" s="3">
        <v>44679</v>
      </c>
      <c r="Y578" cm="1">
        <f t="array" ref="Y578">SUMPRODUCT($T$2:$T$4,TRANSPOSE(B578:D578))</f>
        <v>9.1034472258035674E-3</v>
      </c>
      <c r="AD578" s="3">
        <v>44678</v>
      </c>
      <c r="AE578" s="4">
        <v>-6.7378958478205471E-3</v>
      </c>
      <c r="AF578">
        <f t="shared" si="8"/>
        <v>0</v>
      </c>
      <c r="AG578" s="13"/>
    </row>
    <row r="579" spans="1:33" x14ac:dyDescent="0.35">
      <c r="A579" s="3">
        <v>44680</v>
      </c>
      <c r="B579" s="6">
        <f>LN(Raw!B581/Raw!B580)</f>
        <v>-4.3785953826230586E-2</v>
      </c>
      <c r="C579" s="6">
        <f>LN(Raw!C581/Raw!C580)</f>
        <v>9.2931065106631641E-2</v>
      </c>
      <c r="D579" s="6">
        <f>LN(Raw!D581/Raw!D580)</f>
        <v>4.1033645649611317E-2</v>
      </c>
      <c r="X579" s="3">
        <v>44680</v>
      </c>
      <c r="Y579" cm="1">
        <f t="array" ref="Y579">SUMPRODUCT($T$2:$T$4,TRANSPOSE(B579:D579))</f>
        <v>-1.2303867999540138E-2</v>
      </c>
      <c r="AD579" s="3">
        <v>44679</v>
      </c>
      <c r="AE579" s="4">
        <v>9.1034472258035674E-3</v>
      </c>
      <c r="AF579">
        <f t="shared" ref="AF579:AF642" si="9">IF(AE579&lt;$AB$2,1,0)</f>
        <v>0</v>
      </c>
      <c r="AG579" s="13"/>
    </row>
    <row r="580" spans="1:33" x14ac:dyDescent="0.35">
      <c r="A580" s="3">
        <v>44683</v>
      </c>
      <c r="B580" s="6">
        <f>LN(Raw!B582/Raw!B581)</f>
        <v>2.8860818964976964E-3</v>
      </c>
      <c r="C580" s="6">
        <f>LN(Raw!C582/Raw!C581)</f>
        <v>2.7658556040591083E-2</v>
      </c>
      <c r="D580" s="6">
        <f>LN(Raw!D582/Raw!D581)</f>
        <v>-1.3205733156825663E-2</v>
      </c>
      <c r="X580" s="3">
        <v>44683</v>
      </c>
      <c r="Y580" cm="1">
        <f t="array" ref="Y580">SUMPRODUCT($T$2:$T$4,TRANSPOSE(B580:D580))</f>
        <v>7.0334915195284361E-3</v>
      </c>
      <c r="AD580" s="3">
        <v>44680</v>
      </c>
      <c r="AE580" s="4">
        <v>-1.2303867999540138E-2</v>
      </c>
      <c r="AF580">
        <f t="shared" si="9"/>
        <v>0</v>
      </c>
      <c r="AG580" s="13"/>
    </row>
    <row r="581" spans="1:33" x14ac:dyDescent="0.35">
      <c r="A581" s="3">
        <v>44685</v>
      </c>
      <c r="B581" s="6">
        <f>LN(Raw!B583/Raw!B582)</f>
        <v>-6.8384554505059574E-3</v>
      </c>
      <c r="C581" s="6">
        <f>LN(Raw!C583/Raw!C582)</f>
        <v>-7.2843912497533261E-2</v>
      </c>
      <c r="D581" s="6">
        <f>LN(Raw!D583/Raw!D582)</f>
        <v>-2.7827912492785618E-2</v>
      </c>
      <c r="X581" s="3">
        <v>44685</v>
      </c>
      <c r="Y581" cm="1">
        <f t="array" ref="Y581">SUMPRODUCT($T$2:$T$4,TRANSPOSE(B581:D581))</f>
        <v>-2.1049808849006688E-2</v>
      </c>
      <c r="AD581" s="3">
        <v>44683</v>
      </c>
      <c r="AE581" s="4">
        <v>7.0334915195284361E-3</v>
      </c>
      <c r="AF581">
        <f t="shared" si="9"/>
        <v>0</v>
      </c>
      <c r="AG581" s="13"/>
    </row>
    <row r="582" spans="1:33" x14ac:dyDescent="0.35">
      <c r="A582" s="3">
        <v>44686</v>
      </c>
      <c r="B582" s="6">
        <f>LN(Raw!B584/Raw!B583)</f>
        <v>1.1500944221500312E-2</v>
      </c>
      <c r="C582" s="6">
        <f>LN(Raw!C584/Raw!C583)</f>
        <v>3.125876537221698E-2</v>
      </c>
      <c r="D582" s="6">
        <f>LN(Raw!D584/Raw!D583)</f>
        <v>-1.3762707405524922E-2</v>
      </c>
      <c r="X582" s="3">
        <v>44686</v>
      </c>
      <c r="Y582" cm="1">
        <f t="array" ref="Y582">SUMPRODUCT($T$2:$T$4,TRANSPOSE(B582:D582))</f>
        <v>1.4193673863381055E-2</v>
      </c>
      <c r="AD582" s="3">
        <v>44685</v>
      </c>
      <c r="AE582" s="4">
        <v>-2.1049808849006688E-2</v>
      </c>
      <c r="AF582">
        <f t="shared" si="9"/>
        <v>0</v>
      </c>
      <c r="AG582" s="13"/>
    </row>
    <row r="583" spans="1:33" x14ac:dyDescent="0.35">
      <c r="A583" s="3">
        <v>44687</v>
      </c>
      <c r="B583" s="6">
        <f>LN(Raw!B585/Raw!B584)</f>
        <v>-6.6113977109259203E-3</v>
      </c>
      <c r="C583" s="6">
        <f>LN(Raw!C585/Raw!C584)</f>
        <v>-4.5018637412360708E-2</v>
      </c>
      <c r="D583" s="6">
        <f>LN(Raw!D585/Raw!D584)</f>
        <v>8.0142860308012615E-3</v>
      </c>
      <c r="X583" s="3">
        <v>44687</v>
      </c>
      <c r="Y583" cm="1">
        <f t="array" ref="Y583">SUMPRODUCT($T$2:$T$4,TRANSPOSE(B583:D583))</f>
        <v>-1.3552430409587786E-2</v>
      </c>
      <c r="AD583" s="3">
        <v>44686</v>
      </c>
      <c r="AE583" s="4">
        <v>1.4193673863381055E-2</v>
      </c>
      <c r="AF583">
        <f t="shared" si="9"/>
        <v>0</v>
      </c>
      <c r="AG583" s="13"/>
    </row>
    <row r="584" spans="1:33" x14ac:dyDescent="0.35">
      <c r="A584" s="3">
        <v>44690</v>
      </c>
      <c r="B584" s="6">
        <f>LN(Raw!B586/Raw!B585)</f>
        <v>-1.3395178239078957E-2</v>
      </c>
      <c r="C584" s="6">
        <f>LN(Raw!C586/Raw!C585)</f>
        <v>-3.6941271461403552E-2</v>
      </c>
      <c r="D584" s="6">
        <f>LN(Raw!D586/Raw!D585)</f>
        <v>-3.0619238275472849E-2</v>
      </c>
      <c r="X584" s="3">
        <v>44690</v>
      </c>
      <c r="Y584" cm="1">
        <f t="array" ref="Y584">SUMPRODUCT($T$2:$T$4,TRANSPOSE(B584:D584))</f>
        <v>-1.8946647566994643E-2</v>
      </c>
      <c r="AD584" s="3">
        <v>44687</v>
      </c>
      <c r="AE584" s="4">
        <v>-1.3552430409587786E-2</v>
      </c>
      <c r="AF584">
        <f t="shared" si="9"/>
        <v>0</v>
      </c>
      <c r="AG584" s="13"/>
    </row>
    <row r="585" spans="1:33" x14ac:dyDescent="0.35">
      <c r="A585" s="3">
        <v>44691</v>
      </c>
      <c r="B585" s="6">
        <f>LN(Raw!B587/Raw!B586)</f>
        <v>2.7642981133166526E-3</v>
      </c>
      <c r="C585" s="6">
        <f>LN(Raw!C587/Raw!C586)</f>
        <v>-1.8349183712717286E-2</v>
      </c>
      <c r="D585" s="6">
        <f>LN(Raw!D587/Raw!D586)</f>
        <v>-2.0790721410013081E-2</v>
      </c>
      <c r="X585" s="3">
        <v>44691</v>
      </c>
      <c r="Y585" cm="1">
        <f t="array" ref="Y585">SUMPRODUCT($T$2:$T$4,TRANSPOSE(B585:D585))</f>
        <v>-2.6150196190696854E-3</v>
      </c>
      <c r="AD585" s="3">
        <v>44690</v>
      </c>
      <c r="AE585" s="4">
        <v>-1.8946647566994643E-2</v>
      </c>
      <c r="AF585">
        <f t="shared" si="9"/>
        <v>0</v>
      </c>
      <c r="AG585" s="13"/>
    </row>
    <row r="586" spans="1:33" x14ac:dyDescent="0.35">
      <c r="A586" s="3">
        <v>44692</v>
      </c>
      <c r="B586" s="6">
        <f>LN(Raw!B588/Raw!B587)</f>
        <v>1.3008067200738745E-2</v>
      </c>
      <c r="C586" s="6">
        <f>LN(Raw!C588/Raw!C587)</f>
        <v>-1.8253511833218598E-2</v>
      </c>
      <c r="D586" s="6">
        <f>LN(Raw!D588/Raw!D587)</f>
        <v>-2.218654366431122E-2</v>
      </c>
      <c r="X586" s="3">
        <v>44692</v>
      </c>
      <c r="Y586" cm="1">
        <f t="array" ref="Y586">SUMPRODUCT($T$2:$T$4,TRANSPOSE(B586:D586))</f>
        <v>5.0274683679667051E-3</v>
      </c>
      <c r="AD586" s="3">
        <v>44691</v>
      </c>
      <c r="AE586" s="4">
        <v>-2.6150196190696854E-3</v>
      </c>
      <c r="AF586">
        <f t="shared" si="9"/>
        <v>0</v>
      </c>
      <c r="AG586" s="13"/>
    </row>
    <row r="587" spans="1:33" x14ac:dyDescent="0.35">
      <c r="A587" s="3">
        <v>44693</v>
      </c>
      <c r="B587" s="6">
        <f>LN(Raw!B589/Raw!B588)</f>
        <v>-2.7907341548563794E-2</v>
      </c>
      <c r="C587" s="6">
        <f>LN(Raw!C589/Raw!C588)</f>
        <v>-1.4579298076812925E-2</v>
      </c>
      <c r="D587" s="6">
        <f>LN(Raw!D589/Raw!D588)</f>
        <v>-2.2201647976933431E-2</v>
      </c>
      <c r="X587" s="3">
        <v>44693</v>
      </c>
      <c r="Y587" cm="1">
        <f t="array" ref="Y587">SUMPRODUCT($T$2:$T$4,TRANSPOSE(B587:D587))</f>
        <v>-2.4965113746393684E-2</v>
      </c>
      <c r="AD587" s="3">
        <v>44692</v>
      </c>
      <c r="AE587" s="4">
        <v>5.0274683679667051E-3</v>
      </c>
      <c r="AF587">
        <f t="shared" si="9"/>
        <v>0</v>
      </c>
      <c r="AG587" s="13"/>
    </row>
    <row r="588" spans="1:33" x14ac:dyDescent="0.35">
      <c r="A588" s="3">
        <v>44694</v>
      </c>
      <c r="B588" s="6">
        <f>LN(Raw!B590/Raw!B589)</f>
        <v>2.47493689826098E-2</v>
      </c>
      <c r="C588" s="6">
        <f>LN(Raw!C590/Raw!C589)</f>
        <v>1.5894296671503719E-2</v>
      </c>
      <c r="D588" s="6">
        <f>LN(Raw!D590/Raw!D589)</f>
        <v>1.5016029646020706E-2</v>
      </c>
      <c r="X588" s="3">
        <v>44694</v>
      </c>
      <c r="Y588" cm="1">
        <f t="array" ref="Y588">SUMPRODUCT($T$2:$T$4,TRANSPOSE(B588:D588))</f>
        <v>2.2500474886634231E-2</v>
      </c>
      <c r="AD588" s="3">
        <v>44693</v>
      </c>
      <c r="AE588" s="4">
        <v>-2.4965113746393684E-2</v>
      </c>
      <c r="AF588">
        <f t="shared" si="9"/>
        <v>0</v>
      </c>
      <c r="AG588" s="13"/>
    </row>
    <row r="589" spans="1:33" x14ac:dyDescent="0.35">
      <c r="A589" s="3">
        <v>44697</v>
      </c>
      <c r="B589" s="6">
        <f>LN(Raw!B591/Raw!B590)</f>
        <v>1.3536384643825916E-2</v>
      </c>
      <c r="C589" s="6">
        <f>LN(Raw!C591/Raw!C590)</f>
        <v>6.9838526701244625E-3</v>
      </c>
      <c r="D589" s="6">
        <f>LN(Raw!D591/Raw!D590)</f>
        <v>2.8805371433227749E-3</v>
      </c>
      <c r="X589" s="3">
        <v>44697</v>
      </c>
      <c r="Y589" cm="1">
        <f t="array" ref="Y589">SUMPRODUCT($T$2:$T$4,TRANSPOSE(B589:D589))</f>
        <v>1.1701349188803205E-2</v>
      </c>
      <c r="AD589" s="3">
        <v>44694</v>
      </c>
      <c r="AE589" s="4">
        <v>2.2500474886634231E-2</v>
      </c>
      <c r="AF589">
        <f t="shared" si="9"/>
        <v>0</v>
      </c>
      <c r="AG589" s="13"/>
    </row>
    <row r="590" spans="1:33" x14ac:dyDescent="0.35">
      <c r="A590" s="3">
        <v>44698</v>
      </c>
      <c r="B590" s="6">
        <f>LN(Raw!B592/Raw!B591)</f>
        <v>1.0348151277851389E-2</v>
      </c>
      <c r="C590" s="6">
        <f>LN(Raw!C592/Raw!C591)</f>
        <v>1.1245816143981619E-2</v>
      </c>
      <c r="D590" s="6">
        <f>LN(Raw!D592/Raw!D591)</f>
        <v>1.4279149185472418E-2</v>
      </c>
      <c r="X590" s="3">
        <v>44698</v>
      </c>
      <c r="Y590" cm="1">
        <f t="array" ref="Y590">SUMPRODUCT($T$2:$T$4,TRANSPOSE(B590:D590))</f>
        <v>1.0721841967197143E-2</v>
      </c>
      <c r="AD590" s="3">
        <v>44697</v>
      </c>
      <c r="AE590" s="4">
        <v>1.1701349188803205E-2</v>
      </c>
      <c r="AF590">
        <f t="shared" si="9"/>
        <v>0</v>
      </c>
      <c r="AG590" s="13"/>
    </row>
    <row r="591" spans="1:33" x14ac:dyDescent="0.35">
      <c r="A591" s="3">
        <v>44699</v>
      </c>
      <c r="B591" s="6">
        <f>LN(Raw!B593/Raw!B592)</f>
        <v>-2.002602435644936E-2</v>
      </c>
      <c r="C591" s="6">
        <f>LN(Raw!C593/Raw!C592)</f>
        <v>-4.3103995967337314E-3</v>
      </c>
      <c r="D591" s="6">
        <f>LN(Raw!D593/Raw!D592)</f>
        <v>-1.4758662863262877E-2</v>
      </c>
      <c r="X591" s="3">
        <v>44699</v>
      </c>
      <c r="Y591" cm="1">
        <f t="array" ref="Y591">SUMPRODUCT($T$2:$T$4,TRANSPOSE(B591:D591))</f>
        <v>-1.6629004688126222E-2</v>
      </c>
      <c r="AD591" s="3">
        <v>44698</v>
      </c>
      <c r="AE591" s="4">
        <v>1.0721841967197143E-2</v>
      </c>
      <c r="AF591">
        <f t="shared" si="9"/>
        <v>0</v>
      </c>
      <c r="AG591" s="13"/>
    </row>
    <row r="592" spans="1:33" x14ac:dyDescent="0.35">
      <c r="A592" s="3">
        <v>44700</v>
      </c>
      <c r="B592" s="6">
        <f>LN(Raw!B594/Raw!B593)</f>
        <v>-2.7127970959787067E-2</v>
      </c>
      <c r="C592" s="6">
        <f>LN(Raw!C594/Raw!C593)</f>
        <v>-3.0704062818383657E-2</v>
      </c>
      <c r="D592" s="6">
        <f>LN(Raw!D594/Raw!D593)</f>
        <v>-1.5466734006797007E-2</v>
      </c>
      <c r="X592" s="3">
        <v>44700</v>
      </c>
      <c r="Y592" cm="1">
        <f t="array" ref="Y592">SUMPRODUCT($T$2:$T$4,TRANSPOSE(B592:D592))</f>
        <v>-2.7264528660040012E-2</v>
      </c>
      <c r="AD592" s="3">
        <v>44699</v>
      </c>
      <c r="AE592" s="4">
        <v>-1.6629004688126222E-2</v>
      </c>
      <c r="AF592">
        <f t="shared" si="9"/>
        <v>0</v>
      </c>
      <c r="AG592" s="13"/>
    </row>
    <row r="593" spans="1:33" x14ac:dyDescent="0.35">
      <c r="A593" s="3">
        <v>44701</v>
      </c>
      <c r="B593" s="6">
        <f>LN(Raw!B595/Raw!B594)</f>
        <v>5.1964698946881062E-4</v>
      </c>
      <c r="C593" s="6">
        <f>LN(Raw!C595/Raw!C594)</f>
        <v>1.546979500632034E-2</v>
      </c>
      <c r="D593" s="6">
        <f>LN(Raw!D595/Raw!D594)</f>
        <v>1.3546452565305787E-2</v>
      </c>
      <c r="X593" s="3">
        <v>44701</v>
      </c>
      <c r="Y593" cm="1">
        <f t="array" ref="Y593">SUMPRODUCT($T$2:$T$4,TRANSPOSE(B593:D593))</f>
        <v>4.1479174863203331E-3</v>
      </c>
      <c r="AD593" s="3">
        <v>44700</v>
      </c>
      <c r="AE593" s="4">
        <v>-2.7264528660040012E-2</v>
      </c>
      <c r="AF593">
        <f t="shared" si="9"/>
        <v>0</v>
      </c>
      <c r="AG593" s="13"/>
    </row>
    <row r="594" spans="1:33" x14ac:dyDescent="0.35">
      <c r="A594" s="3">
        <v>44704</v>
      </c>
      <c r="B594" s="6">
        <f>LN(Raw!B596/Raw!B595)</f>
        <v>-2.48755437674812E-2</v>
      </c>
      <c r="C594" s="6">
        <f>LN(Raw!C596/Raw!C595)</f>
        <v>-4.8361870967730041E-3</v>
      </c>
      <c r="D594" s="6">
        <f>LN(Raw!D596/Raw!D595)</f>
        <v>8.1360204949685374E-3</v>
      </c>
      <c r="X594" s="3">
        <v>44704</v>
      </c>
      <c r="Y594" cm="1">
        <f t="array" ref="Y594">SUMPRODUCT($T$2:$T$4,TRANSPOSE(B594:D594))</f>
        <v>-1.9242581521838855E-2</v>
      </c>
      <c r="AD594" s="3">
        <v>44701</v>
      </c>
      <c r="AE594" s="4">
        <v>4.1479174863203331E-3</v>
      </c>
      <c r="AF594">
        <f t="shared" si="9"/>
        <v>0</v>
      </c>
      <c r="AG594" s="13"/>
    </row>
    <row r="595" spans="1:33" x14ac:dyDescent="0.35">
      <c r="A595" s="3">
        <v>44705</v>
      </c>
      <c r="B595" s="6">
        <f>LN(Raw!B597/Raw!B596)</f>
        <v>-7.1927928616271055E-3</v>
      </c>
      <c r="C595" s="6">
        <f>LN(Raw!C597/Raw!C596)</f>
        <v>-8.8178440670078669E-4</v>
      </c>
      <c r="D595" s="6">
        <f>LN(Raw!D597/Raw!D596)</f>
        <v>-4.5839427528860985E-2</v>
      </c>
      <c r="X595" s="3">
        <v>44705</v>
      </c>
      <c r="Y595" cm="1">
        <f t="array" ref="Y595">SUMPRODUCT($T$2:$T$4,TRANSPOSE(B595:D595))</f>
        <v>-7.8459430664587285E-3</v>
      </c>
      <c r="AD595" s="3">
        <v>44704</v>
      </c>
      <c r="AE595" s="4">
        <v>-1.9242581521838855E-2</v>
      </c>
      <c r="AF595">
        <f t="shared" si="9"/>
        <v>0</v>
      </c>
      <c r="AG595" s="13"/>
    </row>
    <row r="596" spans="1:33" x14ac:dyDescent="0.35">
      <c r="A596" s="3">
        <v>44706</v>
      </c>
      <c r="B596" s="6">
        <f>LN(Raw!B598/Raw!B597)</f>
        <v>3.0428973287373914E-2</v>
      </c>
      <c r="C596" s="6">
        <f>LN(Raw!C598/Raw!C597)</f>
        <v>-2.8183475256870278E-2</v>
      </c>
      <c r="D596" s="6">
        <f>LN(Raw!D598/Raw!D597)</f>
        <v>-3.5037796240892136E-2</v>
      </c>
      <c r="X596" s="3">
        <v>44706</v>
      </c>
      <c r="Y596" cm="1">
        <f t="array" ref="Y596">SUMPRODUCT($T$2:$T$4,TRANSPOSE(B596:D596))</f>
        <v>1.5491841107626629E-2</v>
      </c>
      <c r="AD596" s="3">
        <v>44705</v>
      </c>
      <c r="AE596" s="4">
        <v>-7.8459430664587285E-3</v>
      </c>
      <c r="AF596">
        <f t="shared" si="9"/>
        <v>0</v>
      </c>
      <c r="AG596" s="13"/>
    </row>
    <row r="597" spans="1:33" x14ac:dyDescent="0.35">
      <c r="A597" s="3">
        <v>44707</v>
      </c>
      <c r="B597" s="6">
        <f>LN(Raw!B599/Raw!B598)</f>
        <v>1.449959954273574E-2</v>
      </c>
      <c r="C597" s="6">
        <f>LN(Raw!C599/Raw!C598)</f>
        <v>3.1706180312509991E-2</v>
      </c>
      <c r="D597" s="6">
        <f>LN(Raw!D599/Raw!D598)</f>
        <v>2.3494400433066578E-2</v>
      </c>
      <c r="X597" s="3">
        <v>44707</v>
      </c>
      <c r="Y597" cm="1">
        <f t="array" ref="Y597">SUMPRODUCT($T$2:$T$4,TRANSPOSE(B597:D597))</f>
        <v>1.8378637542226316E-2</v>
      </c>
      <c r="AD597" s="3">
        <v>44706</v>
      </c>
      <c r="AE597" s="4">
        <v>1.5491841107626629E-2</v>
      </c>
      <c r="AF597">
        <f t="shared" si="9"/>
        <v>0</v>
      </c>
      <c r="AG597" s="13"/>
    </row>
    <row r="598" spans="1:33" x14ac:dyDescent="0.35">
      <c r="A598" s="3">
        <v>44708</v>
      </c>
      <c r="B598" s="6">
        <f>LN(Raw!B600/Raw!B599)</f>
        <v>-6.0125110476390489E-3</v>
      </c>
      <c r="C598" s="6">
        <f>LN(Raw!C600/Raw!C599)</f>
        <v>1.2232541535305046E-2</v>
      </c>
      <c r="D598" s="6">
        <f>LN(Raw!D600/Raw!D599)</f>
        <v>-1.3723165773240641E-2</v>
      </c>
      <c r="X598" s="3">
        <v>44708</v>
      </c>
      <c r="Y598" cm="1">
        <f t="array" ref="Y598">SUMPRODUCT($T$2:$T$4,TRANSPOSE(B598:D598))</f>
        <v>-2.7529818587608539E-3</v>
      </c>
      <c r="AD598" s="3">
        <v>44707</v>
      </c>
      <c r="AE598" s="4">
        <v>1.8378637542226316E-2</v>
      </c>
      <c r="AF598">
        <f t="shared" si="9"/>
        <v>0</v>
      </c>
      <c r="AG598" s="13"/>
    </row>
    <row r="599" spans="1:33" x14ac:dyDescent="0.35">
      <c r="A599" s="3">
        <v>44711</v>
      </c>
      <c r="B599" s="6">
        <f>LN(Raw!B601/Raw!B600)</f>
        <v>2.3604376949572577E-2</v>
      </c>
      <c r="C599" s="6">
        <f>LN(Raw!C601/Raw!C600)</f>
        <v>4.0839285631828391E-2</v>
      </c>
      <c r="D599" s="6">
        <f>LN(Raw!D601/Raw!D600)</f>
        <v>1.8255994514452898E-2</v>
      </c>
      <c r="X599" s="3">
        <v>44711</v>
      </c>
      <c r="Y599" cm="1">
        <f t="array" ref="Y599">SUMPRODUCT($T$2:$T$4,TRANSPOSE(B599:D599))</f>
        <v>2.6779222512257148E-2</v>
      </c>
      <c r="AD599" s="3">
        <v>44708</v>
      </c>
      <c r="AE599" s="4">
        <v>-2.7529818587608539E-3</v>
      </c>
      <c r="AF599">
        <f t="shared" si="9"/>
        <v>0</v>
      </c>
      <c r="AG599" s="13"/>
    </row>
    <row r="600" spans="1:33" x14ac:dyDescent="0.35">
      <c r="A600" s="3">
        <v>44712</v>
      </c>
      <c r="B600" s="6">
        <f>LN(Raw!B602/Raw!B601)</f>
        <v>-1.9131075843909814E-2</v>
      </c>
      <c r="C600" s="6">
        <f>LN(Raw!C602/Raw!C601)</f>
        <v>-3.7584759741119806E-3</v>
      </c>
      <c r="D600" s="6">
        <f>LN(Raw!D602/Raw!D601)</f>
        <v>1.8422232062506386E-2</v>
      </c>
      <c r="X600" s="3">
        <v>44712</v>
      </c>
      <c r="Y600" cm="1">
        <f t="array" ref="Y600">SUMPRODUCT($T$2:$T$4,TRANSPOSE(B600:D600))</f>
        <v>-1.4204677996261683E-2</v>
      </c>
      <c r="AD600" s="3">
        <v>44711</v>
      </c>
      <c r="AE600" s="4">
        <v>2.6779222512257148E-2</v>
      </c>
      <c r="AF600">
        <f t="shared" si="9"/>
        <v>0</v>
      </c>
      <c r="AG600" s="13"/>
    </row>
    <row r="601" spans="1:33" x14ac:dyDescent="0.35">
      <c r="A601" s="3">
        <v>44713</v>
      </c>
      <c r="B601" s="6">
        <f>LN(Raw!B603/Raw!B602)</f>
        <v>-1.0482421379529386E-2</v>
      </c>
      <c r="C601" s="6">
        <f>LN(Raw!C603/Raw!C602)</f>
        <v>3.8979171106295341E-2</v>
      </c>
      <c r="D601" s="6">
        <f>LN(Raw!D603/Raw!D602)</f>
        <v>2.2440004971980725E-2</v>
      </c>
      <c r="X601" s="3">
        <v>44713</v>
      </c>
      <c r="Y601" cm="1">
        <f t="array" ref="Y601">SUMPRODUCT($T$2:$T$4,TRANSPOSE(B601:D601))</f>
        <v>1.0178686801759209E-3</v>
      </c>
      <c r="AD601" s="3">
        <v>44712</v>
      </c>
      <c r="AE601" s="4">
        <v>-1.4204677996261683E-2</v>
      </c>
      <c r="AF601">
        <f t="shared" si="9"/>
        <v>0</v>
      </c>
      <c r="AG601" s="13"/>
    </row>
    <row r="602" spans="1:33" x14ac:dyDescent="0.35">
      <c r="A602" s="3">
        <v>44714</v>
      </c>
      <c r="B602" s="6">
        <f>LN(Raw!B604/Raw!B603)</f>
        <v>-1.3461999996018829E-2</v>
      </c>
      <c r="C602" s="6">
        <f>LN(Raw!C604/Raw!C603)</f>
        <v>-2.898748680958518E-2</v>
      </c>
      <c r="D602" s="6">
        <f>LN(Raw!D604/Raw!D603)</f>
        <v>-1.1645034604043477E-2</v>
      </c>
      <c r="X602" s="3">
        <v>44714</v>
      </c>
      <c r="Y602" cm="1">
        <f t="array" ref="Y602">SUMPRODUCT($T$2:$T$4,TRANSPOSE(B602:D602))</f>
        <v>-1.6470469803411162E-2</v>
      </c>
      <c r="AD602" s="3">
        <v>44713</v>
      </c>
      <c r="AE602" s="4">
        <v>1.0178686801759209E-3</v>
      </c>
      <c r="AF602">
        <f t="shared" si="9"/>
        <v>0</v>
      </c>
      <c r="AG602" s="13"/>
    </row>
    <row r="603" spans="1:33" x14ac:dyDescent="0.35">
      <c r="A603" s="3">
        <v>44715</v>
      </c>
      <c r="B603" s="6">
        <f>LN(Raw!B605/Raw!B604)</f>
        <v>-1.4342896757275547E-2</v>
      </c>
      <c r="C603" s="6">
        <f>LN(Raw!C605/Raw!C604)</f>
        <v>-5.3997810612021286E-3</v>
      </c>
      <c r="D603" s="6">
        <f>LN(Raw!D605/Raw!D604)</f>
        <v>-2.2206635363830326E-2</v>
      </c>
      <c r="X603" s="3">
        <v>44715</v>
      </c>
      <c r="Y603" cm="1">
        <f t="array" ref="Y603">SUMPRODUCT($T$2:$T$4,TRANSPOSE(B603:D603))</f>
        <v>-1.2947313405880177E-2</v>
      </c>
      <c r="AD603" s="3">
        <v>44714</v>
      </c>
      <c r="AE603" s="4">
        <v>-1.6470469803411162E-2</v>
      </c>
      <c r="AF603">
        <f t="shared" si="9"/>
        <v>0</v>
      </c>
      <c r="AG603" s="13"/>
    </row>
    <row r="604" spans="1:33" x14ac:dyDescent="0.35">
      <c r="A604" s="3">
        <v>44718</v>
      </c>
      <c r="B604" s="6">
        <f>LN(Raw!B606/Raw!B605)</f>
        <v>-1.4426973098855572E-2</v>
      </c>
      <c r="C604" s="6">
        <f>LN(Raw!C606/Raw!C605)</f>
        <v>1.0770561016430522E-2</v>
      </c>
      <c r="D604" s="6">
        <f>LN(Raw!D606/Raw!D605)</f>
        <v>-2.4754989422373717E-2</v>
      </c>
      <c r="X604" s="3">
        <v>44718</v>
      </c>
      <c r="Y604" cm="1">
        <f t="array" ref="Y604">SUMPRODUCT($T$2:$T$4,TRANSPOSE(B604:D604))</f>
        <v>-9.9094838949546141E-3</v>
      </c>
      <c r="AD604" s="3">
        <v>44715</v>
      </c>
      <c r="AE604" s="4">
        <v>-1.2947313405880177E-2</v>
      </c>
      <c r="AF604">
        <f t="shared" si="9"/>
        <v>0</v>
      </c>
      <c r="AG604" s="13"/>
    </row>
    <row r="605" spans="1:33" x14ac:dyDescent="0.35">
      <c r="A605" s="3">
        <v>44719</v>
      </c>
      <c r="B605" s="6">
        <f>LN(Raw!B607/Raw!B606)</f>
        <v>-4.1920544509963527E-2</v>
      </c>
      <c r="C605" s="6">
        <f>LN(Raw!C607/Raw!C606)</f>
        <v>2.2416846289899608E-2</v>
      </c>
      <c r="D605" s="6">
        <f>LN(Raw!D607/Raw!D606)</f>
        <v>-9.766212764038943E-3</v>
      </c>
      <c r="X605" s="3">
        <v>44719</v>
      </c>
      <c r="Y605" cm="1">
        <f t="array" ref="Y605">SUMPRODUCT($T$2:$T$4,TRANSPOSE(B605:D605))</f>
        <v>-2.7489532624568064E-2</v>
      </c>
      <c r="AD605" s="3">
        <v>44718</v>
      </c>
      <c r="AE605" s="4">
        <v>-9.9094838949546141E-3</v>
      </c>
      <c r="AF605">
        <f t="shared" si="9"/>
        <v>0</v>
      </c>
      <c r="AG605" s="13"/>
    </row>
    <row r="606" spans="1:33" x14ac:dyDescent="0.35">
      <c r="A606" s="3">
        <v>44720</v>
      </c>
      <c r="B606" s="6">
        <f>LN(Raw!B608/Raw!B607)</f>
        <v>-3.8823235808770243E-2</v>
      </c>
      <c r="C606" s="6">
        <f>LN(Raw!C608/Raw!C607)</f>
        <v>-2.3677157725771506E-2</v>
      </c>
      <c r="D606" s="6">
        <f>LN(Raw!D608/Raw!D607)</f>
        <v>-6.7375322623713504E-3</v>
      </c>
      <c r="X606" s="3">
        <v>44720</v>
      </c>
      <c r="Y606" cm="1">
        <f t="array" ref="Y606">SUMPRODUCT($T$2:$T$4,TRANSPOSE(B606:D606))</f>
        <v>-3.421263665013792E-2</v>
      </c>
      <c r="AD606" s="3">
        <v>44719</v>
      </c>
      <c r="AE606" s="4">
        <v>-2.7489532624568064E-2</v>
      </c>
      <c r="AF606">
        <f t="shared" si="9"/>
        <v>0</v>
      </c>
      <c r="AG606" s="13"/>
    </row>
    <row r="607" spans="1:33" x14ac:dyDescent="0.35">
      <c r="A607" s="3">
        <v>44721</v>
      </c>
      <c r="B607" s="6">
        <f>LN(Raw!B609/Raw!B608)</f>
        <v>1.5764090989903449E-2</v>
      </c>
      <c r="C607" s="6">
        <f>LN(Raw!C609/Raw!C608)</f>
        <v>2.9381668665273246E-3</v>
      </c>
      <c r="D607" s="6">
        <f>LN(Raw!D609/Raw!D608)</f>
        <v>-6.2597979952860767E-3</v>
      </c>
      <c r="X607" s="3">
        <v>44721</v>
      </c>
      <c r="Y607" cm="1">
        <f t="array" ref="Y607">SUMPRODUCT($T$2:$T$4,TRANSPOSE(B607:D607))</f>
        <v>1.2114481019202329E-2</v>
      </c>
      <c r="AD607" s="3">
        <v>44720</v>
      </c>
      <c r="AE607" s="4">
        <v>-3.421263665013792E-2</v>
      </c>
      <c r="AF607">
        <f t="shared" si="9"/>
        <v>0</v>
      </c>
      <c r="AG607" s="13"/>
    </row>
    <row r="608" spans="1:33" x14ac:dyDescent="0.35">
      <c r="A608" s="3">
        <v>44722</v>
      </c>
      <c r="B608" s="6">
        <f>LN(Raw!B610/Raw!B609)</f>
        <v>-3.7838814500336573E-3</v>
      </c>
      <c r="C608" s="6">
        <f>LN(Raw!C610/Raw!C609)</f>
        <v>-1.0533012188245035E-2</v>
      </c>
      <c r="D608" s="6">
        <f>LN(Raw!D610/Raw!D609)</f>
        <v>-1.9017911261533089E-2</v>
      </c>
      <c r="X608" s="3">
        <v>44722</v>
      </c>
      <c r="Y608" cm="1">
        <f t="array" ref="Y608">SUMPRODUCT($T$2:$T$4,TRANSPOSE(B608:D608))</f>
        <v>-5.8847263396274337E-3</v>
      </c>
      <c r="AD608" s="3">
        <v>44721</v>
      </c>
      <c r="AE608" s="4">
        <v>1.2114481019202329E-2</v>
      </c>
      <c r="AF608">
        <f t="shared" si="9"/>
        <v>0</v>
      </c>
      <c r="AG608" s="13"/>
    </row>
    <row r="609" spans="1:33" x14ac:dyDescent="0.35">
      <c r="A609" s="3">
        <v>44725</v>
      </c>
      <c r="B609" s="6">
        <f>LN(Raw!B611/Raw!B610)</f>
        <v>-6.3539288577749899E-3</v>
      </c>
      <c r="C609" s="6">
        <f>LN(Raw!C611/Raw!C610)</f>
        <v>-5.3056004799336601E-2</v>
      </c>
      <c r="D609" s="6">
        <f>LN(Raw!D611/Raw!D610)</f>
        <v>-4.0822099841555916E-2</v>
      </c>
      <c r="X609" s="3">
        <v>44725</v>
      </c>
      <c r="Y609" cm="1">
        <f t="array" ref="Y609">SUMPRODUCT($T$2:$T$4,TRANSPOSE(B609:D609))</f>
        <v>-1.7380006401172432E-2</v>
      </c>
      <c r="AD609" s="3">
        <v>44722</v>
      </c>
      <c r="AE609" s="4">
        <v>-5.8847263396274337E-3</v>
      </c>
      <c r="AF609">
        <f t="shared" si="9"/>
        <v>0</v>
      </c>
      <c r="AG609" s="13"/>
    </row>
    <row r="610" spans="1:33" x14ac:dyDescent="0.35">
      <c r="A610" s="3">
        <v>44726</v>
      </c>
      <c r="B610" s="6">
        <f>LN(Raw!B612/Raw!B611)</f>
        <v>2.8191183597926616E-2</v>
      </c>
      <c r="C610" s="6">
        <f>LN(Raw!C612/Raw!C611)</f>
        <v>1.4631186941512728E-2</v>
      </c>
      <c r="D610" s="6">
        <f>LN(Raw!D612/Raw!D611)</f>
        <v>-8.3682009926030667E-3</v>
      </c>
      <c r="X610" s="3">
        <v>44726</v>
      </c>
      <c r="Y610" cm="1">
        <f t="array" ref="Y610">SUMPRODUCT($T$2:$T$4,TRANSPOSE(B610:D610))</f>
        <v>2.3675712806410204E-2</v>
      </c>
      <c r="AD610" s="3">
        <v>44725</v>
      </c>
      <c r="AE610" s="4">
        <v>-1.7380006401172432E-2</v>
      </c>
      <c r="AF610">
        <f t="shared" si="9"/>
        <v>0</v>
      </c>
      <c r="AG610" s="13"/>
    </row>
    <row r="611" spans="1:33" x14ac:dyDescent="0.35">
      <c r="A611" s="3">
        <v>44727</v>
      </c>
      <c r="B611" s="6">
        <f>LN(Raw!B613/Raw!B612)</f>
        <v>4.310695429703193E-3</v>
      </c>
      <c r="C611" s="6">
        <f>LN(Raw!C613/Raw!C612)</f>
        <v>-1.2400607263003988E-2</v>
      </c>
      <c r="D611" s="6">
        <f>LN(Raw!D613/Raw!D612)</f>
        <v>0</v>
      </c>
      <c r="X611" s="3">
        <v>44727</v>
      </c>
      <c r="Y611" cm="1">
        <f t="array" ref="Y611">SUMPRODUCT($T$2:$T$4,TRANSPOSE(B611:D611))</f>
        <v>7.6231586004828818E-4</v>
      </c>
      <c r="AD611" s="3">
        <v>44726</v>
      </c>
      <c r="AE611" s="4">
        <v>2.3675712806410204E-2</v>
      </c>
      <c r="AF611">
        <f t="shared" si="9"/>
        <v>0</v>
      </c>
      <c r="AG611" s="13"/>
    </row>
    <row r="612" spans="1:33" x14ac:dyDescent="0.35">
      <c r="A612" s="3">
        <v>44728</v>
      </c>
      <c r="B612" s="6">
        <f>LN(Raw!B614/Raw!B613)</f>
        <v>-1.6560270408734791E-2</v>
      </c>
      <c r="C612" s="6">
        <f>LN(Raw!C614/Raw!C613)</f>
        <v>3.2013383083532722E-2</v>
      </c>
      <c r="D612" s="6">
        <f>LN(Raw!D614/Raw!D613)</f>
        <v>-3.8839933213334732E-2</v>
      </c>
      <c r="X612" s="3">
        <v>44728</v>
      </c>
      <c r="Y612" cm="1">
        <f t="array" ref="Y612">SUMPRODUCT($T$2:$T$4,TRANSPOSE(B612:D612))</f>
        <v>-7.9691419977726101E-3</v>
      </c>
      <c r="AD612" s="3">
        <v>44727</v>
      </c>
      <c r="AE612" s="4">
        <v>7.6231586004828818E-4</v>
      </c>
      <c r="AF612">
        <f t="shared" si="9"/>
        <v>0</v>
      </c>
      <c r="AG612" s="13"/>
    </row>
    <row r="613" spans="1:33" x14ac:dyDescent="0.35">
      <c r="A613" s="3">
        <v>44729</v>
      </c>
      <c r="B613" s="6">
        <f>LN(Raw!B615/Raw!B614)</f>
        <v>-1.6614849261096108E-2</v>
      </c>
      <c r="C613" s="6">
        <f>LN(Raw!C615/Raw!C614)</f>
        <v>-4.7280806259865409E-2</v>
      </c>
      <c r="D613" s="6">
        <f>LN(Raw!D615/Raw!D614)</f>
        <v>-1.7487148219300583E-3</v>
      </c>
      <c r="X613" s="3">
        <v>44729</v>
      </c>
      <c r="Y613" cm="1">
        <f t="array" ref="Y613">SUMPRODUCT($T$2:$T$4,TRANSPOSE(B613:D613))</f>
        <v>-2.1999068946800451E-2</v>
      </c>
      <c r="AD613" s="3">
        <v>44728</v>
      </c>
      <c r="AE613" s="4">
        <v>-7.9691419977726101E-3</v>
      </c>
      <c r="AF613">
        <f t="shared" si="9"/>
        <v>0</v>
      </c>
      <c r="AG613" s="13"/>
    </row>
    <row r="614" spans="1:33" x14ac:dyDescent="0.35">
      <c r="A614" s="3">
        <v>44732</v>
      </c>
      <c r="B614" s="6">
        <f>LN(Raw!B616/Raw!B615)</f>
        <v>1.1743622460467661E-2</v>
      </c>
      <c r="C614" s="6">
        <f>LN(Raw!C616/Raw!C615)</f>
        <v>1.2590189241180116E-2</v>
      </c>
      <c r="D614" s="6">
        <f>LN(Raw!D616/Raw!D615)</f>
        <v>-5.455361592071846E-2</v>
      </c>
      <c r="X614" s="3">
        <v>44732</v>
      </c>
      <c r="Y614" cm="1">
        <f t="array" ref="Y614">SUMPRODUCT($T$2:$T$4,TRANSPOSE(B614:D614))</f>
        <v>8.6315125184395144E-3</v>
      </c>
      <c r="AD614" s="3">
        <v>44729</v>
      </c>
      <c r="AE614" s="4">
        <v>-2.1999068946800451E-2</v>
      </c>
      <c r="AF614">
        <f t="shared" si="9"/>
        <v>0</v>
      </c>
      <c r="AG614" s="13"/>
    </row>
    <row r="615" spans="1:33" x14ac:dyDescent="0.35">
      <c r="A615" s="3">
        <v>44733</v>
      </c>
      <c r="B615" s="6">
        <f>LN(Raw!B617/Raw!B616)</f>
        <v>1.2922731831679716E-2</v>
      </c>
      <c r="C615" s="6">
        <f>LN(Raw!C617/Raw!C616)</f>
        <v>2.0345567876193071E-2</v>
      </c>
      <c r="D615" s="6">
        <f>LN(Raw!D617/Raw!D616)</f>
        <v>1.6499135832276527E-2</v>
      </c>
      <c r="X615" s="3">
        <v>44733</v>
      </c>
      <c r="Y615" cm="1">
        <f t="array" ref="Y615">SUMPRODUCT($T$2:$T$4,TRANSPOSE(B615:D615))</f>
        <v>1.4581089551718742E-2</v>
      </c>
      <c r="AD615" s="3">
        <v>44732</v>
      </c>
      <c r="AE615" s="4">
        <v>8.6315125184395144E-3</v>
      </c>
      <c r="AF615">
        <f t="shared" si="9"/>
        <v>0</v>
      </c>
      <c r="AG615" s="13"/>
    </row>
    <row r="616" spans="1:33" x14ac:dyDescent="0.35">
      <c r="A616" s="3">
        <v>44734</v>
      </c>
      <c r="B616" s="6">
        <f>LN(Raw!B618/Raw!B617)</f>
        <v>-5.3165404483205368E-3</v>
      </c>
      <c r="C616" s="6">
        <f>LN(Raw!C618/Raw!C617)</f>
        <v>-1.9898913619549364E-2</v>
      </c>
      <c r="D616" s="6">
        <f>LN(Raw!D618/Raw!D617)</f>
        <v>-2.7651564439160975E-2</v>
      </c>
      <c r="X616" s="3">
        <v>44734</v>
      </c>
      <c r="Y616" cm="1">
        <f t="array" ref="Y616">SUMPRODUCT($T$2:$T$4,TRANSPOSE(B616:D616))</f>
        <v>-9.3320795256760167E-3</v>
      </c>
      <c r="AD616" s="3">
        <v>44733</v>
      </c>
      <c r="AE616" s="4">
        <v>1.4581089551718742E-2</v>
      </c>
      <c r="AF616">
        <f t="shared" si="9"/>
        <v>0</v>
      </c>
      <c r="AG616" s="13"/>
    </row>
    <row r="617" spans="1:33" x14ac:dyDescent="0.35">
      <c r="A617" s="3">
        <v>44735</v>
      </c>
      <c r="B617" s="6">
        <f>LN(Raw!B619/Raw!B618)</f>
        <v>-8.5834695227780897E-3</v>
      </c>
      <c r="C617" s="6">
        <f>LN(Raw!C619/Raw!C618)</f>
        <v>3.0352059809238708E-2</v>
      </c>
      <c r="D617" s="6">
        <f>LN(Raw!D619/Raw!D618)</f>
        <v>1.245362269170565E-3</v>
      </c>
      <c r="X617" s="3">
        <v>44735</v>
      </c>
      <c r="Y617" cm="1">
        <f t="array" ref="Y617">SUMPRODUCT($T$2:$T$4,TRANSPOSE(B617:D617))</f>
        <v>-3.2675030252391998E-4</v>
      </c>
      <c r="AD617" s="3">
        <v>44734</v>
      </c>
      <c r="AE617" s="4">
        <v>-9.3320795256760167E-3</v>
      </c>
      <c r="AF617">
        <f t="shared" si="9"/>
        <v>0</v>
      </c>
      <c r="AG617" s="13"/>
    </row>
    <row r="618" spans="1:33" x14ac:dyDescent="0.35">
      <c r="A618" s="3">
        <v>44736</v>
      </c>
      <c r="B618" s="6">
        <f>LN(Raw!B620/Raw!B619)</f>
        <v>-4.3640315468803977E-3</v>
      </c>
      <c r="C618" s="6">
        <f>LN(Raw!C620/Raw!C619)</f>
        <v>4.3234031003328965E-3</v>
      </c>
      <c r="D618" s="6">
        <f>LN(Raw!D620/Raw!D619)</f>
        <v>1.1138722674075898E-2</v>
      </c>
      <c r="X618" s="3">
        <v>44736</v>
      </c>
      <c r="Y618" cm="1">
        <f t="array" ref="Y618">SUMPRODUCT($T$2:$T$4,TRANSPOSE(B618:D618))</f>
        <v>-1.863063780419223E-3</v>
      </c>
      <c r="AD618" s="3">
        <v>44735</v>
      </c>
      <c r="AE618" s="4">
        <v>-3.2675030252391998E-4</v>
      </c>
      <c r="AF618">
        <f t="shared" si="9"/>
        <v>0</v>
      </c>
      <c r="AG618" s="13"/>
    </row>
    <row r="619" spans="1:33" x14ac:dyDescent="0.35">
      <c r="A619" s="3">
        <v>44739</v>
      </c>
      <c r="B619" s="6">
        <f>LN(Raw!B621/Raw!B620)</f>
        <v>1.1492787928177489E-2</v>
      </c>
      <c r="C619" s="6">
        <f>LN(Raw!C621/Raw!C620)</f>
        <v>-1.9164453109062243E-2</v>
      </c>
      <c r="D619" s="6">
        <f>LN(Raw!D621/Raw!D620)</f>
        <v>8.5784148763238376E-3</v>
      </c>
      <c r="X619" s="3">
        <v>44739</v>
      </c>
      <c r="Y619" cm="1">
        <f t="array" ref="Y619">SUMPRODUCT($T$2:$T$4,TRANSPOSE(B619:D619))</f>
        <v>5.2303481770009305E-3</v>
      </c>
      <c r="AD619" s="3">
        <v>44736</v>
      </c>
      <c r="AE619" s="4">
        <v>-1.863063780419223E-3</v>
      </c>
      <c r="AF619">
        <f t="shared" si="9"/>
        <v>0</v>
      </c>
      <c r="AG619" s="13"/>
    </row>
    <row r="620" spans="1:33" x14ac:dyDescent="0.35">
      <c r="A620" s="3">
        <v>44740</v>
      </c>
      <c r="B620" s="6">
        <f>LN(Raw!B622/Raw!B621)</f>
        <v>-1.3369029389806185E-2</v>
      </c>
      <c r="C620" s="6">
        <f>LN(Raw!C622/Raw!C621)</f>
        <v>1.8732952961532212E-2</v>
      </c>
      <c r="D620" s="6">
        <f>LN(Raw!D622/Raw!D621)</f>
        <v>-6.1200317385935116E-3</v>
      </c>
      <c r="X620" s="3">
        <v>44740</v>
      </c>
      <c r="Y620" cm="1">
        <f t="array" ref="Y620">SUMPRODUCT($T$2:$T$4,TRANSPOSE(B620:D620))</f>
        <v>-6.6037443151736198E-3</v>
      </c>
      <c r="AD620" s="3">
        <v>44739</v>
      </c>
      <c r="AE620" s="4">
        <v>5.2303481770009305E-3</v>
      </c>
      <c r="AF620">
        <f t="shared" si="9"/>
        <v>0</v>
      </c>
      <c r="AG620" s="13"/>
    </row>
    <row r="621" spans="1:33" x14ac:dyDescent="0.35">
      <c r="A621" s="3">
        <v>44741</v>
      </c>
      <c r="B621" s="6">
        <f>LN(Raw!B623/Raw!B622)</f>
        <v>-5.9645361581858701E-3</v>
      </c>
      <c r="C621" s="6">
        <f>LN(Raw!C623/Raw!C622)</f>
        <v>9.4501149914264383E-3</v>
      </c>
      <c r="D621" s="6">
        <f>LN(Raw!D623/Raw!D622)</f>
        <v>-1.2284361130989381E-3</v>
      </c>
      <c r="X621" s="3">
        <v>44741</v>
      </c>
      <c r="Y621" cm="1">
        <f t="array" ref="Y621">SUMPRODUCT($T$2:$T$4,TRANSPOSE(B621:D621))</f>
        <v>-2.6538735244815543E-3</v>
      </c>
      <c r="AD621" s="3">
        <v>44740</v>
      </c>
      <c r="AE621" s="4">
        <v>-6.6037443151736198E-3</v>
      </c>
      <c r="AF621">
        <f t="shared" si="9"/>
        <v>0</v>
      </c>
      <c r="AG621" s="13"/>
    </row>
    <row r="622" spans="1:33" x14ac:dyDescent="0.35">
      <c r="A622" s="3">
        <v>44742</v>
      </c>
      <c r="B622" s="6">
        <f>LN(Raw!B624/Raw!B623)</f>
        <v>8.3763288873503691E-3</v>
      </c>
      <c r="C622" s="6">
        <f>LN(Raw!C624/Raw!C623)</f>
        <v>-1.5076698578295605E-2</v>
      </c>
      <c r="D622" s="6">
        <f>LN(Raw!D624/Raw!D623)</f>
        <v>-1.9237335962490491E-2</v>
      </c>
      <c r="X622" s="3">
        <v>44742</v>
      </c>
      <c r="Y622" cm="1">
        <f t="array" ref="Y622">SUMPRODUCT($T$2:$T$4,TRANSPOSE(B622:D622))</f>
        <v>2.3292496546698294E-3</v>
      </c>
      <c r="AD622" s="3">
        <v>44741</v>
      </c>
      <c r="AE622" s="4">
        <v>-2.6538735244815543E-3</v>
      </c>
      <c r="AF622">
        <f t="shared" si="9"/>
        <v>0</v>
      </c>
      <c r="AG622" s="13"/>
    </row>
    <row r="623" spans="1:33" x14ac:dyDescent="0.35">
      <c r="A623" s="3">
        <v>44743</v>
      </c>
      <c r="B623" s="6">
        <f>LN(Raw!B625/Raw!B624)</f>
        <v>2.1882763219913812E-2</v>
      </c>
      <c r="C623" s="6">
        <f>LN(Raw!C625/Raw!C624)</f>
        <v>2.167791128357324E-3</v>
      </c>
      <c r="D623" s="6">
        <f>LN(Raw!D625/Raw!D624)</f>
        <v>-1.5151797464404319E-2</v>
      </c>
      <c r="X623" s="3">
        <v>44743</v>
      </c>
      <c r="Y623" cm="1">
        <f t="array" ref="Y623">SUMPRODUCT($T$2:$T$4,TRANSPOSE(B623:D623))</f>
        <v>1.6115439278674287E-2</v>
      </c>
      <c r="AD623" s="3">
        <v>44742</v>
      </c>
      <c r="AE623" s="4">
        <v>2.3292496546698294E-3</v>
      </c>
      <c r="AF623">
        <f t="shared" si="9"/>
        <v>0</v>
      </c>
      <c r="AG623" s="13"/>
    </row>
    <row r="624" spans="1:33" x14ac:dyDescent="0.35">
      <c r="A624" s="3">
        <v>44746</v>
      </c>
      <c r="B624" s="6">
        <f>LN(Raw!B626/Raw!B625)</f>
        <v>1.3911213390611321E-2</v>
      </c>
      <c r="C624" s="6">
        <f>LN(Raw!C626/Raw!C625)</f>
        <v>1.7309993242126296E-3</v>
      </c>
      <c r="D624" s="6">
        <f>LN(Raw!D626/Raw!D625)</f>
        <v>4.2347462773944813E-2</v>
      </c>
      <c r="X624" s="3">
        <v>44746</v>
      </c>
      <c r="Y624" cm="1">
        <f t="array" ref="Y624">SUMPRODUCT($T$2:$T$4,TRANSPOSE(B624:D624))</f>
        <v>1.288774430836841E-2</v>
      </c>
      <c r="AD624" s="3">
        <v>44743</v>
      </c>
      <c r="AE624" s="4">
        <v>1.6115439278674287E-2</v>
      </c>
      <c r="AF624">
        <f t="shared" si="9"/>
        <v>0</v>
      </c>
      <c r="AG624" s="13"/>
    </row>
    <row r="625" spans="1:33" x14ac:dyDescent="0.35">
      <c r="A625" s="3">
        <v>44747</v>
      </c>
      <c r="B625" s="6">
        <f>LN(Raw!B627/Raw!B626)</f>
        <v>2.1500573755433967E-2</v>
      </c>
      <c r="C625" s="6">
        <f>LN(Raw!C627/Raw!C626)</f>
        <v>-8.6844649432057022E-3</v>
      </c>
      <c r="D625" s="6">
        <f>LN(Raw!D627/Raw!D626)</f>
        <v>-2.1572361314928012E-2</v>
      </c>
      <c r="X625" s="3">
        <v>44747</v>
      </c>
      <c r="Y625" cm="1">
        <f t="array" ref="Y625">SUMPRODUCT($T$2:$T$4,TRANSPOSE(B625:D625))</f>
        <v>1.3344918824180995E-2</v>
      </c>
      <c r="AD625" s="3">
        <v>44746</v>
      </c>
      <c r="AE625" s="4">
        <v>1.288774430836841E-2</v>
      </c>
      <c r="AF625">
        <f t="shared" si="9"/>
        <v>0</v>
      </c>
      <c r="AG625" s="13"/>
    </row>
    <row r="626" spans="1:33" x14ac:dyDescent="0.35">
      <c r="A626" s="3">
        <v>44748</v>
      </c>
      <c r="B626" s="6">
        <f>LN(Raw!B628/Raw!B627)</f>
        <v>3.737057990216601E-2</v>
      </c>
      <c r="C626" s="6">
        <f>LN(Raw!C628/Raw!C627)</f>
        <v>6.0869130042607708E-3</v>
      </c>
      <c r="D626" s="6">
        <f>LN(Raw!D628/Raw!D627)</f>
        <v>-1.8709562297360921E-3</v>
      </c>
      <c r="X626" s="3">
        <v>44748</v>
      </c>
      <c r="Y626" cm="1">
        <f t="array" ref="Y626">SUMPRODUCT($T$2:$T$4,TRANSPOSE(B626:D626))</f>
        <v>2.9185290057029908E-2</v>
      </c>
      <c r="AD626" s="3">
        <v>44747</v>
      </c>
      <c r="AE626" s="4">
        <v>1.3344918824180995E-2</v>
      </c>
      <c r="AF626">
        <f t="shared" si="9"/>
        <v>0</v>
      </c>
      <c r="AG626" s="13"/>
    </row>
    <row r="627" spans="1:33" x14ac:dyDescent="0.35">
      <c r="A627" s="3">
        <v>44749</v>
      </c>
      <c r="B627" s="6">
        <f>LN(Raw!B629/Raw!B628)</f>
        <v>3.6767617862129627E-2</v>
      </c>
      <c r="C627" s="6">
        <f>LN(Raw!C629/Raw!C628)</f>
        <v>-4.3348605137713352E-4</v>
      </c>
      <c r="D627" s="6">
        <f>LN(Raw!D629/Raw!D628)</f>
        <v>9.9381278479927938E-3</v>
      </c>
      <c r="X627" s="3">
        <v>44749</v>
      </c>
      <c r="Y627" cm="1">
        <f t="array" ref="Y627">SUMPRODUCT($T$2:$T$4,TRANSPOSE(B627:D627))</f>
        <v>2.8015669939927827E-2</v>
      </c>
      <c r="AD627" s="3">
        <v>44748</v>
      </c>
      <c r="AE627" s="4">
        <v>2.9185290057029908E-2</v>
      </c>
      <c r="AF627">
        <f t="shared" si="9"/>
        <v>0</v>
      </c>
      <c r="AG627" s="13"/>
    </row>
    <row r="628" spans="1:33" x14ac:dyDescent="0.35">
      <c r="A628" s="3">
        <v>44750</v>
      </c>
      <c r="B628" s="6">
        <f>LN(Raw!B630/Raw!B629)</f>
        <v>-1.7226290558554288E-3</v>
      </c>
      <c r="C628" s="6">
        <f>LN(Raw!C630/Raw!C629)</f>
        <v>-8.2735199678862677E-3</v>
      </c>
      <c r="D628" s="6">
        <f>LN(Raw!D630/Raw!D629)</f>
        <v>-1.2368903188179382E-3</v>
      </c>
      <c r="X628" s="3">
        <v>44750</v>
      </c>
      <c r="Y628" cm="1">
        <f t="array" ref="Y628">SUMPRODUCT($T$2:$T$4,TRANSPOSE(B628:D628))</f>
        <v>-3.0059385599399838E-3</v>
      </c>
      <c r="AD628" s="3">
        <v>44749</v>
      </c>
      <c r="AE628" s="4">
        <v>2.8015669939927827E-2</v>
      </c>
      <c r="AF628">
        <f t="shared" si="9"/>
        <v>0</v>
      </c>
      <c r="AG628" s="13"/>
    </row>
    <row r="629" spans="1:33" x14ac:dyDescent="0.35">
      <c r="A629" s="3">
        <v>44753</v>
      </c>
      <c r="B629" s="6">
        <f>LN(Raw!B631/Raw!B630)</f>
        <v>-7.9849901230205113E-3</v>
      </c>
      <c r="C629" s="6">
        <f>LN(Raw!C631/Raw!C630)</f>
        <v>1.3895093667882732E-2</v>
      </c>
      <c r="D629" s="6">
        <f>LN(Raw!D631/Raw!D630)</f>
        <v>-1.2385199935873363E-3</v>
      </c>
      <c r="X629" s="3">
        <v>44753</v>
      </c>
      <c r="Y629" cm="1">
        <f t="array" ref="Y629">SUMPRODUCT($T$2:$T$4,TRANSPOSE(B629:D629))</f>
        <v>-3.2845399994877703E-3</v>
      </c>
      <c r="AD629" s="3">
        <v>44750</v>
      </c>
      <c r="AE629" s="4">
        <v>-3.0059385599399838E-3</v>
      </c>
      <c r="AF629">
        <f t="shared" si="9"/>
        <v>0</v>
      </c>
      <c r="AG629" s="13"/>
    </row>
    <row r="630" spans="1:33" x14ac:dyDescent="0.35">
      <c r="A630" s="3">
        <v>44754</v>
      </c>
      <c r="B630" s="6">
        <f>LN(Raw!B632/Raw!B631)</f>
        <v>-2.8359298222795003E-2</v>
      </c>
      <c r="C630" s="6">
        <f>LN(Raw!C632/Raw!C631)</f>
        <v>1.2928271301805379E-3</v>
      </c>
      <c r="D630" s="6">
        <f>LN(Raw!D632/Raw!D631)</f>
        <v>1.9632554885549512E-2</v>
      </c>
      <c r="X630" s="3">
        <v>44754</v>
      </c>
      <c r="Y630" cm="1">
        <f t="array" ref="Y630">SUMPRODUCT($T$2:$T$4,TRANSPOSE(B630:D630))</f>
        <v>-2.0066557941316201E-2</v>
      </c>
      <c r="AD630" s="3">
        <v>44753</v>
      </c>
      <c r="AE630" s="4">
        <v>-3.2845399994877703E-3</v>
      </c>
      <c r="AF630">
        <f t="shared" si="9"/>
        <v>0</v>
      </c>
      <c r="AG630" s="13"/>
    </row>
    <row r="631" spans="1:33" x14ac:dyDescent="0.35">
      <c r="A631" s="3">
        <v>44755</v>
      </c>
      <c r="B631" s="6">
        <f>LN(Raw!B633/Raw!B632)</f>
        <v>1.0556435387565736E-3</v>
      </c>
      <c r="C631" s="6">
        <f>LN(Raw!C633/Raw!C632)</f>
        <v>-4.7484879571753277E-3</v>
      </c>
      <c r="D631" s="6">
        <f>LN(Raw!D633/Raw!D632)</f>
        <v>-1.0995731974303466E-2</v>
      </c>
      <c r="X631" s="3">
        <v>44755</v>
      </c>
      <c r="Y631" cm="1">
        <f t="array" ref="Y631">SUMPRODUCT($T$2:$T$4,TRANSPOSE(B631:D631))</f>
        <v>-6.9909979055740037E-4</v>
      </c>
      <c r="AD631" s="3">
        <v>44754</v>
      </c>
      <c r="AE631" s="4">
        <v>-2.0066557941316201E-2</v>
      </c>
      <c r="AF631">
        <f t="shared" si="9"/>
        <v>0</v>
      </c>
      <c r="AG631" s="13"/>
    </row>
    <row r="632" spans="1:33" x14ac:dyDescent="0.35">
      <c r="A632" s="3">
        <v>44756</v>
      </c>
      <c r="B632" s="6">
        <f>LN(Raw!B634/Raw!B633)</f>
        <v>1.5105331329823193E-2</v>
      </c>
      <c r="C632" s="6">
        <f>LN(Raw!C634/Raw!C633)</f>
        <v>3.4556608269947944E-3</v>
      </c>
      <c r="D632" s="6">
        <f>LN(Raw!D634/Raw!D633)</f>
        <v>-9.8766827315583047E-3</v>
      </c>
      <c r="X632" s="3">
        <v>44756</v>
      </c>
      <c r="Y632" cm="1">
        <f t="array" ref="Y632">SUMPRODUCT($T$2:$T$4,TRANSPOSE(B632:D632))</f>
        <v>1.1544066119561349E-2</v>
      </c>
      <c r="AD632" s="3">
        <v>44755</v>
      </c>
      <c r="AE632" s="4">
        <v>-6.9909979055740037E-4</v>
      </c>
      <c r="AF632">
        <f t="shared" si="9"/>
        <v>0</v>
      </c>
      <c r="AG632" s="13"/>
    </row>
    <row r="633" spans="1:33" x14ac:dyDescent="0.35">
      <c r="A633" s="3">
        <v>44757</v>
      </c>
      <c r="B633" s="6">
        <f>LN(Raw!B635/Raw!B634)</f>
        <v>2.9140492183298539E-3</v>
      </c>
      <c r="C633" s="6">
        <f>LN(Raw!C635/Raw!C634)</f>
        <v>0</v>
      </c>
      <c r="D633" s="6">
        <f>LN(Raw!D635/Raw!D634)</f>
        <v>-8.7228248290222681E-3</v>
      </c>
      <c r="X633" s="3">
        <v>44757</v>
      </c>
      <c r="Y633" cm="1">
        <f t="array" ref="Y633">SUMPRODUCT($T$2:$T$4,TRANSPOSE(B633:D633))</f>
        <v>1.7565877937082152E-3</v>
      </c>
      <c r="AD633" s="3">
        <v>44756</v>
      </c>
      <c r="AE633" s="4">
        <v>1.1544066119561349E-2</v>
      </c>
      <c r="AF633">
        <f t="shared" si="9"/>
        <v>0</v>
      </c>
      <c r="AG633" s="13"/>
    </row>
    <row r="634" spans="1:33" x14ac:dyDescent="0.35">
      <c r="A634" s="3">
        <v>44760</v>
      </c>
      <c r="B634" s="6">
        <f>LN(Raw!B636/Raw!B635)</f>
        <v>1.3776510337021961E-2</v>
      </c>
      <c r="C634" s="6">
        <f>LN(Raw!C636/Raw!C635)</f>
        <v>-1.2944289956632997E-3</v>
      </c>
      <c r="D634" s="6">
        <f>LN(Raw!D636/Raw!D635)</f>
        <v>9.3428979242422983E-3</v>
      </c>
      <c r="X634" s="3">
        <v>44760</v>
      </c>
      <c r="Y634" cm="1">
        <f t="array" ref="Y634">SUMPRODUCT($T$2:$T$4,TRANSPOSE(B634:D634))</f>
        <v>1.0549411693452027E-2</v>
      </c>
      <c r="AD634" s="3">
        <v>44757</v>
      </c>
      <c r="AE634" s="4">
        <v>1.7565877937082152E-3</v>
      </c>
      <c r="AF634">
        <f t="shared" si="9"/>
        <v>0</v>
      </c>
      <c r="AG634" s="13"/>
    </row>
    <row r="635" spans="1:33" x14ac:dyDescent="0.35">
      <c r="A635" s="3">
        <v>44761</v>
      </c>
      <c r="B635" s="6">
        <f>LN(Raw!B637/Raw!B636)</f>
        <v>-9.8348728943735983E-4</v>
      </c>
      <c r="C635" s="6">
        <f>LN(Raw!C637/Raw!C636)</f>
        <v>5.1679782894113908E-3</v>
      </c>
      <c r="D635" s="6">
        <f>LN(Raw!D637/Raw!D636)</f>
        <v>1.2935336237044823E-2</v>
      </c>
      <c r="X635" s="3">
        <v>44761</v>
      </c>
      <c r="Y635" cm="1">
        <f t="array" ref="Y635">SUMPRODUCT($T$2:$T$4,TRANSPOSE(B635:D635))</f>
        <v>9.3299304432844371E-4</v>
      </c>
      <c r="AD635" s="3">
        <v>44760</v>
      </c>
      <c r="AE635" s="4">
        <v>1.0549411693452027E-2</v>
      </c>
      <c r="AF635">
        <f t="shared" si="9"/>
        <v>0</v>
      </c>
      <c r="AG635" s="13"/>
    </row>
    <row r="636" spans="1:33" x14ac:dyDescent="0.35">
      <c r="A636" s="3">
        <v>44762</v>
      </c>
      <c r="B636" s="6">
        <f>LN(Raw!B638/Raw!B637)</f>
        <v>-4.314490456898188E-2</v>
      </c>
      <c r="C636" s="6">
        <f>LN(Raw!C638/Raw!C637)</f>
        <v>1.7166701023538994E-3</v>
      </c>
      <c r="D636" s="6">
        <f>LN(Raw!D638/Raw!D637)</f>
        <v>4.8839474669893869E-3</v>
      </c>
      <c r="X636" s="3">
        <v>44762</v>
      </c>
      <c r="Y636" cm="1">
        <f t="array" ref="Y636">SUMPRODUCT($T$2:$T$4,TRANSPOSE(B636:D636))</f>
        <v>-3.1815012343020754E-2</v>
      </c>
      <c r="AD636" s="3">
        <v>44761</v>
      </c>
      <c r="AE636" s="4">
        <v>9.3299304432844371E-4</v>
      </c>
      <c r="AF636">
        <f t="shared" si="9"/>
        <v>0</v>
      </c>
      <c r="AG636" s="13"/>
    </row>
    <row r="637" spans="1:33" x14ac:dyDescent="0.35">
      <c r="A637" s="3">
        <v>44763</v>
      </c>
      <c r="B637" s="6">
        <f>LN(Raw!B639/Raw!B638)</f>
        <v>6.9202482511194997E-3</v>
      </c>
      <c r="C637" s="6">
        <f>LN(Raw!C639/Raw!C638)</f>
        <v>1.0239013984903015E-2</v>
      </c>
      <c r="D637" s="6">
        <f>LN(Raw!D639/Raw!D638)</f>
        <v>1.3910089056762814E-2</v>
      </c>
      <c r="X637" s="3">
        <v>44763</v>
      </c>
      <c r="Y637" cm="1">
        <f t="array" ref="Y637">SUMPRODUCT($T$2:$T$4,TRANSPOSE(B637:D637))</f>
        <v>7.9284959120300667E-3</v>
      </c>
      <c r="AD637" s="3">
        <v>44762</v>
      </c>
      <c r="AE637" s="4">
        <v>-3.1815012343020754E-2</v>
      </c>
      <c r="AF637">
        <f t="shared" si="9"/>
        <v>0</v>
      </c>
      <c r="AG637" s="13"/>
    </row>
    <row r="638" spans="1:33" x14ac:dyDescent="0.35">
      <c r="A638" s="3">
        <v>44764</v>
      </c>
      <c r="B638" s="6">
        <f>LN(Raw!B640/Raw!B639)</f>
        <v>-8.4004636123305547E-3</v>
      </c>
      <c r="C638" s="6">
        <f>LN(Raw!C640/Raw!C639)</f>
        <v>-2.1244290461668006E-3</v>
      </c>
      <c r="D638" s="6">
        <f>LN(Raw!D640/Raw!D639)</f>
        <v>-4.8163189069904584E-3</v>
      </c>
      <c r="X638" s="3">
        <v>44764</v>
      </c>
      <c r="Y638" cm="1">
        <f t="array" ref="Y638">SUMPRODUCT($T$2:$T$4,TRANSPOSE(B638:D638))</f>
        <v>-6.9705876026845892E-3</v>
      </c>
      <c r="AD638" s="3">
        <v>44763</v>
      </c>
      <c r="AE638" s="4">
        <v>7.9284959120300667E-3</v>
      </c>
      <c r="AF638">
        <f t="shared" si="9"/>
        <v>0</v>
      </c>
      <c r="AG638" s="13"/>
    </row>
    <row r="639" spans="1:33" x14ac:dyDescent="0.35">
      <c r="A639" s="3">
        <v>44767</v>
      </c>
      <c r="B639" s="6">
        <f>LN(Raw!B641/Raw!B640)</f>
        <v>-2.1504522082711482E-2</v>
      </c>
      <c r="C639" s="6">
        <f>LN(Raw!C641/Raw!C640)</f>
        <v>-5.9727233101313391E-3</v>
      </c>
      <c r="D639" s="6">
        <f>LN(Raw!D641/Raw!D640)</f>
        <v>-1.1532858716455039E-2</v>
      </c>
      <c r="X639" s="3">
        <v>44767</v>
      </c>
      <c r="Y639" cm="1">
        <f t="array" ref="Y639">SUMPRODUCT($T$2:$T$4,TRANSPOSE(B639:D639))</f>
        <v>-1.791137179013557E-2</v>
      </c>
      <c r="AD639" s="3">
        <v>44764</v>
      </c>
      <c r="AE639" s="4">
        <v>-6.9705876026845892E-3</v>
      </c>
      <c r="AF639">
        <f t="shared" si="9"/>
        <v>0</v>
      </c>
      <c r="AG639" s="13"/>
    </row>
    <row r="640" spans="1:33" x14ac:dyDescent="0.35">
      <c r="A640" s="3">
        <v>44768</v>
      </c>
      <c r="B640" s="6">
        <f>LN(Raw!B642/Raw!B641)</f>
        <v>-2.7450286050990345E-2</v>
      </c>
      <c r="C640" s="6">
        <f>LN(Raw!C642/Raw!C641)</f>
        <v>-2.1627174692589561E-2</v>
      </c>
      <c r="D640" s="6">
        <f>LN(Raw!D642/Raw!D641)</f>
        <v>-1.1049733308630832E-2</v>
      </c>
      <c r="X640" s="3">
        <v>44768</v>
      </c>
      <c r="Y640" cm="1">
        <f t="array" ref="Y640">SUMPRODUCT($T$2:$T$4,TRANSPOSE(B640:D640))</f>
        <v>-2.547651346739789E-2</v>
      </c>
      <c r="AD640" s="3">
        <v>44767</v>
      </c>
      <c r="AE640" s="4">
        <v>-1.791137179013557E-2</v>
      </c>
      <c r="AF640">
        <f t="shared" si="9"/>
        <v>0</v>
      </c>
      <c r="AG640" s="13"/>
    </row>
    <row r="641" spans="1:33" x14ac:dyDescent="0.35">
      <c r="A641" s="3">
        <v>44769</v>
      </c>
      <c r="B641" s="6">
        <f>LN(Raw!B643/Raw!B642)</f>
        <v>2.6735102245783314E-2</v>
      </c>
      <c r="C641" s="6">
        <f>LN(Raw!C643/Raw!C642)</f>
        <v>1.7474912197330901E-3</v>
      </c>
      <c r="D641" s="6">
        <f>LN(Raw!D643/Raw!D642)</f>
        <v>2.4660586275061609E-3</v>
      </c>
      <c r="X641" s="3">
        <v>44769</v>
      </c>
      <c r="Y641" cm="1">
        <f t="array" ref="Y641">SUMPRODUCT($T$2:$T$4,TRANSPOSE(B641:D641))</f>
        <v>2.0547294617905453E-2</v>
      </c>
      <c r="AD641" s="3">
        <v>44768</v>
      </c>
      <c r="AE641" s="4">
        <v>-2.547651346739789E-2</v>
      </c>
      <c r="AF641">
        <f t="shared" si="9"/>
        <v>0</v>
      </c>
      <c r="AG641" s="13"/>
    </row>
    <row r="642" spans="1:33" x14ac:dyDescent="0.35">
      <c r="A642" s="3">
        <v>44770</v>
      </c>
      <c r="B642" s="6">
        <f>LN(Raw!B644/Raw!B643)</f>
        <v>4.9314446196247926E-3</v>
      </c>
      <c r="C642" s="6">
        <f>LN(Raw!C644/Raw!C643)</f>
        <v>1.744442820445659E-3</v>
      </c>
      <c r="D642" s="6">
        <f>LN(Raw!D644/Raw!D643)</f>
        <v>-6.1606643010124408E-4</v>
      </c>
      <c r="X642" s="3">
        <v>44770</v>
      </c>
      <c r="Y642" cm="1">
        <f t="array" ref="Y642">SUMPRODUCT($T$2:$T$4,TRANSPOSE(B642:D642))</f>
        <v>4.0208737916734025E-3</v>
      </c>
      <c r="AD642" s="3">
        <v>44769</v>
      </c>
      <c r="AE642" s="4">
        <v>2.0547294617905453E-2</v>
      </c>
      <c r="AF642">
        <f t="shared" si="9"/>
        <v>0</v>
      </c>
      <c r="AG642" s="13"/>
    </row>
    <row r="643" spans="1:33" x14ac:dyDescent="0.35">
      <c r="A643" s="3">
        <v>44771</v>
      </c>
      <c r="B643" s="6">
        <f>LN(Raw!B645/Raw!B644)</f>
        <v>2.5488038244227792E-2</v>
      </c>
      <c r="C643" s="6">
        <f>LN(Raw!C645/Raw!C644)</f>
        <v>1.3417231799397612E-2</v>
      </c>
      <c r="D643" s="6">
        <f>LN(Raw!D645/Raw!D644)</f>
        <v>1.2247769551290538E-2</v>
      </c>
      <c r="X643" s="3">
        <v>44771</v>
      </c>
      <c r="Y643" cm="1">
        <f t="array" ref="Y643">SUMPRODUCT($T$2:$T$4,TRANSPOSE(B643:D643))</f>
        <v>2.2423827909315533E-2</v>
      </c>
      <c r="AD643" s="3">
        <v>44770</v>
      </c>
      <c r="AE643" s="4">
        <v>4.0208737916734025E-3</v>
      </c>
      <c r="AF643">
        <f t="shared" ref="AF643:AF706" si="10">IF(AE643&lt;$AB$2,1,0)</f>
        <v>0</v>
      </c>
      <c r="AG643" s="13"/>
    </row>
    <row r="644" spans="1:33" x14ac:dyDescent="0.35">
      <c r="A644" s="3">
        <v>44774</v>
      </c>
      <c r="B644" s="6">
        <f>LN(Raw!B646/Raw!B645)</f>
        <v>8.8955160306022438E-3</v>
      </c>
      <c r="C644" s="6">
        <f>LN(Raw!C646/Raw!C645)</f>
        <v>8.1353605275282081E-3</v>
      </c>
      <c r="D644" s="6">
        <f>LN(Raw!D646/Raw!D645)</f>
        <v>1.3901679814000738E-2</v>
      </c>
      <c r="X644" s="3">
        <v>44774</v>
      </c>
      <c r="Y644" cm="1">
        <f t="array" ref="Y644">SUMPRODUCT($T$2:$T$4,TRANSPOSE(B644:D644))</f>
        <v>8.9915687654225883E-3</v>
      </c>
      <c r="AD644" s="3">
        <v>44771</v>
      </c>
      <c r="AE644" s="4">
        <v>2.2423827909315533E-2</v>
      </c>
      <c r="AF644">
        <f t="shared" si="10"/>
        <v>0</v>
      </c>
      <c r="AG644" s="13"/>
    </row>
    <row r="645" spans="1:33" x14ac:dyDescent="0.35">
      <c r="A645" s="3">
        <v>44775</v>
      </c>
      <c r="B645" s="6">
        <f>LN(Raw!B647/Raw!B646)</f>
        <v>8.9781448816779515E-3</v>
      </c>
      <c r="C645" s="6">
        <f>LN(Raw!C647/Raw!C646)</f>
        <v>4.679800681783094E-3</v>
      </c>
      <c r="D645" s="6">
        <f>LN(Raw!D647/Raw!D646)</f>
        <v>7.1770597794053393E-3</v>
      </c>
      <c r="X645" s="3">
        <v>44775</v>
      </c>
      <c r="Y645" cm="1">
        <f t="array" ref="Y645">SUMPRODUCT($T$2:$T$4,TRANSPOSE(B645:D645))</f>
        <v>8.0311965687208595E-3</v>
      </c>
      <c r="AD645" s="3">
        <v>44774</v>
      </c>
      <c r="AE645" s="4">
        <v>8.9915687654225883E-3</v>
      </c>
      <c r="AF645">
        <f t="shared" si="10"/>
        <v>0</v>
      </c>
      <c r="AG645" s="13"/>
    </row>
    <row r="646" spans="1:33" x14ac:dyDescent="0.35">
      <c r="A646" s="3">
        <v>44776</v>
      </c>
      <c r="B646" s="6">
        <f>LN(Raw!B648/Raw!B647)</f>
        <v>-9.9941669640231153E-3</v>
      </c>
      <c r="C646" s="6">
        <f>LN(Raw!C648/Raw!C647)</f>
        <v>3.6261516244150402E-2</v>
      </c>
      <c r="D646" s="6">
        <f>LN(Raw!D648/Raw!D647)</f>
        <v>6.4612943115728946E-2</v>
      </c>
      <c r="X646" s="3">
        <v>44776</v>
      </c>
      <c r="Y646" cm="1">
        <f t="array" ref="Y646">SUMPRODUCT($T$2:$T$4,TRANSPOSE(B646:D646))</f>
        <v>2.9293054462865079E-3</v>
      </c>
      <c r="AD646" s="3">
        <v>44775</v>
      </c>
      <c r="AE646" s="4">
        <v>8.0311965687208595E-3</v>
      </c>
      <c r="AF646">
        <f t="shared" si="10"/>
        <v>0</v>
      </c>
      <c r="AG646" s="13"/>
    </row>
    <row r="647" spans="1:33" x14ac:dyDescent="0.35">
      <c r="A647" s="3">
        <v>44777</v>
      </c>
      <c r="B647" s="6">
        <f>LN(Raw!B649/Raw!B648)</f>
        <v>-2.2495190685549199E-2</v>
      </c>
      <c r="C647" s="6">
        <f>LN(Raw!C649/Raw!C648)</f>
        <v>-1.2770534377463059E-2</v>
      </c>
      <c r="D647" s="6">
        <f>LN(Raw!D649/Raw!D648)</f>
        <v>3.3463481599685062E-3</v>
      </c>
      <c r="X647" s="3">
        <v>44777</v>
      </c>
      <c r="Y647" cm="1">
        <f t="array" ref="Y647">SUMPRODUCT($T$2:$T$4,TRANSPOSE(B647:D647))</f>
        <v>-1.9275558841762356E-2</v>
      </c>
      <c r="AD647" s="3">
        <v>44776</v>
      </c>
      <c r="AE647" s="4">
        <v>2.9293054462865079E-3</v>
      </c>
      <c r="AF647">
        <f t="shared" si="10"/>
        <v>0</v>
      </c>
      <c r="AG647" s="13"/>
    </row>
    <row r="648" spans="1:33" x14ac:dyDescent="0.35">
      <c r="A648" s="3">
        <v>44778</v>
      </c>
      <c r="B648" s="6">
        <f>LN(Raw!B650/Raw!B649)</f>
        <v>-1.9565450661383336E-3</v>
      </c>
      <c r="C648" s="6">
        <f>LN(Raw!C650/Raw!C649)</f>
        <v>4.1457728080498415E-4</v>
      </c>
      <c r="D648" s="6">
        <f>LN(Raw!D650/Raw!D649)</f>
        <v>1.6689402511006499E-3</v>
      </c>
      <c r="X648" s="3">
        <v>44778</v>
      </c>
      <c r="Y648" cm="1">
        <f t="array" ref="Y648">SUMPRODUCT($T$2:$T$4,TRANSPOSE(B648:D648))</f>
        <v>-1.3039190298220361E-3</v>
      </c>
      <c r="AD648" s="3">
        <v>44777</v>
      </c>
      <c r="AE648" s="4">
        <v>-1.9275558841762356E-2</v>
      </c>
      <c r="AF648">
        <f t="shared" si="10"/>
        <v>0</v>
      </c>
      <c r="AG648" s="13"/>
    </row>
    <row r="649" spans="1:33" x14ac:dyDescent="0.35">
      <c r="A649" s="3">
        <v>44781</v>
      </c>
      <c r="B649" s="6">
        <f>LN(Raw!B651/Raw!B650)</f>
        <v>1.1806566001515707E-2</v>
      </c>
      <c r="C649" s="6">
        <f>LN(Raw!C651/Raw!C650)</f>
        <v>6.6088054384840483E-3</v>
      </c>
      <c r="D649" s="6">
        <f>LN(Raw!D651/Raw!D650)</f>
        <v>3.8836000964072546E-3</v>
      </c>
      <c r="X649" s="3">
        <v>44781</v>
      </c>
      <c r="Y649" cm="1">
        <f t="array" ref="Y649">SUMPRODUCT($T$2:$T$4,TRANSPOSE(B649:D649))</f>
        <v>1.0377150311059834E-2</v>
      </c>
      <c r="AD649" s="3">
        <v>44778</v>
      </c>
      <c r="AE649" s="4">
        <v>-1.3039190298220361E-3</v>
      </c>
      <c r="AF649">
        <f t="shared" si="10"/>
        <v>0</v>
      </c>
      <c r="AG649" s="13"/>
    </row>
    <row r="650" spans="1:33" x14ac:dyDescent="0.35">
      <c r="A650" s="3">
        <v>44783</v>
      </c>
      <c r="B650" s="6">
        <f>LN(Raw!B652/Raw!B651)</f>
        <v>1.3539384734004624E-2</v>
      </c>
      <c r="C650" s="6">
        <f>LN(Raw!C652/Raw!C651)</f>
        <v>8.2311497234815924E-4</v>
      </c>
      <c r="D650" s="6">
        <f>LN(Raw!D652/Raw!D651)</f>
        <v>-2.1831382252559747E-2</v>
      </c>
      <c r="X650" s="3">
        <v>44783</v>
      </c>
      <c r="Y650" cm="1">
        <f t="array" ref="Y650">SUMPRODUCT($T$2:$T$4,TRANSPOSE(B650:D650))</f>
        <v>9.2511198458727351E-3</v>
      </c>
      <c r="AD650" s="3">
        <v>44781</v>
      </c>
      <c r="AE650" s="4">
        <v>1.0377150311059834E-2</v>
      </c>
      <c r="AF650">
        <f t="shared" si="10"/>
        <v>0</v>
      </c>
      <c r="AG650" s="13"/>
    </row>
    <row r="651" spans="1:33" x14ac:dyDescent="0.35">
      <c r="A651" s="3">
        <v>44784</v>
      </c>
      <c r="B651" s="6">
        <f>LN(Raw!B653/Raw!B652)</f>
        <v>8.3346517395584494E-3</v>
      </c>
      <c r="C651" s="6">
        <f>LN(Raw!C653/Raw!C652)</f>
        <v>6.9686802264844949E-3</v>
      </c>
      <c r="D651" s="6">
        <f>LN(Raw!D653/Raw!D652)</f>
        <v>-1.6991901372033903E-3</v>
      </c>
      <c r="X651" s="3">
        <v>44784</v>
      </c>
      <c r="Y651" cm="1">
        <f t="array" ref="Y651">SUMPRODUCT($T$2:$T$4,TRANSPOSE(B651:D651))</f>
        <v>7.5654714154053783E-3</v>
      </c>
      <c r="AD651" s="3">
        <v>44783</v>
      </c>
      <c r="AE651" s="4">
        <v>9.2511198458727351E-3</v>
      </c>
      <c r="AF651">
        <f t="shared" si="10"/>
        <v>0</v>
      </c>
      <c r="AG651" s="13"/>
    </row>
    <row r="652" spans="1:33" x14ac:dyDescent="0.35">
      <c r="A652" s="3">
        <v>44785</v>
      </c>
      <c r="B652" s="6">
        <f>LN(Raw!B654/Raw!B653)</f>
        <v>-2.5012440689230597E-3</v>
      </c>
      <c r="C652" s="6">
        <f>LN(Raw!C654/Raw!C653)</f>
        <v>-1.2744282939392851E-2</v>
      </c>
      <c r="D652" s="6">
        <f>LN(Raw!D654/Raw!D653)</f>
        <v>-2.838565146329229E-3</v>
      </c>
      <c r="X652" s="3">
        <v>44785</v>
      </c>
      <c r="Y652" cm="1">
        <f t="array" ref="Y652">SUMPRODUCT($T$2:$T$4,TRANSPOSE(B652:D652))</f>
        <v>-4.5621217994224854E-3</v>
      </c>
      <c r="AD652" s="3">
        <v>44784</v>
      </c>
      <c r="AE652" s="4">
        <v>7.5654714154053783E-3</v>
      </c>
      <c r="AF652">
        <f t="shared" si="10"/>
        <v>0</v>
      </c>
      <c r="AG652" s="13"/>
    </row>
    <row r="653" spans="1:33" x14ac:dyDescent="0.35">
      <c r="A653" s="3">
        <v>44789</v>
      </c>
      <c r="B653" s="6">
        <f>LN(Raw!B655/Raw!B654)</f>
        <v>4.5906658927446088E-2</v>
      </c>
      <c r="C653" s="6">
        <f>LN(Raw!C655/Raw!C654)</f>
        <v>1.3152629089940778E-2</v>
      </c>
      <c r="D653" s="6">
        <f>LN(Raw!D655/Raw!D654)</f>
        <v>4.9899464062609408E-2</v>
      </c>
      <c r="X653" s="3">
        <v>44789</v>
      </c>
      <c r="Y653" cm="1">
        <f t="array" ref="Y653">SUMPRODUCT($T$2:$T$4,TRANSPOSE(B653:D653))</f>
        <v>3.9567603751565157E-2</v>
      </c>
      <c r="AD653" s="3">
        <v>44785</v>
      </c>
      <c r="AE653" s="4">
        <v>-4.5621217994224854E-3</v>
      </c>
      <c r="AF653">
        <f t="shared" si="10"/>
        <v>0</v>
      </c>
      <c r="AG653" s="13"/>
    </row>
    <row r="654" spans="1:33" x14ac:dyDescent="0.35">
      <c r="A654" s="3">
        <v>44790</v>
      </c>
      <c r="B654" s="6">
        <f>LN(Raw!B656/Raw!B655)</f>
        <v>4.4887722482087875E-2</v>
      </c>
      <c r="C654" s="6">
        <f>LN(Raw!C656/Raw!C655)</f>
        <v>2.8543045663070431E-3</v>
      </c>
      <c r="D654" s="6">
        <f>LN(Raw!D656/Raw!D655)</f>
        <v>-7.055585375271318E-3</v>
      </c>
      <c r="X654" s="3">
        <v>44790</v>
      </c>
      <c r="Y654" cm="1">
        <f t="array" ref="Y654">SUMPRODUCT($T$2:$T$4,TRANSPOSE(B654:D654))</f>
        <v>3.3928513235486096E-2</v>
      </c>
      <c r="AD654" s="3">
        <v>44789</v>
      </c>
      <c r="AE654" s="4">
        <v>3.9567603751565157E-2</v>
      </c>
      <c r="AF654">
        <f t="shared" si="10"/>
        <v>0</v>
      </c>
      <c r="AG654" s="13"/>
    </row>
    <row r="655" spans="1:33" x14ac:dyDescent="0.35">
      <c r="A655" s="3">
        <v>44791</v>
      </c>
      <c r="B655" s="6">
        <f>LN(Raw!B657/Raw!B656)</f>
        <v>-2.1437941031647444E-2</v>
      </c>
      <c r="C655" s="6">
        <f>LN(Raw!C657/Raw!C656)</f>
        <v>7.3022078785360094E-3</v>
      </c>
      <c r="D655" s="6">
        <f>LN(Raw!D657/Raw!D656)</f>
        <v>-2.7269244340064175E-3</v>
      </c>
      <c r="X655" s="3">
        <v>44791</v>
      </c>
      <c r="Y655" cm="1">
        <f t="array" ref="Y655">SUMPRODUCT($T$2:$T$4,TRANSPOSE(B655:D655))</f>
        <v>-1.4776313996951866E-2</v>
      </c>
      <c r="AD655" s="3">
        <v>44790</v>
      </c>
      <c r="AE655" s="4">
        <v>3.3928513235486096E-2</v>
      </c>
      <c r="AF655">
        <f t="shared" si="10"/>
        <v>0</v>
      </c>
      <c r="AG655" s="13"/>
    </row>
    <row r="656" spans="1:33" x14ac:dyDescent="0.35">
      <c r="A656" s="3">
        <v>44792</v>
      </c>
      <c r="B656" s="6">
        <f>LN(Raw!B658/Raw!B657)</f>
        <v>-2.8632970486204789E-2</v>
      </c>
      <c r="C656" s="6">
        <f>LN(Raw!C658/Raw!C657)</f>
        <v>-1.4658198585841106E-2</v>
      </c>
      <c r="D656" s="6">
        <f>LN(Raw!D658/Raw!D657)</f>
        <v>-1.7631416813646609E-2</v>
      </c>
      <c r="X656" s="3">
        <v>44792</v>
      </c>
      <c r="Y656" cm="1">
        <f t="array" ref="Y656">SUMPRODUCT($T$2:$T$4,TRANSPOSE(B656:D656))</f>
        <v>-2.5299583627251886E-2</v>
      </c>
      <c r="AD656" s="3">
        <v>44791</v>
      </c>
      <c r="AE656" s="4">
        <v>-1.4776313996951866E-2</v>
      </c>
      <c r="AF656">
        <f t="shared" si="10"/>
        <v>0</v>
      </c>
      <c r="AG656" s="13"/>
    </row>
    <row r="657" spans="1:33" x14ac:dyDescent="0.35">
      <c r="A657" s="3">
        <v>44795</v>
      </c>
      <c r="B657" s="6">
        <f>LN(Raw!B659/Raw!B658)</f>
        <v>-2.2471908764976102E-2</v>
      </c>
      <c r="C657" s="6">
        <f>LN(Raw!C659/Raw!C658)</f>
        <v>-2.1978941531783654E-2</v>
      </c>
      <c r="D657" s="6">
        <f>LN(Raw!D659/Raw!D658)</f>
        <v>-3.8531597806560819E-2</v>
      </c>
      <c r="X657" s="3">
        <v>44795</v>
      </c>
      <c r="Y657" cm="1">
        <f t="array" ref="Y657">SUMPRODUCT($T$2:$T$4,TRANSPOSE(B657:D657))</f>
        <v>-2.3168323807436376E-2</v>
      </c>
      <c r="AD657" s="3">
        <v>44792</v>
      </c>
      <c r="AE657" s="4">
        <v>-2.5299583627251886E-2</v>
      </c>
      <c r="AF657">
        <f t="shared" si="10"/>
        <v>0</v>
      </c>
      <c r="AG657" s="13"/>
    </row>
    <row r="658" spans="1:33" x14ac:dyDescent="0.35">
      <c r="A658" s="3">
        <v>44796</v>
      </c>
      <c r="B658" s="6">
        <f>LN(Raw!B660/Raw!B659)</f>
        <v>-8.9241027722320072E-3</v>
      </c>
      <c r="C658" s="6">
        <f>LN(Raw!C660/Raw!C659)</f>
        <v>1.2570732018576791E-3</v>
      </c>
      <c r="D658" s="6">
        <f>LN(Raw!D660/Raw!D659)</f>
        <v>1.3769572611197732E-2</v>
      </c>
      <c r="X658" s="3">
        <v>44796</v>
      </c>
      <c r="Y658" cm="1">
        <f t="array" ref="Y658">SUMPRODUCT($T$2:$T$4,TRANSPOSE(B658:D658))</f>
        <v>-5.7691523922289243E-3</v>
      </c>
      <c r="AD658" s="3">
        <v>44795</v>
      </c>
      <c r="AE658" s="4">
        <v>-2.3168323807436376E-2</v>
      </c>
      <c r="AF658">
        <f t="shared" si="10"/>
        <v>0</v>
      </c>
      <c r="AG658" s="13"/>
    </row>
    <row r="659" spans="1:33" x14ac:dyDescent="0.35">
      <c r="A659" s="3">
        <v>44797</v>
      </c>
      <c r="B659" s="6">
        <f>LN(Raw!B661/Raw!B660)</f>
        <v>-4.5722447301035701E-3</v>
      </c>
      <c r="C659" s="6">
        <f>LN(Raw!C661/Raw!C660)</f>
        <v>8.3717175146266884E-4</v>
      </c>
      <c r="D659" s="6">
        <f>LN(Raw!D661/Raw!D660)</f>
        <v>-5.1413512432376572E-3</v>
      </c>
      <c r="X659" s="3">
        <v>44797</v>
      </c>
      <c r="Y659" cm="1">
        <f t="array" ref="Y659">SUMPRODUCT($T$2:$T$4,TRANSPOSE(B659:D659))</f>
        <v>-3.5208629238587369E-3</v>
      </c>
      <c r="AD659" s="3">
        <v>44796</v>
      </c>
      <c r="AE659" s="4">
        <v>-5.7691523922289243E-3</v>
      </c>
      <c r="AF659">
        <f t="shared" si="10"/>
        <v>0</v>
      </c>
      <c r="AG659" s="13"/>
    </row>
    <row r="660" spans="1:33" x14ac:dyDescent="0.35">
      <c r="A660" s="3">
        <v>44798</v>
      </c>
      <c r="B660" s="6">
        <f>LN(Raw!B662/Raw!B661)</f>
        <v>1.3218739736278877E-2</v>
      </c>
      <c r="C660" s="6">
        <f>LN(Raw!C662/Raw!C661)</f>
        <v>8.3333948209555267E-3</v>
      </c>
      <c r="D660" s="6">
        <f>LN(Raw!D662/Raw!D661)</f>
        <v>4.3301575994850079E-2</v>
      </c>
      <c r="X660" s="3">
        <v>44798</v>
      </c>
      <c r="Y660" cm="1">
        <f t="array" ref="Y660">SUMPRODUCT($T$2:$T$4,TRANSPOSE(B660:D660))</f>
        <v>1.3732583521261072E-2</v>
      </c>
      <c r="AD660" s="3">
        <v>44797</v>
      </c>
      <c r="AE660" s="4">
        <v>-3.5208629238587369E-3</v>
      </c>
      <c r="AF660">
        <f t="shared" si="10"/>
        <v>0</v>
      </c>
      <c r="AG660" s="13"/>
    </row>
    <row r="661" spans="1:33" x14ac:dyDescent="0.35">
      <c r="A661" s="3">
        <v>44799</v>
      </c>
      <c r="B661" s="6">
        <f>LN(Raw!B663/Raw!B662)</f>
        <v>-1.9836685311212595E-4</v>
      </c>
      <c r="C661" s="6">
        <f>LN(Raw!C663/Raw!C662)</f>
        <v>3.1852477058185294E-2</v>
      </c>
      <c r="D661" s="6">
        <f>LN(Raw!D663/Raw!D662)</f>
        <v>7.1155357764443372E-2</v>
      </c>
      <c r="X661" s="3">
        <v>44799</v>
      </c>
      <c r="Y661" cm="1">
        <f t="array" ref="Y661">SUMPRODUCT($T$2:$T$4,TRANSPOSE(B661:D661))</f>
        <v>9.7292624370926197E-3</v>
      </c>
      <c r="AD661" s="3">
        <v>44798</v>
      </c>
      <c r="AE661" s="4">
        <v>1.3732583521261072E-2</v>
      </c>
      <c r="AF661">
        <f t="shared" si="10"/>
        <v>0</v>
      </c>
      <c r="AG661" s="13"/>
    </row>
    <row r="662" spans="1:33" x14ac:dyDescent="0.35">
      <c r="A662" s="3">
        <v>44802</v>
      </c>
      <c r="B662" s="6">
        <f>LN(Raw!B664/Raw!B663)</f>
        <v>-1.270739252917335E-3</v>
      </c>
      <c r="C662" s="6">
        <f>LN(Raw!C664/Raw!C663)</f>
        <v>-2.1121925966632614E-2</v>
      </c>
      <c r="D662" s="6">
        <f>LN(Raw!D664/Raw!D663)</f>
        <v>-2.3335265299983948E-2</v>
      </c>
      <c r="X662" s="3">
        <v>44802</v>
      </c>
      <c r="Y662" cm="1">
        <f t="array" ref="Y662">SUMPRODUCT($T$2:$T$4,TRANSPOSE(B662:D662))</f>
        <v>-6.3243784428238716E-3</v>
      </c>
      <c r="AD662" s="3">
        <v>44799</v>
      </c>
      <c r="AE662" s="4">
        <v>9.7292624370926197E-3</v>
      </c>
      <c r="AF662">
        <f t="shared" si="10"/>
        <v>0</v>
      </c>
      <c r="AG662" s="13"/>
    </row>
    <row r="663" spans="1:33" x14ac:dyDescent="0.35">
      <c r="A663" s="3">
        <v>44803</v>
      </c>
      <c r="B663" s="6">
        <f>LN(Raw!B665/Raw!B664)</f>
        <v>2.3442875693967961E-2</v>
      </c>
      <c r="C663" s="6">
        <f>LN(Raw!C665/Raw!C664)</f>
        <v>1.8707367256214583E-2</v>
      </c>
      <c r="D663" s="6">
        <f>LN(Raw!D665/Raw!D664)</f>
        <v>1.9740800358349908E-2</v>
      </c>
      <c r="X663" s="3">
        <v>44803</v>
      </c>
      <c r="Y663" cm="1">
        <f t="array" ref="Y663">SUMPRODUCT($T$2:$T$4,TRANSPOSE(B663:D663))</f>
        <v>2.2314603012673757E-2</v>
      </c>
      <c r="AD663" s="3">
        <v>44802</v>
      </c>
      <c r="AE663" s="4">
        <v>-6.3243784428238716E-3</v>
      </c>
      <c r="AF663">
        <f t="shared" si="10"/>
        <v>0</v>
      </c>
      <c r="AG663" s="13"/>
    </row>
    <row r="664" spans="1:33" x14ac:dyDescent="0.35">
      <c r="A664" s="3">
        <v>44805</v>
      </c>
      <c r="B664" s="6">
        <f>LN(Raw!B666/Raw!B665)</f>
        <v>-1.3126354513170804E-2</v>
      </c>
      <c r="C664" s="6">
        <f>LN(Raw!C666/Raw!C665)</f>
        <v>1.2810443824379913E-2</v>
      </c>
      <c r="D664" s="6">
        <f>LN(Raw!D666/Raw!D665)</f>
        <v>-1.1381346442763727E-2</v>
      </c>
      <c r="X664" s="3">
        <v>44805</v>
      </c>
      <c r="Y664" cm="1">
        <f t="array" ref="Y664">SUMPRODUCT($T$2:$T$4,TRANSPOSE(B664:D664))</f>
        <v>-7.8638364782614573E-3</v>
      </c>
      <c r="AD664" s="3">
        <v>44803</v>
      </c>
      <c r="AE664" s="4">
        <v>2.2314603012673757E-2</v>
      </c>
      <c r="AF664">
        <f t="shared" si="10"/>
        <v>0</v>
      </c>
      <c r="AG664" s="13"/>
    </row>
    <row r="665" spans="1:33" x14ac:dyDescent="0.35">
      <c r="A665" s="3">
        <v>44806</v>
      </c>
      <c r="B665" s="6">
        <f>LN(Raw!B667/Raw!B666)</f>
        <v>-9.8796312036065377E-3</v>
      </c>
      <c r="C665" s="6">
        <f>LN(Raw!C667/Raw!C666)</f>
        <v>-1.0395885113961837E-2</v>
      </c>
      <c r="D665" s="6">
        <f>LN(Raw!D667/Raw!D666)</f>
        <v>-2.3158828219851688E-2</v>
      </c>
      <c r="X665" s="3">
        <v>44806</v>
      </c>
      <c r="Y665" cm="1">
        <f t="array" ref="Y665">SUMPRODUCT($T$2:$T$4,TRANSPOSE(B665:D665))</f>
        <v>-1.0639847834589797E-2</v>
      </c>
      <c r="AD665" s="3">
        <v>44805</v>
      </c>
      <c r="AE665" s="4">
        <v>-7.8638364782614573E-3</v>
      </c>
      <c r="AF665">
        <f t="shared" si="10"/>
        <v>0</v>
      </c>
      <c r="AG665" s="13"/>
    </row>
    <row r="666" spans="1:33" x14ac:dyDescent="0.35">
      <c r="A666" s="3">
        <v>44809</v>
      </c>
      <c r="B666" s="6">
        <f>LN(Raw!B668/Raw!B667)</f>
        <v>2.2612925169756487E-3</v>
      </c>
      <c r="C666" s="6">
        <f>LN(Raw!C668/Raw!C667)</f>
        <v>3.2815738375883127E-2</v>
      </c>
      <c r="D666" s="6">
        <f>LN(Raw!D668/Raw!D667)</f>
        <v>1.2172576351957476E-2</v>
      </c>
      <c r="X666" s="3">
        <v>44809</v>
      </c>
      <c r="Y666" cm="1">
        <f t="array" ref="Y666">SUMPRODUCT($T$2:$T$4,TRANSPOSE(B666:D666))</f>
        <v>8.8494953917529779E-3</v>
      </c>
      <c r="AD666" s="3">
        <v>44806</v>
      </c>
      <c r="AE666" s="4">
        <v>-1.0639847834589797E-2</v>
      </c>
      <c r="AF666">
        <f t="shared" si="10"/>
        <v>0</v>
      </c>
      <c r="AG666" s="13"/>
    </row>
    <row r="667" spans="1:33" x14ac:dyDescent="0.35">
      <c r="A667" s="3">
        <v>44810</v>
      </c>
      <c r="B667" s="6">
        <f>LN(Raw!B669/Raw!B668)</f>
        <v>-3.4589048176345893E-2</v>
      </c>
      <c r="C667" s="6">
        <f>LN(Raw!C669/Raw!C668)</f>
        <v>1.3137639661858363E-2</v>
      </c>
      <c r="D667" s="6">
        <f>LN(Raw!D669/Raw!D668)</f>
        <v>0</v>
      </c>
      <c r="X667" s="3">
        <v>44810</v>
      </c>
      <c r="Y667" cm="1">
        <f t="array" ref="Y667">SUMPRODUCT($T$2:$T$4,TRANSPOSE(B667:D667))</f>
        <v>-2.3352508221609544E-2</v>
      </c>
      <c r="AD667" s="3">
        <v>44809</v>
      </c>
      <c r="AE667" s="4">
        <v>8.8494953917529779E-3</v>
      </c>
      <c r="AF667">
        <f t="shared" si="10"/>
        <v>0</v>
      </c>
      <c r="AG667" s="13"/>
    </row>
    <row r="668" spans="1:33" x14ac:dyDescent="0.35">
      <c r="A668" s="3">
        <v>44811</v>
      </c>
      <c r="B668" s="6">
        <f>LN(Raw!B670/Raw!B669)</f>
        <v>2.4633485827584834E-2</v>
      </c>
      <c r="C668" s="6">
        <f>LN(Raw!C670/Raw!C669)</f>
        <v>-1.0030836237923996E-2</v>
      </c>
      <c r="D668" s="6">
        <f>LN(Raw!D670/Raw!D669)</f>
        <v>-4.745594977723761E-3</v>
      </c>
      <c r="X668" s="3">
        <v>44811</v>
      </c>
      <c r="Y668" cm="1">
        <f t="array" ref="Y668">SUMPRODUCT($T$2:$T$4,TRANSPOSE(B668:D668))</f>
        <v>1.6261619188176618E-2</v>
      </c>
      <c r="AD668" s="3">
        <v>44810</v>
      </c>
      <c r="AE668" s="4">
        <v>-2.3352508221609544E-2</v>
      </c>
      <c r="AF668">
        <f t="shared" si="10"/>
        <v>0</v>
      </c>
      <c r="AG668" s="13"/>
    </row>
    <row r="669" spans="1:33" x14ac:dyDescent="0.35">
      <c r="A669" s="3">
        <v>44812</v>
      </c>
      <c r="B669" s="6">
        <f>LN(Raw!B671/Raw!B670)</f>
        <v>-1.6666738277269024E-2</v>
      </c>
      <c r="C669" s="6">
        <f>LN(Raw!C671/Raw!C670)</f>
        <v>-3.1068034239343685E-3</v>
      </c>
      <c r="D669" s="6">
        <f>LN(Raw!D671/Raw!D670)</f>
        <v>6.8475685259455363E-3</v>
      </c>
      <c r="X669" s="3">
        <v>44812</v>
      </c>
      <c r="Y669" cm="1">
        <f t="array" ref="Y669">SUMPRODUCT($T$2:$T$4,TRANSPOSE(B669:D669))</f>
        <v>-1.2796882239744376E-2</v>
      </c>
      <c r="AD669" s="3">
        <v>44811</v>
      </c>
      <c r="AE669" s="4">
        <v>1.6261619188176618E-2</v>
      </c>
      <c r="AF669">
        <f t="shared" si="10"/>
        <v>0</v>
      </c>
      <c r="AG669" s="13"/>
    </row>
    <row r="670" spans="1:33" x14ac:dyDescent="0.35">
      <c r="A670" s="3">
        <v>44813</v>
      </c>
      <c r="B670" s="6">
        <f>LN(Raw!B672/Raw!B671)</f>
        <v>-6.0406255408212784E-3</v>
      </c>
      <c r="C670" s="6">
        <f>LN(Raw!C672/Raw!C671)</f>
        <v>-1.4890580519275822E-2</v>
      </c>
      <c r="D670" s="6">
        <f>LN(Raw!D672/Raw!D671)</f>
        <v>-1.1615791601819889E-2</v>
      </c>
      <c r="X670" s="3">
        <v>44813</v>
      </c>
      <c r="Y670" cm="1">
        <f t="array" ref="Y670">SUMPRODUCT($T$2:$T$4,TRANSPOSE(B670:D670))</f>
        <v>-8.0827096702949398E-3</v>
      </c>
      <c r="AD670" s="3">
        <v>44812</v>
      </c>
      <c r="AE670" s="4">
        <v>-1.2796882239744376E-2</v>
      </c>
      <c r="AF670">
        <f t="shared" si="10"/>
        <v>0</v>
      </c>
      <c r="AG670" s="13"/>
    </row>
    <row r="671" spans="1:33" x14ac:dyDescent="0.35">
      <c r="A671" s="3">
        <v>44816</v>
      </c>
      <c r="B671" s="6">
        <f>LN(Raw!B673/Raw!B672)</f>
        <v>1.5517894422599899E-2</v>
      </c>
      <c r="C671" s="6">
        <f>LN(Raw!C673/Raw!C672)</f>
        <v>-7.1315787286685165E-3</v>
      </c>
      <c r="D671" s="6">
        <f>LN(Raw!D673/Raw!D672)</f>
        <v>2.6517914327915636E-3</v>
      </c>
      <c r="X671" s="3">
        <v>44816</v>
      </c>
      <c r="Y671" cm="1">
        <f t="array" ref="Y671">SUMPRODUCT($T$2:$T$4,TRANSPOSE(B671:D671))</f>
        <v>1.0361037373039292E-2</v>
      </c>
      <c r="AD671" s="3">
        <v>44813</v>
      </c>
      <c r="AE671" s="4">
        <v>-8.0827096702949398E-3</v>
      </c>
      <c r="AF671">
        <f t="shared" si="10"/>
        <v>0</v>
      </c>
      <c r="AG671" s="13"/>
    </row>
    <row r="672" spans="1:33" x14ac:dyDescent="0.35">
      <c r="A672" s="3">
        <v>44817</v>
      </c>
      <c r="B672" s="6">
        <f>LN(Raw!B674/Raw!B673)</f>
        <v>-3.7558329720957257E-3</v>
      </c>
      <c r="C672" s="6">
        <f>LN(Raw!C674/Raw!C673)</f>
        <v>1.7734417928506784E-2</v>
      </c>
      <c r="D672" s="6">
        <f>LN(Raw!D674/Raw!D673)</f>
        <v>2.644861198051596E-3</v>
      </c>
      <c r="X672" s="3">
        <v>44817</v>
      </c>
      <c r="Y672" cm="1">
        <f t="array" ref="Y672">SUMPRODUCT($T$2:$T$4,TRANSPOSE(B672:D672))</f>
        <v>8.4970642058916439E-4</v>
      </c>
      <c r="AD672" s="3">
        <v>44816</v>
      </c>
      <c r="AE672" s="4">
        <v>1.0361037373039292E-2</v>
      </c>
      <c r="AF672">
        <f t="shared" si="10"/>
        <v>0</v>
      </c>
      <c r="AG672" s="13"/>
    </row>
    <row r="673" spans="1:33" x14ac:dyDescent="0.35">
      <c r="A673" s="3">
        <v>44818</v>
      </c>
      <c r="B673" s="6">
        <f>LN(Raw!B675/Raw!B674)</f>
        <v>7.6983689277070385E-3</v>
      </c>
      <c r="C673" s="6">
        <f>LN(Raw!C675/Raw!C674)</f>
        <v>8.9442057732723856E-3</v>
      </c>
      <c r="D673" s="6">
        <f>LN(Raw!D675/Raw!D674)</f>
        <v>-1.0621425186602225E-2</v>
      </c>
      <c r="X673" s="3">
        <v>44818</v>
      </c>
      <c r="Y673" cm="1">
        <f t="array" ref="Y673">SUMPRODUCT($T$2:$T$4,TRANSPOSE(B673:D673))</f>
        <v>7.0403495325931176E-3</v>
      </c>
      <c r="AD673" s="3">
        <v>44817</v>
      </c>
      <c r="AE673" s="4">
        <v>8.4970642058916439E-4</v>
      </c>
      <c r="AF673">
        <f t="shared" si="10"/>
        <v>0</v>
      </c>
      <c r="AG673" s="13"/>
    </row>
    <row r="674" spans="1:33" x14ac:dyDescent="0.35">
      <c r="A674" s="3">
        <v>44819</v>
      </c>
      <c r="B674" s="6">
        <f>LN(Raw!B676/Raw!B675)</f>
        <v>-8.4269103442448836E-3</v>
      </c>
      <c r="C674" s="6">
        <f>LN(Raw!C676/Raw!C675)</f>
        <v>1.1608966035718475E-3</v>
      </c>
      <c r="D674" s="6">
        <f>LN(Raw!D676/Raw!D675)</f>
        <v>-1.0683485403086006E-3</v>
      </c>
      <c r="X674" s="3">
        <v>44819</v>
      </c>
      <c r="Y674" cm="1">
        <f t="array" ref="Y674">SUMPRODUCT($T$2:$T$4,TRANSPOSE(B674:D674))</f>
        <v>-6.1493139345466692E-3</v>
      </c>
      <c r="AD674" s="3">
        <v>44818</v>
      </c>
      <c r="AE674" s="4">
        <v>7.0403495325931176E-3</v>
      </c>
      <c r="AF674">
        <f t="shared" si="10"/>
        <v>0</v>
      </c>
      <c r="AG674" s="13"/>
    </row>
    <row r="675" spans="1:33" x14ac:dyDescent="0.35">
      <c r="A675" s="3">
        <v>44820</v>
      </c>
      <c r="B675" s="6">
        <f>LN(Raw!B677/Raw!B676)</f>
        <v>-1.5876356072305704E-2</v>
      </c>
      <c r="C675" s="6">
        <f>LN(Raw!C677/Raw!C676)</f>
        <v>-4.8732170753454908E-2</v>
      </c>
      <c r="D675" s="6">
        <f>LN(Raw!D677/Raw!D676)</f>
        <v>-5.1546546940803573E-2</v>
      </c>
      <c r="X675" s="3">
        <v>44820</v>
      </c>
      <c r="Y675" cm="1">
        <f t="array" ref="Y675">SUMPRODUCT($T$2:$T$4,TRANSPOSE(B675:D675))</f>
        <v>-2.4198649727956198E-2</v>
      </c>
      <c r="AD675" s="3">
        <v>44819</v>
      </c>
      <c r="AE675" s="4">
        <v>-6.1493139345466692E-3</v>
      </c>
      <c r="AF675">
        <f t="shared" si="10"/>
        <v>0</v>
      </c>
      <c r="AG675" s="13"/>
    </row>
    <row r="676" spans="1:33" x14ac:dyDescent="0.35">
      <c r="A676" s="3">
        <v>44823</v>
      </c>
      <c r="B676" s="6">
        <f>LN(Raw!B678/Raw!B677)</f>
        <v>-6.1071371120545405E-3</v>
      </c>
      <c r="C676" s="6">
        <f>LN(Raw!C678/Raw!C677)</f>
        <v>1.290856339728361E-2</v>
      </c>
      <c r="D676" s="6">
        <f>LN(Raw!D678/Raw!D677)</f>
        <v>-5.6293438471221712E-4</v>
      </c>
      <c r="X676" s="3">
        <v>44823</v>
      </c>
      <c r="Y676" cm="1">
        <f t="array" ref="Y676">SUMPRODUCT($T$2:$T$4,TRANSPOSE(B676:D676))</f>
        <v>-2.0378268474916185E-3</v>
      </c>
      <c r="AD676" s="3">
        <v>44820</v>
      </c>
      <c r="AE676" s="4">
        <v>-2.4198649727956198E-2</v>
      </c>
      <c r="AF676">
        <f t="shared" si="10"/>
        <v>0</v>
      </c>
      <c r="AG676" s="13"/>
    </row>
    <row r="677" spans="1:33" x14ac:dyDescent="0.35">
      <c r="A677" s="3">
        <v>44824</v>
      </c>
      <c r="B677" s="6">
        <f>LN(Raw!B679/Raw!B678)</f>
        <v>6.3128936490144932E-3</v>
      </c>
      <c r="C677" s="6">
        <f>LN(Raw!C679/Raw!C678)</f>
        <v>2.8016873102477179E-3</v>
      </c>
      <c r="D677" s="6">
        <f>LN(Raw!D679/Raw!D678)</f>
        <v>-5.0804534900111649E-3</v>
      </c>
      <c r="X677" s="3">
        <v>44824</v>
      </c>
      <c r="Y677" cm="1">
        <f t="array" ref="Y677">SUMPRODUCT($T$2:$T$4,TRANSPOSE(B677:D677))</f>
        <v>5.0483108633239048E-3</v>
      </c>
      <c r="AD677" s="3">
        <v>44823</v>
      </c>
      <c r="AE677" s="4">
        <v>-2.0378268474916185E-3</v>
      </c>
      <c r="AF677">
        <f t="shared" si="10"/>
        <v>0</v>
      </c>
      <c r="AG677" s="13"/>
    </row>
    <row r="678" spans="1:33" x14ac:dyDescent="0.35">
      <c r="A678" s="3">
        <v>44825</v>
      </c>
      <c r="B678" s="6">
        <f>LN(Raw!B680/Raw!B679)</f>
        <v>-1.2832217678773093E-2</v>
      </c>
      <c r="C678" s="6">
        <f>LN(Raw!C680/Raw!C679)</f>
        <v>1.1128908323453495E-2</v>
      </c>
      <c r="D678" s="6">
        <f>LN(Raw!D680/Raw!D679)</f>
        <v>-9.0961740759117424E-3</v>
      </c>
      <c r="X678" s="3">
        <v>44825</v>
      </c>
      <c r="Y678" cm="1">
        <f t="array" ref="Y678">SUMPRODUCT($T$2:$T$4,TRANSPOSE(B678:D678))</f>
        <v>-7.8654442335543782E-3</v>
      </c>
      <c r="AD678" s="3">
        <v>44824</v>
      </c>
      <c r="AE678" s="4">
        <v>5.0483108633239048E-3</v>
      </c>
      <c r="AF678">
        <f t="shared" si="10"/>
        <v>0</v>
      </c>
      <c r="AG678" s="13"/>
    </row>
    <row r="679" spans="1:33" x14ac:dyDescent="0.35">
      <c r="A679" s="3">
        <v>44826</v>
      </c>
      <c r="B679" s="6">
        <f>LN(Raw!B681/Raw!B680)</f>
        <v>-4.67715802151847E-3</v>
      </c>
      <c r="C679" s="6">
        <f>LN(Raw!C681/Raw!C680)</f>
        <v>9.4414696736208094E-3</v>
      </c>
      <c r="D679" s="6">
        <f>LN(Raw!D681/Raw!D680)</f>
        <v>1.3049895966311844E-2</v>
      </c>
      <c r="X679" s="3">
        <v>44826</v>
      </c>
      <c r="Y679" cm="1">
        <f t="array" ref="Y679">SUMPRODUCT($T$2:$T$4,TRANSPOSE(B679:D679))</f>
        <v>-9.8221659581076656E-4</v>
      </c>
      <c r="AD679" s="3">
        <v>44825</v>
      </c>
      <c r="AE679" s="4">
        <v>-7.8654442335543782E-3</v>
      </c>
      <c r="AF679">
        <f t="shared" si="10"/>
        <v>0</v>
      </c>
      <c r="AG679" s="13"/>
    </row>
    <row r="680" spans="1:33" x14ac:dyDescent="0.35">
      <c r="A680" s="3">
        <v>44827</v>
      </c>
      <c r="B680" s="6">
        <f>LN(Raw!B682/Raw!B681)</f>
        <v>-1.2763737869942782E-2</v>
      </c>
      <c r="C680" s="6">
        <f>LN(Raw!C682/Raw!C681)</f>
        <v>-3.2633269777453594E-2</v>
      </c>
      <c r="D680" s="6">
        <f>LN(Raw!D682/Raw!D681)</f>
        <v>-1.9926626672706369E-2</v>
      </c>
      <c r="X680" s="3">
        <v>44827</v>
      </c>
      <c r="Y680" cm="1">
        <f t="array" ref="Y680">SUMPRODUCT($T$2:$T$4,TRANSPOSE(B680:D680))</f>
        <v>-1.7083554425335875E-2</v>
      </c>
      <c r="AD680" s="3">
        <v>44826</v>
      </c>
      <c r="AE680" s="4">
        <v>-9.8221659581076656E-4</v>
      </c>
      <c r="AF680">
        <f t="shared" si="10"/>
        <v>0</v>
      </c>
      <c r="AG680" s="13"/>
    </row>
    <row r="681" spans="1:33" x14ac:dyDescent="0.35">
      <c r="A681" s="3">
        <v>44830</v>
      </c>
      <c r="B681" s="6">
        <f>LN(Raw!B683/Raw!B682)</f>
        <v>-2.907731096422916E-2</v>
      </c>
      <c r="C681" s="6">
        <f>LN(Raw!C683/Raw!C682)</f>
        <v>-3.6667262322714882E-2</v>
      </c>
      <c r="D681" s="6">
        <f>LN(Raw!D683/Raw!D682)</f>
        <v>-4.2284648548111162E-2</v>
      </c>
      <c r="X681" s="3">
        <v>44830</v>
      </c>
      <c r="Y681" cm="1">
        <f t="array" ref="Y681">SUMPRODUCT($T$2:$T$4,TRANSPOSE(B681:D681))</f>
        <v>-3.1245655384311084E-2</v>
      </c>
      <c r="AD681" s="3">
        <v>44827</v>
      </c>
      <c r="AE681" s="4">
        <v>-1.7083554425335875E-2</v>
      </c>
      <c r="AF681">
        <f t="shared" si="10"/>
        <v>0</v>
      </c>
      <c r="AG681" s="13"/>
    </row>
    <row r="682" spans="1:33" x14ac:dyDescent="0.35">
      <c r="A682" s="3">
        <v>44831</v>
      </c>
      <c r="B682" s="6">
        <f>LN(Raw!B684/Raw!B683)</f>
        <v>1.1111158986453618E-2</v>
      </c>
      <c r="C682" s="6">
        <f>LN(Raw!C684/Raw!C683)</f>
        <v>-9.6986643834854093E-3</v>
      </c>
      <c r="D682" s="6">
        <f>LN(Raw!D684/Raw!D683)</f>
        <v>-6.0168994656212794E-3</v>
      </c>
      <c r="X682" s="3">
        <v>44831</v>
      </c>
      <c r="Y682" cm="1">
        <f t="array" ref="Y682">SUMPRODUCT($T$2:$T$4,TRANSPOSE(B682:D682))</f>
        <v>6.1105127253368056E-3</v>
      </c>
      <c r="AD682" s="3">
        <v>44830</v>
      </c>
      <c r="AE682" s="4">
        <v>-3.1245655384311084E-2</v>
      </c>
      <c r="AF682">
        <f t="shared" si="10"/>
        <v>0</v>
      </c>
      <c r="AG682" s="13"/>
    </row>
    <row r="683" spans="1:33" x14ac:dyDescent="0.35">
      <c r="A683" s="3">
        <v>44832</v>
      </c>
      <c r="B683" s="6">
        <f>LN(Raw!B685/Raw!B684)</f>
        <v>4.8656952667992049E-3</v>
      </c>
      <c r="C683" s="6">
        <f>LN(Raw!C685/Raw!C684)</f>
        <v>5.4934372600866166E-3</v>
      </c>
      <c r="D683" s="6">
        <f>LN(Raw!D685/Raw!D684)</f>
        <v>3.1484615123107955E-2</v>
      </c>
      <c r="X683" s="3">
        <v>44832</v>
      </c>
      <c r="Y683" cm="1">
        <f t="array" ref="Y683">SUMPRODUCT($T$2:$T$4,TRANSPOSE(B683:D683))</f>
        <v>6.3083457420588475E-3</v>
      </c>
      <c r="AD683" s="3">
        <v>44831</v>
      </c>
      <c r="AE683" s="4">
        <v>6.1105127253368056E-3</v>
      </c>
      <c r="AF683">
        <f t="shared" si="10"/>
        <v>0</v>
      </c>
      <c r="AG683" s="13"/>
    </row>
    <row r="684" spans="1:33" x14ac:dyDescent="0.35">
      <c r="A684" s="3">
        <v>44833</v>
      </c>
      <c r="B684" s="6">
        <f>LN(Raw!B686/Raw!B685)</f>
        <v>1.6309018105314726E-3</v>
      </c>
      <c r="C684" s="6">
        <f>LN(Raw!C686/Raw!C685)</f>
        <v>2.3324571330066646E-2</v>
      </c>
      <c r="D684" s="6">
        <f>LN(Raw!D686/Raw!D685)</f>
        <v>1.1688770887478424E-3</v>
      </c>
      <c r="X684" s="3">
        <v>44833</v>
      </c>
      <c r="Y684" cm="1">
        <f t="array" ref="Y684">SUMPRODUCT($T$2:$T$4,TRANSPOSE(B684:D684))</f>
        <v>5.9374003162429856E-3</v>
      </c>
      <c r="AD684" s="3">
        <v>44832</v>
      </c>
      <c r="AE684" s="4">
        <v>6.3083457420588475E-3</v>
      </c>
      <c r="AF684">
        <f t="shared" si="10"/>
        <v>0</v>
      </c>
      <c r="AG684" s="13"/>
    </row>
    <row r="685" spans="1:33" x14ac:dyDescent="0.35">
      <c r="A685" s="3">
        <v>44834</v>
      </c>
      <c r="B685" s="6">
        <f>LN(Raw!B687/Raw!B686)</f>
        <v>-1.2774752473852152E-2</v>
      </c>
      <c r="C685" s="6">
        <f>LN(Raw!C687/Raw!C686)</f>
        <v>1.2275065700632895E-2</v>
      </c>
      <c r="D685" s="6">
        <f>LN(Raw!D687/Raw!D686)</f>
        <v>2.9163667535624183E-3</v>
      </c>
      <c r="X685" s="3">
        <v>44834</v>
      </c>
      <c r="Y685" cm="1">
        <f t="array" ref="Y685">SUMPRODUCT($T$2:$T$4,TRANSPOSE(B685:D685))</f>
        <v>-6.9990528162434448E-3</v>
      </c>
      <c r="AD685" s="3">
        <v>44833</v>
      </c>
      <c r="AE685" s="4">
        <v>5.9374003162429856E-3</v>
      </c>
      <c r="AF685">
        <f t="shared" si="10"/>
        <v>0</v>
      </c>
      <c r="AG685" s="13"/>
    </row>
    <row r="686" spans="1:33" x14ac:dyDescent="0.35">
      <c r="A686" s="3">
        <v>44837</v>
      </c>
      <c r="B686" s="6">
        <f>LN(Raw!B688/Raw!B687)</f>
        <v>-2.257862962020777E-2</v>
      </c>
      <c r="C686" s="6">
        <f>LN(Raw!C688/Raw!C687)</f>
        <v>9.7128264883084483E-3</v>
      </c>
      <c r="D686" s="6">
        <f>LN(Raw!D688/Raw!D687)</f>
        <v>5.2280129771602873E-3</v>
      </c>
      <c r="X686" s="3">
        <v>44837</v>
      </c>
      <c r="Y686" cm="1">
        <f t="array" ref="Y686">SUMPRODUCT($T$2:$T$4,TRANSPOSE(B686:D686))</f>
        <v>-1.4758131461553964E-2</v>
      </c>
      <c r="AD686" s="3">
        <v>44834</v>
      </c>
      <c r="AE686" s="4">
        <v>-6.9990528162434448E-3</v>
      </c>
      <c r="AF686">
        <f t="shared" si="10"/>
        <v>0</v>
      </c>
      <c r="AG686" s="13"/>
    </row>
    <row r="687" spans="1:33" x14ac:dyDescent="0.35">
      <c r="A687" s="3">
        <v>44838</v>
      </c>
      <c r="B687" s="6">
        <f>LN(Raw!B689/Raw!B688)</f>
        <v>2.1535615596376012E-2</v>
      </c>
      <c r="C687" s="6">
        <f>LN(Raw!C689/Raw!C688)</f>
        <v>2.033154214505899E-2</v>
      </c>
      <c r="D687" s="6">
        <f>LN(Raw!D689/Raw!D688)</f>
        <v>8.0785843116520737E-3</v>
      </c>
      <c r="X687" s="3">
        <v>44838</v>
      </c>
      <c r="Y687" cm="1">
        <f t="array" ref="Y687">SUMPRODUCT($T$2:$T$4,TRANSPOSE(B687:D687))</f>
        <v>2.0629330829903418E-2</v>
      </c>
      <c r="AD687" s="3">
        <v>44837</v>
      </c>
      <c r="AE687" s="4">
        <v>-1.4758131461553964E-2</v>
      </c>
      <c r="AF687">
        <f t="shared" si="10"/>
        <v>0</v>
      </c>
      <c r="AG687" s="13"/>
    </row>
    <row r="688" spans="1:33" x14ac:dyDescent="0.35">
      <c r="A688" s="3">
        <v>44840</v>
      </c>
      <c r="B688" s="6">
        <f>LN(Raw!B690/Raw!B689)</f>
        <v>9.0893193509383081E-3</v>
      </c>
      <c r="C688" s="6">
        <f>LN(Raw!C690/Raw!C689)</f>
        <v>1.3328325619651736E-2</v>
      </c>
      <c r="D688" s="6">
        <f>LN(Raw!D690/Raw!D689)</f>
        <v>1.0860296768482755E-2</v>
      </c>
      <c r="X688" s="3">
        <v>44840</v>
      </c>
      <c r="Y688" cm="1">
        <f t="array" ref="Y688">SUMPRODUCT($T$2:$T$4,TRANSPOSE(B688:D688))</f>
        <v>1.0022935520394363E-2</v>
      </c>
      <c r="AD688" s="3">
        <v>44838</v>
      </c>
      <c r="AE688" s="4">
        <v>2.0629330829903418E-2</v>
      </c>
      <c r="AF688">
        <f t="shared" si="10"/>
        <v>0</v>
      </c>
      <c r="AG688" s="13"/>
    </row>
    <row r="689" spans="1:33" x14ac:dyDescent="0.35">
      <c r="A689" s="3">
        <v>44841</v>
      </c>
      <c r="B689" s="6">
        <f>LN(Raw!B691/Raw!B690)</f>
        <v>-1.3490494751917161E-2</v>
      </c>
      <c r="C689" s="6">
        <f>LN(Raw!C691/Raw!C690)</f>
        <v>-2.0059702430614338E-2</v>
      </c>
      <c r="D689" s="6">
        <f>LN(Raw!D691/Raw!D690)</f>
        <v>5.6837334996582536E-4</v>
      </c>
      <c r="X689" s="3">
        <v>44841</v>
      </c>
      <c r="Y689" cm="1">
        <f t="array" ref="Y689">SUMPRODUCT($T$2:$T$4,TRANSPOSE(B689:D689))</f>
        <v>-1.4105723945834299E-2</v>
      </c>
      <c r="AD689" s="3">
        <v>44840</v>
      </c>
      <c r="AE689" s="4">
        <v>1.0022935520394363E-2</v>
      </c>
      <c r="AF689">
        <f t="shared" si="10"/>
        <v>0</v>
      </c>
      <c r="AG689" s="13"/>
    </row>
    <row r="690" spans="1:33" x14ac:dyDescent="0.35">
      <c r="A690" s="3">
        <v>44844</v>
      </c>
      <c r="B690" s="6">
        <f>LN(Raw!B692/Raw!B691)</f>
        <v>-1.3896572029129813E-2</v>
      </c>
      <c r="C690" s="6">
        <f>LN(Raw!C692/Raw!C691)</f>
        <v>-1.1990504457318852E-2</v>
      </c>
      <c r="D690" s="6">
        <f>LN(Raw!D692/Raw!D691)</f>
        <v>-1.1428670118448503E-2</v>
      </c>
      <c r="X690" s="3">
        <v>44844</v>
      </c>
      <c r="Y690" cm="1">
        <f t="array" ref="Y690">SUMPRODUCT($T$2:$T$4,TRANSPOSE(B690:D690))</f>
        <v>-1.3394044913328705E-2</v>
      </c>
      <c r="AD690" s="3">
        <v>44841</v>
      </c>
      <c r="AE690" s="4">
        <v>-1.4105723945834299E-2</v>
      </c>
      <c r="AF690">
        <f t="shared" si="10"/>
        <v>0</v>
      </c>
      <c r="AG690" s="13"/>
    </row>
    <row r="691" spans="1:33" x14ac:dyDescent="0.35">
      <c r="A691" s="3">
        <v>44845</v>
      </c>
      <c r="B691" s="6">
        <f>LN(Raw!B693/Raw!B692)</f>
        <v>5.2559390117234185E-3</v>
      </c>
      <c r="C691" s="6">
        <f>LN(Raw!C693/Raw!C692)</f>
        <v>-1.3765354060455027E-2</v>
      </c>
      <c r="D691" s="6">
        <f>LN(Raw!D693/Raw!D692)</f>
        <v>-1.6222964042374673E-2</v>
      </c>
      <c r="X691" s="3">
        <v>44845</v>
      </c>
      <c r="Y691" cm="1">
        <f t="array" ref="Y691">SUMPRODUCT($T$2:$T$4,TRANSPOSE(B691:D691))</f>
        <v>3.9690260046951556E-4</v>
      </c>
      <c r="AD691" s="3">
        <v>44844</v>
      </c>
      <c r="AE691" s="4">
        <v>-1.3394044913328705E-2</v>
      </c>
      <c r="AF691">
        <f t="shared" si="10"/>
        <v>0</v>
      </c>
      <c r="AG691" s="13"/>
    </row>
    <row r="692" spans="1:33" x14ac:dyDescent="0.35">
      <c r="A692" s="3">
        <v>44846</v>
      </c>
      <c r="B692" s="6">
        <f>LN(Raw!B694/Raw!B693)</f>
        <v>-6.6103175121999817E-4</v>
      </c>
      <c r="C692" s="6">
        <f>LN(Raw!C694/Raw!C693)</f>
        <v>7.3111058693576042E-3</v>
      </c>
      <c r="D692" s="6">
        <f>LN(Raw!D694/Raw!D693)</f>
        <v>5.8397254488041855E-4</v>
      </c>
      <c r="X692" s="3">
        <v>44846</v>
      </c>
      <c r="Y692" cm="1">
        <f t="array" ref="Y692">SUMPRODUCT($T$2:$T$4,TRANSPOSE(B692:D692))</f>
        <v>9.9156792442814563E-4</v>
      </c>
      <c r="AD692" s="3">
        <v>44845</v>
      </c>
      <c r="AE692" s="4">
        <v>3.9690260046951556E-4</v>
      </c>
      <c r="AF692">
        <f t="shared" si="10"/>
        <v>0</v>
      </c>
      <c r="AG692" s="13"/>
    </row>
    <row r="693" spans="1:33" x14ac:dyDescent="0.35">
      <c r="A693" s="3">
        <v>44847</v>
      </c>
      <c r="B693" s="6">
        <f>LN(Raw!B695/Raw!B694)</f>
        <v>-2.2063421614533889E-3</v>
      </c>
      <c r="C693" s="6">
        <f>LN(Raw!C695/Raw!C694)</f>
        <v>-1.0168838336591723E-2</v>
      </c>
      <c r="D693" s="6">
        <f>LN(Raw!D695/Raw!D694)</f>
        <v>-4.6810799828358026E-3</v>
      </c>
      <c r="X693" s="3">
        <v>44847</v>
      </c>
      <c r="Y693" cm="1">
        <f t="array" ref="Y693">SUMPRODUCT($T$2:$T$4,TRANSPOSE(B693:D693))</f>
        <v>-3.9178773341872405E-3</v>
      </c>
      <c r="AD693" s="3">
        <v>44846</v>
      </c>
      <c r="AE693" s="4">
        <v>9.9156792442814563E-4</v>
      </c>
      <c r="AF693">
        <f t="shared" si="10"/>
        <v>0</v>
      </c>
      <c r="AG693" s="13"/>
    </row>
    <row r="694" spans="1:33" x14ac:dyDescent="0.35">
      <c r="A694" s="3">
        <v>44848</v>
      </c>
      <c r="B694" s="6">
        <f>LN(Raw!B696/Raw!B695)</f>
        <v>-4.5607257753160456E-3</v>
      </c>
      <c r="C694" s="6">
        <f>LN(Raw!C696/Raw!C695)</f>
        <v>3.6726620650483458E-3</v>
      </c>
      <c r="D694" s="6">
        <f>LN(Raw!D696/Raw!D695)</f>
        <v>4.0971074379553205E-3</v>
      </c>
      <c r="X694" s="3">
        <v>44848</v>
      </c>
      <c r="Y694" cm="1">
        <f t="array" ref="Y694">SUMPRODUCT($T$2:$T$4,TRANSPOSE(B694:D694))</f>
        <v>-2.4891271479315965E-3</v>
      </c>
      <c r="AD694" s="3">
        <v>44847</v>
      </c>
      <c r="AE694" s="4">
        <v>-3.9178773341872405E-3</v>
      </c>
      <c r="AF694">
        <f t="shared" si="10"/>
        <v>0</v>
      </c>
      <c r="AG694" s="13"/>
    </row>
    <row r="695" spans="1:33" x14ac:dyDescent="0.35">
      <c r="A695" s="3">
        <v>44851</v>
      </c>
      <c r="B695" s="6">
        <f>LN(Raw!B697/Raw!B696)</f>
        <v>5.0467136420442645E-3</v>
      </c>
      <c r="C695" s="6">
        <f>LN(Raw!C697/Raw!C696)</f>
        <v>0</v>
      </c>
      <c r="D695" s="6">
        <f>LN(Raw!D697/Raw!D696)</f>
        <v>0</v>
      </c>
      <c r="X695" s="3">
        <v>44851</v>
      </c>
      <c r="Y695" cm="1">
        <f t="array" ref="Y695">SUMPRODUCT($T$2:$T$4,TRANSPOSE(B695:D695))</f>
        <v>3.789788192517293E-3</v>
      </c>
      <c r="AD695" s="3">
        <v>44848</v>
      </c>
      <c r="AE695" s="4">
        <v>-2.4891271479315965E-3</v>
      </c>
      <c r="AF695">
        <f t="shared" si="10"/>
        <v>0</v>
      </c>
      <c r="AG695" s="13"/>
    </row>
    <row r="696" spans="1:33" x14ac:dyDescent="0.35">
      <c r="A696" s="3">
        <v>44852</v>
      </c>
      <c r="B696" s="6">
        <f>LN(Raw!B698/Raw!B697)</f>
        <v>1.4944755317139655E-2</v>
      </c>
      <c r="C696" s="6">
        <f>LN(Raw!C698/Raw!C697)</f>
        <v>1.2548252085286527E-2</v>
      </c>
      <c r="D696" s="6">
        <f>LN(Raw!D698/Raw!D697)</f>
        <v>6.9848979358561819E-3</v>
      </c>
      <c r="X696" s="3">
        <v>44852</v>
      </c>
      <c r="Y696" cm="1">
        <f t="array" ref="Y696">SUMPRODUCT($T$2:$T$4,TRANSPOSE(B696:D696))</f>
        <v>1.4072555409765706E-2</v>
      </c>
      <c r="AD696" s="3">
        <v>44851</v>
      </c>
      <c r="AE696" s="4">
        <v>3.789788192517293E-3</v>
      </c>
      <c r="AF696">
        <f t="shared" si="10"/>
        <v>0</v>
      </c>
      <c r="AG696" s="13"/>
    </row>
    <row r="697" spans="1:33" x14ac:dyDescent="0.35">
      <c r="A697" s="3">
        <v>44853</v>
      </c>
      <c r="B697" s="6">
        <f>LN(Raw!B699/Raw!B698)</f>
        <v>-1.0055448195581873E-2</v>
      </c>
      <c r="C697" s="6">
        <f>LN(Raw!C699/Raw!C698)</f>
        <v>-1.2955735372897308E-2</v>
      </c>
      <c r="D697" s="6">
        <f>LN(Raw!D699/Raw!D698)</f>
        <v>-1.16073632563244E-3</v>
      </c>
      <c r="X697" s="3">
        <v>44853</v>
      </c>
      <c r="Y697" cm="1">
        <f t="array" ref="Y697">SUMPRODUCT($T$2:$T$4,TRANSPOSE(B697:D697))</f>
        <v>-1.0194052619889656E-2</v>
      </c>
      <c r="AD697" s="3">
        <v>44852</v>
      </c>
      <c r="AE697" s="4">
        <v>1.4072555409765706E-2</v>
      </c>
      <c r="AF697">
        <f t="shared" si="10"/>
        <v>0</v>
      </c>
      <c r="AG697" s="13"/>
    </row>
    <row r="698" spans="1:33" x14ac:dyDescent="0.35">
      <c r="A698" s="3">
        <v>44854</v>
      </c>
      <c r="B698" s="6">
        <f>LN(Raw!B700/Raw!B699)</f>
        <v>1.3139168213371714E-2</v>
      </c>
      <c r="C698" s="6">
        <f>LN(Raw!C700/Raw!C699)</f>
        <v>-1.2231760622300779E-3</v>
      </c>
      <c r="D698" s="6">
        <f>LN(Raw!D700/Raw!D699)</f>
        <v>-4.0732660527131983E-3</v>
      </c>
      <c r="X698" s="3">
        <v>44854</v>
      </c>
      <c r="Y698" cm="1">
        <f t="array" ref="Y698">SUMPRODUCT($T$2:$T$4,TRANSPOSE(B698:D698))</f>
        <v>9.4210572497200294E-3</v>
      </c>
      <c r="AD698" s="3">
        <v>44853</v>
      </c>
      <c r="AE698" s="4">
        <v>-1.0194052619889656E-2</v>
      </c>
      <c r="AF698">
        <f t="shared" si="10"/>
        <v>0</v>
      </c>
      <c r="AG698" s="13"/>
    </row>
    <row r="699" spans="1:33" x14ac:dyDescent="0.35">
      <c r="A699" s="3">
        <v>44855</v>
      </c>
      <c r="B699" s="6">
        <f>LN(Raw!B701/Raw!B700)</f>
        <v>-1.0411675057320803E-3</v>
      </c>
      <c r="C699" s="6">
        <f>LN(Raw!C701/Raw!C700)</f>
        <v>-1.2315378148405842E-2</v>
      </c>
      <c r="D699" s="6">
        <f>LN(Raw!D701/Raw!D700)</f>
        <v>-3.5047700045744215E-3</v>
      </c>
      <c r="X699" s="3">
        <v>44855</v>
      </c>
      <c r="Y699" cm="1">
        <f t="array" ref="Y699">SUMPRODUCT($T$2:$T$4,TRANSPOSE(B699:D699))</f>
        <v>-3.4130641282408146E-3</v>
      </c>
      <c r="AD699" s="3">
        <v>44854</v>
      </c>
      <c r="AE699" s="4">
        <v>9.4210572497200294E-3</v>
      </c>
      <c r="AF699">
        <f t="shared" si="10"/>
        <v>0</v>
      </c>
      <c r="AG699" s="13"/>
    </row>
    <row r="700" spans="1:33" x14ac:dyDescent="0.35">
      <c r="A700" s="3">
        <v>44858</v>
      </c>
      <c r="B700" s="6">
        <f>LN(Raw!B702/Raw!B701)</f>
        <v>-1.5207688498035719E-3</v>
      </c>
      <c r="C700" s="6">
        <f>LN(Raw!C702/Raw!C701)</f>
        <v>7.8173055770895984E-3</v>
      </c>
      <c r="D700" s="6">
        <f>LN(Raw!D702/Raw!D701)</f>
        <v>6.9972994841031259E-3</v>
      </c>
      <c r="X700" s="3">
        <v>44858</v>
      </c>
      <c r="Y700" cm="1">
        <f t="array" ref="Y700">SUMPRODUCT($T$2:$T$4,TRANSPOSE(B700:D700))</f>
        <v>7.6437296387798213E-4</v>
      </c>
      <c r="AD700" s="3">
        <v>44855</v>
      </c>
      <c r="AE700" s="4">
        <v>-3.4130641282408146E-3</v>
      </c>
      <c r="AF700">
        <f t="shared" si="10"/>
        <v>0</v>
      </c>
      <c r="AG700" s="13"/>
    </row>
    <row r="701" spans="1:33" x14ac:dyDescent="0.35">
      <c r="A701" s="3">
        <v>44859</v>
      </c>
      <c r="B701" s="6">
        <f>LN(Raw!B703/Raw!B702)</f>
        <v>3.4290380460977516E-3</v>
      </c>
      <c r="C701" s="6">
        <f>LN(Raw!C703/Raw!C702)</f>
        <v>-1.3201395642320696E-2</v>
      </c>
      <c r="D701" s="6">
        <f>LN(Raw!D703/Raw!D702)</f>
        <v>-2.3270582834768335E-3</v>
      </c>
      <c r="X701" s="3">
        <v>44859</v>
      </c>
      <c r="Y701" cm="1">
        <f t="array" ref="Y701">SUMPRODUCT($T$2:$T$4,TRANSPOSE(B701:D701))</f>
        <v>-1.7473569156772111E-4</v>
      </c>
      <c r="AD701" s="3">
        <v>44858</v>
      </c>
      <c r="AE701" s="4">
        <v>7.6437296387798213E-4</v>
      </c>
      <c r="AF701">
        <f t="shared" si="10"/>
        <v>0</v>
      </c>
      <c r="AG701" s="13"/>
    </row>
    <row r="702" spans="1:33" x14ac:dyDescent="0.35">
      <c r="A702" s="3">
        <v>44861</v>
      </c>
      <c r="B702" s="6">
        <f>LN(Raw!B704/Raw!B703)</f>
        <v>1.0901954014582734E-2</v>
      </c>
      <c r="C702" s="6">
        <f>LN(Raw!C704/Raw!C703)</f>
        <v>1.6474794159232385E-2</v>
      </c>
      <c r="D702" s="6">
        <f>LN(Raw!D704/Raw!D703)</f>
        <v>1.6748852552246157E-2</v>
      </c>
      <c r="X702" s="3">
        <v>44861</v>
      </c>
      <c r="Y702" cm="1">
        <f t="array" ref="Y702">SUMPRODUCT($T$2:$T$4,TRANSPOSE(B702:D702))</f>
        <v>1.2303478627273785E-2</v>
      </c>
      <c r="AD702" s="3">
        <v>44859</v>
      </c>
      <c r="AE702" s="4">
        <v>-1.7473569156772111E-4</v>
      </c>
      <c r="AF702">
        <f t="shared" si="10"/>
        <v>0</v>
      </c>
      <c r="AG702" s="13"/>
    </row>
    <row r="703" spans="1:33" x14ac:dyDescent="0.35">
      <c r="A703" s="3">
        <v>44862</v>
      </c>
      <c r="B703" s="6">
        <f>LN(Raw!B705/Raw!B704)</f>
        <v>1.9773275036086124E-3</v>
      </c>
      <c r="C703" s="6">
        <f>LN(Raw!C705/Raw!C704)</f>
        <v>1.4196096990108653E-2</v>
      </c>
      <c r="D703" s="6">
        <f>LN(Raw!D705/Raw!D704)</f>
        <v>1.1955741278374678E-2</v>
      </c>
      <c r="X703" s="3">
        <v>44862</v>
      </c>
      <c r="Y703" cm="1">
        <f t="array" ref="Y703">SUMPRODUCT($T$2:$T$4,TRANSPOSE(B703:D703))</f>
        <v>4.9096367512851949E-3</v>
      </c>
      <c r="AD703" s="3">
        <v>44861</v>
      </c>
      <c r="AE703" s="4">
        <v>1.2303478627273785E-2</v>
      </c>
      <c r="AF703">
        <f t="shared" si="10"/>
        <v>0</v>
      </c>
      <c r="AG703" s="13"/>
    </row>
    <row r="704" spans="1:33" x14ac:dyDescent="0.35">
      <c r="A704" s="3">
        <v>44865</v>
      </c>
      <c r="B704" s="6">
        <f>LN(Raw!B706/Raw!B705)</f>
        <v>4.7980674929766487E-3</v>
      </c>
      <c r="C704" s="6">
        <f>LN(Raw!C706/Raw!C705)</f>
        <v>-3.2271827876527337E-3</v>
      </c>
      <c r="D704" s="6">
        <f>LN(Raw!D706/Raw!D705)</f>
        <v>5.6433878747233004E-3</v>
      </c>
      <c r="X704" s="3">
        <v>44865</v>
      </c>
      <c r="Y704" cm="1">
        <f t="array" ref="Y704">SUMPRODUCT($T$2:$T$4,TRANSPOSE(B704:D704))</f>
        <v>3.2383185863895901E-3</v>
      </c>
      <c r="AD704" s="3">
        <v>44862</v>
      </c>
      <c r="AE704" s="4">
        <v>4.9096367512851949E-3</v>
      </c>
      <c r="AF704">
        <f t="shared" si="10"/>
        <v>0</v>
      </c>
      <c r="AG704" s="13"/>
    </row>
    <row r="705" spans="1:33" x14ac:dyDescent="0.35">
      <c r="A705" s="3">
        <v>44866</v>
      </c>
      <c r="B705" s="6">
        <f>LN(Raw!B707/Raw!B706)</f>
        <v>1.8361703993166917E-3</v>
      </c>
      <c r="C705" s="6">
        <f>LN(Raw!C707/Raw!C706)</f>
        <v>1.8018535455431334E-2</v>
      </c>
      <c r="D705" s="6">
        <f>LN(Raw!D707/Raw!D706)</f>
        <v>-3.3821917725803128E-3</v>
      </c>
      <c r="X705" s="3">
        <v>44866</v>
      </c>
      <c r="Y705" cm="1">
        <f t="array" ref="Y705">SUMPRODUCT($T$2:$T$4,TRANSPOSE(B705:D705))</f>
        <v>4.8073967435250282E-3</v>
      </c>
      <c r="AD705" s="3">
        <v>44865</v>
      </c>
      <c r="AE705" s="4">
        <v>3.2383185863895901E-3</v>
      </c>
      <c r="AF705">
        <f t="shared" si="10"/>
        <v>0</v>
      </c>
      <c r="AG705" s="13"/>
    </row>
    <row r="706" spans="1:33" x14ac:dyDescent="0.35">
      <c r="A706" s="3">
        <v>44867</v>
      </c>
      <c r="B706" s="6">
        <f>LN(Raw!B708/Raw!B707)</f>
        <v>-3.6326688480721034E-3</v>
      </c>
      <c r="C706" s="6">
        <f>LN(Raw!C708/Raw!C707)</f>
        <v>4.7506105661878238E-3</v>
      </c>
      <c r="D706" s="6">
        <f>LN(Raw!D708/Raw!D707)</f>
        <v>-5.0948334057396554E-3</v>
      </c>
      <c r="X706" s="3">
        <v>44867</v>
      </c>
      <c r="Y706" cm="1">
        <f t="array" ref="Y706">SUMPRODUCT($T$2:$T$4,TRANSPOSE(B706:D706))</f>
        <v>-2.0319964468385968E-3</v>
      </c>
      <c r="AD706" s="3">
        <v>44866</v>
      </c>
      <c r="AE706" s="4">
        <v>4.8073967435250282E-3</v>
      </c>
      <c r="AF706">
        <f t="shared" si="10"/>
        <v>0</v>
      </c>
      <c r="AG706" s="13"/>
    </row>
    <row r="707" spans="1:33" x14ac:dyDescent="0.35">
      <c r="A707" s="3">
        <v>44868</v>
      </c>
      <c r="B707" s="6">
        <f>LN(Raw!B709/Raw!B708)</f>
        <v>-2.271663933213838E-3</v>
      </c>
      <c r="C707" s="6">
        <f>LN(Raw!C709/Raw!C708)</f>
        <v>-3.5607088363443372E-3</v>
      </c>
      <c r="D707" s="6">
        <f>LN(Raw!D709/Raw!D708)</f>
        <v>7.3509280333359421E-3</v>
      </c>
      <c r="X707" s="3">
        <v>44868</v>
      </c>
      <c r="Y707" cm="1">
        <f t="array" ref="Y707">SUMPRODUCT($T$2:$T$4,TRANSPOSE(B707:D707))</f>
        <v>-2.0526930163629804E-3</v>
      </c>
      <c r="AD707" s="3">
        <v>44867</v>
      </c>
      <c r="AE707" s="4">
        <v>-2.0319964468385968E-3</v>
      </c>
      <c r="AF707">
        <f t="shared" ref="AF707:AF770" si="11">IF(AE707&lt;$AB$2,1,0)</f>
        <v>0</v>
      </c>
      <c r="AG707" s="13"/>
    </row>
    <row r="708" spans="1:33" x14ac:dyDescent="0.35">
      <c r="A708" s="3">
        <v>44869</v>
      </c>
      <c r="B708" s="6">
        <f>LN(Raw!B710/Raw!B709)</f>
        <v>-3.4817687586188714E-3</v>
      </c>
      <c r="C708" s="6">
        <f>LN(Raw!C710/Raw!C709)</f>
        <v>4.001303912573196E-2</v>
      </c>
      <c r="D708" s="6">
        <f>LN(Raw!D710/Raw!D709)</f>
        <v>6.541835686502312E-2</v>
      </c>
      <c r="X708" s="3">
        <v>44869</v>
      </c>
      <c r="Y708" cm="1">
        <f t="array" ref="Y708">SUMPRODUCT($T$2:$T$4,TRANSPOSE(B708:D708))</f>
        <v>8.6082817004855972E-3</v>
      </c>
      <c r="AD708" s="3">
        <v>44868</v>
      </c>
      <c r="AE708" s="4">
        <v>-2.0526930163629804E-3</v>
      </c>
      <c r="AF708">
        <f t="shared" si="11"/>
        <v>0</v>
      </c>
      <c r="AG708" s="13"/>
    </row>
    <row r="709" spans="1:33" x14ac:dyDescent="0.35">
      <c r="A709" s="3">
        <v>44872</v>
      </c>
      <c r="B709" s="6">
        <f>LN(Raw!B711/Raw!B710)</f>
        <v>-7.7556659690987656E-4</v>
      </c>
      <c r="C709" s="6">
        <f>LN(Raw!C711/Raw!C710)</f>
        <v>-9.1813465526371669E-3</v>
      </c>
      <c r="D709" s="6">
        <f>LN(Raw!D711/Raw!D710)</f>
        <v>1.7264365238149108E-2</v>
      </c>
      <c r="X709" s="3">
        <v>44872</v>
      </c>
      <c r="Y709" cm="1">
        <f t="array" ref="Y709">SUMPRODUCT($T$2:$T$4,TRANSPOSE(B709:D709))</f>
        <v>-1.5602938404428641E-3</v>
      </c>
      <c r="AD709" s="3">
        <v>44869</v>
      </c>
      <c r="AE709" s="4">
        <v>8.6082817004855972E-3</v>
      </c>
      <c r="AF709">
        <f t="shared" si="11"/>
        <v>0</v>
      </c>
      <c r="AG709" s="13"/>
    </row>
    <row r="710" spans="1:33" x14ac:dyDescent="0.35">
      <c r="A710" s="3">
        <v>44874</v>
      </c>
      <c r="B710" s="6">
        <f>LN(Raw!B712/Raw!B711)</f>
        <v>-4.1023510588032814E-3</v>
      </c>
      <c r="C710" s="6">
        <f>LN(Raw!C712/Raw!C711)</f>
        <v>4.5086408645090927E-2</v>
      </c>
      <c r="D710" s="6">
        <f>LN(Raw!D712/Raw!D711)</f>
        <v>1.2883488152469499E-2</v>
      </c>
      <c r="X710" s="3">
        <v>44874</v>
      </c>
      <c r="Y710" cm="1">
        <f t="array" ref="Y710">SUMPRODUCT($T$2:$T$4,TRANSPOSE(B710:D710))</f>
        <v>6.5547867943491558E-3</v>
      </c>
      <c r="AD710" s="3">
        <v>44872</v>
      </c>
      <c r="AE710" s="4">
        <v>-1.5602938404428641E-3</v>
      </c>
      <c r="AF710">
        <f t="shared" si="11"/>
        <v>0</v>
      </c>
      <c r="AG710" s="13"/>
    </row>
    <row r="711" spans="1:33" x14ac:dyDescent="0.35">
      <c r="A711" s="3">
        <v>44875</v>
      </c>
      <c r="B711" s="6">
        <f>LN(Raw!B713/Raw!B712)</f>
        <v>-1.8032744866178316E-2</v>
      </c>
      <c r="C711" s="6">
        <f>LN(Raw!C713/Raw!C712)</f>
        <v>3.961639421715879E-2</v>
      </c>
      <c r="D711" s="6">
        <f>LN(Raw!D713/Raw!D712)</f>
        <v>4.5541987041817347E-2</v>
      </c>
      <c r="X711" s="3">
        <v>44875</v>
      </c>
      <c r="Y711" cm="1">
        <f t="array" ref="Y711">SUMPRODUCT($T$2:$T$4,TRANSPOSE(B711:D711))</f>
        <v>-3.3814957682106101E-3</v>
      </c>
      <c r="AD711" s="3">
        <v>44874</v>
      </c>
      <c r="AE711" s="4">
        <v>6.5547867943491558E-3</v>
      </c>
      <c r="AF711">
        <f t="shared" si="11"/>
        <v>0</v>
      </c>
      <c r="AG711" s="13"/>
    </row>
    <row r="712" spans="1:33" x14ac:dyDescent="0.35">
      <c r="A712" s="3">
        <v>44876</v>
      </c>
      <c r="B712" s="6">
        <f>LN(Raw!B714/Raw!B713)</f>
        <v>-2.6027165878597168E-3</v>
      </c>
      <c r="C712" s="6">
        <f>LN(Raw!C714/Raw!C713)</f>
        <v>-4.2464151405411047E-3</v>
      </c>
      <c r="D712" s="6">
        <f>LN(Raw!D714/Raw!D713)</f>
        <v>-9.3390017941708293E-3</v>
      </c>
      <c r="X712" s="3">
        <v>44876</v>
      </c>
      <c r="Y712" cm="1">
        <f t="array" ref="Y712">SUMPRODUCT($T$2:$T$4,TRANSPOSE(B712:D712))</f>
        <v>-3.2641258345683373E-3</v>
      </c>
      <c r="AD712" s="3">
        <v>44875</v>
      </c>
      <c r="AE712" s="4">
        <v>-3.3814957682106101E-3</v>
      </c>
      <c r="AF712">
        <f t="shared" si="11"/>
        <v>0</v>
      </c>
      <c r="AG712" s="13"/>
    </row>
    <row r="713" spans="1:33" x14ac:dyDescent="0.35">
      <c r="A713" s="3">
        <v>44879</v>
      </c>
      <c r="B713" s="6">
        <f>LN(Raw!B715/Raw!B714)</f>
        <v>1.3683549398666507E-3</v>
      </c>
      <c r="C713" s="6">
        <f>LN(Raw!C715/Raw!C714)</f>
        <v>-2.6955734048325294E-2</v>
      </c>
      <c r="D713" s="6">
        <f>LN(Raw!D715/Raw!D714)</f>
        <v>-6.0562814315526819E-2</v>
      </c>
      <c r="X713" s="3">
        <v>44879</v>
      </c>
      <c r="Y713" cm="1">
        <f t="array" ref="Y713">SUMPRODUCT($T$2:$T$4,TRANSPOSE(B713:D713))</f>
        <v>-7.3492097090101655E-3</v>
      </c>
      <c r="AD713" s="3">
        <v>44876</v>
      </c>
      <c r="AE713" s="4">
        <v>-3.2641258345683373E-3</v>
      </c>
      <c r="AF713">
        <f t="shared" si="11"/>
        <v>0</v>
      </c>
      <c r="AG713" s="13"/>
    </row>
    <row r="714" spans="1:33" x14ac:dyDescent="0.35">
      <c r="A714" s="3">
        <v>44880</v>
      </c>
      <c r="B714" s="6">
        <f>LN(Raw!B716/Raw!B715)</f>
        <v>-1.1758957474835775E-2</v>
      </c>
      <c r="C714" s="6">
        <f>LN(Raw!C716/Raw!C715)</f>
        <v>2.58914541337153E-2</v>
      </c>
      <c r="D714" s="6">
        <f>LN(Raw!D716/Raw!D715)</f>
        <v>-1.9068465978437754E-2</v>
      </c>
      <c r="X714" s="3">
        <v>44880</v>
      </c>
      <c r="Y714" cm="1">
        <f t="array" ref="Y714">SUMPRODUCT($T$2:$T$4,TRANSPOSE(B714:D714))</f>
        <v>-4.606885046225152E-3</v>
      </c>
      <c r="AD714" s="3">
        <v>44879</v>
      </c>
      <c r="AE714" s="4">
        <v>-7.3492097090101655E-3</v>
      </c>
      <c r="AF714">
        <f t="shared" si="11"/>
        <v>0</v>
      </c>
      <c r="AG714" s="13"/>
    </row>
    <row r="715" spans="1:33" x14ac:dyDescent="0.35">
      <c r="A715" s="3">
        <v>44881</v>
      </c>
      <c r="B715" s="6">
        <f>LN(Raw!B717/Raw!B716)</f>
        <v>9.9046637181991436E-3</v>
      </c>
      <c r="C715" s="6">
        <f>LN(Raw!C717/Raw!C716)</f>
        <v>-1.899373253555843E-2</v>
      </c>
      <c r="D715" s="6">
        <f>LN(Raw!D717/Raw!D716)</f>
        <v>-1.4001369378336235E-2</v>
      </c>
      <c r="X715" s="3">
        <v>44881</v>
      </c>
      <c r="Y715" cm="1">
        <f t="array" ref="Y715">SUMPRODUCT($T$2:$T$4,TRANSPOSE(B715:D715))</f>
        <v>2.9543537283812922E-3</v>
      </c>
      <c r="AD715" s="3">
        <v>44880</v>
      </c>
      <c r="AE715" s="4">
        <v>-4.606885046225152E-3</v>
      </c>
      <c r="AF715">
        <f t="shared" si="11"/>
        <v>0</v>
      </c>
      <c r="AG715" s="13"/>
    </row>
    <row r="716" spans="1:33" x14ac:dyDescent="0.35">
      <c r="A716" s="3">
        <v>44882</v>
      </c>
      <c r="B716" s="6">
        <f>LN(Raw!B718/Raw!B717)</f>
        <v>-3.6306177082404225E-3</v>
      </c>
      <c r="C716" s="6">
        <f>LN(Raw!C718/Raw!C717)</f>
        <v>-1.7150421206393603E-2</v>
      </c>
      <c r="D716" s="6">
        <f>LN(Raw!D718/Raw!D717)</f>
        <v>-1.6280527281515402E-3</v>
      </c>
      <c r="X716" s="3">
        <v>44882</v>
      </c>
      <c r="Y716" cm="1">
        <f t="array" ref="Y716">SUMPRODUCT($T$2:$T$4,TRANSPOSE(B716:D716))</f>
        <v>-6.2296318684606109E-3</v>
      </c>
      <c r="AD716" s="3">
        <v>44881</v>
      </c>
      <c r="AE716" s="4">
        <v>2.9543537283812922E-3</v>
      </c>
      <c r="AF716">
        <f t="shared" si="11"/>
        <v>0</v>
      </c>
      <c r="AG716" s="13"/>
    </row>
    <row r="717" spans="1:33" x14ac:dyDescent="0.35">
      <c r="A717" s="3">
        <v>44883</v>
      </c>
      <c r="B717" s="6">
        <f>LN(Raw!B719/Raw!B718)</f>
        <v>8.3481622940620604E-3</v>
      </c>
      <c r="C717" s="6">
        <f>LN(Raw!C719/Raw!C718)</f>
        <v>-9.2438711657457807E-3</v>
      </c>
      <c r="D717" s="6">
        <f>LN(Raw!D719/Raw!D718)</f>
        <v>1.7232499523260073E-2</v>
      </c>
      <c r="X717" s="3">
        <v>44883</v>
      </c>
      <c r="Y717" cm="1">
        <f t="array" ref="Y717">SUMPRODUCT($T$2:$T$4,TRANSPOSE(B717:D717))</f>
        <v>5.2770405390560595E-3</v>
      </c>
      <c r="AD717" s="3">
        <v>44882</v>
      </c>
      <c r="AE717" s="4">
        <v>-6.2296318684606109E-3</v>
      </c>
      <c r="AF717">
        <f t="shared" si="11"/>
        <v>0</v>
      </c>
      <c r="AG717" s="13"/>
    </row>
    <row r="718" spans="1:33" x14ac:dyDescent="0.35">
      <c r="A718" s="3">
        <v>44886</v>
      </c>
      <c r="B718" s="6">
        <f>LN(Raw!B720/Raw!B719)</f>
        <v>-7.9049242994289563E-3</v>
      </c>
      <c r="C718" s="6">
        <f>LN(Raw!C720/Raw!C719)</f>
        <v>-4.4678097745093088E-3</v>
      </c>
      <c r="D718" s="6">
        <f>LN(Raw!D720/Raw!D719)</f>
        <v>-1.6146751159507762E-2</v>
      </c>
      <c r="X718" s="3">
        <v>44886</v>
      </c>
      <c r="Y718" cm="1">
        <f t="array" ref="Y718">SUMPRODUCT($T$2:$T$4,TRANSPOSE(B718:D718))</f>
        <v>-7.626874764353077E-3</v>
      </c>
      <c r="AD718" s="3">
        <v>44883</v>
      </c>
      <c r="AE718" s="4">
        <v>5.2770405390560595E-3</v>
      </c>
      <c r="AF718">
        <f t="shared" si="11"/>
        <v>0</v>
      </c>
      <c r="AG718" s="13"/>
    </row>
    <row r="719" spans="1:33" x14ac:dyDescent="0.35">
      <c r="A719" s="3">
        <v>44887</v>
      </c>
      <c r="B719" s="6">
        <f>LN(Raw!B721/Raw!B720)</f>
        <v>7.9790840782053727E-4</v>
      </c>
      <c r="C719" s="6">
        <f>LN(Raw!C721/Raw!C720)</f>
        <v>2.1410967782656758E-2</v>
      </c>
      <c r="D719" s="6">
        <f>LN(Raw!D721/Raw!D720)</f>
        <v>3.6231973293970966E-2</v>
      </c>
      <c r="X719" s="3">
        <v>44887</v>
      </c>
      <c r="Y719" cm="1">
        <f t="array" ref="Y719">SUMPRODUCT($T$2:$T$4,TRANSPOSE(B719:D719))</f>
        <v>6.6652530080053675E-3</v>
      </c>
      <c r="AD719" s="3">
        <v>44886</v>
      </c>
      <c r="AE719" s="4">
        <v>-7.626874764353077E-3</v>
      </c>
      <c r="AF719">
        <f t="shared" si="11"/>
        <v>0</v>
      </c>
      <c r="AG719" s="13"/>
    </row>
    <row r="720" spans="1:33" x14ac:dyDescent="0.35">
      <c r="A720" s="3">
        <v>44888</v>
      </c>
      <c r="B720" s="6">
        <f>LN(Raw!B722/Raw!B721)</f>
        <v>4.6847991536502868E-3</v>
      </c>
      <c r="C720" s="6">
        <f>LN(Raw!C722/Raw!C721)</f>
        <v>1.4143564253461438E-2</v>
      </c>
      <c r="D720" s="6">
        <f>LN(Raw!D722/Raw!D721)</f>
        <v>-4.195133830514685E-3</v>
      </c>
      <c r="X720" s="3">
        <v>44888</v>
      </c>
      <c r="Y720" cm="1">
        <f t="array" ref="Y720">SUMPRODUCT($T$2:$T$4,TRANSPOSE(B720:D720))</f>
        <v>6.1329979391666978E-3</v>
      </c>
      <c r="AD720" s="3">
        <v>44887</v>
      </c>
      <c r="AE720" s="4">
        <v>6.6652530080053675E-3</v>
      </c>
      <c r="AF720">
        <f t="shared" si="11"/>
        <v>0</v>
      </c>
      <c r="AG720" s="13"/>
    </row>
    <row r="721" spans="1:33" x14ac:dyDescent="0.35">
      <c r="A721" s="3">
        <v>44889</v>
      </c>
      <c r="B721" s="6">
        <f>LN(Raw!B723/Raw!B722)</f>
        <v>3.1211162081939203E-2</v>
      </c>
      <c r="C721" s="6">
        <f>LN(Raw!C723/Raw!C722)</f>
        <v>3.6766303901579728E-2</v>
      </c>
      <c r="D721" s="6">
        <f>LN(Raw!D723/Raw!D722)</f>
        <v>1.3051641173127604E-2</v>
      </c>
      <c r="X721" s="3">
        <v>44889</v>
      </c>
      <c r="Y721" cm="1">
        <f t="array" ref="Y721">SUMPRODUCT($T$2:$T$4,TRANSPOSE(B721:D721))</f>
        <v>3.1421074185054465E-2</v>
      </c>
      <c r="AD721" s="3">
        <v>44888</v>
      </c>
      <c r="AE721" s="4">
        <v>6.1329979391666978E-3</v>
      </c>
      <c r="AF721">
        <f t="shared" si="11"/>
        <v>0</v>
      </c>
      <c r="AG721" s="13"/>
    </row>
    <row r="722" spans="1:33" x14ac:dyDescent="0.35">
      <c r="A722" s="3">
        <v>44890</v>
      </c>
      <c r="B722" s="6">
        <f>LN(Raw!B724/Raw!B723)</f>
        <v>-9.0586919597350542E-3</v>
      </c>
      <c r="C722" s="6">
        <f>LN(Raw!C724/Raw!C723)</f>
        <v>4.156346507975724E-3</v>
      </c>
      <c r="D722" s="6">
        <f>LN(Raw!D724/Raw!D723)</f>
        <v>0</v>
      </c>
      <c r="X722" s="3">
        <v>44890</v>
      </c>
      <c r="Y722" cm="1">
        <f t="array" ref="Y722">SUMPRODUCT($T$2:$T$4,TRANSPOSE(B722:D722))</f>
        <v>-5.9730762544100355E-3</v>
      </c>
      <c r="AD722" s="3">
        <v>44889</v>
      </c>
      <c r="AE722" s="4">
        <v>3.1421074185054465E-2</v>
      </c>
      <c r="AF722">
        <f t="shared" si="11"/>
        <v>0</v>
      </c>
      <c r="AG722" s="13"/>
    </row>
    <row r="723" spans="1:33" x14ac:dyDescent="0.35">
      <c r="A723" s="3">
        <v>44893</v>
      </c>
      <c r="B723" s="6">
        <f>LN(Raw!B725/Raw!B724)</f>
        <v>-4.7453814279009403E-4</v>
      </c>
      <c r="C723" s="6">
        <f>LN(Raw!C725/Raw!C724)</f>
        <v>9.9745317459305916E-3</v>
      </c>
      <c r="D723" s="6">
        <f>LN(Raw!D725/Raw!D724)</f>
        <v>4.9086473400116237E-2</v>
      </c>
      <c r="X723" s="3">
        <v>44893</v>
      </c>
      <c r="Y723" cm="1">
        <f t="array" ref="Y723">SUMPRODUCT($T$2:$T$4,TRANSPOSE(B723:D723))</f>
        <v>4.0635426385314567E-3</v>
      </c>
      <c r="AD723" s="3">
        <v>44890</v>
      </c>
      <c r="AE723" s="4">
        <v>-5.9730762544100355E-3</v>
      </c>
      <c r="AF723">
        <f t="shared" si="11"/>
        <v>0</v>
      </c>
      <c r="AG723" s="13"/>
    </row>
    <row r="724" spans="1:33" x14ac:dyDescent="0.35">
      <c r="A724" s="3">
        <v>44894</v>
      </c>
      <c r="B724" s="6">
        <f>LN(Raw!B726/Raw!B725)</f>
        <v>1.4478694510871058E-2</v>
      </c>
      <c r="C724" s="6">
        <f>LN(Raw!C726/Raw!C725)</f>
        <v>8.5192902653904567E-3</v>
      </c>
      <c r="D724" s="6">
        <f>LN(Raw!D726/Raw!D725)</f>
        <v>0.12733945533485927</v>
      </c>
      <c r="X724" s="3">
        <v>44894</v>
      </c>
      <c r="Y724" cm="1">
        <f t="array" ref="Y724">SUMPRODUCT($T$2:$T$4,TRANSPOSE(B724:D724))</f>
        <v>1.8874878830571266E-2</v>
      </c>
      <c r="AD724" s="3">
        <v>44893</v>
      </c>
      <c r="AE724" s="4">
        <v>4.0635426385314567E-3</v>
      </c>
      <c r="AF724">
        <f t="shared" si="11"/>
        <v>0</v>
      </c>
      <c r="AG724" s="13"/>
    </row>
    <row r="725" spans="1:33" x14ac:dyDescent="0.35">
      <c r="A725" s="3">
        <v>44895</v>
      </c>
      <c r="B725" s="6">
        <f>LN(Raw!B727/Raw!B726)</f>
        <v>2.9706708240503421E-2</v>
      </c>
      <c r="C725" s="6">
        <f>LN(Raw!C727/Raw!C726)</f>
        <v>1.0799986923542421E-2</v>
      </c>
      <c r="D725" s="6">
        <f>LN(Raw!D727/Raw!D726)</f>
        <v>-5.1293269168478574E-2</v>
      </c>
      <c r="X725" s="3">
        <v>44895</v>
      </c>
      <c r="Y725" cm="1">
        <f t="array" ref="Y725">SUMPRODUCT($T$2:$T$4,TRANSPOSE(B725:D725))</f>
        <v>2.1924832027427454E-2</v>
      </c>
      <c r="AD725" s="3">
        <v>44894</v>
      </c>
      <c r="AE725" s="4">
        <v>1.8874878830571266E-2</v>
      </c>
      <c r="AF725">
        <f t="shared" si="11"/>
        <v>0</v>
      </c>
      <c r="AG725" s="13"/>
    </row>
    <row r="726" spans="1:33" x14ac:dyDescent="0.35">
      <c r="A726" s="3">
        <v>44896</v>
      </c>
      <c r="B726" s="6">
        <f>LN(Raw!B728/Raw!B727)</f>
        <v>1.1043720580519126E-2</v>
      </c>
      <c r="C726" s="6">
        <f>LN(Raw!C728/Raw!C727)</f>
        <v>-2.9985143327297209E-2</v>
      </c>
      <c r="D726" s="6">
        <f>LN(Raw!D728/Raw!D727)</f>
        <v>-2.1277505366854067E-2</v>
      </c>
      <c r="X726" s="3">
        <v>44896</v>
      </c>
      <c r="Y726" cm="1">
        <f t="array" ref="Y726">SUMPRODUCT($T$2:$T$4,TRANSPOSE(B726:D726))</f>
        <v>1.256087518537398E-3</v>
      </c>
      <c r="AD726" s="3">
        <v>44895</v>
      </c>
      <c r="AE726" s="4">
        <v>2.1924832027427454E-2</v>
      </c>
      <c r="AF726">
        <f t="shared" si="11"/>
        <v>0</v>
      </c>
      <c r="AG726" s="13"/>
    </row>
    <row r="727" spans="1:33" x14ac:dyDescent="0.35">
      <c r="A727" s="3">
        <v>44897</v>
      </c>
      <c r="B727" s="6">
        <f>LN(Raw!B729/Raw!B728)</f>
        <v>1.1407946442809312E-2</v>
      </c>
      <c r="C727" s="6">
        <f>LN(Raw!C729/Raw!C728)</f>
        <v>2.7968898751393304E-2</v>
      </c>
      <c r="D727" s="6">
        <f>LN(Raw!D729/Raw!D728)</f>
        <v>3.0389165621278823E-2</v>
      </c>
      <c r="X727" s="3">
        <v>44897</v>
      </c>
      <c r="Y727" cm="1">
        <f t="array" ref="Y727">SUMPRODUCT($T$2:$T$4,TRANSPOSE(B727:D727))</f>
        <v>1.5652366560309348E-2</v>
      </c>
      <c r="AD727" s="3">
        <v>44896</v>
      </c>
      <c r="AE727" s="4">
        <v>1.256087518537398E-3</v>
      </c>
      <c r="AF727">
        <f t="shared" si="11"/>
        <v>0</v>
      </c>
      <c r="AG727" s="13"/>
    </row>
    <row r="728" spans="1:33" x14ac:dyDescent="0.35">
      <c r="A728" s="3">
        <v>44900</v>
      </c>
      <c r="B728" s="6">
        <f>LN(Raw!B730/Raw!B729)</f>
        <v>-1.2388217073125629E-2</v>
      </c>
      <c r="C728" s="6">
        <f>LN(Raw!C730/Raw!C729)</f>
        <v>6.036356754558281E-3</v>
      </c>
      <c r="D728" s="6">
        <f>LN(Raw!D730/Raw!D729)</f>
        <v>-2.7248700908499937E-3</v>
      </c>
      <c r="X728" s="3">
        <v>44900</v>
      </c>
      <c r="Y728" cm="1">
        <f t="array" ref="Y728">SUMPRODUCT($T$2:$T$4,TRANSPOSE(B728:D728))</f>
        <v>-8.2330198792063408E-3</v>
      </c>
      <c r="AD728" s="3">
        <v>44897</v>
      </c>
      <c r="AE728" s="4">
        <v>1.5652366560309348E-2</v>
      </c>
      <c r="AF728">
        <f t="shared" si="11"/>
        <v>0</v>
      </c>
      <c r="AG728" s="13"/>
    </row>
    <row r="729" spans="1:33" x14ac:dyDescent="0.35">
      <c r="A729" s="3">
        <v>44901</v>
      </c>
      <c r="B729" s="6">
        <f>LN(Raw!B731/Raw!B730)</f>
        <v>-2.6600675576205291E-3</v>
      </c>
      <c r="C729" s="6">
        <f>LN(Raw!C731/Raw!C730)</f>
        <v>-1.1770794968098672E-2</v>
      </c>
      <c r="D729" s="6">
        <f>LN(Raw!D731/Raw!D730)</f>
        <v>-1.8820829939782797E-2</v>
      </c>
      <c r="X729" s="3">
        <v>44901</v>
      </c>
      <c r="Y729" cm="1">
        <f t="array" ref="Y729">SUMPRODUCT($T$2:$T$4,TRANSPOSE(B729:D729))</f>
        <v>-5.2780758880442025E-3</v>
      </c>
      <c r="AD729" s="3">
        <v>44900</v>
      </c>
      <c r="AE729" s="4">
        <v>-8.2330198792063408E-3</v>
      </c>
      <c r="AF729">
        <f t="shared" si="11"/>
        <v>0</v>
      </c>
      <c r="AG729" s="13"/>
    </row>
    <row r="730" spans="1:33" x14ac:dyDescent="0.35">
      <c r="A730" s="3">
        <v>44902</v>
      </c>
      <c r="B730" s="6">
        <f>LN(Raw!B732/Raw!B731)</f>
        <v>2.0884271710729322E-2</v>
      </c>
      <c r="C730" s="6">
        <f>LN(Raw!C732/Raw!C731)</f>
        <v>-1.396720540725468E-2</v>
      </c>
      <c r="D730" s="6">
        <f>LN(Raw!D732/Raw!D731)</f>
        <v>-1.3999228228789611E-2</v>
      </c>
      <c r="X730" s="3">
        <v>44902</v>
      </c>
      <c r="Y730" cm="1">
        <f t="array" ref="Y730">SUMPRODUCT($T$2:$T$4,TRANSPOSE(B730:D730))</f>
        <v>1.2202640623736901E-2</v>
      </c>
      <c r="AD730" s="3">
        <v>44901</v>
      </c>
      <c r="AE730" s="4">
        <v>-5.2780758880442025E-3</v>
      </c>
      <c r="AF730">
        <f t="shared" si="11"/>
        <v>0</v>
      </c>
      <c r="AG730" s="13"/>
    </row>
    <row r="731" spans="1:33" x14ac:dyDescent="0.35">
      <c r="A731" s="3">
        <v>44903</v>
      </c>
      <c r="B731" s="6">
        <f>LN(Raw!B733/Raw!B732)</f>
        <v>2.6052614828339701E-3</v>
      </c>
      <c r="C731" s="6">
        <f>LN(Raw!C733/Raw!C732)</f>
        <v>1.3712742552960159E-3</v>
      </c>
      <c r="D731" s="6">
        <f>LN(Raw!D733/Raw!D732)</f>
        <v>-1.1342356214656931E-2</v>
      </c>
      <c r="X731" s="3">
        <v>44903</v>
      </c>
      <c r="Y731" cm="1">
        <f t="array" ref="Y731">SUMPRODUCT($T$2:$T$4,TRANSPOSE(B731:D731))</f>
        <v>1.6687278668176793E-3</v>
      </c>
      <c r="AD731" s="3">
        <v>44902</v>
      </c>
      <c r="AE731" s="4">
        <v>1.2202640623736901E-2</v>
      </c>
      <c r="AF731">
        <f t="shared" si="11"/>
        <v>0</v>
      </c>
      <c r="AG731" s="13"/>
    </row>
    <row r="732" spans="1:33" x14ac:dyDescent="0.35">
      <c r="A732" s="3">
        <v>44904</v>
      </c>
      <c r="B732" s="6">
        <f>LN(Raw!B734/Raw!B733)</f>
        <v>-9.6119555338749954E-4</v>
      </c>
      <c r="C732" s="6">
        <f>LN(Raw!C734/Raw!C733)</f>
        <v>-2.7437084007933363E-2</v>
      </c>
      <c r="D732" s="6">
        <f>LN(Raw!D734/Raw!D733)</f>
        <v>4.915233956710309E-2</v>
      </c>
      <c r="X732" s="3">
        <v>44904</v>
      </c>
      <c r="Y732" cm="1">
        <f t="array" ref="Y732">SUMPRODUCT($T$2:$T$4,TRANSPOSE(B732:D732))</f>
        <v>-3.7648136956207555E-3</v>
      </c>
      <c r="AD732" s="3">
        <v>44903</v>
      </c>
      <c r="AE732" s="4">
        <v>1.6687278668176793E-3</v>
      </c>
      <c r="AF732">
        <f t="shared" si="11"/>
        <v>0</v>
      </c>
      <c r="AG732" s="13"/>
    </row>
    <row r="733" spans="1:33" x14ac:dyDescent="0.35">
      <c r="A733" s="3">
        <v>44907</v>
      </c>
      <c r="B733" s="6">
        <f>LN(Raw!B735/Raw!B734)</f>
        <v>-1.460994404520116E-2</v>
      </c>
      <c r="C733" s="6">
        <f>LN(Raw!C735/Raw!C734)</f>
        <v>1.2596408179050621E-2</v>
      </c>
      <c r="D733" s="6">
        <f>LN(Raw!D735/Raw!D734)</f>
        <v>2.5905833773828768E-2</v>
      </c>
      <c r="X733" s="3">
        <v>44907</v>
      </c>
      <c r="Y733" cm="1">
        <f t="array" ref="Y733">SUMPRODUCT($T$2:$T$4,TRANSPOSE(B733:D733))</f>
        <v>-7.1752939316348605E-3</v>
      </c>
      <c r="AD733" s="3">
        <v>44904</v>
      </c>
      <c r="AE733" s="4">
        <v>-3.7648136956207555E-3</v>
      </c>
      <c r="AF733">
        <f t="shared" si="11"/>
        <v>0</v>
      </c>
      <c r="AG733" s="13"/>
    </row>
    <row r="734" spans="1:33" x14ac:dyDescent="0.35">
      <c r="A734" s="3">
        <v>44908</v>
      </c>
      <c r="B734" s="6">
        <f>LN(Raw!B736/Raw!B735)</f>
        <v>-4.4004093441217737E-3</v>
      </c>
      <c r="C734" s="6">
        <f>LN(Raw!C736/Raw!C735)</f>
        <v>2.0306932763373021E-2</v>
      </c>
      <c r="D734" s="6">
        <f>LN(Raw!D736/Raw!D735)</f>
        <v>-8.857434194569698E-3</v>
      </c>
      <c r="X734" s="3">
        <v>44908</v>
      </c>
      <c r="Y734" cm="1">
        <f t="array" ref="Y734">SUMPRODUCT($T$2:$T$4,TRANSPOSE(B734:D734))</f>
        <v>3.0980910057285053E-4</v>
      </c>
      <c r="AD734" s="3">
        <v>44907</v>
      </c>
      <c r="AE734" s="4">
        <v>-7.1752939316348605E-3</v>
      </c>
      <c r="AF734">
        <f t="shared" si="11"/>
        <v>0</v>
      </c>
      <c r="AG734" s="13"/>
    </row>
    <row r="735" spans="1:33" x14ac:dyDescent="0.35">
      <c r="A735" s="3">
        <v>44909</v>
      </c>
      <c r="B735" s="6">
        <f>LN(Raw!B737/Raw!B736)</f>
        <v>1.5599053871280934E-2</v>
      </c>
      <c r="C735" s="6">
        <f>LN(Raw!C737/Raw!C736)</f>
        <v>8.581819686925285E-2</v>
      </c>
      <c r="D735" s="6">
        <f>LN(Raw!D737/Raw!D736)</f>
        <v>8.5638814224008306E-2</v>
      </c>
      <c r="X735" s="3">
        <v>44909</v>
      </c>
      <c r="Y735" cm="1">
        <f t="array" ref="Y735">SUMPRODUCT($T$2:$T$4,TRANSPOSE(B735:D735))</f>
        <v>3.3078829308802425E-2</v>
      </c>
      <c r="AD735" s="3">
        <v>44908</v>
      </c>
      <c r="AE735" s="4">
        <v>3.0980910057285053E-4</v>
      </c>
      <c r="AF735">
        <f t="shared" si="11"/>
        <v>0</v>
      </c>
      <c r="AG735" s="13"/>
    </row>
    <row r="736" spans="1:33" x14ac:dyDescent="0.35">
      <c r="A736" s="3">
        <v>44910</v>
      </c>
      <c r="B736" s="6">
        <f>LN(Raw!B738/Raw!B737)</f>
        <v>-7.6679266377487594E-3</v>
      </c>
      <c r="C736" s="6">
        <f>LN(Raw!C738/Raw!C737)</f>
        <v>0.10216608632576869</v>
      </c>
      <c r="D736" s="6">
        <f>LN(Raw!D738/Raw!D737)</f>
        <v>2.1010903819843295E-2</v>
      </c>
      <c r="X736" s="3">
        <v>44910</v>
      </c>
      <c r="Y736" cm="1">
        <f t="array" ref="Y736">SUMPRODUCT($T$2:$T$4,TRANSPOSE(B736:D736))</f>
        <v>1.5670755968708219E-2</v>
      </c>
      <c r="AD736" s="3">
        <v>44909</v>
      </c>
      <c r="AE736" s="4">
        <v>3.3078829308802425E-2</v>
      </c>
      <c r="AF736">
        <f t="shared" si="11"/>
        <v>0</v>
      </c>
      <c r="AG736" s="13"/>
    </row>
    <row r="737" spans="1:33" x14ac:dyDescent="0.35">
      <c r="A737" s="3">
        <v>44911</v>
      </c>
      <c r="B737" s="6">
        <f>LN(Raw!B739/Raw!B738)</f>
        <v>1.821485758867264E-3</v>
      </c>
      <c r="C737" s="6">
        <f>LN(Raw!C739/Raw!C738)</f>
        <v>-6.0818834109624929E-2</v>
      </c>
      <c r="D737" s="6">
        <f>LN(Raw!D739/Raw!D738)</f>
        <v>-1.8971356013291613E-2</v>
      </c>
      <c r="X737" s="3">
        <v>44911</v>
      </c>
      <c r="Y737" cm="1">
        <f t="array" ref="Y737">SUMPRODUCT($T$2:$T$4,TRANSPOSE(B737:D737))</f>
        <v>-1.1708563205416137E-2</v>
      </c>
      <c r="AD737" s="3">
        <v>44910</v>
      </c>
      <c r="AE737" s="4">
        <v>1.5670755968708219E-2</v>
      </c>
      <c r="AF737">
        <f t="shared" si="11"/>
        <v>0</v>
      </c>
      <c r="AG737" s="13"/>
    </row>
    <row r="738" spans="1:33" x14ac:dyDescent="0.35">
      <c r="A738" s="3">
        <v>44914</v>
      </c>
      <c r="B738" s="6">
        <f>LN(Raw!B740/Raw!B739)</f>
        <v>9.5783748240535361E-3</v>
      </c>
      <c r="C738" s="6">
        <f>LN(Raw!C740/Raw!C739)</f>
        <v>0.11708271936903246</v>
      </c>
      <c r="D738" s="6">
        <f>LN(Raw!D740/Raw!D739)</f>
        <v>8.7724164455804568E-2</v>
      </c>
      <c r="X738" s="3">
        <v>44914</v>
      </c>
      <c r="Y738" cm="1">
        <f t="array" ref="Y738">SUMPRODUCT($T$2:$T$4,TRANSPOSE(B738:D738))</f>
        <v>3.4900255013258268E-2</v>
      </c>
      <c r="AD738" s="3">
        <v>44911</v>
      </c>
      <c r="AE738" s="4">
        <v>-1.1708563205416137E-2</v>
      </c>
      <c r="AF738">
        <f t="shared" si="11"/>
        <v>0</v>
      </c>
      <c r="AG738" s="13"/>
    </row>
    <row r="739" spans="1:33" x14ac:dyDescent="0.35">
      <c r="A739" s="3">
        <v>44915</v>
      </c>
      <c r="B739" s="6">
        <f>LN(Raw!B741/Raw!B740)</f>
        <v>-9.5783748240534875E-3</v>
      </c>
      <c r="C739" s="6">
        <f>LN(Raw!C741/Raw!C740)</f>
        <v>2.3989569345685166E-3</v>
      </c>
      <c r="D739" s="6">
        <f>LN(Raw!D741/Raw!D740)</f>
        <v>9.2885919164923513E-3</v>
      </c>
      <c r="X739" s="3">
        <v>44915</v>
      </c>
      <c r="Y739" cm="1">
        <f t="array" ref="Y739">SUMPRODUCT($T$2:$T$4,TRANSPOSE(B739:D739))</f>
        <v>-6.254353288735184E-3</v>
      </c>
      <c r="AD739" s="3">
        <v>44914</v>
      </c>
      <c r="AE739" s="4">
        <v>3.4900255013258268E-2</v>
      </c>
      <c r="AF739">
        <f t="shared" si="11"/>
        <v>0</v>
      </c>
      <c r="AG739" s="13"/>
    </row>
    <row r="740" spans="1:33" x14ac:dyDescent="0.35">
      <c r="A740" s="3">
        <v>44916</v>
      </c>
      <c r="B740" s="6">
        <f>LN(Raw!B742/Raw!B741)</f>
        <v>-9.7934688898347177E-3</v>
      </c>
      <c r="C740" s="6">
        <f>LN(Raw!C742/Raw!C741)</f>
        <v>-0.11171115265840029</v>
      </c>
      <c r="D740" s="6">
        <f>LN(Raw!D742/Raw!D741)</f>
        <v>-0.11220502952722462</v>
      </c>
      <c r="X740" s="3">
        <v>44916</v>
      </c>
      <c r="Y740" cm="1">
        <f t="array" ref="Y740">SUMPRODUCT($T$2:$T$4,TRANSPOSE(B740:D740))</f>
        <v>-3.5201345514371755E-2</v>
      </c>
      <c r="AD740" s="3">
        <v>44915</v>
      </c>
      <c r="AE740" s="4">
        <v>-6.254353288735184E-3</v>
      </c>
      <c r="AF740">
        <f t="shared" si="11"/>
        <v>0</v>
      </c>
      <c r="AG740" s="13"/>
    </row>
    <row r="741" spans="1:33" x14ac:dyDescent="0.35">
      <c r="A741" s="3">
        <v>44917</v>
      </c>
      <c r="B741" s="6">
        <f>LN(Raw!B743/Raw!B742)</f>
        <v>1.2458765996344826E-2</v>
      </c>
      <c r="C741" s="6">
        <f>LN(Raw!C743/Raw!C742)</f>
        <v>4.5111654402304857E-2</v>
      </c>
      <c r="D741" s="6">
        <f>LN(Raw!D743/Raw!D742)</f>
        <v>-2.7686211639712618E-2</v>
      </c>
      <c r="X741" s="3">
        <v>44917</v>
      </c>
      <c r="Y741" cm="1">
        <f t="array" ref="Y741">SUMPRODUCT($T$2:$T$4,TRANSPOSE(B741:D741))</f>
        <v>1.698846111515066E-2</v>
      </c>
      <c r="AD741" s="3">
        <v>44916</v>
      </c>
      <c r="AE741" s="4">
        <v>-3.5201345514371755E-2</v>
      </c>
      <c r="AF741">
        <f t="shared" si="11"/>
        <v>0</v>
      </c>
      <c r="AG741" s="13"/>
    </row>
    <row r="742" spans="1:33" x14ac:dyDescent="0.35">
      <c r="A742" s="3">
        <v>44918</v>
      </c>
      <c r="B742" s="6">
        <f>LN(Raw!B744/Raw!B743)</f>
        <v>-1.311238160793279E-2</v>
      </c>
      <c r="C742" s="6">
        <f>LN(Raw!C744/Raw!C743)</f>
        <v>-0.11892197794702442</v>
      </c>
      <c r="D742" s="6">
        <f>LN(Raw!D744/Raw!D743)</f>
        <v>-8.7978584021497011E-2</v>
      </c>
      <c r="X742" s="3">
        <v>44918</v>
      </c>
      <c r="Y742" cm="1">
        <f t="array" ref="Y742">SUMPRODUCT($T$2:$T$4,TRANSPOSE(B742:D742))</f>
        <v>-3.7933736976978071E-2</v>
      </c>
      <c r="AD742" s="3">
        <v>44917</v>
      </c>
      <c r="AE742" s="4">
        <v>1.698846111515066E-2</v>
      </c>
      <c r="AF742">
        <f t="shared" si="11"/>
        <v>0</v>
      </c>
      <c r="AG742" s="13"/>
    </row>
    <row r="743" spans="1:33" x14ac:dyDescent="0.35">
      <c r="A743" s="3">
        <v>44921</v>
      </c>
      <c r="B743" s="6">
        <f>LN(Raw!B745/Raw!B744)</f>
        <v>1.2265057059587844E-2</v>
      </c>
      <c r="C743" s="6">
        <f>LN(Raw!C745/Raw!C744)</f>
        <v>6.2432937207670409E-2</v>
      </c>
      <c r="D743" s="6">
        <f>LN(Raw!D745/Raw!D744)</f>
        <v>5.8189986112539636E-2</v>
      </c>
      <c r="X743" s="3">
        <v>44921</v>
      </c>
      <c r="Y743" cm="1">
        <f t="array" ref="Y743">SUMPRODUCT($T$2:$T$4,TRANSPOSE(B743:D743))</f>
        <v>2.454979468198765E-2</v>
      </c>
      <c r="AD743" s="3">
        <v>44918</v>
      </c>
      <c r="AE743" s="4">
        <v>-3.7933736976978071E-2</v>
      </c>
      <c r="AF743">
        <f t="shared" si="11"/>
        <v>0</v>
      </c>
      <c r="AG743" s="13"/>
    </row>
    <row r="744" spans="1:33" x14ac:dyDescent="0.35">
      <c r="A744" s="3">
        <v>44922</v>
      </c>
      <c r="B744" s="6">
        <f>LN(Raw!B746/Raw!B745)</f>
        <v>3.2643462369394117E-3</v>
      </c>
      <c r="C744" s="6">
        <f>LN(Raw!C746/Raw!C745)</f>
        <v>-9.9865822684046153E-3</v>
      </c>
      <c r="D744" s="6">
        <f>LN(Raw!D746/Raw!D745)</f>
        <v>-5.2724222564262306E-3</v>
      </c>
      <c r="X744" s="3">
        <v>44922</v>
      </c>
      <c r="Y744" cm="1">
        <f t="array" ref="Y744">SUMPRODUCT($T$2:$T$4,TRANSPOSE(B744:D744))</f>
        <v>1.9739812383210526E-4</v>
      </c>
      <c r="AD744" s="3">
        <v>44921</v>
      </c>
      <c r="AE744" s="4">
        <v>2.454979468198765E-2</v>
      </c>
      <c r="AF744">
        <f t="shared" si="11"/>
        <v>0</v>
      </c>
      <c r="AG744" s="13"/>
    </row>
    <row r="745" spans="1:33" x14ac:dyDescent="0.35">
      <c r="A745" s="3">
        <v>44923</v>
      </c>
      <c r="B745" s="6">
        <f>LN(Raw!B747/Raw!B746)</f>
        <v>-5.3655687976166266E-3</v>
      </c>
      <c r="C745" s="6">
        <f>LN(Raw!C747/Raw!C746)</f>
        <v>4.8094834480513105E-2</v>
      </c>
      <c r="D745" s="6">
        <f>LN(Raw!D747/Raw!D746)</f>
        <v>3.0371066162039849E-2</v>
      </c>
      <c r="X745" s="3">
        <v>44923</v>
      </c>
      <c r="Y745" cm="1">
        <f t="array" ref="Y745">SUMPRODUCT($T$2:$T$4,TRANSPOSE(B745:D745))</f>
        <v>7.072031738392149E-3</v>
      </c>
      <c r="AD745" s="3">
        <v>44922</v>
      </c>
      <c r="AE745" s="4">
        <v>1.9739812383210526E-4</v>
      </c>
      <c r="AF745">
        <f t="shared" si="11"/>
        <v>0</v>
      </c>
      <c r="AG745" s="13"/>
    </row>
    <row r="746" spans="1:33" x14ac:dyDescent="0.35">
      <c r="A746" s="3">
        <v>44924</v>
      </c>
      <c r="B746" s="6">
        <f>LN(Raw!B748/Raw!B747)</f>
        <v>-2.8302740184858147E-4</v>
      </c>
      <c r="C746" s="6">
        <f>LN(Raw!C748/Raw!C747)</f>
        <v>-2.6730865875059299E-2</v>
      </c>
      <c r="D746" s="6">
        <f>LN(Raw!D748/Raw!D747)</f>
        <v>-1.420288867084092E-2</v>
      </c>
      <c r="X746" s="3">
        <v>44924</v>
      </c>
      <c r="Y746" cm="1">
        <f t="array" ref="Y746">SUMPRODUCT($T$2:$T$4,TRANSPOSE(B746:D746))</f>
        <v>-6.2500674387631853E-3</v>
      </c>
      <c r="AD746" s="3">
        <v>44923</v>
      </c>
      <c r="AE746" s="4">
        <v>7.072031738392149E-3</v>
      </c>
      <c r="AF746">
        <f t="shared" si="11"/>
        <v>0</v>
      </c>
      <c r="AG746" s="13"/>
    </row>
    <row r="747" spans="1:33" x14ac:dyDescent="0.35">
      <c r="A747" s="3">
        <v>44925</v>
      </c>
      <c r="B747" s="6">
        <f>LN(Raw!B749/Raw!B748)</f>
        <v>8.4934633343378336E-4</v>
      </c>
      <c r="C747" s="6">
        <f>LN(Raw!C749/Raw!C748)</f>
        <v>6.2321868198537321E-2</v>
      </c>
      <c r="D747" s="6">
        <f>LN(Raw!D749/Raw!D748)</f>
        <v>8.6324753890964237E-2</v>
      </c>
      <c r="X747" s="3">
        <v>44925</v>
      </c>
      <c r="Y747" cm="1">
        <f t="array" ref="Y747">SUMPRODUCT($T$2:$T$4,TRANSPOSE(B747:D747))</f>
        <v>1.7347487293252421E-2</v>
      </c>
      <c r="AD747" s="3">
        <v>44924</v>
      </c>
      <c r="AE747" s="4">
        <v>-6.2500674387631853E-3</v>
      </c>
      <c r="AF747">
        <f t="shared" si="11"/>
        <v>0</v>
      </c>
      <c r="AG747" s="13"/>
    </row>
    <row r="748" spans="1:33" x14ac:dyDescent="0.35">
      <c r="A748" s="3">
        <v>44928</v>
      </c>
      <c r="B748" s="6">
        <f>LN(Raw!B750/Raw!B749)</f>
        <v>3.6718189845422354E-3</v>
      </c>
      <c r="C748" s="6">
        <f>LN(Raw!C750/Raw!C749)</f>
        <v>4.9389284459862959E-2</v>
      </c>
      <c r="D748" s="6">
        <f>LN(Raw!D750/Raw!D749)</f>
        <v>3.4007713599459782E-2</v>
      </c>
      <c r="X748" s="3">
        <v>44928</v>
      </c>
      <c r="Y748" cm="1">
        <f t="array" ref="Y748">SUMPRODUCT($T$2:$T$4,TRANSPOSE(B748:D748))</f>
        <v>1.4296892913250512E-2</v>
      </c>
      <c r="AD748" s="3">
        <v>44925</v>
      </c>
      <c r="AE748" s="4">
        <v>1.7347487293252421E-2</v>
      </c>
      <c r="AF748">
        <f t="shared" si="11"/>
        <v>0</v>
      </c>
      <c r="AG748" s="13"/>
    </row>
    <row r="749" spans="1:33" x14ac:dyDescent="0.35">
      <c r="A749" s="3">
        <v>44929</v>
      </c>
      <c r="B749" s="6">
        <f>LN(Raw!B751/Raw!B750)</f>
        <v>2.0926066482002337E-2</v>
      </c>
      <c r="C749" s="6">
        <f>LN(Raw!C751/Raw!C750)</f>
        <v>4.4266607255506116E-2</v>
      </c>
      <c r="D749" s="6">
        <f>LN(Raw!D751/Raw!D750)</f>
        <v>1.2223087928621316E-2</v>
      </c>
      <c r="X749" s="3">
        <v>44929</v>
      </c>
      <c r="Y749" cm="1">
        <f t="array" ref="Y749">SUMPRODUCT($T$2:$T$4,TRANSPOSE(B749:D749))</f>
        <v>2.5153382069427646E-2</v>
      </c>
      <c r="AD749" s="3">
        <v>44928</v>
      </c>
      <c r="AE749" s="4">
        <v>1.4296892913250512E-2</v>
      </c>
      <c r="AF749">
        <f t="shared" si="11"/>
        <v>0</v>
      </c>
      <c r="AG749" s="13"/>
    </row>
    <row r="750" spans="1:33" x14ac:dyDescent="0.35">
      <c r="A750" s="3">
        <v>44930</v>
      </c>
      <c r="B750" s="6">
        <f>LN(Raw!B752/Raw!B751)</f>
        <v>-1.4662018445306834E-2</v>
      </c>
      <c r="C750" s="6">
        <f>LN(Raw!C752/Raw!C751)</f>
        <v>2.3909570034555606E-2</v>
      </c>
      <c r="D750" s="6">
        <f>LN(Raw!D752/Raw!D751)</f>
        <v>4.6002159492479926E-2</v>
      </c>
      <c r="X750" s="3">
        <v>44930</v>
      </c>
      <c r="Y750" cm="1">
        <f t="array" ref="Y750">SUMPRODUCT($T$2:$T$4,TRANSPOSE(B750:D750))</f>
        <v>-3.9620833295901867E-3</v>
      </c>
      <c r="AD750" s="3">
        <v>44929</v>
      </c>
      <c r="AE750" s="4">
        <v>2.5153382069427646E-2</v>
      </c>
      <c r="AF750">
        <f t="shared" si="11"/>
        <v>0</v>
      </c>
      <c r="AG750" s="13"/>
    </row>
    <row r="751" spans="1:33" x14ac:dyDescent="0.35">
      <c r="A751" s="3">
        <v>44931</v>
      </c>
      <c r="B751" s="6">
        <f>LN(Raw!B753/Raw!B752)</f>
        <v>2.2050212366186595E-2</v>
      </c>
      <c r="C751" s="6">
        <f>LN(Raw!C753/Raw!C752)</f>
        <v>-2.9016841664170314E-2</v>
      </c>
      <c r="D751" s="6">
        <f>LN(Raw!D753/Raw!D752)</f>
        <v>-1.9034103978978263E-2</v>
      </c>
      <c r="X751" s="3">
        <v>44931</v>
      </c>
      <c r="Y751" cm="1">
        <f t="array" ref="Y751">SUMPRODUCT($T$2:$T$4,TRANSPOSE(B751:D751))</f>
        <v>9.8255904897577608E-3</v>
      </c>
      <c r="AD751" s="3">
        <v>44930</v>
      </c>
      <c r="AE751" s="4">
        <v>-3.9620833295901867E-3</v>
      </c>
      <c r="AF751">
        <f t="shared" si="11"/>
        <v>0</v>
      </c>
      <c r="AG751" s="13"/>
    </row>
    <row r="752" spans="1:33" x14ac:dyDescent="0.35">
      <c r="A752" s="3">
        <v>44932</v>
      </c>
      <c r="B752" s="6">
        <f>LN(Raw!B754/Raw!B753)</f>
        <v>-4.1590114753119519E-3</v>
      </c>
      <c r="C752" s="6">
        <f>LN(Raw!C754/Raw!C753)</f>
        <v>-7.7422015017782397E-2</v>
      </c>
      <c r="D752" s="6">
        <f>LN(Raw!D754/Raw!D753)</f>
        <v>-5.663689482929999E-2</v>
      </c>
      <c r="X752" s="3">
        <v>44932</v>
      </c>
      <c r="Y752" cm="1">
        <f t="array" ref="Y752">SUMPRODUCT($T$2:$T$4,TRANSPOSE(B752:D752))</f>
        <v>-2.1377105234773167E-2</v>
      </c>
      <c r="AD752" s="3">
        <v>44931</v>
      </c>
      <c r="AE752" s="4">
        <v>9.8255904897577608E-3</v>
      </c>
      <c r="AF752">
        <f t="shared" si="11"/>
        <v>0</v>
      </c>
      <c r="AG752" s="13"/>
    </row>
    <row r="753" spans="1:33" x14ac:dyDescent="0.35">
      <c r="A753" s="3">
        <v>44935</v>
      </c>
      <c r="B753" s="6">
        <f>LN(Raw!B755/Raw!B754)</f>
        <v>-8.6874719521821339E-3</v>
      </c>
      <c r="C753" s="6">
        <f>LN(Raw!C755/Raw!C754)</f>
        <v>3.0511814581403601E-2</v>
      </c>
      <c r="D753" s="6">
        <f>LN(Raw!D755/Raw!D754)</f>
        <v>2.0515513253781554E-2</v>
      </c>
      <c r="X753" s="3">
        <v>44935</v>
      </c>
      <c r="Y753" cm="1">
        <f t="array" ref="Y753">SUMPRODUCT($T$2:$T$4,TRANSPOSE(B753:D753))</f>
        <v>5.8071375487483848E-4</v>
      </c>
      <c r="AD753" s="3">
        <v>44932</v>
      </c>
      <c r="AE753" s="4">
        <v>-2.1377105234773167E-2</v>
      </c>
      <c r="AF753">
        <f t="shared" si="11"/>
        <v>0</v>
      </c>
      <c r="AG753" s="13"/>
    </row>
    <row r="754" spans="1:33" x14ac:dyDescent="0.35">
      <c r="A754" s="3">
        <v>44936</v>
      </c>
      <c r="B754" s="6">
        <f>LN(Raw!B756/Raw!B755)</f>
        <v>-1.5185624248707492E-2</v>
      </c>
      <c r="C754" s="6">
        <f>LN(Raw!C756/Raw!C755)</f>
        <v>-3.5225542477224057E-2</v>
      </c>
      <c r="D754" s="6">
        <f>LN(Raw!D756/Raw!D755)</f>
        <v>-2.7186172602271966E-2</v>
      </c>
      <c r="X754" s="3">
        <v>44936</v>
      </c>
      <c r="Y754" cm="1">
        <f t="array" ref="Y754">SUMPRODUCT($T$2:$T$4,TRANSPOSE(B754:D754))</f>
        <v>-1.9778860754761395E-2</v>
      </c>
      <c r="AD754" s="3">
        <v>44935</v>
      </c>
      <c r="AE754" s="4">
        <v>5.8071375487483848E-4</v>
      </c>
      <c r="AF754">
        <f t="shared" si="11"/>
        <v>0</v>
      </c>
      <c r="AG754" s="13"/>
    </row>
    <row r="755" spans="1:33" x14ac:dyDescent="0.35">
      <c r="A755" s="3">
        <v>44937</v>
      </c>
      <c r="B755" s="6">
        <f>LN(Raw!B757/Raw!B756)</f>
        <v>2.0131673670072242E-4</v>
      </c>
      <c r="C755" s="6">
        <f>LN(Raw!C757/Raw!C756)</f>
        <v>1.5444438782238548E-2</v>
      </c>
      <c r="D755" s="6">
        <f>LN(Raw!D757/Raw!D756)</f>
        <v>1.018423067259995E-2</v>
      </c>
      <c r="X755" s="3">
        <v>44937</v>
      </c>
      <c r="Y755" cm="1">
        <f t="array" ref="Y755">SUMPRODUCT($T$2:$T$4,TRANSPOSE(B755:D755))</f>
        <v>3.737412974145695E-3</v>
      </c>
      <c r="AD755" s="3">
        <v>44936</v>
      </c>
      <c r="AE755" s="4">
        <v>-1.9778860754761395E-2</v>
      </c>
      <c r="AF755">
        <f t="shared" si="11"/>
        <v>0</v>
      </c>
      <c r="AG755" s="13"/>
    </row>
    <row r="756" spans="1:33" x14ac:dyDescent="0.35">
      <c r="A756" s="3">
        <v>44938</v>
      </c>
      <c r="B756" s="6">
        <f>LN(Raw!B758/Raw!B757)</f>
        <v>-2.8221290967084668E-3</v>
      </c>
      <c r="C756" s="6">
        <f>LN(Raw!C758/Raw!C757)</f>
        <v>2.7798262597748778E-2</v>
      </c>
      <c r="D756" s="6">
        <f>LN(Raw!D758/Raw!D757)</f>
        <v>1.4316204343348026E-2</v>
      </c>
      <c r="X756" s="3">
        <v>44938</v>
      </c>
      <c r="Y756" cm="1">
        <f t="array" ref="Y756">SUMPRODUCT($T$2:$T$4,TRANSPOSE(B756:D756))</f>
        <v>4.1369019786664683E-3</v>
      </c>
      <c r="AD756" s="3">
        <v>44937</v>
      </c>
      <c r="AE756" s="4">
        <v>3.737412974145695E-3</v>
      </c>
      <c r="AF756">
        <f t="shared" si="11"/>
        <v>0</v>
      </c>
      <c r="AG756" s="13"/>
    </row>
    <row r="757" spans="1:33" x14ac:dyDescent="0.35">
      <c r="A757" s="3">
        <v>44939</v>
      </c>
      <c r="B757" s="6">
        <f>LN(Raw!B759/Raw!B758)</f>
        <v>1.3394478069968737E-2</v>
      </c>
      <c r="C757" s="6">
        <f>LN(Raw!C759/Raw!C758)</f>
        <v>-4.2678180312206385E-3</v>
      </c>
      <c r="D757" s="6">
        <f>LN(Raw!D759/Raw!D758)</f>
        <v>1.9191197471578056E-3</v>
      </c>
      <c r="X757" s="3">
        <v>44939</v>
      </c>
      <c r="Y757" cm="1">
        <f t="array" ref="Y757">SUMPRODUCT($T$2:$T$4,TRANSPOSE(B757:D757))</f>
        <v>9.3017305379714619E-3</v>
      </c>
      <c r="AD757" s="3">
        <v>44938</v>
      </c>
      <c r="AE757" s="4">
        <v>4.1369019786664683E-3</v>
      </c>
      <c r="AF757">
        <f t="shared" si="11"/>
        <v>0</v>
      </c>
      <c r="AG757" s="13"/>
    </row>
    <row r="758" spans="1:33" x14ac:dyDescent="0.35">
      <c r="A758" s="3">
        <v>44942</v>
      </c>
      <c r="B758" s="6">
        <f>LN(Raw!B760/Raw!B759)</f>
        <v>-4.5114791608362442E-3</v>
      </c>
      <c r="C758" s="6">
        <f>LN(Raw!C760/Raw!C759)</f>
        <v>-2.7369226816573954E-2</v>
      </c>
      <c r="D758" s="6">
        <f>LN(Raw!D760/Raw!D759)</f>
        <v>-1.4288681616881278E-2</v>
      </c>
      <c r="X758" s="3">
        <v>44942</v>
      </c>
      <c r="Y758" cm="1">
        <f t="array" ref="Y758">SUMPRODUCT($T$2:$T$4,TRANSPOSE(B758:D758))</f>
        <v>-9.5570309610103609E-3</v>
      </c>
      <c r="AD758" s="3">
        <v>44939</v>
      </c>
      <c r="AE758" s="4">
        <v>9.3017305379714619E-3</v>
      </c>
      <c r="AF758">
        <f t="shared" si="11"/>
        <v>0</v>
      </c>
      <c r="AG758" s="13"/>
    </row>
    <row r="759" spans="1:33" x14ac:dyDescent="0.35">
      <c r="A759" s="3">
        <v>44943</v>
      </c>
      <c r="B759" s="6">
        <f>LN(Raw!B761/Raw!B760)</f>
        <v>-1.6015680223860549E-4</v>
      </c>
      <c r="C759" s="6">
        <f>LN(Raw!C761/Raw!C760)</f>
        <v>-1.997859131281329E-2</v>
      </c>
      <c r="D759" s="6">
        <f>LN(Raw!D761/Raw!D760)</f>
        <v>-2.5208078184015298E-2</v>
      </c>
      <c r="X759" s="3">
        <v>44943</v>
      </c>
      <c r="Y759" cm="1">
        <f t="array" ref="Y759">SUMPRODUCT($T$2:$T$4,TRANSPOSE(B759:D759))</f>
        <v>-5.354908267425993E-3</v>
      </c>
      <c r="AD759" s="3">
        <v>44942</v>
      </c>
      <c r="AE759" s="4">
        <v>-9.5570309610103609E-3</v>
      </c>
      <c r="AF759">
        <f t="shared" si="11"/>
        <v>0</v>
      </c>
      <c r="AG759" s="13"/>
    </row>
    <row r="760" spans="1:33" x14ac:dyDescent="0.35">
      <c r="A760" s="3">
        <v>44944</v>
      </c>
      <c r="B760" s="6">
        <f>LN(Raw!B762/Raw!B761)</f>
        <v>-4.0136723668155606E-2</v>
      </c>
      <c r="C760" s="6">
        <f>LN(Raw!C762/Raw!C761)</f>
        <v>8.0950558352711512E-3</v>
      </c>
      <c r="D760" s="6">
        <f>LN(Raw!D762/Raw!D761)</f>
        <v>9.1324664360585492E-3</v>
      </c>
      <c r="X760" s="3">
        <v>44944</v>
      </c>
      <c r="Y760" cm="1">
        <f t="array" ref="Y760">SUMPRODUCT($T$2:$T$4,TRANSPOSE(B760:D760))</f>
        <v>-2.8072861662971484E-2</v>
      </c>
      <c r="AD760" s="3">
        <v>44943</v>
      </c>
      <c r="AE760" s="4">
        <v>-5.354908267425993E-3</v>
      </c>
      <c r="AF760">
        <f t="shared" si="11"/>
        <v>0</v>
      </c>
      <c r="AG760" s="13"/>
    </row>
    <row r="761" spans="1:33" x14ac:dyDescent="0.35">
      <c r="A761" s="3">
        <v>44945</v>
      </c>
      <c r="B761" s="6">
        <f>LN(Raw!B763/Raw!B762)</f>
        <v>-2.5784985568979433E-2</v>
      </c>
      <c r="C761" s="6">
        <f>LN(Raw!C763/Raw!C762)</f>
        <v>-1.7386986845413295E-2</v>
      </c>
      <c r="D761" s="6">
        <f>LN(Raw!D763/Raw!D762)</f>
        <v>-2.4001098436585811E-2</v>
      </c>
      <c r="X761" s="3">
        <v>44945</v>
      </c>
      <c r="Y761" cm="1">
        <f t="array" ref="Y761">SUMPRODUCT($T$2:$T$4,TRANSPOSE(B761:D761))</f>
        <v>-2.4020728023162092E-2</v>
      </c>
      <c r="AD761" s="3">
        <v>44944</v>
      </c>
      <c r="AE761" s="4">
        <v>-2.8072861662971484E-2</v>
      </c>
      <c r="AF761">
        <f t="shared" si="11"/>
        <v>0</v>
      </c>
      <c r="AG761" s="13"/>
    </row>
    <row r="762" spans="1:33" x14ac:dyDescent="0.35">
      <c r="A762" s="3">
        <v>44946</v>
      </c>
      <c r="B762" s="6">
        <f>LN(Raw!B764/Raw!B763)</f>
        <v>-1.3860740018293707E-2</v>
      </c>
      <c r="C762" s="6">
        <f>LN(Raw!C764/Raw!C763)</f>
        <v>-1.4245184100067714E-2</v>
      </c>
      <c r="D762" s="6">
        <f>LN(Raw!D764/Raw!D763)</f>
        <v>6.8589322439451999E-3</v>
      </c>
      <c r="X762" s="3">
        <v>44946</v>
      </c>
      <c r="Y762" cm="1">
        <f t="array" ref="Y762">SUMPRODUCT($T$2:$T$4,TRANSPOSE(B762:D762))</f>
        <v>-1.2912043831719842E-2</v>
      </c>
      <c r="AD762" s="3">
        <v>44945</v>
      </c>
      <c r="AE762" s="4">
        <v>-2.4020728023162092E-2</v>
      </c>
      <c r="AF762">
        <f t="shared" si="11"/>
        <v>0</v>
      </c>
      <c r="AG762" s="13"/>
    </row>
    <row r="763" spans="1:33" x14ac:dyDescent="0.35">
      <c r="A763" s="3">
        <v>44949</v>
      </c>
      <c r="B763" s="6">
        <f>LN(Raw!B765/Raw!B764)</f>
        <v>5.6189938234616262E-3</v>
      </c>
      <c r="C763" s="6">
        <f>LN(Raw!C765/Raw!C764)</f>
        <v>1.2829847385277872E-2</v>
      </c>
      <c r="D763" s="6">
        <f>LN(Raw!D765/Raw!D764)</f>
        <v>-7.263957688847157E-3</v>
      </c>
      <c r="X763" s="3">
        <v>44949</v>
      </c>
      <c r="Y763" cm="1">
        <f t="array" ref="Y763">SUMPRODUCT($T$2:$T$4,TRANSPOSE(B763:D763))</f>
        <v>6.4204713672709537E-3</v>
      </c>
      <c r="AD763" s="3">
        <v>44946</v>
      </c>
      <c r="AE763" s="4">
        <v>-1.2912043831719842E-2</v>
      </c>
      <c r="AF763">
        <f t="shared" si="11"/>
        <v>0</v>
      </c>
      <c r="AG763" s="13"/>
    </row>
    <row r="764" spans="1:33" x14ac:dyDescent="0.35">
      <c r="A764" s="3">
        <v>44950</v>
      </c>
      <c r="B764" s="6">
        <f>LN(Raw!B766/Raw!B765)</f>
        <v>-1.423889835725615E-2</v>
      </c>
      <c r="C764" s="6">
        <f>LN(Raw!C766/Raw!C765)</f>
        <v>4.2701314307680774E-2</v>
      </c>
      <c r="D764" s="6">
        <f>LN(Raw!D766/Raw!D765)</f>
        <v>2.2427841479810272E-2</v>
      </c>
      <c r="X764" s="3">
        <v>44950</v>
      </c>
      <c r="Y764" cm="1">
        <f t="array" ref="Y764">SUMPRODUCT($T$2:$T$4,TRANSPOSE(B764:D764))</f>
        <v>-1.0608078440671632E-3</v>
      </c>
      <c r="AD764" s="3">
        <v>44949</v>
      </c>
      <c r="AE764" s="4">
        <v>6.4204713672709537E-3</v>
      </c>
      <c r="AF764">
        <f t="shared" si="11"/>
        <v>0</v>
      </c>
      <c r="AG764" s="13"/>
    </row>
    <row r="765" spans="1:33" x14ac:dyDescent="0.35">
      <c r="A765" s="3">
        <v>44951</v>
      </c>
      <c r="B765" s="6">
        <f>LN(Raw!B767/Raw!B766)</f>
        <v>-5.8320130837718051E-3</v>
      </c>
      <c r="C765" s="6">
        <f>LN(Raw!C767/Raw!C766)</f>
        <v>-3.4238626910638205E-2</v>
      </c>
      <c r="D765" s="6">
        <f>LN(Raw!D767/Raw!D766)</f>
        <v>-3.424299633482325E-2</v>
      </c>
      <c r="X765" s="3">
        <v>44951</v>
      </c>
      <c r="Y765" cm="1">
        <f t="array" ref="Y765">SUMPRODUCT($T$2:$T$4,TRANSPOSE(B765:D765))</f>
        <v>-1.2907129335193643E-2</v>
      </c>
      <c r="AD765" s="3">
        <v>44950</v>
      </c>
      <c r="AE765" s="4">
        <v>-1.0608078440671632E-3</v>
      </c>
      <c r="AF765">
        <f t="shared" si="11"/>
        <v>0</v>
      </c>
      <c r="AG765" s="13"/>
    </row>
    <row r="766" spans="1:33" x14ac:dyDescent="0.35">
      <c r="A766" s="3">
        <v>44953</v>
      </c>
      <c r="B766" s="6">
        <f>LN(Raw!B768/Raw!B767)</f>
        <v>-4.6280946369811624E-3</v>
      </c>
      <c r="C766" s="6">
        <f>LN(Raw!C768/Raw!C767)</f>
        <v>-2.7625227962518276E-2</v>
      </c>
      <c r="D766" s="6">
        <f>LN(Raw!D768/Raw!D767)</f>
        <v>-4.1419801734790249E-2</v>
      </c>
      <c r="X766" s="3">
        <v>44953</v>
      </c>
      <c r="Y766" cm="1">
        <f t="array" ref="Y766">SUMPRODUCT($T$2:$T$4,TRANSPOSE(B766:D766))</f>
        <v>-1.1038414148576184E-2</v>
      </c>
      <c r="AD766" s="3">
        <v>44951</v>
      </c>
      <c r="AE766" s="4">
        <v>-1.2907129335193643E-2</v>
      </c>
      <c r="AF766">
        <f t="shared" si="11"/>
        <v>0</v>
      </c>
      <c r="AG766" s="13"/>
    </row>
    <row r="767" spans="1:33" x14ac:dyDescent="0.35">
      <c r="A767" s="3">
        <v>44956</v>
      </c>
      <c r="B767" s="6">
        <f>LN(Raw!B769/Raw!B768)</f>
        <v>1.677439346063548E-3</v>
      </c>
      <c r="C767" s="6">
        <f>LN(Raw!C769/Raw!C768)</f>
        <v>5.2591798807824677E-2</v>
      </c>
      <c r="D767" s="6">
        <f>LN(Raw!D769/Raw!D768)</f>
        <v>2.985736944036913E-3</v>
      </c>
      <c r="X767" s="3">
        <v>44956</v>
      </c>
      <c r="Y767" cm="1">
        <f t="array" ref="Y767">SUMPRODUCT($T$2:$T$4,TRANSPOSE(B767:D767))</f>
        <v>1.1903068552467219E-2</v>
      </c>
      <c r="AD767" s="3">
        <v>44953</v>
      </c>
      <c r="AE767" s="4">
        <v>-1.1038414148576184E-2</v>
      </c>
      <c r="AF767">
        <f t="shared" si="11"/>
        <v>0</v>
      </c>
      <c r="AG767" s="13"/>
    </row>
    <row r="768" spans="1:33" x14ac:dyDescent="0.35">
      <c r="A768" s="3">
        <v>44957</v>
      </c>
      <c r="B768" s="6">
        <f>LN(Raw!B770/Raw!B769)</f>
        <v>-3.4020863544948344E-3</v>
      </c>
      <c r="C768" s="6">
        <f>LN(Raw!C770/Raw!C769)</f>
        <v>9.00048454365273E-3</v>
      </c>
      <c r="D768" s="6">
        <f>LN(Raw!D770/Raw!D769)</f>
        <v>1.1854459574023056E-2</v>
      </c>
      <c r="X768" s="3">
        <v>44957</v>
      </c>
      <c r="Y768" cm="1">
        <f t="array" ref="Y768">SUMPRODUCT($T$2:$T$4,TRANSPOSE(B768:D768))</f>
        <v>-1.7188082878035458E-4</v>
      </c>
      <c r="AD768" s="3">
        <v>44956</v>
      </c>
      <c r="AE768" s="4">
        <v>1.1903068552467219E-2</v>
      </c>
      <c r="AF768">
        <f t="shared" si="11"/>
        <v>0</v>
      </c>
      <c r="AG768" s="13"/>
    </row>
    <row r="769" spans="1:33" x14ac:dyDescent="0.35">
      <c r="A769" s="3">
        <v>44958</v>
      </c>
      <c r="B769" s="6">
        <f>LN(Raw!B771/Raw!B770)</f>
        <v>-3.9023400301945103E-3</v>
      </c>
      <c r="C769" s="6">
        <f>LN(Raw!C771/Raw!C770)</f>
        <v>-0.13248468179923878</v>
      </c>
      <c r="D769" s="6">
        <f>LN(Raw!D771/Raw!D770)</f>
        <v>-8.0604089729040498E-2</v>
      </c>
      <c r="X769" s="3">
        <v>44958</v>
      </c>
      <c r="Y769" cm="1">
        <f t="array" ref="Y769">SUMPRODUCT($T$2:$T$4,TRANSPOSE(B769:D769))</f>
        <v>-3.3359250203675604E-2</v>
      </c>
      <c r="AD769" s="3">
        <v>44957</v>
      </c>
      <c r="AE769" s="4">
        <v>-1.7188082878035458E-4</v>
      </c>
      <c r="AF769">
        <f t="shared" si="11"/>
        <v>0</v>
      </c>
      <c r="AG769" s="13"/>
    </row>
    <row r="770" spans="1:33" x14ac:dyDescent="0.35">
      <c r="A770" s="3">
        <v>44959</v>
      </c>
      <c r="B770" s="6">
        <f>LN(Raw!B772/Raw!B771)</f>
        <v>4.4332241335775287E-3</v>
      </c>
      <c r="C770" s="6">
        <f>LN(Raw!C772/Raw!C771)</f>
        <v>-1.0908546394935825E-2</v>
      </c>
      <c r="D770" s="6">
        <f>LN(Raw!D772/Raw!D771)</f>
        <v>3.1882962043795712E-3</v>
      </c>
      <c r="X770" s="3">
        <v>44959</v>
      </c>
      <c r="Y770" cm="1">
        <f t="array" ref="Y770">SUMPRODUCT($T$2:$T$4,TRANSPOSE(B770:D770))</f>
        <v>1.3098846478870984E-3</v>
      </c>
      <c r="AD770" s="3">
        <v>44958</v>
      </c>
      <c r="AE770" s="4">
        <v>-3.3359250203675604E-2</v>
      </c>
      <c r="AF770">
        <f t="shared" si="11"/>
        <v>0</v>
      </c>
      <c r="AG770" s="13"/>
    </row>
    <row r="771" spans="1:33" x14ac:dyDescent="0.35">
      <c r="A771" s="3">
        <v>44960</v>
      </c>
      <c r="B771" s="6">
        <f>LN(Raw!B773/Raw!B772)</f>
        <v>2.7388055699924707E-3</v>
      </c>
      <c r="C771" s="6">
        <f>LN(Raw!C773/Raw!C772)</f>
        <v>-1.2614504339249375E-2</v>
      </c>
      <c r="D771" s="6">
        <f>LN(Raw!D773/Raw!D772)</f>
        <v>-1.4197586748407553E-2</v>
      </c>
      <c r="X771" s="3">
        <v>44960</v>
      </c>
      <c r="Y771" cm="1">
        <f t="array" ref="Y771">SUMPRODUCT($T$2:$T$4,TRANSPOSE(B771:D771))</f>
        <v>-1.1634090772400718E-3</v>
      </c>
      <c r="AD771" s="3">
        <v>44959</v>
      </c>
      <c r="AE771" s="4">
        <v>1.3098846478870984E-3</v>
      </c>
      <c r="AF771">
        <f t="shared" ref="AF771:AF834" si="12">IF(AE771&lt;$AB$2,1,0)</f>
        <v>0</v>
      </c>
      <c r="AG771" s="13"/>
    </row>
    <row r="772" spans="1:33" x14ac:dyDescent="0.35">
      <c r="A772" s="3">
        <v>44963</v>
      </c>
      <c r="B772" s="6">
        <f>LN(Raw!B774/Raw!B773)</f>
        <v>6.6147821662916519E-4</v>
      </c>
      <c r="C772" s="6">
        <f>LN(Raw!C774/Raw!C773)</f>
        <v>4.1037839311918643E-2</v>
      </c>
      <c r="D772" s="6">
        <f>LN(Raw!D774/Raw!D773)</f>
        <v>2.7299321537218105E-2</v>
      </c>
      <c r="X772" s="3">
        <v>44963</v>
      </c>
      <c r="Y772" cm="1">
        <f t="array" ref="Y772">SUMPRODUCT($T$2:$T$4,TRANSPOSE(B772:D772))</f>
        <v>1.0037621213804762E-2</v>
      </c>
      <c r="AD772" s="3">
        <v>44960</v>
      </c>
      <c r="AE772" s="4">
        <v>-1.1634090772400718E-3</v>
      </c>
      <c r="AF772">
        <f t="shared" si="12"/>
        <v>0</v>
      </c>
      <c r="AG772" s="13"/>
    </row>
    <row r="773" spans="1:33" x14ac:dyDescent="0.35">
      <c r="A773" s="3">
        <v>44964</v>
      </c>
      <c r="B773" s="6">
        <f>LN(Raw!B775/Raw!B774)</f>
        <v>-1.2911339855545012E-2</v>
      </c>
      <c r="C773" s="6">
        <f>LN(Raw!C775/Raw!C774)</f>
        <v>-2.3421857328618401E-2</v>
      </c>
      <c r="D773" s="6">
        <f>LN(Raw!D775/Raw!D774)</f>
        <v>-3.3777805005880616E-2</v>
      </c>
      <c r="X773" s="3">
        <v>44964</v>
      </c>
      <c r="Y773" cm="1">
        <f t="array" ref="Y773">SUMPRODUCT($T$2:$T$4,TRANSPOSE(B773:D773))</f>
        <v>-1.6041587270156428E-2</v>
      </c>
      <c r="AD773" s="3">
        <v>44963</v>
      </c>
      <c r="AE773" s="4">
        <v>1.0037621213804762E-2</v>
      </c>
      <c r="AF773">
        <f t="shared" si="12"/>
        <v>0</v>
      </c>
      <c r="AG773" s="13"/>
    </row>
    <row r="774" spans="1:33" x14ac:dyDescent="0.35">
      <c r="A774" s="3">
        <v>44965</v>
      </c>
      <c r="B774" s="6">
        <f>LN(Raw!B776/Raw!B775)</f>
        <v>1.0130230298752967E-2</v>
      </c>
      <c r="C774" s="6">
        <f>LN(Raw!C776/Raw!C775)</f>
        <v>-5.0014776440509149E-3</v>
      </c>
      <c r="D774" s="6">
        <f>LN(Raw!D776/Raw!D775)</f>
        <v>-8.859886795088116E-3</v>
      </c>
      <c r="X774" s="3">
        <v>44965</v>
      </c>
      <c r="Y774" cm="1">
        <f t="array" ref="Y774">SUMPRODUCT($T$2:$T$4,TRANSPOSE(B774:D774))</f>
        <v>6.1706012066893509E-3</v>
      </c>
      <c r="AD774" s="3">
        <v>44964</v>
      </c>
      <c r="AE774" s="4">
        <v>-1.6041587270156428E-2</v>
      </c>
      <c r="AF774">
        <f t="shared" si="12"/>
        <v>0</v>
      </c>
      <c r="AG774" s="13"/>
    </row>
    <row r="775" spans="1:33" x14ac:dyDescent="0.35">
      <c r="A775" s="3">
        <v>44966</v>
      </c>
      <c r="B775" s="6">
        <f>LN(Raw!B777/Raw!B776)</f>
        <v>3.7063566750859672E-3</v>
      </c>
      <c r="C775" s="6">
        <f>LN(Raw!C777/Raw!C776)</f>
        <v>2.5677968349881231E-2</v>
      </c>
      <c r="D775" s="6">
        <f>LN(Raw!D777/Raw!D776)</f>
        <v>1.4040928356475251E-3</v>
      </c>
      <c r="X775" s="3">
        <v>44966</v>
      </c>
      <c r="Y775" cm="1">
        <f t="array" ref="Y775">SUMPRODUCT($T$2:$T$4,TRANSPOSE(B775:D775))</f>
        <v>7.9772499134007323E-3</v>
      </c>
      <c r="AD775" s="3">
        <v>44965</v>
      </c>
      <c r="AE775" s="4">
        <v>6.1706012066893509E-3</v>
      </c>
      <c r="AF775">
        <f t="shared" si="12"/>
        <v>0</v>
      </c>
      <c r="AG775" s="13"/>
    </row>
    <row r="776" spans="1:33" x14ac:dyDescent="0.35">
      <c r="A776" s="3">
        <v>44967</v>
      </c>
      <c r="B776" s="6">
        <f>LN(Raw!B778/Raw!B777)</f>
        <v>1.4993909631508599E-2</v>
      </c>
      <c r="C776" s="6">
        <f>LN(Raw!C778/Raw!C777)</f>
        <v>-3.2911957862801912E-2</v>
      </c>
      <c r="D776" s="6">
        <f>LN(Raw!D778/Raw!D777)</f>
        <v>-4.2030988272927658E-2</v>
      </c>
      <c r="X776" s="3">
        <v>44967</v>
      </c>
      <c r="Y776" cm="1">
        <f t="array" ref="Y776">SUMPRODUCT($T$2:$T$4,TRANSPOSE(B776:D776))</f>
        <v>2.61125865185488E-3</v>
      </c>
      <c r="AD776" s="3">
        <v>44966</v>
      </c>
      <c r="AE776" s="4">
        <v>7.9772499134007323E-3</v>
      </c>
      <c r="AF776">
        <f t="shared" si="12"/>
        <v>0</v>
      </c>
      <c r="AG776" s="13"/>
    </row>
    <row r="777" spans="1:33" x14ac:dyDescent="0.35">
      <c r="A777" s="3">
        <v>44970</v>
      </c>
      <c r="B777" s="6">
        <f>LN(Raw!B779/Raw!B778)</f>
        <v>-8.059120036198358E-3</v>
      </c>
      <c r="C777" s="6">
        <f>LN(Raw!C779/Raw!C778)</f>
        <v>-6.3192623658191616E-2</v>
      </c>
      <c r="D777" s="6">
        <f>LN(Raw!D779/Raw!D778)</f>
        <v>-1.3258240773077093E-2</v>
      </c>
      <c r="X777" s="3">
        <v>44970</v>
      </c>
      <c r="Y777" cm="1">
        <f t="array" ref="Y777">SUMPRODUCT($T$2:$T$4,TRANSPOSE(B777:D777))</f>
        <v>-1.9319312987921503E-2</v>
      </c>
      <c r="AD777" s="3">
        <v>44967</v>
      </c>
      <c r="AE777" s="4">
        <v>2.61125865185488E-3</v>
      </c>
      <c r="AF777">
        <f t="shared" si="12"/>
        <v>0</v>
      </c>
      <c r="AG777" s="13"/>
    </row>
    <row r="778" spans="1:33" x14ac:dyDescent="0.35">
      <c r="A778" s="3">
        <v>44971</v>
      </c>
      <c r="B778" s="6">
        <f>LN(Raw!B780/Raw!B779)</f>
        <v>-1.3129170442008997E-3</v>
      </c>
      <c r="C778" s="6">
        <f>LN(Raw!C780/Raw!C779)</f>
        <v>-4.8924521652714818E-2</v>
      </c>
      <c r="D778" s="6">
        <f>LN(Raw!D780/Raw!D779)</f>
        <v>-3.4661574445756889E-3</v>
      </c>
      <c r="X778" s="3">
        <v>44971</v>
      </c>
      <c r="Y778" cm="1">
        <f t="array" ref="Y778">SUMPRODUCT($T$2:$T$4,TRANSPOSE(B778:D778))</f>
        <v>-1.092123809002157E-2</v>
      </c>
      <c r="AD778" s="3">
        <v>44970</v>
      </c>
      <c r="AE778" s="4">
        <v>-1.9319312987921503E-2</v>
      </c>
      <c r="AF778">
        <f t="shared" si="12"/>
        <v>0</v>
      </c>
      <c r="AG778" s="13"/>
    </row>
    <row r="779" spans="1:33" x14ac:dyDescent="0.35">
      <c r="A779" s="3">
        <v>44972</v>
      </c>
      <c r="B779" s="6">
        <f>LN(Raw!B781/Raw!B780)</f>
        <v>-5.6658288027779079E-3</v>
      </c>
      <c r="C779" s="6">
        <f>LN(Raw!C781/Raw!C780)</f>
        <v>0.10164593372540771</v>
      </c>
      <c r="D779" s="6">
        <f>LN(Raw!D781/Raw!D780)</f>
        <v>5.4536957827536828E-2</v>
      </c>
      <c r="X779" s="3">
        <v>44972</v>
      </c>
      <c r="Y779" cm="1">
        <f t="array" ref="Y779">SUMPRODUCT($T$2:$T$4,TRANSPOSE(B779:D779))</f>
        <v>1.8729617115508509E-2</v>
      </c>
      <c r="AD779" s="3">
        <v>44971</v>
      </c>
      <c r="AE779" s="4">
        <v>-1.092123809002157E-2</v>
      </c>
      <c r="AF779">
        <f t="shared" si="12"/>
        <v>0</v>
      </c>
      <c r="AG779" s="13"/>
    </row>
    <row r="780" spans="1:33" x14ac:dyDescent="0.35">
      <c r="A780" s="3">
        <v>44973</v>
      </c>
      <c r="B780" s="6">
        <f>LN(Raw!B782/Raw!B781)</f>
        <v>-1.4909563822142818E-2</v>
      </c>
      <c r="C780" s="6">
        <f>LN(Raw!C782/Raw!C781)</f>
        <v>-1.2518238374786781E-2</v>
      </c>
      <c r="D780" s="6">
        <f>LN(Raw!D782/Raw!D781)</f>
        <v>1.2138392000024404E-2</v>
      </c>
      <c r="X780" s="3">
        <v>44973</v>
      </c>
      <c r="Y780" cm="1">
        <f t="array" ref="Y780">SUMPRODUCT($T$2:$T$4,TRANSPOSE(B780:D780))</f>
        <v>-1.3093725162245997E-2</v>
      </c>
      <c r="AD780" s="3">
        <v>44972</v>
      </c>
      <c r="AE780" s="4">
        <v>1.8729617115508509E-2</v>
      </c>
      <c r="AF780">
        <f t="shared" si="12"/>
        <v>0</v>
      </c>
      <c r="AG780" s="13"/>
    </row>
    <row r="781" spans="1:33" x14ac:dyDescent="0.35">
      <c r="A781" s="3">
        <v>44974</v>
      </c>
      <c r="B781" s="6">
        <f>LN(Raw!B783/Raw!B782)</f>
        <v>-8.9464653733202547E-4</v>
      </c>
      <c r="C781" s="6">
        <f>LN(Raw!C783/Raw!C782)</f>
        <v>-3.4503121528787685E-2</v>
      </c>
      <c r="D781" s="6">
        <f>LN(Raw!D783/Raw!D782)</f>
        <v>-3.5422920461971673E-2</v>
      </c>
      <c r="X781" s="3">
        <v>44974</v>
      </c>
      <c r="Y781" cm="1">
        <f t="array" ref="Y781">SUMPRODUCT($T$2:$T$4,TRANSPOSE(B781:D781))</f>
        <v>-9.3106337060053432E-3</v>
      </c>
      <c r="AD781" s="3">
        <v>44973</v>
      </c>
      <c r="AE781" s="4">
        <v>-1.3093725162245997E-2</v>
      </c>
      <c r="AF781">
        <f t="shared" si="12"/>
        <v>0</v>
      </c>
      <c r="AG781" s="13"/>
    </row>
    <row r="782" spans="1:33" x14ac:dyDescent="0.35">
      <c r="A782" s="3">
        <v>44977</v>
      </c>
      <c r="B782" s="6">
        <f>LN(Raw!B784/Raw!B783)</f>
        <v>-3.2718154119862051E-3</v>
      </c>
      <c r="C782" s="6">
        <f>LN(Raw!C784/Raw!C783)</f>
        <v>-1.1432556651774317E-2</v>
      </c>
      <c r="D782" s="6">
        <f>LN(Raw!D784/Raw!D783)</f>
        <v>-5.785787733014869E-3</v>
      </c>
      <c r="X782" s="3">
        <v>44977</v>
      </c>
      <c r="Y782" cm="1">
        <f t="array" ref="Y782">SUMPRODUCT($T$2:$T$4,TRANSPOSE(B782:D782))</f>
        <v>-5.0248556840846509E-3</v>
      </c>
      <c r="AD782" s="3">
        <v>44974</v>
      </c>
      <c r="AE782" s="4">
        <v>-9.3106337060053432E-3</v>
      </c>
      <c r="AF782">
        <f t="shared" si="12"/>
        <v>0</v>
      </c>
      <c r="AG782" s="13"/>
    </row>
    <row r="783" spans="1:33" x14ac:dyDescent="0.35">
      <c r="A783" s="3">
        <v>44978</v>
      </c>
      <c r="B783" s="6">
        <f>LN(Raw!B785/Raw!B784)</f>
        <v>-1.2286217939807427E-2</v>
      </c>
      <c r="C783" s="6">
        <f>LN(Raw!C785/Raw!C784)</f>
        <v>1.443707033568924E-2</v>
      </c>
      <c r="D783" s="6">
        <f>LN(Raw!D785/Raw!D784)</f>
        <v>1.4878889421530083E-2</v>
      </c>
      <c r="X783" s="3">
        <v>44978</v>
      </c>
      <c r="Y783" cm="1">
        <f t="array" ref="Y783">SUMPRODUCT($T$2:$T$4,TRANSPOSE(B783:D783))</f>
        <v>-5.6086981320024659E-3</v>
      </c>
      <c r="AD783" s="3">
        <v>44977</v>
      </c>
      <c r="AE783" s="4">
        <v>-5.0248556840846509E-3</v>
      </c>
      <c r="AF783">
        <f t="shared" si="12"/>
        <v>0</v>
      </c>
      <c r="AG783" s="13"/>
    </row>
    <row r="784" spans="1:33" x14ac:dyDescent="0.35">
      <c r="A784" s="3">
        <v>44979</v>
      </c>
      <c r="B784" s="6">
        <f>LN(Raw!B786/Raw!B785)</f>
        <v>-1.5464171846945041E-3</v>
      </c>
      <c r="C784" s="6">
        <f>LN(Raw!C786/Raw!C785)</f>
        <v>6.6644557572244573E-4</v>
      </c>
      <c r="D784" s="6">
        <f>LN(Raw!D786/Raw!D785)</f>
        <v>-2.1671788082896746E-2</v>
      </c>
      <c r="X784" s="3">
        <v>44979</v>
      </c>
      <c r="Y784" cm="1">
        <f t="array" ref="Y784">SUMPRODUCT($T$2:$T$4,TRANSPOSE(B784:D784))</f>
        <v>-2.1008071792500572E-3</v>
      </c>
      <c r="AD784" s="3">
        <v>44978</v>
      </c>
      <c r="AE784" s="4">
        <v>-5.6086981320024659E-3</v>
      </c>
      <c r="AF784">
        <f t="shared" si="12"/>
        <v>0</v>
      </c>
      <c r="AG784" s="13"/>
    </row>
    <row r="785" spans="1:33" x14ac:dyDescent="0.35">
      <c r="A785" s="3">
        <v>44980</v>
      </c>
      <c r="B785" s="6">
        <f>LN(Raw!B787/Raw!B786)</f>
        <v>-3.9680356489158628E-3</v>
      </c>
      <c r="C785" s="6">
        <f>LN(Raw!C787/Raw!C786)</f>
        <v>-3.0026199623896361E-3</v>
      </c>
      <c r="D785" s="6">
        <f>LN(Raw!D787/Raw!D786)</f>
        <v>-1.1260807698228351E-2</v>
      </c>
      <c r="X785" s="3">
        <v>44980</v>
      </c>
      <c r="Y785" cm="1">
        <f t="array" ref="Y785">SUMPRODUCT($T$2:$T$4,TRANSPOSE(B785:D785))</f>
        <v>-4.1362895353966476E-3</v>
      </c>
      <c r="AD785" s="3">
        <v>44979</v>
      </c>
      <c r="AE785" s="4">
        <v>-2.1008071792500572E-3</v>
      </c>
      <c r="AF785">
        <f t="shared" si="12"/>
        <v>0</v>
      </c>
      <c r="AG785" s="13"/>
    </row>
    <row r="786" spans="1:33" x14ac:dyDescent="0.35">
      <c r="A786" s="3">
        <v>44981</v>
      </c>
      <c r="B786" s="6">
        <f>LN(Raw!B788/Raw!B787)</f>
        <v>-4.5804433325085155E-3</v>
      </c>
      <c r="C786" s="6">
        <f>LN(Raw!C788/Raw!C787)</f>
        <v>-2.5720467495835585E-2</v>
      </c>
      <c r="D786" s="6">
        <f>LN(Raw!D788/Raw!D787)</f>
        <v>-1.6381608773522321E-2</v>
      </c>
      <c r="X786" s="3">
        <v>44981</v>
      </c>
      <c r="Y786" cm="1">
        <f t="array" ref="Y786">SUMPRODUCT($T$2:$T$4,TRANSPOSE(B786:D786))</f>
        <v>-9.3833584858066064E-3</v>
      </c>
      <c r="AD786" s="3">
        <v>44980</v>
      </c>
      <c r="AE786" s="4">
        <v>-4.1362895353966476E-3</v>
      </c>
      <c r="AF786">
        <f t="shared" si="12"/>
        <v>0</v>
      </c>
      <c r="AG786" s="13"/>
    </row>
    <row r="787" spans="1:33" x14ac:dyDescent="0.35">
      <c r="A787" s="3">
        <v>44984</v>
      </c>
      <c r="B787" s="6">
        <f>LN(Raw!B789/Raw!B788)</f>
        <v>7.592219808697424E-3</v>
      </c>
      <c r="C787" s="6">
        <f>LN(Raw!C789/Raw!C788)</f>
        <v>-3.1339545439664329E-2</v>
      </c>
      <c r="D787" s="6">
        <f>LN(Raw!D789/Raw!D788)</f>
        <v>-1.6145638220638102E-2</v>
      </c>
      <c r="X787" s="3">
        <v>44984</v>
      </c>
      <c r="Y787" cm="1">
        <f t="array" ref="Y787">SUMPRODUCT($T$2:$T$4,TRANSPOSE(B787:D787))</f>
        <v>-1.3521074374158366E-3</v>
      </c>
      <c r="AD787" s="3">
        <v>44981</v>
      </c>
      <c r="AE787" s="4">
        <v>-9.3833584858066064E-3</v>
      </c>
      <c r="AF787">
        <f t="shared" si="12"/>
        <v>0</v>
      </c>
      <c r="AG787" s="13"/>
    </row>
    <row r="788" spans="1:33" x14ac:dyDescent="0.35">
      <c r="A788" s="3">
        <v>44985</v>
      </c>
      <c r="B788" s="6">
        <f>LN(Raw!B790/Raw!B789)</f>
        <v>4.046819047129618E-3</v>
      </c>
      <c r="C788" s="6">
        <f>LN(Raw!C790/Raw!C789)</f>
        <v>3.0310560686075211E-2</v>
      </c>
      <c r="D788" s="6">
        <f>LN(Raw!D790/Raw!D789)</f>
        <v>3.1541973127933741E-2</v>
      </c>
      <c r="X788" s="3">
        <v>44985</v>
      </c>
      <c r="Y788" cm="1">
        <f t="array" ref="Y788">SUMPRODUCT($T$2:$T$4,TRANSPOSE(B788:D788))</f>
        <v>1.0648961920287945E-2</v>
      </c>
      <c r="AD788" s="3">
        <v>44984</v>
      </c>
      <c r="AE788" s="4">
        <v>-1.3521074374158366E-3</v>
      </c>
      <c r="AF788">
        <f t="shared" si="12"/>
        <v>0</v>
      </c>
      <c r="AG788" s="13"/>
    </row>
    <row r="789" spans="1:33" x14ac:dyDescent="0.35">
      <c r="A789" s="3">
        <v>44986</v>
      </c>
      <c r="B789" s="6">
        <f>LN(Raw!B791/Raw!B790)</f>
        <v>-1.2714669355997437E-3</v>
      </c>
      <c r="C789" s="6">
        <f>LN(Raw!C791/Raw!C790)</f>
        <v>-1.6609289209140541E-2</v>
      </c>
      <c r="D789" s="6">
        <f>LN(Raw!D791/Raw!D790)</f>
        <v>1.4677373608507053E-2</v>
      </c>
      <c r="X789" s="3">
        <v>44986</v>
      </c>
      <c r="Y789" cm="1">
        <f t="array" ref="Y789">SUMPRODUCT($T$2:$T$4,TRANSPOSE(B789:D789))</f>
        <v>-3.5430969504583049E-3</v>
      </c>
      <c r="AD789" s="3">
        <v>44985</v>
      </c>
      <c r="AE789" s="4">
        <v>1.0648961920287945E-2</v>
      </c>
      <c r="AF789">
        <f t="shared" si="12"/>
        <v>0</v>
      </c>
      <c r="AG789" s="13"/>
    </row>
    <row r="790" spans="1:33" x14ac:dyDescent="0.35">
      <c r="A790" s="3">
        <v>44987</v>
      </c>
      <c r="B790" s="6">
        <f>LN(Raw!B792/Raw!B791)</f>
        <v>-1.2435865774514582E-2</v>
      </c>
      <c r="C790" s="6">
        <f>LN(Raw!C792/Raw!C791)</f>
        <v>-2.0957077346210086E-3</v>
      </c>
      <c r="D790" s="6">
        <f>LN(Raw!D792/Raw!D791)</f>
        <v>-1.813334133046271E-2</v>
      </c>
      <c r="X790" s="3">
        <v>44987</v>
      </c>
      <c r="Y790" cm="1">
        <f t="array" ref="Y790">SUMPRODUCT($T$2:$T$4,TRANSPOSE(B790:D790))</f>
        <v>-1.0654268773636285E-2</v>
      </c>
      <c r="AD790" s="3">
        <v>44986</v>
      </c>
      <c r="AE790" s="4">
        <v>-3.5430969504583049E-3</v>
      </c>
      <c r="AF790">
        <f t="shared" si="12"/>
        <v>0</v>
      </c>
      <c r="AG790" s="13"/>
    </row>
    <row r="791" spans="1:33" x14ac:dyDescent="0.35">
      <c r="A791" s="3">
        <v>44988</v>
      </c>
      <c r="B791" s="6">
        <f>LN(Raw!B793/Raw!B792)</f>
        <v>-7.1560188019712525E-3</v>
      </c>
      <c r="C791" s="6">
        <f>LN(Raw!C793/Raw!C792)</f>
        <v>1.7331368160863184E-2</v>
      </c>
      <c r="D791" s="6">
        <f>LN(Raw!D793/Raw!D792)</f>
        <v>3.3077010798293546E-2</v>
      </c>
      <c r="X791" s="3">
        <v>44988</v>
      </c>
      <c r="Y791" cm="1">
        <f t="array" ref="Y791">SUMPRODUCT($T$2:$T$4,TRANSPOSE(B791:D791))</f>
        <v>-2.7798069363559378E-4</v>
      </c>
      <c r="AD791" s="3">
        <v>44987</v>
      </c>
      <c r="AE791" s="4">
        <v>-1.0654268773636285E-2</v>
      </c>
      <c r="AF791">
        <f t="shared" si="12"/>
        <v>0</v>
      </c>
      <c r="AG791" s="13"/>
    </row>
    <row r="792" spans="1:33" x14ac:dyDescent="0.35">
      <c r="A792" s="3">
        <v>44991</v>
      </c>
      <c r="B792" s="6">
        <f>LN(Raw!B794/Raw!B793)</f>
        <v>1.2387266642316697E-2</v>
      </c>
      <c r="C792" s="6">
        <f>LN(Raw!C794/Raw!C793)</f>
        <v>-1.0314612555888849E-3</v>
      </c>
      <c r="D792" s="6">
        <f>LN(Raw!D794/Raw!D793)</f>
        <v>-8.6497450696616743E-3</v>
      </c>
      <c r="X792" s="3">
        <v>44991</v>
      </c>
      <c r="Y792" cm="1">
        <f t="array" ref="Y792">SUMPRODUCT($T$2:$T$4,TRANSPOSE(B792:D792))</f>
        <v>8.6681926476033979E-3</v>
      </c>
      <c r="AD792" s="3">
        <v>44988</v>
      </c>
      <c r="AE792" s="4">
        <v>-2.7798069363559378E-4</v>
      </c>
      <c r="AF792">
        <f t="shared" si="12"/>
        <v>0</v>
      </c>
      <c r="AG792" s="13"/>
    </row>
    <row r="793" spans="1:33" x14ac:dyDescent="0.35">
      <c r="A793" s="3">
        <v>44993</v>
      </c>
      <c r="B793" s="6">
        <f>LN(Raw!B795/Raw!B794)</f>
        <v>7.7762582883163526E-4</v>
      </c>
      <c r="C793" s="6">
        <f>LN(Raw!C795/Raw!C794)</f>
        <v>-1.1416852285294373E-2</v>
      </c>
      <c r="D793" s="6">
        <f>LN(Raw!D795/Raw!D794)</f>
        <v>-1.5564574348625617E-2</v>
      </c>
      <c r="X793" s="3">
        <v>44993</v>
      </c>
      <c r="Y793" cm="1">
        <f t="array" ref="Y793">SUMPRODUCT($T$2:$T$4,TRANSPOSE(B793:D793))</f>
        <v>-2.4647801424954852E-3</v>
      </c>
      <c r="AD793" s="3">
        <v>44991</v>
      </c>
      <c r="AE793" s="4">
        <v>8.6681926476033979E-3</v>
      </c>
      <c r="AF793">
        <f t="shared" si="12"/>
        <v>0</v>
      </c>
      <c r="AG793" s="13"/>
    </row>
    <row r="794" spans="1:33" x14ac:dyDescent="0.35">
      <c r="A794" s="3">
        <v>44994</v>
      </c>
      <c r="B794" s="6">
        <f>LN(Raw!B796/Raw!B795)</f>
        <v>-8.5881304250002045E-3</v>
      </c>
      <c r="C794" s="6">
        <f>LN(Raw!C796/Raw!C795)</f>
        <v>9.3507325397391237E-3</v>
      </c>
      <c r="D794" s="6">
        <f>LN(Raw!D796/Raw!D795)</f>
        <v>3.2789887551257425E-2</v>
      </c>
      <c r="X794" s="3">
        <v>44994</v>
      </c>
      <c r="Y794" cm="1">
        <f t="array" ref="Y794">SUMPRODUCT($T$2:$T$4,TRANSPOSE(B794:D794))</f>
        <v>-2.9603031262011256E-3</v>
      </c>
      <c r="AD794" s="3">
        <v>44993</v>
      </c>
      <c r="AE794" s="4">
        <v>-2.4647801424954852E-3</v>
      </c>
      <c r="AF794">
        <f t="shared" si="12"/>
        <v>0</v>
      </c>
      <c r="AG794" s="13"/>
    </row>
    <row r="795" spans="1:33" x14ac:dyDescent="0.35">
      <c r="A795" s="3">
        <v>44995</v>
      </c>
      <c r="B795" s="6">
        <f>LN(Raw!B797/Raw!B796)</f>
        <v>-8.243914876731883E-3</v>
      </c>
      <c r="C795" s="6">
        <f>LN(Raw!C797/Raw!C796)</f>
        <v>-1.6334128847818527E-2</v>
      </c>
      <c r="D795" s="6">
        <f>LN(Raw!D797/Raw!D796)</f>
        <v>-1.2891088435734685E-2</v>
      </c>
      <c r="X795" s="3">
        <v>44995</v>
      </c>
      <c r="Y795" cm="1">
        <f t="array" ref="Y795">SUMPRODUCT($T$2:$T$4,TRANSPOSE(B795:D795))</f>
        <v>-1.0088452476267527E-2</v>
      </c>
      <c r="AD795" s="3">
        <v>44994</v>
      </c>
      <c r="AE795" s="4">
        <v>-2.9603031262011256E-3</v>
      </c>
      <c r="AF795">
        <f t="shared" si="12"/>
        <v>0</v>
      </c>
      <c r="AG795" s="13"/>
    </row>
    <row r="796" spans="1:33" x14ac:dyDescent="0.35">
      <c r="A796" s="3">
        <v>44998</v>
      </c>
      <c r="B796" s="6">
        <f>LN(Raw!B798/Raw!B797)</f>
        <v>5.5187195650072849E-3</v>
      </c>
      <c r="C796" s="6">
        <f>LN(Raw!C798/Raw!C797)</f>
        <v>-1.4114467151733451E-2</v>
      </c>
      <c r="D796" s="6">
        <f>LN(Raw!D798/Raw!D797)</f>
        <v>-3.0246272457281002E-2</v>
      </c>
      <c r="X796" s="3">
        <v>44998</v>
      </c>
      <c r="Y796" cm="1">
        <f t="array" ref="Y796">SUMPRODUCT($T$2:$T$4,TRANSPOSE(B796:D796))</f>
        <v>-1.6945139482803392E-4</v>
      </c>
      <c r="AD796" s="3">
        <v>44995</v>
      </c>
      <c r="AE796" s="4">
        <v>-1.0088452476267527E-2</v>
      </c>
      <c r="AF796">
        <f t="shared" si="12"/>
        <v>0</v>
      </c>
      <c r="AG796" s="13"/>
    </row>
    <row r="797" spans="1:33" x14ac:dyDescent="0.35">
      <c r="A797" s="3">
        <v>44999</v>
      </c>
      <c r="B797" s="6">
        <f>LN(Raw!B799/Raw!B798)</f>
        <v>-8.4527989380597697E-3</v>
      </c>
      <c r="C797" s="6">
        <f>LN(Raw!C799/Raw!C798)</f>
        <v>-2.3369667764680822E-2</v>
      </c>
      <c r="D797" s="6">
        <f>LN(Raw!D799/Raw!D798)</f>
        <v>0</v>
      </c>
      <c r="X797" s="3">
        <v>44999</v>
      </c>
      <c r="Y797" cm="1">
        <f t="array" ref="Y797">SUMPRODUCT($T$2:$T$4,TRANSPOSE(B797:D797))</f>
        <v>-1.1011399933444993E-2</v>
      </c>
      <c r="AD797" s="3">
        <v>44998</v>
      </c>
      <c r="AE797" s="4">
        <v>-1.6945139482803392E-4</v>
      </c>
      <c r="AF797">
        <f t="shared" si="12"/>
        <v>0</v>
      </c>
      <c r="AG797" s="13"/>
    </row>
    <row r="798" spans="1:33" x14ac:dyDescent="0.35">
      <c r="A798" s="3">
        <v>45000</v>
      </c>
      <c r="B798" s="6">
        <f>LN(Raw!B800/Raw!B799)</f>
        <v>-1.064418818569182E-2</v>
      </c>
      <c r="C798" s="6">
        <f>LN(Raw!C800/Raw!C799)</f>
        <v>-1.2813790396161585E-2</v>
      </c>
      <c r="D798" s="6">
        <f>LN(Raw!D800/Raw!D799)</f>
        <v>1.4847819617518803E-3</v>
      </c>
      <c r="X798" s="3">
        <v>45000</v>
      </c>
      <c r="Y798" cm="1">
        <f t="array" ref="Y798">SUMPRODUCT($T$2:$T$4,TRANSPOSE(B798:D798))</f>
        <v>-1.0476907407526654E-2</v>
      </c>
      <c r="AD798" s="3">
        <v>44999</v>
      </c>
      <c r="AE798" s="4">
        <v>-1.1011399933444993E-2</v>
      </c>
      <c r="AF798">
        <f t="shared" si="12"/>
        <v>0</v>
      </c>
      <c r="AG798" s="13"/>
    </row>
    <row r="799" spans="1:33" x14ac:dyDescent="0.35">
      <c r="A799" s="3">
        <v>45001</v>
      </c>
      <c r="B799" s="6">
        <f>LN(Raw!B801/Raw!B800)</f>
        <v>6.127149654447415E-4</v>
      </c>
      <c r="C799" s="6">
        <f>LN(Raw!C801/Raw!C800)</f>
        <v>-2.650884615416289E-2</v>
      </c>
      <c r="D799" s="6">
        <f>LN(Raw!D801/Raw!D800)</f>
        <v>-1.9476280248695067E-2</v>
      </c>
      <c r="X799" s="3">
        <v>45001</v>
      </c>
      <c r="Y799" cm="1">
        <f t="array" ref="Y799">SUMPRODUCT($T$2:$T$4,TRANSPOSE(B799:D799))</f>
        <v>-5.7940897319389909E-3</v>
      </c>
      <c r="AD799" s="3">
        <v>45000</v>
      </c>
      <c r="AE799" s="4">
        <v>-1.0476907407526654E-2</v>
      </c>
      <c r="AF799">
        <f t="shared" si="12"/>
        <v>0</v>
      </c>
      <c r="AG799" s="13"/>
    </row>
    <row r="800" spans="1:33" x14ac:dyDescent="0.35">
      <c r="A800" s="3">
        <v>45002</v>
      </c>
      <c r="B800" s="6">
        <f>LN(Raw!B802/Raw!B801)</f>
        <v>9.1913815198203033E-3</v>
      </c>
      <c r="C800" s="6">
        <f>LN(Raw!C802/Raw!C801)</f>
        <v>2.1337110371495716E-2</v>
      </c>
      <c r="D800" s="6">
        <f>LN(Raw!D802/Raw!D801)</f>
        <v>1.2030225973000238E-2</v>
      </c>
      <c r="X800" s="3">
        <v>45002</v>
      </c>
      <c r="Y800" cm="1">
        <f t="array" ref="Y800">SUMPRODUCT($T$2:$T$4,TRANSPOSE(B800:D800))</f>
        <v>1.1755776062049306E-2</v>
      </c>
      <c r="AD800" s="3">
        <v>45001</v>
      </c>
      <c r="AE800" s="4">
        <v>-5.7940897319389909E-3</v>
      </c>
      <c r="AF800">
        <f t="shared" si="12"/>
        <v>0</v>
      </c>
      <c r="AG800" s="13"/>
    </row>
    <row r="801" spans="1:33" x14ac:dyDescent="0.35">
      <c r="A801" s="3">
        <v>45005</v>
      </c>
      <c r="B801" s="6">
        <f>LN(Raw!B803/Raw!B802)</f>
        <v>7.4413239040633334E-3</v>
      </c>
      <c r="C801" s="6">
        <f>LN(Raw!C803/Raw!C802)</f>
        <v>-2.6648208944989756E-2</v>
      </c>
      <c r="D801" s="6">
        <f>LN(Raw!D803/Raw!D802)</f>
        <v>-4.9949651788822177E-3</v>
      </c>
      <c r="X801" s="3">
        <v>45005</v>
      </c>
      <c r="Y801" cm="1">
        <f t="array" ref="Y801">SUMPRODUCT($T$2:$T$4,TRANSPOSE(B801:D801))</f>
        <v>2.2667606132552168E-5</v>
      </c>
      <c r="AD801" s="3">
        <v>45002</v>
      </c>
      <c r="AE801" s="4">
        <v>1.1755776062049306E-2</v>
      </c>
      <c r="AF801">
        <f t="shared" si="12"/>
        <v>0</v>
      </c>
      <c r="AG801" s="13"/>
    </row>
    <row r="802" spans="1:33" x14ac:dyDescent="0.35">
      <c r="A802" s="3">
        <v>45006</v>
      </c>
      <c r="B802" s="6">
        <f>LN(Raw!B804/Raw!B803)</f>
        <v>3.7461276510555403E-3</v>
      </c>
      <c r="C802" s="6">
        <f>LN(Raw!C804/Raw!C803)</f>
        <v>3.1819944727656986E-2</v>
      </c>
      <c r="D802" s="6">
        <f>LN(Raw!D804/Raw!D803)</f>
        <v>4.5996410012672552E-2</v>
      </c>
      <c r="X802" s="3">
        <v>45006</v>
      </c>
      <c r="Y802" cm="1">
        <f t="array" ref="Y802">SUMPRODUCT($T$2:$T$4,TRANSPOSE(B802:D802))</f>
        <v>1.1439736730790748E-2</v>
      </c>
      <c r="AD802" s="3">
        <v>45005</v>
      </c>
      <c r="AE802" s="4">
        <v>2.2667606132552168E-5</v>
      </c>
      <c r="AF802">
        <f t="shared" si="12"/>
        <v>0</v>
      </c>
      <c r="AG802" s="13"/>
    </row>
    <row r="803" spans="1:33" x14ac:dyDescent="0.35">
      <c r="A803" s="3">
        <v>45007</v>
      </c>
      <c r="B803" s="6">
        <f>LN(Raw!B805/Raw!B804)</f>
        <v>-1.3396780253654094E-3</v>
      </c>
      <c r="C803" s="6">
        <f>LN(Raw!C805/Raw!C804)</f>
        <v>2.4027526429198819E-2</v>
      </c>
      <c r="D803" s="6">
        <f>LN(Raw!D805/Raw!D804)</f>
        <v>5.7224784222441724E-3</v>
      </c>
      <c r="X803" s="3">
        <v>45007</v>
      </c>
      <c r="Y803" cm="1">
        <f t="array" ref="Y803">SUMPRODUCT($T$2:$T$4,TRANSPOSE(B803:D803))</f>
        <v>4.0723133996765862E-3</v>
      </c>
      <c r="AD803" s="3">
        <v>45006</v>
      </c>
      <c r="AE803" s="4">
        <v>1.1439736730790748E-2</v>
      </c>
      <c r="AF803">
        <f t="shared" si="12"/>
        <v>0</v>
      </c>
      <c r="AG803" s="13"/>
    </row>
    <row r="804" spans="1:33" x14ac:dyDescent="0.35">
      <c r="A804" s="3">
        <v>45008</v>
      </c>
      <c r="B804" s="6">
        <f>LN(Raw!B806/Raw!B805)</f>
        <v>2.0318637121172342E-3</v>
      </c>
      <c r="C804" s="6">
        <f>LN(Raw!C806/Raw!C805)</f>
        <v>-8.3077483857155101E-3</v>
      </c>
      <c r="D804" s="6">
        <f>LN(Raw!D806/Raw!D805)</f>
        <v>-2.3575819693928964E-2</v>
      </c>
      <c r="X804" s="3">
        <v>45008</v>
      </c>
      <c r="Y804" cm="1">
        <f t="array" ref="Y804">SUMPRODUCT($T$2:$T$4,TRANSPOSE(B804:D804))</f>
        <v>-1.2989199786663584E-3</v>
      </c>
      <c r="AD804" s="3">
        <v>45007</v>
      </c>
      <c r="AE804" s="4">
        <v>4.0723133996765862E-3</v>
      </c>
      <c r="AF804">
        <f t="shared" si="12"/>
        <v>0</v>
      </c>
      <c r="AG804" s="13"/>
    </row>
    <row r="805" spans="1:33" x14ac:dyDescent="0.35">
      <c r="A805" s="3">
        <v>45009</v>
      </c>
      <c r="B805" s="6">
        <f>LN(Raw!B807/Raw!B806)</f>
        <v>-6.9433964033131313E-3</v>
      </c>
      <c r="C805" s="6">
        <f>LN(Raw!C807/Raw!C806)</f>
        <v>-2.6834953886901245E-2</v>
      </c>
      <c r="D805" s="6">
        <f>LN(Raw!D807/Raw!D806)</f>
        <v>-2.3148103562105459E-2</v>
      </c>
      <c r="X805" s="3">
        <v>45009</v>
      </c>
      <c r="Y805" cm="1">
        <f t="array" ref="Y805">SUMPRODUCT($T$2:$T$4,TRANSPOSE(B805:D805))</f>
        <v>-1.1715089186683137E-2</v>
      </c>
      <c r="AD805" s="3">
        <v>45008</v>
      </c>
      <c r="AE805" s="4">
        <v>-1.2989199786663584E-3</v>
      </c>
      <c r="AF805">
        <f t="shared" si="12"/>
        <v>0</v>
      </c>
      <c r="AG805" s="13"/>
    </row>
    <row r="806" spans="1:33" x14ac:dyDescent="0.35">
      <c r="A806" s="3">
        <v>45012</v>
      </c>
      <c r="B806" s="6">
        <f>LN(Raw!B808/Raw!B807)</f>
        <v>-1.9995830231487057E-3</v>
      </c>
      <c r="C806" s="6">
        <f>LN(Raw!C808/Raw!C807)</f>
        <v>-1.0487003801246224E-2</v>
      </c>
      <c r="D806" s="6">
        <f>LN(Raw!D808/Raw!D807)</f>
        <v>-2.0639951130283208E-2</v>
      </c>
      <c r="X806" s="3">
        <v>45012</v>
      </c>
      <c r="Y806" cm="1">
        <f t="array" ref="Y806">SUMPRODUCT($T$2:$T$4,TRANSPOSE(B806:D806))</f>
        <v>-4.6159152033059796E-3</v>
      </c>
      <c r="AD806" s="3">
        <v>45009</v>
      </c>
      <c r="AE806" s="4">
        <v>-1.1715089186683137E-2</v>
      </c>
      <c r="AF806">
        <f t="shared" si="12"/>
        <v>0</v>
      </c>
      <c r="AG806" s="13"/>
    </row>
    <row r="807" spans="1:33" x14ac:dyDescent="0.35">
      <c r="A807" s="3">
        <v>45013</v>
      </c>
      <c r="B807" s="6">
        <f>LN(Raw!B809/Raw!B808)</f>
        <v>-8.3192018870837121E-3</v>
      </c>
      <c r="C807" s="6">
        <f>LN(Raw!C809/Raw!C808)</f>
        <v>-3.2526290417519817E-2</v>
      </c>
      <c r="D807" s="6">
        <f>LN(Raw!D809/Raw!D808)</f>
        <v>-3.4147148534115615E-2</v>
      </c>
      <c r="X807" s="3">
        <v>45013</v>
      </c>
      <c r="Y807" cm="1">
        <f t="array" ref="Y807">SUMPRODUCT($T$2:$T$4,TRANSPOSE(B807:D807))</f>
        <v>-1.4428392115291558E-2</v>
      </c>
      <c r="AD807" s="3">
        <v>45012</v>
      </c>
      <c r="AE807" s="4">
        <v>-4.6159152033059796E-3</v>
      </c>
      <c r="AF807">
        <f t="shared" si="12"/>
        <v>0</v>
      </c>
      <c r="AG807" s="13"/>
    </row>
    <row r="808" spans="1:33" x14ac:dyDescent="0.35">
      <c r="A808" s="3">
        <v>45014</v>
      </c>
      <c r="B808" s="6">
        <f>LN(Raw!B810/Raw!B809)</f>
        <v>7.3412738534035333E-3</v>
      </c>
      <c r="C808" s="6">
        <f>LN(Raw!C810/Raw!C809)</f>
        <v>5.8173404619125534E-2</v>
      </c>
      <c r="D808" s="6">
        <f>LN(Raw!D810/Raw!D809)</f>
        <v>2.9558733055243706E-2</v>
      </c>
      <c r="X808" s="3">
        <v>45014</v>
      </c>
      <c r="Y808" cm="1">
        <f t="array" ref="Y808">SUMPRODUCT($T$2:$T$4,TRANSPOSE(B808:D808))</f>
        <v>1.8585289475888549E-2</v>
      </c>
      <c r="AD808" s="3">
        <v>45013</v>
      </c>
      <c r="AE808" s="4">
        <v>-1.4428392115291558E-2</v>
      </c>
      <c r="AF808">
        <f t="shared" si="12"/>
        <v>0</v>
      </c>
      <c r="AG808" s="13"/>
    </row>
    <row r="809" spans="1:33" x14ac:dyDescent="0.35">
      <c r="A809" s="3">
        <v>45016</v>
      </c>
      <c r="B809" s="6">
        <f>LN(Raw!B811/Raw!B810)</f>
        <v>-3.4534525497080882E-3</v>
      </c>
      <c r="C809" s="6">
        <f>LN(Raw!C811/Raw!C810)</f>
        <v>-1.9266960842423755E-2</v>
      </c>
      <c r="D809" s="6">
        <f>LN(Raw!D811/Raw!D810)</f>
        <v>-5.6365993551231435E-3</v>
      </c>
      <c r="X809" s="3">
        <v>45016</v>
      </c>
      <c r="Y809" cm="1">
        <f t="array" ref="Y809">SUMPRODUCT($T$2:$T$4,TRANSPOSE(B809:D809))</f>
        <v>-6.7173683271496455E-3</v>
      </c>
      <c r="AD809" s="3">
        <v>45014</v>
      </c>
      <c r="AE809" s="4">
        <v>1.8585289475888549E-2</v>
      </c>
      <c r="AF809">
        <f t="shared" si="12"/>
        <v>0</v>
      </c>
      <c r="AG809" s="13"/>
    </row>
    <row r="810" spans="1:33" x14ac:dyDescent="0.35">
      <c r="A810" s="3">
        <v>45019</v>
      </c>
      <c r="B810" s="6">
        <f>LN(Raw!B812/Raw!B811)</f>
        <v>9.4918420900762662E-3</v>
      </c>
      <c r="C810" s="6">
        <f>LN(Raw!C812/Raw!C811)</f>
        <v>1.9266960842423776E-2</v>
      </c>
      <c r="D810" s="6">
        <f>LN(Raw!D812/Raw!D811)</f>
        <v>1.5298541208855635E-2</v>
      </c>
      <c r="X810" s="3">
        <v>45019</v>
      </c>
      <c r="Y810" cm="1">
        <f t="array" ref="Y810">SUMPRODUCT($T$2:$T$4,TRANSPOSE(B810:D810))</f>
        <v>1.1730017953072458E-2</v>
      </c>
      <c r="AD810" s="3">
        <v>45016</v>
      </c>
      <c r="AE810" s="4">
        <v>-6.7173683271496455E-3</v>
      </c>
      <c r="AF810">
        <f t="shared" si="12"/>
        <v>0</v>
      </c>
      <c r="AG810" s="13"/>
    </row>
    <row r="811" spans="1:33" x14ac:dyDescent="0.35">
      <c r="A811" s="3">
        <v>45021</v>
      </c>
      <c r="B811" s="6">
        <f>LN(Raw!B813/Raw!B812)</f>
        <v>1.2288783432876692E-2</v>
      </c>
      <c r="C811" s="6">
        <f>LN(Raw!C813/Raw!C812)</f>
        <v>3.6747768701420186E-2</v>
      </c>
      <c r="D811" s="6">
        <f>LN(Raw!D813/Raw!D812)</f>
        <v>2.9421206100371508E-2</v>
      </c>
      <c r="X811" s="3">
        <v>45021</v>
      </c>
      <c r="Y811" cm="1">
        <f t="array" ref="Y811">SUMPRODUCT($T$2:$T$4,TRANSPOSE(B811:D811))</f>
        <v>1.8017901748099651E-2</v>
      </c>
      <c r="AD811" s="3">
        <v>45019</v>
      </c>
      <c r="AE811" s="4">
        <v>1.1730017953072458E-2</v>
      </c>
      <c r="AF811">
        <f t="shared" si="12"/>
        <v>0</v>
      </c>
      <c r="AG811" s="13"/>
    </row>
    <row r="812" spans="1:33" x14ac:dyDescent="0.35">
      <c r="A812" s="3">
        <v>45022</v>
      </c>
      <c r="B812" s="6">
        <f>LN(Raw!B814/Raw!B813)</f>
        <v>-4.0335141247118565E-3</v>
      </c>
      <c r="C812" s="6">
        <f>LN(Raw!C814/Raw!C813)</f>
        <v>-6.3876586087265328E-3</v>
      </c>
      <c r="D812" s="6">
        <f>LN(Raw!D814/Raw!D813)</f>
        <v>-1.9674854810715807E-3</v>
      </c>
      <c r="X812" s="3">
        <v>45022</v>
      </c>
      <c r="Y812" cm="1">
        <f t="array" ref="Y812">SUMPRODUCT($T$2:$T$4,TRANSPOSE(B812:D812))</f>
        <v>-4.4010782239422182E-3</v>
      </c>
      <c r="AD812" s="3">
        <v>45021</v>
      </c>
      <c r="AE812" s="4">
        <v>1.8017901748099651E-2</v>
      </c>
      <c r="AF812">
        <f t="shared" si="12"/>
        <v>0</v>
      </c>
      <c r="AG812" s="13"/>
    </row>
    <row r="813" spans="1:33" x14ac:dyDescent="0.35">
      <c r="A813" s="3">
        <v>45026</v>
      </c>
      <c r="B813" s="6">
        <f>LN(Raw!B815/Raw!B814)</f>
        <v>9.325764912169441E-3</v>
      </c>
      <c r="C813" s="6">
        <f>LN(Raw!C815/Raw!C814)</f>
        <v>1.5892880662940811E-2</v>
      </c>
      <c r="D813" s="6">
        <f>LN(Raw!D815/Raw!D814)</f>
        <v>7.3583877727560025E-3</v>
      </c>
      <c r="X813" s="3">
        <v>45026</v>
      </c>
      <c r="Y813" cm="1">
        <f t="array" ref="Y813">SUMPRODUCT($T$2:$T$4,TRANSPOSE(B813:D813))</f>
        <v>1.0538985865677579E-2</v>
      </c>
      <c r="AD813" s="3">
        <v>45022</v>
      </c>
      <c r="AE813" s="4">
        <v>-4.4010782239422182E-3</v>
      </c>
      <c r="AF813">
        <f t="shared" si="12"/>
        <v>0</v>
      </c>
      <c r="AG813" s="13"/>
    </row>
    <row r="814" spans="1:33" x14ac:dyDescent="0.35">
      <c r="A814" s="3">
        <v>45027</v>
      </c>
      <c r="B814" s="6">
        <f>LN(Raw!B816/Raw!B815)</f>
        <v>-1.1993239587193574E-2</v>
      </c>
      <c r="C814" s="6">
        <f>LN(Raw!C816/Raw!C815)</f>
        <v>1.7367607961794203E-2</v>
      </c>
      <c r="D814" s="6">
        <f>LN(Raw!D816/Raw!D815)</f>
        <v>9.7701439871134585E-4</v>
      </c>
      <c r="X814" s="3">
        <v>45027</v>
      </c>
      <c r="Y814" cm="1">
        <f t="array" ref="Y814">SUMPRODUCT($T$2:$T$4,TRANSPOSE(B814:D814))</f>
        <v>-5.491851959039863E-3</v>
      </c>
      <c r="AD814" s="3">
        <v>45026</v>
      </c>
      <c r="AE814" s="4">
        <v>1.0538985865677579E-2</v>
      </c>
      <c r="AF814">
        <f t="shared" si="12"/>
        <v>0</v>
      </c>
      <c r="AG814" s="13"/>
    </row>
    <row r="815" spans="1:33" x14ac:dyDescent="0.35">
      <c r="A815" s="3">
        <v>45028</v>
      </c>
      <c r="B815" s="6">
        <f>LN(Raw!B817/Raw!B816)</f>
        <v>4.6862653905253918E-3</v>
      </c>
      <c r="C815" s="6">
        <f>LN(Raw!C817/Raw!C816)</f>
        <v>6.5214003174459221E-3</v>
      </c>
      <c r="D815" s="6">
        <f>LN(Raw!D817/Raw!D816)</f>
        <v>2.9254055267611007E-3</v>
      </c>
      <c r="X815" s="3">
        <v>45028</v>
      </c>
      <c r="Y815" cm="1">
        <f t="array" ref="Y815">SUMPRODUCT($T$2:$T$4,TRANSPOSE(B815:D815))</f>
        <v>4.965354574831677E-3</v>
      </c>
      <c r="AD815" s="3">
        <v>45027</v>
      </c>
      <c r="AE815" s="4">
        <v>-5.491851959039863E-3</v>
      </c>
      <c r="AF815">
        <f t="shared" si="12"/>
        <v>0</v>
      </c>
      <c r="AG815" s="13"/>
    </row>
    <row r="816" spans="1:33" x14ac:dyDescent="0.35">
      <c r="A816" s="3">
        <v>45029</v>
      </c>
      <c r="B816" s="6">
        <f>LN(Raw!B818/Raw!B817)</f>
        <v>-2.7540540162070619E-3</v>
      </c>
      <c r="C816" s="6">
        <f>LN(Raw!C818/Raw!C817)</f>
        <v>-9.6252768675262265E-3</v>
      </c>
      <c r="D816" s="6">
        <f>LN(Raw!D818/Raw!D817)</f>
        <v>-1.9493447535549921E-3</v>
      </c>
      <c r="X816" s="3">
        <v>45029</v>
      </c>
      <c r="Y816" cm="1">
        <f t="array" ref="Y816">SUMPRODUCT($T$2:$T$4,TRANSPOSE(B816:D816))</f>
        <v>-4.0855056584692658E-3</v>
      </c>
      <c r="AD816" s="3">
        <v>45028</v>
      </c>
      <c r="AE816" s="4">
        <v>4.965354574831677E-3</v>
      </c>
      <c r="AF816">
        <f t="shared" si="12"/>
        <v>0</v>
      </c>
      <c r="AG816" s="13"/>
    </row>
    <row r="817" spans="1:33" x14ac:dyDescent="0.35">
      <c r="A817" s="3">
        <v>45033</v>
      </c>
      <c r="B817" s="6">
        <f>LN(Raw!B819/Raw!B818)</f>
        <v>1.4827376308780973E-2</v>
      </c>
      <c r="C817" s="6">
        <f>LN(Raw!C819/Raw!C818)</f>
        <v>-2.0746928764536171E-3</v>
      </c>
      <c r="D817" s="6">
        <f>LN(Raw!D819/Raw!D818)</f>
        <v>6.3214691197249996E-3</v>
      </c>
      <c r="X817" s="3">
        <v>45033</v>
      </c>
      <c r="Y817" cm="1">
        <f t="array" ref="Y817">SUMPRODUCT($T$2:$T$4,TRANSPOSE(B817:D817))</f>
        <v>1.1033304258010619E-2</v>
      </c>
      <c r="AD817" s="3">
        <v>45029</v>
      </c>
      <c r="AE817" s="4">
        <v>-4.0855056584692658E-3</v>
      </c>
      <c r="AF817">
        <f t="shared" si="12"/>
        <v>0</v>
      </c>
      <c r="AG817" s="13"/>
    </row>
    <row r="818" spans="1:33" x14ac:dyDescent="0.35">
      <c r="A818" s="3">
        <v>45034</v>
      </c>
      <c r="B818" s="6">
        <f>LN(Raw!B820/Raw!B819)</f>
        <v>2.3850576695234639E-2</v>
      </c>
      <c r="C818" s="6">
        <f>LN(Raw!C820/Raw!C819)</f>
        <v>1.3409196051964788E-2</v>
      </c>
      <c r="D818" s="6">
        <f>LN(Raw!D820/Raw!D819)</f>
        <v>0</v>
      </c>
      <c r="X818" s="3">
        <v>45034</v>
      </c>
      <c r="Y818" cm="1">
        <f t="array" ref="Y818">SUMPRODUCT($T$2:$T$4,TRANSPOSE(B818:D818))</f>
        <v>2.0586442467828505E-2</v>
      </c>
      <c r="AD818" s="3">
        <v>45033</v>
      </c>
      <c r="AE818" s="4">
        <v>1.1033304258010619E-2</v>
      </c>
      <c r="AF818">
        <f t="shared" si="12"/>
        <v>0</v>
      </c>
      <c r="AG818" s="13"/>
    </row>
    <row r="819" spans="1:33" x14ac:dyDescent="0.35">
      <c r="A819" s="3">
        <v>45035</v>
      </c>
      <c r="B819" s="6">
        <f>LN(Raw!B821/Raw!B820)</f>
        <v>-4.9444752121328012E-2</v>
      </c>
      <c r="C819" s="6">
        <f>LN(Raw!C821/Raw!C820)</f>
        <v>1.2894555987337537E-2</v>
      </c>
      <c r="D819" s="6">
        <f>LN(Raw!D821/Raw!D820)</f>
        <v>1.6346549455963477E-2</v>
      </c>
      <c r="X819" s="3">
        <v>45035</v>
      </c>
      <c r="Y819" cm="1">
        <f t="array" ref="Y819">SUMPRODUCT($T$2:$T$4,TRANSPOSE(B819:D819))</f>
        <v>-3.3747796411745051E-2</v>
      </c>
      <c r="AD819" s="3">
        <v>45034</v>
      </c>
      <c r="AE819" s="4">
        <v>2.0586442467828505E-2</v>
      </c>
      <c r="AF819">
        <f t="shared" si="12"/>
        <v>0</v>
      </c>
      <c r="AG819" s="13"/>
    </row>
    <row r="820" spans="1:33" x14ac:dyDescent="0.35">
      <c r="A820" s="3">
        <v>45036</v>
      </c>
      <c r="B820" s="6">
        <f>LN(Raw!B822/Raw!B821)</f>
        <v>4.6365984809049604E-5</v>
      </c>
      <c r="C820" s="6">
        <f>LN(Raw!C822/Raw!C821)</f>
        <v>1.0063838757820593E-2</v>
      </c>
      <c r="D820" s="6">
        <f>LN(Raw!D822/Raw!D821)</f>
        <v>-1.1510922812202423E-2</v>
      </c>
      <c r="X820" s="3">
        <v>45036</v>
      </c>
      <c r="Y820" cm="1">
        <f t="array" ref="Y820">SUMPRODUCT($T$2:$T$4,TRANSPOSE(B820:D820))</f>
        <v>1.4735624013093446E-3</v>
      </c>
      <c r="AD820" s="3">
        <v>45035</v>
      </c>
      <c r="AE820" s="4">
        <v>-3.3747796411745051E-2</v>
      </c>
      <c r="AF820">
        <f t="shared" si="12"/>
        <v>0</v>
      </c>
      <c r="AG820" s="13"/>
    </row>
    <row r="821" spans="1:33" x14ac:dyDescent="0.35">
      <c r="A821" s="3">
        <v>45037</v>
      </c>
      <c r="B821" s="6">
        <f>LN(Raw!B823/Raw!B822)</f>
        <v>-1.5591144445222879E-2</v>
      </c>
      <c r="C821" s="6">
        <f>LN(Raw!C823/Raw!C822)</f>
        <v>3.6649548818088393E-3</v>
      </c>
      <c r="D821" s="6">
        <f>LN(Raw!D823/Raw!D822)</f>
        <v>-7.2622753105495595E-3</v>
      </c>
      <c r="X821" s="3">
        <v>45037</v>
      </c>
      <c r="Y821" cm="1">
        <f t="array" ref="Y821">SUMPRODUCT($T$2:$T$4,TRANSPOSE(B821:D821))</f>
        <v>-1.1336044723305046E-2</v>
      </c>
      <c r="AD821" s="3">
        <v>45036</v>
      </c>
      <c r="AE821" s="4">
        <v>1.4735624013093446E-3</v>
      </c>
      <c r="AF821">
        <f t="shared" si="12"/>
        <v>0</v>
      </c>
      <c r="AG821" s="13"/>
    </row>
    <row r="822" spans="1:33" x14ac:dyDescent="0.35">
      <c r="A822" s="3">
        <v>45040</v>
      </c>
      <c r="B822" s="6">
        <f>LN(Raw!B824/Raw!B823)</f>
        <v>9.2062934106617623E-3</v>
      </c>
      <c r="C822" s="6">
        <f>LN(Raw!C824/Raw!C823)</f>
        <v>4.9759675192083469E-3</v>
      </c>
      <c r="D822" s="6">
        <f>LN(Raw!D824/Raw!D823)</f>
        <v>4.8581634467051557E-4</v>
      </c>
      <c r="X822" s="3">
        <v>45040</v>
      </c>
      <c r="Y822" cm="1">
        <f t="array" ref="Y822">SUMPRODUCT($T$2:$T$4,TRANSPOSE(B822:D822))</f>
        <v>7.9304779167752477E-3</v>
      </c>
      <c r="AD822" s="3">
        <v>45037</v>
      </c>
      <c r="AE822" s="4">
        <v>-1.1336044723305046E-2</v>
      </c>
      <c r="AF822">
        <f t="shared" si="12"/>
        <v>0</v>
      </c>
      <c r="AG822" s="13"/>
    </row>
    <row r="823" spans="1:33" x14ac:dyDescent="0.35">
      <c r="A823" s="3">
        <v>45041</v>
      </c>
      <c r="B823" s="6">
        <f>LN(Raw!B825/Raw!B824)</f>
        <v>4.0594993360998314E-3</v>
      </c>
      <c r="C823" s="6">
        <f>LN(Raw!C825/Raw!C824)</f>
        <v>-4.9759675192083174E-3</v>
      </c>
      <c r="D823" s="6">
        <f>LN(Raw!D825/Raw!D824)</f>
        <v>9.7084881992473603E-4</v>
      </c>
      <c r="X823" s="3">
        <v>45041</v>
      </c>
      <c r="Y823" cm="1">
        <f t="array" ref="Y823">SUMPRODUCT($T$2:$T$4,TRANSPOSE(B823:D823))</f>
        <v>2.1034507955761529E-3</v>
      </c>
      <c r="AD823" s="3">
        <v>45040</v>
      </c>
      <c r="AE823" s="4">
        <v>7.9304779167752477E-3</v>
      </c>
      <c r="AF823">
        <f t="shared" si="12"/>
        <v>0</v>
      </c>
      <c r="AG823" s="13"/>
    </row>
    <row r="824" spans="1:33" x14ac:dyDescent="0.35">
      <c r="A824" s="3">
        <v>45042</v>
      </c>
      <c r="B824" s="6">
        <f>LN(Raw!B826/Raw!B825)</f>
        <v>-2.7513726365551239E-3</v>
      </c>
      <c r="C824" s="6">
        <f>LN(Raw!C826/Raw!C825)</f>
        <v>2.0734581142789112E-2</v>
      </c>
      <c r="D824" s="6">
        <f>LN(Raw!D826/Raw!D825)</f>
        <v>2.6336323206503736E-2</v>
      </c>
      <c r="X824" s="3">
        <v>45042</v>
      </c>
      <c r="Y824" cm="1">
        <f t="array" ref="Y824">SUMPRODUCT($T$2:$T$4,TRANSPOSE(B824:D824))</f>
        <v>3.375227544485002E-3</v>
      </c>
      <c r="AD824" s="3">
        <v>45041</v>
      </c>
      <c r="AE824" s="4">
        <v>2.1034507955761529E-3</v>
      </c>
      <c r="AF824">
        <f t="shared" si="12"/>
        <v>0</v>
      </c>
      <c r="AG824" s="13"/>
    </row>
    <row r="825" spans="1:33" x14ac:dyDescent="0.35">
      <c r="A825" s="3">
        <v>45043</v>
      </c>
      <c r="B825" s="6">
        <f>LN(Raw!B827/Raw!B826)</f>
        <v>-4.3988822655438922E-3</v>
      </c>
      <c r="C825" s="6">
        <f>LN(Raw!C827/Raw!C826)</f>
        <v>-3.9164604599941201E-3</v>
      </c>
      <c r="D825" s="6">
        <f>LN(Raw!D827/Raw!D826)</f>
        <v>-7.5902718734595469E-3</v>
      </c>
      <c r="X825" s="3">
        <v>45043</v>
      </c>
      <c r="Y825" cm="1">
        <f t="array" ref="Y825">SUMPRODUCT($T$2:$T$4,TRANSPOSE(B825:D825))</f>
        <v>-4.4605484500050878E-3</v>
      </c>
      <c r="AD825" s="3">
        <v>45042</v>
      </c>
      <c r="AE825" s="4">
        <v>3.375227544485002E-3</v>
      </c>
      <c r="AF825">
        <f t="shared" si="12"/>
        <v>0</v>
      </c>
      <c r="AG825" s="13"/>
    </row>
    <row r="826" spans="1:33" x14ac:dyDescent="0.35">
      <c r="A826" s="3">
        <v>45044</v>
      </c>
      <c r="B826" s="6">
        <f>LN(Raw!B828/Raw!B827)</f>
        <v>1.2166479692231244E-2</v>
      </c>
      <c r="C826" s="6">
        <f>LN(Raw!C828/Raw!C827)</f>
        <v>3.9164604599941843E-3</v>
      </c>
      <c r="D826" s="6">
        <f>LN(Raw!D828/Raw!D827)</f>
        <v>7.590271873459428E-3</v>
      </c>
      <c r="X826" s="3">
        <v>45044</v>
      </c>
      <c r="Y826" cm="1">
        <f t="array" ref="Y826">SUMPRODUCT($T$2:$T$4,TRANSPOSE(B826:D826))</f>
        <v>1.0293561991063313E-2</v>
      </c>
      <c r="AD826" s="3">
        <v>45043</v>
      </c>
      <c r="AE826" s="4">
        <v>-4.4605484500050878E-3</v>
      </c>
      <c r="AF826">
        <f t="shared" si="12"/>
        <v>0</v>
      </c>
      <c r="AG826" s="13"/>
    </row>
    <row r="827" spans="1:33" x14ac:dyDescent="0.35">
      <c r="A827" s="3">
        <v>45048</v>
      </c>
      <c r="B827" s="6">
        <f>LN(Raw!B829/Raw!B828)</f>
        <v>7.2939852515544832E-3</v>
      </c>
      <c r="C827" s="6">
        <f>LN(Raw!C829/Raw!C828)</f>
        <v>1.6476034619579288E-2</v>
      </c>
      <c r="D827" s="6">
        <f>LN(Raw!D829/Raw!D828)</f>
        <v>4.4369442383257858E-2</v>
      </c>
      <c r="X827" s="3">
        <v>45048</v>
      </c>
      <c r="Y827" cm="1">
        <f t="array" ref="Y827">SUMPRODUCT($T$2:$T$4,TRANSPOSE(B827:D827))</f>
        <v>1.0961297653313537E-2</v>
      </c>
      <c r="AD827" s="3">
        <v>45044</v>
      </c>
      <c r="AE827" s="4">
        <v>1.0293561991063313E-2</v>
      </c>
      <c r="AF827">
        <f t="shared" si="12"/>
        <v>0</v>
      </c>
      <c r="AG827" s="13"/>
    </row>
    <row r="828" spans="1:33" x14ac:dyDescent="0.35">
      <c r="A828" s="3">
        <v>45049</v>
      </c>
      <c r="B828" s="6">
        <f>LN(Raw!B830/Raw!B829)</f>
        <v>1.2870156344531251E-3</v>
      </c>
      <c r="C828" s="6">
        <f>LN(Raw!C830/Raw!C829)</f>
        <v>-9.3353465362419636E-3</v>
      </c>
      <c r="D828" s="6">
        <f>LN(Raw!D830/Raw!D829)</f>
        <v>-5.8943987578549692E-3</v>
      </c>
      <c r="X828" s="3">
        <v>45049</v>
      </c>
      <c r="Y828" cm="1">
        <f t="array" ref="Y828">SUMPRODUCT($T$2:$T$4,TRANSPOSE(B828:D828))</f>
        <v>-1.188277878907594E-3</v>
      </c>
      <c r="AD828" s="3">
        <v>45048</v>
      </c>
      <c r="AE828" s="4">
        <v>1.0961297653313537E-2</v>
      </c>
      <c r="AF828">
        <f t="shared" si="12"/>
        <v>0</v>
      </c>
      <c r="AG828" s="13"/>
    </row>
    <row r="829" spans="1:33" x14ac:dyDescent="0.35">
      <c r="A829" s="3">
        <v>45050</v>
      </c>
      <c r="B829" s="6">
        <f>LN(Raw!B831/Raw!B830)</f>
        <v>1.2396884418209814E-3</v>
      </c>
      <c r="C829" s="6">
        <f>LN(Raw!C831/Raw!C830)</f>
        <v>0.17789163648745068</v>
      </c>
      <c r="D829" s="6">
        <f>LN(Raw!D831/Raw!D830)</f>
        <v>0.14140174624934673</v>
      </c>
      <c r="X829" s="3">
        <v>45050</v>
      </c>
      <c r="Y829" cm="1">
        <f t="array" ref="Y829">SUMPRODUCT($T$2:$T$4,TRANSPOSE(B829:D829))</f>
        <v>4.3430415678974703E-2</v>
      </c>
      <c r="AD829" s="3">
        <v>45049</v>
      </c>
      <c r="AE829" s="4">
        <v>-1.188277878907594E-3</v>
      </c>
      <c r="AF829">
        <f t="shared" si="12"/>
        <v>0</v>
      </c>
      <c r="AG829" s="13"/>
    </row>
    <row r="830" spans="1:33" x14ac:dyDescent="0.35">
      <c r="A830" s="3">
        <v>45051</v>
      </c>
      <c r="B830" s="6">
        <f>LN(Raw!B832/Raw!B831)</f>
        <v>-1.6328293792436704E-2</v>
      </c>
      <c r="C830" s="6">
        <f>LN(Raw!C832/Raw!C831)</f>
        <v>-5.6521557489046234E-2</v>
      </c>
      <c r="D830" s="6">
        <f>LN(Raw!D832/Raw!D831)</f>
        <v>-6.3565209836005179E-2</v>
      </c>
      <c r="X830" s="3">
        <v>45051</v>
      </c>
      <c r="Y830" cm="1">
        <f t="array" ref="Y830">SUMPRODUCT($T$2:$T$4,TRANSPOSE(B830:D830))</f>
        <v>-2.6687346614012664E-2</v>
      </c>
      <c r="AD830" s="3">
        <v>45050</v>
      </c>
      <c r="AE830" s="4">
        <v>4.3430415678974703E-2</v>
      </c>
      <c r="AF830">
        <f t="shared" si="12"/>
        <v>0</v>
      </c>
      <c r="AG830" s="13"/>
    </row>
    <row r="831" spans="1:33" x14ac:dyDescent="0.35">
      <c r="A831" s="3">
        <v>45054</v>
      </c>
      <c r="B831" s="6">
        <f>LN(Raw!B833/Raw!B832)</f>
        <v>9.9765404559894969E-3</v>
      </c>
      <c r="C831" s="6">
        <f>LN(Raw!C833/Raw!C832)</f>
        <v>-2.5237153881792759E-2</v>
      </c>
      <c r="D831" s="6">
        <f>LN(Raw!D833/Raw!D832)</f>
        <v>-2.5134432059500778E-2</v>
      </c>
      <c r="X831" s="3">
        <v>45054</v>
      </c>
      <c r="Y831" cm="1">
        <f t="array" ref="Y831">SUMPRODUCT($T$2:$T$4,TRANSPOSE(B831:D831))</f>
        <v>1.2113648205676042E-3</v>
      </c>
      <c r="AD831" s="3">
        <v>45051</v>
      </c>
      <c r="AE831" s="4">
        <v>-2.6687346614012664E-2</v>
      </c>
      <c r="AF831">
        <f t="shared" si="12"/>
        <v>0</v>
      </c>
      <c r="AG831" s="13"/>
    </row>
    <row r="832" spans="1:33" x14ac:dyDescent="0.35">
      <c r="A832" s="3">
        <v>45055</v>
      </c>
      <c r="B832" s="6">
        <f>LN(Raw!B834/Raw!B833)</f>
        <v>1.4348579407006781E-2</v>
      </c>
      <c r="C832" s="6">
        <f>LN(Raw!C834/Raw!C833)</f>
        <v>-3.8262559858120095E-3</v>
      </c>
      <c r="D832" s="6">
        <f>LN(Raw!D834/Raw!D833)</f>
        <v>-1.4338726783788457E-2</v>
      </c>
      <c r="X832" s="3">
        <v>45055</v>
      </c>
      <c r="Y832" cm="1">
        <f t="array" ref="Y832">SUMPRODUCT($T$2:$T$4,TRANSPOSE(B832:D832))</f>
        <v>9.301724202913907E-3</v>
      </c>
      <c r="AD832" s="3">
        <v>45054</v>
      </c>
      <c r="AE832" s="4">
        <v>1.2113648205676042E-3</v>
      </c>
      <c r="AF832">
        <f t="shared" si="12"/>
        <v>0</v>
      </c>
      <c r="AG832" s="13"/>
    </row>
    <row r="833" spans="1:33" x14ac:dyDescent="0.35">
      <c r="A833" s="3">
        <v>45056</v>
      </c>
      <c r="B833" s="6">
        <f>LN(Raw!B835/Raw!B834)</f>
        <v>8.6107034731301366E-3</v>
      </c>
      <c r="C833" s="6">
        <f>LN(Raw!C835/Raw!C834)</f>
        <v>2.043273320381472E-2</v>
      </c>
      <c r="D833" s="6">
        <f>LN(Raw!D835/Raw!D834)</f>
        <v>2.6345759601435384E-2</v>
      </c>
      <c r="X833" s="3">
        <v>45056</v>
      </c>
      <c r="Y833" cm="1">
        <f t="array" ref="Y833">SUMPRODUCT($T$2:$T$4,TRANSPOSE(B833:D833))</f>
        <v>1.1847713145461954E-2</v>
      </c>
      <c r="AD833" s="3">
        <v>45055</v>
      </c>
      <c r="AE833" s="4">
        <v>9.301724202913907E-3</v>
      </c>
      <c r="AF833">
        <f t="shared" si="12"/>
        <v>0</v>
      </c>
      <c r="AG833" s="13"/>
    </row>
    <row r="834" spans="1:33" x14ac:dyDescent="0.35">
      <c r="A834" s="3">
        <v>45057</v>
      </c>
      <c r="B834" s="6">
        <f>LN(Raw!B836/Raw!B835)</f>
        <v>1.8482987914892051E-3</v>
      </c>
      <c r="C834" s="6">
        <f>LN(Raw!C836/Raw!C835)</f>
        <v>1.6619224613888532E-2</v>
      </c>
      <c r="D834" s="6">
        <f>LN(Raw!D836/Raw!D835)</f>
        <v>-1.2795912211918243E-3</v>
      </c>
      <c r="X834" s="3">
        <v>45057</v>
      </c>
      <c r="Y834" cm="1">
        <f t="array" ref="Y834">SUMPRODUCT($T$2:$T$4,TRANSPOSE(B834:D834))</f>
        <v>4.6413045998454005E-3</v>
      </c>
      <c r="AD834" s="3">
        <v>45056</v>
      </c>
      <c r="AE834" s="4">
        <v>1.1847713145461954E-2</v>
      </c>
      <c r="AF834">
        <f t="shared" si="12"/>
        <v>0</v>
      </c>
      <c r="AG834" s="13"/>
    </row>
    <row r="835" spans="1:33" x14ac:dyDescent="0.35">
      <c r="A835" s="3">
        <v>45058</v>
      </c>
      <c r="B835" s="6">
        <f>LN(Raw!B837/Raw!B836)</f>
        <v>7.2700858743226507E-3</v>
      </c>
      <c r="C835" s="6">
        <f>LN(Raw!C837/Raw!C836)</f>
        <v>-2.6783405050328318E-2</v>
      </c>
      <c r="D835" s="6">
        <f>LN(Raw!D837/Raw!D836)</f>
        <v>-1.8088355831520065E-2</v>
      </c>
      <c r="X835" s="3">
        <v>45058</v>
      </c>
      <c r="Y835" cm="1">
        <f t="array" ref="Y835">SUMPRODUCT($T$2:$T$4,TRANSPOSE(B835:D835))</f>
        <v>-7.8089634662785901E-4</v>
      </c>
      <c r="AD835" s="3">
        <v>45057</v>
      </c>
      <c r="AE835" s="4">
        <v>4.6413045998454005E-3</v>
      </c>
      <c r="AF835">
        <f t="shared" ref="AF835:AF898" si="13">IF(AE835&lt;$AB$2,1,0)</f>
        <v>0</v>
      </c>
      <c r="AG835" s="13"/>
    </row>
    <row r="836" spans="1:33" x14ac:dyDescent="0.35">
      <c r="A836" s="3">
        <v>45061</v>
      </c>
      <c r="B836" s="6">
        <f>LN(Raw!B838/Raw!B837)</f>
        <v>8.940068408147062E-4</v>
      </c>
      <c r="C836" s="6">
        <f>LN(Raw!C838/Raw!C837)</f>
        <v>7.5603850014660835E-3</v>
      </c>
      <c r="D836" s="6">
        <f>LN(Raw!D838/Raw!D837)</f>
        <v>4.33654472408968E-3</v>
      </c>
      <c r="X836" s="3">
        <v>45061</v>
      </c>
      <c r="Y836" cm="1">
        <f t="array" ref="Y836">SUMPRODUCT($T$2:$T$4,TRANSPOSE(B836:D836))</f>
        <v>2.3947747597795142E-3</v>
      </c>
      <c r="AD836" s="3">
        <v>45058</v>
      </c>
      <c r="AE836" s="4">
        <v>-7.8089634662785901E-4</v>
      </c>
      <c r="AF836">
        <f t="shared" si="13"/>
        <v>0</v>
      </c>
      <c r="AG836" s="13"/>
    </row>
    <row r="837" spans="1:33" x14ac:dyDescent="0.35">
      <c r="A837" s="3">
        <v>45062</v>
      </c>
      <c r="B837" s="6">
        <f>LN(Raw!B839/Raw!B838)</f>
        <v>-1.7438142176220168E-3</v>
      </c>
      <c r="C837" s="6">
        <f>LN(Raw!C839/Raw!C838)</f>
        <v>1.5236675787419617E-2</v>
      </c>
      <c r="D837" s="6">
        <f>LN(Raw!D839/Raw!D838)</f>
        <v>2.8579367509027072E-2</v>
      </c>
      <c r="X837" s="3">
        <v>45062</v>
      </c>
      <c r="Y837" cm="1">
        <f t="array" ref="Y837">SUMPRODUCT($T$2:$T$4,TRANSPOSE(B837:D837))</f>
        <v>3.1456473112751577E-3</v>
      </c>
      <c r="AD837" s="3">
        <v>45061</v>
      </c>
      <c r="AE837" s="4">
        <v>2.3947747597795142E-3</v>
      </c>
      <c r="AF837">
        <f t="shared" si="13"/>
        <v>0</v>
      </c>
      <c r="AG837" s="13"/>
    </row>
    <row r="838" spans="1:33" x14ac:dyDescent="0.35">
      <c r="A838" s="3">
        <v>45063</v>
      </c>
      <c r="B838" s="6">
        <f>LN(Raw!B840/Raw!B839)</f>
        <v>-1.3426006449646479E-2</v>
      </c>
      <c r="C838" s="6">
        <f>LN(Raw!C840/Raw!C839)</f>
        <v>-4.2887911955736269E-3</v>
      </c>
      <c r="D838" s="6">
        <f>LN(Raw!D840/Raw!D839)</f>
        <v>4.6151162450424384E-3</v>
      </c>
      <c r="X838" s="3">
        <v>45063</v>
      </c>
      <c r="Y838" cm="1">
        <f t="array" ref="Y838">SUMPRODUCT($T$2:$T$4,TRANSPOSE(B838:D838))</f>
        <v>-1.0709652617431068E-2</v>
      </c>
      <c r="AD838" s="3">
        <v>45062</v>
      </c>
      <c r="AE838" s="4">
        <v>3.1456473112751577E-3</v>
      </c>
      <c r="AF838">
        <f t="shared" si="13"/>
        <v>0</v>
      </c>
      <c r="AG838" s="13"/>
    </row>
    <row r="839" spans="1:33" x14ac:dyDescent="0.35">
      <c r="A839" s="3">
        <v>45064</v>
      </c>
      <c r="B839" s="6">
        <f>LN(Raw!B841/Raw!B840)</f>
        <v>-6.8727068043855956E-3</v>
      </c>
      <c r="C839" s="6">
        <f>LN(Raw!C841/Raw!C840)</f>
        <v>8.5592671833763529E-3</v>
      </c>
      <c r="D839" s="6">
        <f>LN(Raw!D841/Raw!D840)</f>
        <v>3.7601899105654201E-3</v>
      </c>
      <c r="X839" s="3">
        <v>45064</v>
      </c>
      <c r="Y839" cm="1">
        <f t="array" ref="Y839">SUMPRODUCT($T$2:$T$4,TRANSPOSE(B839:D839))</f>
        <v>-3.2667539670317267E-3</v>
      </c>
      <c r="AD839" s="3">
        <v>45063</v>
      </c>
      <c r="AE839" s="4">
        <v>-1.0709652617431068E-2</v>
      </c>
      <c r="AF839">
        <f t="shared" si="13"/>
        <v>0</v>
      </c>
      <c r="AG839" s="13"/>
    </row>
    <row r="840" spans="1:33" x14ac:dyDescent="0.35">
      <c r="A840" s="3">
        <v>45065</v>
      </c>
      <c r="B840" s="6">
        <f>LN(Raw!B842/Raw!B841)</f>
        <v>-1.6717294407576241E-2</v>
      </c>
      <c r="C840" s="6">
        <f>LN(Raw!C842/Raw!C841)</f>
        <v>-1.3442237554542607E-2</v>
      </c>
      <c r="D840" s="6">
        <f>LN(Raw!D842/Raw!D841)</f>
        <v>-2.0645382400137361E-2</v>
      </c>
      <c r="X840" s="3">
        <v>45065</v>
      </c>
      <c r="Y840" cm="1">
        <f t="array" ref="Y840">SUMPRODUCT($T$2:$T$4,TRANSPOSE(B840:D840))</f>
        <v>-1.6258098930653123E-2</v>
      </c>
      <c r="AD840" s="3">
        <v>45064</v>
      </c>
      <c r="AE840" s="4">
        <v>-3.2667539670317267E-3</v>
      </c>
      <c r="AF840">
        <f t="shared" si="13"/>
        <v>0</v>
      </c>
      <c r="AG840" s="13"/>
    </row>
    <row r="841" spans="1:33" x14ac:dyDescent="0.35">
      <c r="A841" s="3">
        <v>45068</v>
      </c>
      <c r="B841" s="6">
        <f>LN(Raw!B843/Raw!B842)</f>
        <v>1.4797246880693301E-2</v>
      </c>
      <c r="C841" s="6">
        <f>LN(Raw!C843/Raw!C842)</f>
        <v>-1.1584278228139839E-2</v>
      </c>
      <c r="D841" s="6">
        <f>LN(Raw!D843/Raw!D842)</f>
        <v>-9.4097806872179644E-3</v>
      </c>
      <c r="X841" s="3">
        <v>45068</v>
      </c>
      <c r="Y841" cm="1">
        <f t="array" ref="Y841">SUMPRODUCT($T$2:$T$4,TRANSPOSE(B841:D841))</f>
        <v>8.3343277652519233E-3</v>
      </c>
      <c r="AD841" s="3">
        <v>45065</v>
      </c>
      <c r="AE841" s="4">
        <v>-1.6258098930653123E-2</v>
      </c>
      <c r="AF841">
        <f t="shared" si="13"/>
        <v>0</v>
      </c>
      <c r="AG841" s="13"/>
    </row>
    <row r="842" spans="1:33" x14ac:dyDescent="0.35">
      <c r="A842" s="3">
        <v>45069</v>
      </c>
      <c r="B842" s="6">
        <f>LN(Raw!B844/Raw!B843)</f>
        <v>-7.4403784440627519E-3</v>
      </c>
      <c r="C842" s="6">
        <f>LN(Raw!C844/Raw!C843)</f>
        <v>2.8146648115716894E-2</v>
      </c>
      <c r="D842" s="6">
        <f>LN(Raw!D844/Raw!D843)</f>
        <v>2.575177304667043E-3</v>
      </c>
      <c r="X842" s="3">
        <v>45069</v>
      </c>
      <c r="Y842" cm="1">
        <f t="array" ref="Y842">SUMPRODUCT($T$2:$T$4,TRANSPOSE(B842:D842))</f>
        <v>1.5732745558669079E-4</v>
      </c>
      <c r="AD842" s="3">
        <v>45068</v>
      </c>
      <c r="AE842" s="4">
        <v>8.3343277652519233E-3</v>
      </c>
      <c r="AF842">
        <f t="shared" si="13"/>
        <v>0</v>
      </c>
      <c r="AG842" s="13"/>
    </row>
    <row r="843" spans="1:33" x14ac:dyDescent="0.35">
      <c r="A843" s="3">
        <v>45070</v>
      </c>
      <c r="B843" s="6">
        <f>LN(Raw!B845/Raw!B844)</f>
        <v>-9.2162110004232016E-3</v>
      </c>
      <c r="C843" s="6">
        <f>LN(Raw!C845/Raw!C844)</f>
        <v>-1.1106401719137198E-2</v>
      </c>
      <c r="D843" s="6">
        <f>LN(Raw!D845/Raw!D844)</f>
        <v>1.8684113688529444E-2</v>
      </c>
      <c r="X843" s="3">
        <v>45070</v>
      </c>
      <c r="Y843" cm="1">
        <f t="array" ref="Y843">SUMPRODUCT($T$2:$T$4,TRANSPOSE(B843:D843))</f>
        <v>-8.212642560761119E-3</v>
      </c>
      <c r="AD843" s="3">
        <v>45069</v>
      </c>
      <c r="AE843" s="4">
        <v>1.5732745558669079E-4</v>
      </c>
      <c r="AF843">
        <f t="shared" si="13"/>
        <v>0</v>
      </c>
      <c r="AG843" s="13"/>
    </row>
    <row r="844" spans="1:33" x14ac:dyDescent="0.35">
      <c r="A844" s="3">
        <v>45071</v>
      </c>
      <c r="B844" s="6">
        <f>LN(Raw!B846/Raw!B845)</f>
        <v>5.2437102570531144E-3</v>
      </c>
      <c r="C844" s="6">
        <f>LN(Raw!C846/Raw!C845)</f>
        <v>1.7036119356199253E-2</v>
      </c>
      <c r="D844" s="6">
        <f>LN(Raw!D846/Raw!D845)</f>
        <v>4.1981828141242636E-3</v>
      </c>
      <c r="X844" s="3">
        <v>45071</v>
      </c>
      <c r="Y844" cm="1">
        <f t="array" ref="Y844">SUMPRODUCT($T$2:$T$4,TRANSPOSE(B844:D844))</f>
        <v>7.5453554961810738E-3</v>
      </c>
      <c r="AD844" s="3">
        <v>45070</v>
      </c>
      <c r="AE844" s="4">
        <v>-8.212642560761119E-3</v>
      </c>
      <c r="AF844">
        <f t="shared" si="13"/>
        <v>0</v>
      </c>
      <c r="AG844" s="13"/>
    </row>
    <row r="845" spans="1:33" x14ac:dyDescent="0.35">
      <c r="A845" s="3">
        <v>45072</v>
      </c>
      <c r="B845" s="6">
        <f>LN(Raw!B847/Raw!B846)</f>
        <v>1.8025910484153727E-2</v>
      </c>
      <c r="C845" s="6">
        <f>LN(Raw!C847/Raw!C846)</f>
        <v>2.1997301885599663E-2</v>
      </c>
      <c r="D845" s="6">
        <f>LN(Raw!D847/Raw!D846)</f>
        <v>3.7633344656006818E-3</v>
      </c>
      <c r="X845" s="3">
        <v>45072</v>
      </c>
      <c r="Y845" cm="1">
        <f t="array" ref="Y845">SUMPRODUCT($T$2:$T$4,TRANSPOSE(B845:D845))</f>
        <v>1.811261688205951E-2</v>
      </c>
      <c r="AD845" s="3">
        <v>45071</v>
      </c>
      <c r="AE845" s="4">
        <v>7.5453554961810738E-3</v>
      </c>
      <c r="AF845">
        <f t="shared" si="13"/>
        <v>0</v>
      </c>
      <c r="AG845" s="13"/>
    </row>
    <row r="846" spans="1:33" x14ac:dyDescent="0.35">
      <c r="A846" s="3">
        <v>45075</v>
      </c>
      <c r="B846" s="6">
        <f>LN(Raw!B848/Raw!B847)</f>
        <v>7.9486532718256175E-2</v>
      </c>
      <c r="C846" s="6">
        <f>LN(Raw!C848/Raw!C847)</f>
        <v>-1.974757857962995E-2</v>
      </c>
      <c r="D846" s="6">
        <f>LN(Raw!D848/Raw!D847)</f>
        <v>-9.6457510637997217E-3</v>
      </c>
      <c r="X846" s="3">
        <v>45075</v>
      </c>
      <c r="Y846" cm="1">
        <f t="array" ref="Y846">SUMPRODUCT($T$2:$T$4,TRANSPOSE(B846:D846))</f>
        <v>5.5271403625727328E-2</v>
      </c>
      <c r="AD846" s="3">
        <v>45072</v>
      </c>
      <c r="AE846" s="4">
        <v>1.811261688205951E-2</v>
      </c>
      <c r="AF846">
        <f t="shared" si="13"/>
        <v>0</v>
      </c>
      <c r="AG846" s="13"/>
    </row>
    <row r="847" spans="1:33" x14ac:dyDescent="0.35">
      <c r="A847" s="3">
        <v>45076</v>
      </c>
      <c r="B847" s="6">
        <f>LN(Raw!B849/Raw!B848)</f>
        <v>-5.3038554195585421E-3</v>
      </c>
      <c r="C847" s="6">
        <f>LN(Raw!C849/Raw!C848)</f>
        <v>1.9472042503792489E-2</v>
      </c>
      <c r="D847" s="6">
        <f>LN(Raw!D849/Raw!D848)</f>
        <v>6.7199159676679752E-3</v>
      </c>
      <c r="X847" s="3">
        <v>45076</v>
      </c>
      <c r="Y847" cm="1">
        <f t="array" ref="Y847">SUMPRODUCT($T$2:$T$4,TRANSPOSE(B847:D847))</f>
        <v>2.3568098899656725E-4</v>
      </c>
      <c r="AD847" s="3">
        <v>45075</v>
      </c>
      <c r="AE847" s="4">
        <v>5.5271403625727328E-2</v>
      </c>
      <c r="AF847">
        <f t="shared" si="13"/>
        <v>0</v>
      </c>
      <c r="AG847" s="13"/>
    </row>
    <row r="848" spans="1:33" x14ac:dyDescent="0.35">
      <c r="A848" s="3">
        <v>45077</v>
      </c>
      <c r="B848" s="6">
        <f>LN(Raw!B850/Raw!B849)</f>
        <v>-2.1548770966047228E-3</v>
      </c>
      <c r="C848" s="6">
        <f>LN(Raw!C850/Raw!C849)</f>
        <v>1.6122796676773726E-2</v>
      </c>
      <c r="D848" s="6">
        <f>LN(Raw!D850/Raw!D849)</f>
        <v>-4.6151162450425E-3</v>
      </c>
      <c r="X848" s="3">
        <v>45077</v>
      </c>
      <c r="Y848" cm="1">
        <f t="array" ref="Y848">SUMPRODUCT($T$2:$T$4,TRANSPOSE(B848:D848))</f>
        <v>1.3710058476384692E-3</v>
      </c>
      <c r="AD848" s="3">
        <v>45076</v>
      </c>
      <c r="AE848" s="4">
        <v>2.3568098899656725E-4</v>
      </c>
      <c r="AF848">
        <f t="shared" si="13"/>
        <v>0</v>
      </c>
      <c r="AG848" s="13"/>
    </row>
    <row r="849" spans="1:33" x14ac:dyDescent="0.35">
      <c r="A849" s="3">
        <v>45078</v>
      </c>
      <c r="B849" s="6">
        <f>LN(Raw!B851/Raw!B850)</f>
        <v>3.5852370836235076E-2</v>
      </c>
      <c r="C849" s="6">
        <f>LN(Raw!C851/Raw!C850)</f>
        <v>7.0232708966268135E-3</v>
      </c>
      <c r="D849" s="6">
        <f>LN(Raw!D851/Raw!D850)</f>
        <v>5.0336359866433511E-3</v>
      </c>
      <c r="X849" s="3">
        <v>45078</v>
      </c>
      <c r="Y849" cm="1">
        <f t="array" ref="Y849">SUMPRODUCT($T$2:$T$4,TRANSPOSE(B849:D849))</f>
        <v>2.8573779595589762E-2</v>
      </c>
      <c r="AD849" s="3">
        <v>45077</v>
      </c>
      <c r="AE849" s="4">
        <v>1.3710058476384692E-3</v>
      </c>
      <c r="AF849">
        <f t="shared" si="13"/>
        <v>0</v>
      </c>
      <c r="AG849" s="13"/>
    </row>
    <row r="850" spans="1:33" x14ac:dyDescent="0.35">
      <c r="A850" s="3">
        <v>45079</v>
      </c>
      <c r="B850" s="6">
        <f>LN(Raw!B852/Raw!B851)</f>
        <v>6.2242782179671441E-3</v>
      </c>
      <c r="C850" s="6">
        <f>LN(Raw!C852/Raw!C851)</f>
        <v>4.5657011369426605E-3</v>
      </c>
      <c r="D850" s="6">
        <f>LN(Raw!D852/Raw!D851)</f>
        <v>-4.1929020632762931E-3</v>
      </c>
      <c r="X850" s="3">
        <v>45079</v>
      </c>
      <c r="Y850" cm="1">
        <f t="array" ref="Y850">SUMPRODUCT($T$2:$T$4,TRANSPOSE(B850:D850))</f>
        <v>5.3777317182059263E-3</v>
      </c>
      <c r="AD850" s="3">
        <v>45078</v>
      </c>
      <c r="AE850" s="4">
        <v>2.8573779595589762E-2</v>
      </c>
      <c r="AF850">
        <f t="shared" si="13"/>
        <v>0</v>
      </c>
      <c r="AG850" s="13"/>
    </row>
    <row r="851" spans="1:33" x14ac:dyDescent="0.35">
      <c r="A851" s="3">
        <v>45082</v>
      </c>
      <c r="B851" s="6">
        <f>LN(Raw!B853/Raw!B852)</f>
        <v>-5.4082470800467216E-3</v>
      </c>
      <c r="C851" s="6">
        <f>LN(Raw!C853/Raw!C852)</f>
        <v>-1.7297845531663657E-2</v>
      </c>
      <c r="D851" s="6">
        <f>LN(Raw!D853/Raw!D852)</f>
        <v>-9.7108457673378418E-3</v>
      </c>
      <c r="X851" s="3">
        <v>45082</v>
      </c>
      <c r="Y851" cm="1">
        <f t="array" ref="Y851">SUMPRODUCT($T$2:$T$4,TRANSPOSE(B851:D851))</f>
        <v>-7.9939675565328661E-3</v>
      </c>
      <c r="AD851" s="3">
        <v>45079</v>
      </c>
      <c r="AE851" s="4">
        <v>5.3777317182059263E-3</v>
      </c>
      <c r="AF851">
        <f t="shared" si="13"/>
        <v>0</v>
      </c>
      <c r="AG851" s="13"/>
    </row>
    <row r="852" spans="1:33" x14ac:dyDescent="0.35">
      <c r="A852" s="3">
        <v>45083</v>
      </c>
      <c r="B852" s="6">
        <f>LN(Raw!B854/Raw!B853)</f>
        <v>9.3343872998314214E-3</v>
      </c>
      <c r="C852" s="6">
        <f>LN(Raw!C854/Raw!C853)</f>
        <v>-1.9102233723629592E-3</v>
      </c>
      <c r="D852" s="6">
        <f>LN(Raw!D854/Raw!D853)</f>
        <v>3.3883772307743642E-3</v>
      </c>
      <c r="X852" s="3">
        <v>45083</v>
      </c>
      <c r="Y852" cm="1">
        <f t="array" ref="Y852">SUMPRODUCT($T$2:$T$4,TRANSPOSE(B852:D852))</f>
        <v>6.79605306839892E-3</v>
      </c>
      <c r="AD852" s="3">
        <v>45082</v>
      </c>
      <c r="AE852" s="4">
        <v>-7.9939675565328661E-3</v>
      </c>
      <c r="AF852">
        <f t="shared" si="13"/>
        <v>0</v>
      </c>
      <c r="AG852" s="13"/>
    </row>
    <row r="853" spans="1:33" x14ac:dyDescent="0.35">
      <c r="A853" s="3">
        <v>45084</v>
      </c>
      <c r="B853" s="6">
        <f>LN(Raw!B855/Raw!B854)</f>
        <v>1.5711165436737194E-2</v>
      </c>
      <c r="C853" s="6">
        <f>LN(Raw!C855/Raw!C854)</f>
        <v>2.0279219009113857E-2</v>
      </c>
      <c r="D853" s="6">
        <f>LN(Raw!D855/Raw!D854)</f>
        <v>2.4641035415267177E-2</v>
      </c>
      <c r="X853" s="3">
        <v>45084</v>
      </c>
      <c r="Y853" cm="1">
        <f t="array" ref="Y853">SUMPRODUCT($T$2:$T$4,TRANSPOSE(B853:D853))</f>
        <v>1.7064743265143959E-2</v>
      </c>
      <c r="AD853" s="3">
        <v>45083</v>
      </c>
      <c r="AE853" s="4">
        <v>6.79605306839892E-3</v>
      </c>
      <c r="AF853">
        <f t="shared" si="13"/>
        <v>0</v>
      </c>
      <c r="AG853" s="13"/>
    </row>
    <row r="854" spans="1:33" x14ac:dyDescent="0.35">
      <c r="A854" s="3">
        <v>45085</v>
      </c>
      <c r="B854" s="6">
        <f>LN(Raw!B856/Raw!B855)</f>
        <v>-3.7450064642038819E-3</v>
      </c>
      <c r="C854" s="6">
        <f>LN(Raw!C856/Raw!C855)</f>
        <v>-9.9530235219169767E-3</v>
      </c>
      <c r="D854" s="6">
        <f>LN(Raw!D856/Raw!D855)</f>
        <v>-6.2073474052845735E-3</v>
      </c>
      <c r="X854" s="3">
        <v>45085</v>
      </c>
      <c r="Y854" cm="1">
        <f t="array" ref="Y854">SUMPRODUCT($T$2:$T$4,TRANSPOSE(B854:D854))</f>
        <v>-5.1057900559402705E-3</v>
      </c>
      <c r="AD854" s="3">
        <v>45084</v>
      </c>
      <c r="AE854" s="4">
        <v>1.7064743265143959E-2</v>
      </c>
      <c r="AF854">
        <f t="shared" si="13"/>
        <v>0</v>
      </c>
      <c r="AG854" s="13"/>
    </row>
    <row r="855" spans="1:33" x14ac:dyDescent="0.35">
      <c r="A855" s="3">
        <v>45086</v>
      </c>
      <c r="B855" s="6">
        <f>LN(Raw!B857/Raw!B856)</f>
        <v>-3.0105870527589663E-2</v>
      </c>
      <c r="C855" s="6">
        <f>LN(Raw!C857/Raw!C856)</f>
        <v>-9.5070814764209519E-3</v>
      </c>
      <c r="D855" s="6">
        <f>LN(Raw!D857/Raw!D856)</f>
        <v>-2.097397739688078E-2</v>
      </c>
      <c r="X855" s="3">
        <v>45086</v>
      </c>
      <c r="Y855" cm="1">
        <f t="array" ref="Y855">SUMPRODUCT($T$2:$T$4,TRANSPOSE(B855:D855))</f>
        <v>-2.5543070914722382E-2</v>
      </c>
      <c r="AD855" s="3">
        <v>45085</v>
      </c>
      <c r="AE855" s="4">
        <v>-5.1057900559402705E-3</v>
      </c>
      <c r="AF855">
        <f t="shared" si="13"/>
        <v>0</v>
      </c>
      <c r="AG855" s="13"/>
    </row>
    <row r="856" spans="1:33" x14ac:dyDescent="0.35">
      <c r="A856" s="3">
        <v>45089</v>
      </c>
      <c r="B856" s="6">
        <f>LN(Raw!B858/Raw!B857)</f>
        <v>2.1051487834526992E-3</v>
      </c>
      <c r="C856" s="6">
        <f>LN(Raw!C858/Raw!C857)</f>
        <v>-1.125296169399158E-2</v>
      </c>
      <c r="D856" s="6">
        <f>LN(Raw!D858/Raw!D857)</f>
        <v>2.9631219098234787E-3</v>
      </c>
      <c r="X856" s="3">
        <v>45089</v>
      </c>
      <c r="Y856" cm="1">
        <f t="array" ref="Y856">SUMPRODUCT($T$2:$T$4,TRANSPOSE(B856:D856))</f>
        <v>-5.1824263393315643E-4</v>
      </c>
      <c r="AD856" s="3">
        <v>45086</v>
      </c>
      <c r="AE856" s="4">
        <v>-2.5543070914722382E-2</v>
      </c>
      <c r="AF856">
        <f t="shared" si="13"/>
        <v>0</v>
      </c>
      <c r="AG856" s="13"/>
    </row>
    <row r="857" spans="1:33" x14ac:dyDescent="0.35">
      <c r="A857" s="3">
        <v>45090</v>
      </c>
      <c r="B857" s="6">
        <f>LN(Raw!B859/Raw!B858)</f>
        <v>5.9614200227493331E-3</v>
      </c>
      <c r="C857" s="6">
        <f>LN(Raw!C859/Raw!C858)</f>
        <v>-2.7605288196992829E-4</v>
      </c>
      <c r="D857" s="6">
        <f>LN(Raw!D859/Raw!D858)</f>
        <v>2.9541023676455127E-3</v>
      </c>
      <c r="X857" s="3">
        <v>45090</v>
      </c>
      <c r="Y857" cm="1">
        <f t="array" ref="Y857">SUMPRODUCT($T$2:$T$4,TRANSPOSE(B857:D857))</f>
        <v>4.5677869445151778E-3</v>
      </c>
      <c r="AD857" s="3">
        <v>45089</v>
      </c>
      <c r="AE857" s="4">
        <v>-5.1824263393315643E-4</v>
      </c>
      <c r="AF857">
        <f t="shared" si="13"/>
        <v>0</v>
      </c>
      <c r="AG857" s="13"/>
    </row>
    <row r="858" spans="1:33" x14ac:dyDescent="0.35">
      <c r="A858" s="3">
        <v>45091</v>
      </c>
      <c r="B858" s="6">
        <f>LN(Raw!B860/Raw!B859)</f>
        <v>-6.3738371226175726E-3</v>
      </c>
      <c r="C858" s="6">
        <f>LN(Raw!C860/Raw!C859)</f>
        <v>9.6167946248080071E-3</v>
      </c>
      <c r="D858" s="6">
        <f>LN(Raw!D860/Raw!D859)</f>
        <v>1.381071190475686E-2</v>
      </c>
      <c r="X858" s="3">
        <v>45091</v>
      </c>
      <c r="Y858" cm="1">
        <f t="array" ref="Y858">SUMPRODUCT($T$2:$T$4,TRANSPOSE(B858:D858))</f>
        <v>-2.1836817133526402E-3</v>
      </c>
      <c r="AD858" s="3">
        <v>45090</v>
      </c>
      <c r="AE858" s="4">
        <v>4.5677869445151778E-3</v>
      </c>
      <c r="AF858">
        <f t="shared" si="13"/>
        <v>0</v>
      </c>
      <c r="AG858" s="13"/>
    </row>
    <row r="859" spans="1:33" x14ac:dyDescent="0.35">
      <c r="A859" s="3">
        <v>45092</v>
      </c>
      <c r="B859" s="6">
        <f>LN(Raw!B861/Raw!B860)</f>
        <v>-2.1061207524817258E-3</v>
      </c>
      <c r="C859" s="6">
        <f>LN(Raw!C861/Raw!C860)</f>
        <v>-6.584487543718761E-3</v>
      </c>
      <c r="D859" s="6">
        <f>LN(Raw!D861/Raw!D860)</f>
        <v>-1.2477268060236235E-3</v>
      </c>
      <c r="X859" s="3">
        <v>45092</v>
      </c>
      <c r="Y859" cm="1">
        <f t="array" ref="Y859">SUMPRODUCT($T$2:$T$4,TRANSPOSE(B859:D859))</f>
        <v>-2.9573778277830706E-3</v>
      </c>
      <c r="AD859" s="3">
        <v>45091</v>
      </c>
      <c r="AE859" s="4">
        <v>-2.1836817133526402E-3</v>
      </c>
      <c r="AF859">
        <f t="shared" si="13"/>
        <v>0</v>
      </c>
      <c r="AG859" s="13"/>
    </row>
    <row r="860" spans="1:33" x14ac:dyDescent="0.35">
      <c r="A860" s="3">
        <v>45093</v>
      </c>
      <c r="B860" s="6">
        <f>LN(Raw!B862/Raw!B861)</f>
        <v>3.6729447762424386E-2</v>
      </c>
      <c r="C860" s="6">
        <f>LN(Raw!C862/Raw!C861)</f>
        <v>4.3625640336953528E-2</v>
      </c>
      <c r="D860" s="6">
        <f>LN(Raw!D862/Raw!D861)</f>
        <v>2.3849846787816514E-2</v>
      </c>
      <c r="X860" s="3">
        <v>45093</v>
      </c>
      <c r="Y860" cm="1">
        <f t="array" ref="Y860">SUMPRODUCT($T$2:$T$4,TRANSPOSE(B860:D860))</f>
        <v>3.7468294568667161E-2</v>
      </c>
      <c r="AD860" s="3">
        <v>45092</v>
      </c>
      <c r="AE860" s="4">
        <v>-2.9573778277830706E-3</v>
      </c>
      <c r="AF860">
        <f t="shared" si="13"/>
        <v>0</v>
      </c>
      <c r="AG860" s="13"/>
    </row>
    <row r="861" spans="1:33" x14ac:dyDescent="0.35">
      <c r="A861" s="3">
        <v>45096</v>
      </c>
      <c r="B861" s="6">
        <f>LN(Raw!B863/Raw!B862)</f>
        <v>4.0960007580868232E-3</v>
      </c>
      <c r="C861" s="6">
        <f>LN(Raw!C863/Raw!C862)</f>
        <v>-7.1399779069988706E-3</v>
      </c>
      <c r="D861" s="6">
        <f>LN(Raw!D863/Raw!D862)</f>
        <v>-8.1599619932327082E-3</v>
      </c>
      <c r="X861" s="3">
        <v>45096</v>
      </c>
      <c r="Y861" cm="1">
        <f t="array" ref="Y861">SUMPRODUCT($T$2:$T$4,TRANSPOSE(B861:D861))</f>
        <v>1.2471089979427935E-3</v>
      </c>
      <c r="AD861" s="3">
        <v>45093</v>
      </c>
      <c r="AE861" s="4">
        <v>3.7468294568667161E-2</v>
      </c>
      <c r="AF861">
        <f t="shared" si="13"/>
        <v>0</v>
      </c>
      <c r="AG861" s="13"/>
    </row>
    <row r="862" spans="1:33" x14ac:dyDescent="0.35">
      <c r="A862" s="3">
        <v>45097</v>
      </c>
      <c r="B862" s="6">
        <f>LN(Raw!B864/Raw!B863)</f>
        <v>2.5352419611562746E-2</v>
      </c>
      <c r="C862" s="6">
        <f>LN(Raw!C864/Raw!C863)</f>
        <v>-2.3914842829129809E-3</v>
      </c>
      <c r="D862" s="6">
        <f>LN(Raw!D864/Raw!D863)</f>
        <v>4.4961428844278624E-3</v>
      </c>
      <c r="X862" s="3">
        <v>45097</v>
      </c>
      <c r="Y862" cm="1">
        <f t="array" ref="Y862">SUMPRODUCT($T$2:$T$4,TRANSPOSE(B862:D862))</f>
        <v>1.8783442100037882E-2</v>
      </c>
      <c r="AD862" s="3">
        <v>45096</v>
      </c>
      <c r="AE862" s="4">
        <v>1.2471089979427935E-3</v>
      </c>
      <c r="AF862">
        <f t="shared" si="13"/>
        <v>0</v>
      </c>
      <c r="AG862" s="13"/>
    </row>
    <row r="863" spans="1:33" x14ac:dyDescent="0.35">
      <c r="A863" s="3">
        <v>45098</v>
      </c>
      <c r="B863" s="6">
        <f>LN(Raw!B865/Raw!B864)</f>
        <v>7.9391834345270279E-3</v>
      </c>
      <c r="C863" s="6">
        <f>LN(Raw!C865/Raw!C864)</f>
        <v>-1.0160353851823286E-2</v>
      </c>
      <c r="D863" s="6">
        <f>LN(Raw!D865/Raw!D864)</f>
        <v>-1.6862274878682488E-2</v>
      </c>
      <c r="X863" s="3">
        <v>45098</v>
      </c>
      <c r="Y863" cm="1">
        <f t="array" ref="Y863">SUMPRODUCT($T$2:$T$4,TRANSPOSE(B863:D863))</f>
        <v>3.0996664192749872E-3</v>
      </c>
      <c r="AD863" s="3">
        <v>45097</v>
      </c>
      <c r="AE863" s="4">
        <v>1.8783442100037882E-2</v>
      </c>
      <c r="AF863">
        <f t="shared" si="13"/>
        <v>0</v>
      </c>
      <c r="AG863" s="13"/>
    </row>
    <row r="864" spans="1:33" x14ac:dyDescent="0.35">
      <c r="A864" s="3">
        <v>45099</v>
      </c>
      <c r="B864" s="6">
        <f>LN(Raw!B866/Raw!B865)</f>
        <v>-2.0633008417844236E-2</v>
      </c>
      <c r="C864" s="6">
        <f>LN(Raw!C866/Raw!C865)</f>
        <v>-1.3800808383475451E-2</v>
      </c>
      <c r="D864" s="6">
        <f>LN(Raw!D866/Raw!D865)</f>
        <v>-1.8418319483905703E-2</v>
      </c>
      <c r="X864" s="3">
        <v>45099</v>
      </c>
      <c r="Y864" cm="1">
        <f t="array" ref="Y864">SUMPRODUCT($T$2:$T$4,TRANSPOSE(B864:D864))</f>
        <v>-1.9159913940071521E-2</v>
      </c>
      <c r="AD864" s="3">
        <v>45098</v>
      </c>
      <c r="AE864" s="4">
        <v>3.0996664192749872E-3</v>
      </c>
      <c r="AF864">
        <f t="shared" si="13"/>
        <v>0</v>
      </c>
      <c r="AG864" s="13"/>
    </row>
    <row r="865" spans="1:33" x14ac:dyDescent="0.35">
      <c r="A865" s="3">
        <v>45100</v>
      </c>
      <c r="B865" s="6">
        <f>LN(Raw!B867/Raw!B866)</f>
        <v>-1.2155908355071003E-3</v>
      </c>
      <c r="C865" s="6">
        <f>LN(Raw!C867/Raw!C866)</f>
        <v>-2.1760980666749301E-2</v>
      </c>
      <c r="D865" s="6">
        <f>LN(Raw!D867/Raw!D866)</f>
        <v>-3.4382475345238209E-2</v>
      </c>
      <c r="X865" s="3">
        <v>45100</v>
      </c>
      <c r="Y865" cm="1">
        <f t="array" ref="Y865">SUMPRODUCT($T$2:$T$4,TRANSPOSE(B865:D865))</f>
        <v>-6.9572277465724929E-3</v>
      </c>
      <c r="AD865" s="3">
        <v>45099</v>
      </c>
      <c r="AE865" s="4">
        <v>-1.9159913940071521E-2</v>
      </c>
      <c r="AF865">
        <f t="shared" si="13"/>
        <v>0</v>
      </c>
      <c r="AG865" s="13"/>
    </row>
    <row r="866" spans="1:33" x14ac:dyDescent="0.35">
      <c r="A866" s="3">
        <v>45103</v>
      </c>
      <c r="B866" s="6">
        <f>LN(Raw!B868/Raw!B867)</f>
        <v>5.5559558523124762E-3</v>
      </c>
      <c r="C866" s="6">
        <f>LN(Raw!C868/Raw!C867)</f>
        <v>2.5031341487596129E-3</v>
      </c>
      <c r="D866" s="6">
        <f>LN(Raw!D868/Raw!D867)</f>
        <v>1.9056498703535131E-2</v>
      </c>
      <c r="X866" s="3">
        <v>45103</v>
      </c>
      <c r="Y866" cm="1">
        <f t="array" ref="Y866">SUMPRODUCT($T$2:$T$4,TRANSPOSE(B866:D866))</f>
        <v>5.6148533490825965E-3</v>
      </c>
      <c r="AD866" s="3">
        <v>45100</v>
      </c>
      <c r="AE866" s="4">
        <v>-6.9572277465724929E-3</v>
      </c>
      <c r="AF866">
        <f t="shared" si="13"/>
        <v>0</v>
      </c>
      <c r="AG866" s="13"/>
    </row>
    <row r="867" spans="1:33" x14ac:dyDescent="0.35">
      <c r="A867" s="3">
        <v>45104</v>
      </c>
      <c r="B867" s="6">
        <f>LN(Raw!B869/Raw!B868)</f>
        <v>3.5906167835675518E-2</v>
      </c>
      <c r="C867" s="6">
        <f>LN(Raw!C869/Raw!C868)</f>
        <v>1.3519242036606288E-2</v>
      </c>
      <c r="D867" s="6">
        <f>LN(Raw!D869/Raw!D868)</f>
        <v>1.490345585890096E-2</v>
      </c>
      <c r="X867" s="3">
        <v>45104</v>
      </c>
      <c r="Y867" cm="1">
        <f t="array" ref="Y867">SUMPRODUCT($T$2:$T$4,TRANSPOSE(B867:D867))</f>
        <v>3.0399025020400882E-2</v>
      </c>
      <c r="AD867" s="3">
        <v>45103</v>
      </c>
      <c r="AE867" s="4">
        <v>5.6148533490825965E-3</v>
      </c>
      <c r="AF867">
        <f t="shared" si="13"/>
        <v>0</v>
      </c>
      <c r="AG867" s="13"/>
    </row>
    <row r="868" spans="1:33" x14ac:dyDescent="0.35">
      <c r="A868" s="3">
        <v>45105</v>
      </c>
      <c r="B868" s="6">
        <f>LN(Raw!B870/Raw!B869)</f>
        <v>3.269381996142488E-3</v>
      </c>
      <c r="C868" s="6">
        <f>LN(Raw!C870/Raw!C869)</f>
        <v>3.8293326038858068E-3</v>
      </c>
      <c r="D868" s="6">
        <f>LN(Raw!D870/Raw!D869)</f>
        <v>-1.0195571241671524E-2</v>
      </c>
      <c r="X868" s="3">
        <v>45105</v>
      </c>
      <c r="Y868" cm="1">
        <f t="array" ref="Y868">SUMPRODUCT($T$2:$T$4,TRANSPOSE(B868:D868))</f>
        <v>2.7147482371359436E-3</v>
      </c>
      <c r="AD868" s="3">
        <v>45104</v>
      </c>
      <c r="AE868" s="4">
        <v>3.0399025020400882E-2</v>
      </c>
      <c r="AF868">
        <f t="shared" si="13"/>
        <v>0</v>
      </c>
      <c r="AG868" s="13"/>
    </row>
    <row r="869" spans="1:33" x14ac:dyDescent="0.35">
      <c r="A869" s="3">
        <v>45107</v>
      </c>
      <c r="B869" s="6">
        <f>LN(Raw!B871/Raw!B870)</f>
        <v>8.7778570441492624E-3</v>
      </c>
      <c r="C869" s="6">
        <f>LN(Raw!C871/Raw!C870)</f>
        <v>-2.7336495351599007E-3</v>
      </c>
      <c r="D869" s="6">
        <f>LN(Raw!D871/Raw!D870)</f>
        <v>-1.2818454299712461E-3</v>
      </c>
      <c r="X869" s="3">
        <v>45107</v>
      </c>
      <c r="Y869" cm="1">
        <f t="array" ref="Y869">SUMPRODUCT($T$2:$T$4,TRANSPOSE(B869:D869))</f>
        <v>5.9826718255253496E-3</v>
      </c>
      <c r="AD869" s="3">
        <v>45105</v>
      </c>
      <c r="AE869" s="4">
        <v>2.7147482371359436E-3</v>
      </c>
      <c r="AF869">
        <f t="shared" si="13"/>
        <v>0</v>
      </c>
      <c r="AG869" s="13"/>
    </row>
    <row r="870" spans="1:33" x14ac:dyDescent="0.35">
      <c r="A870" s="3">
        <v>45110</v>
      </c>
      <c r="B870" s="6">
        <f>LN(Raw!B872/Raw!B871)</f>
        <v>-4.7340384123965096E-3</v>
      </c>
      <c r="C870" s="6">
        <f>LN(Raw!C872/Raw!C871)</f>
        <v>1.6560651079613804E-2</v>
      </c>
      <c r="D870" s="6">
        <f>LN(Raw!D872/Raw!D871)</f>
        <v>4.6918875281039812E-3</v>
      </c>
      <c r="X870" s="3">
        <v>45110</v>
      </c>
      <c r="Y870" cm="1">
        <f t="array" ref="Y870">SUMPRODUCT($T$2:$T$4,TRANSPOSE(B870:D870))</f>
        <v>-1.7807777825859468E-5</v>
      </c>
      <c r="AD870" s="3">
        <v>45107</v>
      </c>
      <c r="AE870" s="4">
        <v>5.9826718255253496E-3</v>
      </c>
      <c r="AF870">
        <f t="shared" si="13"/>
        <v>0</v>
      </c>
      <c r="AG870" s="13"/>
    </row>
    <row r="871" spans="1:33" x14ac:dyDescent="0.35">
      <c r="A871" s="3">
        <v>45111</v>
      </c>
      <c r="B871" s="6">
        <f>LN(Raw!B873/Raw!B872)</f>
        <v>-1.737595737320979E-2</v>
      </c>
      <c r="C871" s="6">
        <f>LN(Raw!C873/Raw!C872)</f>
        <v>-9.468502120825173E-3</v>
      </c>
      <c r="D871" s="6">
        <f>LN(Raw!D873/Raw!D872)</f>
        <v>-9.4057574220178294E-3</v>
      </c>
      <c r="X871" s="3">
        <v>45111</v>
      </c>
      <c r="Y871" cm="1">
        <f t="array" ref="Y871">SUMPRODUCT($T$2:$T$4,TRANSPOSE(B871:D871))</f>
        <v>-1.5403435425960569E-2</v>
      </c>
      <c r="AD871" s="3">
        <v>45110</v>
      </c>
      <c r="AE871" s="4">
        <v>-1.7807777825859468E-5</v>
      </c>
      <c r="AF871">
        <f t="shared" si="13"/>
        <v>0</v>
      </c>
      <c r="AG871" s="13"/>
    </row>
    <row r="872" spans="1:33" x14ac:dyDescent="0.35">
      <c r="A872" s="3">
        <v>45112</v>
      </c>
      <c r="B872" s="6">
        <f>LN(Raw!B874/Raw!B873)</f>
        <v>9.1213470989717944E-3</v>
      </c>
      <c r="C872" s="6">
        <f>LN(Raw!C874/Raw!C873)</f>
        <v>-5.9977559141551895E-3</v>
      </c>
      <c r="D872" s="6">
        <f>LN(Raw!D874/Raw!D873)</f>
        <v>-2.1500543629556774E-3</v>
      </c>
      <c r="X872" s="3">
        <v>45112</v>
      </c>
      <c r="Y872" cm="1">
        <f t="array" ref="Y872">SUMPRODUCT($T$2:$T$4,TRANSPOSE(B872:D872))</f>
        <v>5.5462336355442468E-3</v>
      </c>
      <c r="AD872" s="3">
        <v>45111</v>
      </c>
      <c r="AE872" s="4">
        <v>-1.5403435425960569E-2</v>
      </c>
      <c r="AF872">
        <f t="shared" si="13"/>
        <v>0</v>
      </c>
      <c r="AG872" s="13"/>
    </row>
    <row r="873" spans="1:33" x14ac:dyDescent="0.35">
      <c r="A873" s="3">
        <v>45113</v>
      </c>
      <c r="B873" s="6">
        <f>LN(Raw!B875/Raw!B874)</f>
        <v>9.8225742819266094E-3</v>
      </c>
      <c r="C873" s="6">
        <f>LN(Raw!C875/Raw!C874)</f>
        <v>1.6273687718700885E-2</v>
      </c>
      <c r="D873" s="6">
        <f>LN(Raw!D875/Raw!D874)</f>
        <v>1.7918508405586835E-2</v>
      </c>
      <c r="X873" s="3">
        <v>45113</v>
      </c>
      <c r="Y873" cm="1">
        <f t="array" ref="Y873">SUMPRODUCT($T$2:$T$4,TRANSPOSE(B873:D873))</f>
        <v>1.1510679242877225E-2</v>
      </c>
      <c r="AD873" s="3">
        <v>45112</v>
      </c>
      <c r="AE873" s="4">
        <v>5.5462336355442468E-3</v>
      </c>
      <c r="AF873">
        <f t="shared" si="13"/>
        <v>0</v>
      </c>
      <c r="AG873" s="13"/>
    </row>
    <row r="874" spans="1:33" x14ac:dyDescent="0.35">
      <c r="A874" s="3">
        <v>45114</v>
      </c>
      <c r="B874" s="6">
        <f>LN(Raw!B876/Raw!B875)</f>
        <v>-1.9043559676400043E-3</v>
      </c>
      <c r="C874" s="6">
        <f>LN(Raw!C876/Raw!C875)</f>
        <v>-7.8325982674605221E-3</v>
      </c>
      <c r="D874" s="6">
        <f>LN(Raw!D876/Raw!D875)</f>
        <v>3.3769348905708344E-3</v>
      </c>
      <c r="X874" s="3">
        <v>45114</v>
      </c>
      <c r="Y874" cm="1">
        <f t="array" ref="Y874">SUMPRODUCT($T$2:$T$4,TRANSPOSE(B874:D874))</f>
        <v>-2.8260722789820291E-3</v>
      </c>
      <c r="AD874" s="3">
        <v>45113</v>
      </c>
      <c r="AE874" s="4">
        <v>1.1510679242877225E-2</v>
      </c>
      <c r="AF874">
        <f t="shared" si="13"/>
        <v>0</v>
      </c>
      <c r="AG874" s="13"/>
    </row>
    <row r="875" spans="1:33" x14ac:dyDescent="0.35">
      <c r="A875" s="3">
        <v>45117</v>
      </c>
      <c r="B875" s="6">
        <f>LN(Raw!B877/Raw!B876)</f>
        <v>3.8426410344301106E-3</v>
      </c>
      <c r="C875" s="6">
        <f>LN(Raw!C877/Raw!C876)</f>
        <v>3.0968801111539698E-2</v>
      </c>
      <c r="D875" s="6">
        <f>LN(Raw!D877/Raw!D876)</f>
        <v>1.1730432631203597E-2</v>
      </c>
      <c r="X875" s="3">
        <v>45117</v>
      </c>
      <c r="Y875" cm="1">
        <f t="array" ref="Y875">SUMPRODUCT($T$2:$T$4,TRANSPOSE(B875:D875))</f>
        <v>9.6465246016031059E-3</v>
      </c>
      <c r="AD875" s="3">
        <v>45114</v>
      </c>
      <c r="AE875" s="4">
        <v>-2.8260722789820291E-3</v>
      </c>
      <c r="AF875">
        <f t="shared" si="13"/>
        <v>0</v>
      </c>
      <c r="AG875" s="13"/>
    </row>
    <row r="876" spans="1:33" x14ac:dyDescent="0.35">
      <c r="A876" s="3">
        <v>45118</v>
      </c>
      <c r="B876" s="6">
        <f>LN(Raw!B878/Raw!B877)</f>
        <v>2.677400520529922E-3</v>
      </c>
      <c r="C876" s="6">
        <f>LN(Raw!C878/Raw!C877)</f>
        <v>-6.3290577225241004E-3</v>
      </c>
      <c r="D876" s="6">
        <f>LN(Raw!D878/Raw!D877)</f>
        <v>-1.6674499825505653E-3</v>
      </c>
      <c r="X876" s="3">
        <v>45118</v>
      </c>
      <c r="Y876" cm="1">
        <f t="array" ref="Y876">SUMPRODUCT($T$2:$T$4,TRANSPOSE(B876:D876))</f>
        <v>6.6497171071563943E-4</v>
      </c>
      <c r="AD876" s="3">
        <v>45117</v>
      </c>
      <c r="AE876" s="4">
        <v>9.6465246016031059E-3</v>
      </c>
      <c r="AF876">
        <f t="shared" si="13"/>
        <v>0</v>
      </c>
      <c r="AG876" s="13"/>
    </row>
    <row r="877" spans="1:33" x14ac:dyDescent="0.35">
      <c r="A877" s="3">
        <v>45119</v>
      </c>
      <c r="B877" s="6">
        <f>LN(Raw!B879/Raw!B878)</f>
        <v>1.1740023407025331E-2</v>
      </c>
      <c r="C877" s="6">
        <f>LN(Raw!C879/Raw!C878)</f>
        <v>-1.0638415119550462E-2</v>
      </c>
      <c r="D877" s="6">
        <f>LN(Raw!D879/Raw!D878)</f>
        <v>-1.6828294769998267E-2</v>
      </c>
      <c r="X877" s="3">
        <v>45119</v>
      </c>
      <c r="Y877" cm="1">
        <f t="array" ref="Y877">SUMPRODUCT($T$2:$T$4,TRANSPOSE(B877:D877))</f>
        <v>5.8601519097563155E-3</v>
      </c>
      <c r="AD877" s="3">
        <v>45118</v>
      </c>
      <c r="AE877" s="4">
        <v>6.6497171071563943E-4</v>
      </c>
      <c r="AF877">
        <f t="shared" si="13"/>
        <v>0</v>
      </c>
      <c r="AG877" s="13"/>
    </row>
    <row r="878" spans="1:33" x14ac:dyDescent="0.35">
      <c r="A878" s="3">
        <v>45120</v>
      </c>
      <c r="B878" s="6">
        <f>LN(Raw!B880/Raw!B879)</f>
        <v>-4.3035718829773249E-3</v>
      </c>
      <c r="C878" s="6">
        <f>LN(Raw!C880/Raw!C879)</f>
        <v>-1.481510964215217E-2</v>
      </c>
      <c r="D878" s="6">
        <f>LN(Raw!D880/Raw!D879)</f>
        <v>-4.2516641669427752E-3</v>
      </c>
      <c r="X878" s="3">
        <v>45120</v>
      </c>
      <c r="Y878" cm="1">
        <f t="array" ref="Y878">SUMPRODUCT($T$2:$T$4,TRANSPOSE(B878:D878))</f>
        <v>-6.398770432913055E-3</v>
      </c>
      <c r="AD878" s="3">
        <v>45119</v>
      </c>
      <c r="AE878" s="4">
        <v>5.8601519097563155E-3</v>
      </c>
      <c r="AF878">
        <f t="shared" si="13"/>
        <v>0</v>
      </c>
      <c r="AG878" s="13"/>
    </row>
    <row r="879" spans="1:33" x14ac:dyDescent="0.35">
      <c r="A879" s="3">
        <v>45121</v>
      </c>
      <c r="B879" s="6">
        <f>LN(Raw!B881/Raw!B880)</f>
        <v>1.4164700892715949E-2</v>
      </c>
      <c r="C879" s="6">
        <f>LN(Raw!C881/Raw!C880)</f>
        <v>2.4393600882365485E-3</v>
      </c>
      <c r="D879" s="6">
        <f>LN(Raw!D881/Raw!D880)</f>
        <v>-5.1260951272825237E-3</v>
      </c>
      <c r="X879" s="3">
        <v>45121</v>
      </c>
      <c r="Y879" cm="1">
        <f t="array" ref="Y879">SUMPRODUCT($T$2:$T$4,TRANSPOSE(B879:D879))</f>
        <v>1.0869993314420177E-2</v>
      </c>
      <c r="AD879" s="3">
        <v>45120</v>
      </c>
      <c r="AE879" s="4">
        <v>-6.398770432913055E-3</v>
      </c>
      <c r="AF879">
        <f t="shared" si="13"/>
        <v>0</v>
      </c>
      <c r="AG879" s="13"/>
    </row>
    <row r="880" spans="1:33" x14ac:dyDescent="0.35">
      <c r="A880" s="3">
        <v>45124</v>
      </c>
      <c r="B880" s="6">
        <f>LN(Raw!B882/Raw!B881)</f>
        <v>-7.7346433365390495E-3</v>
      </c>
      <c r="C880" s="6">
        <f>LN(Raw!C882/Raw!C881)</f>
        <v>1.6229404974400427E-3</v>
      </c>
      <c r="D880" s="6">
        <f>LN(Raw!D882/Raw!D881)</f>
        <v>1.2840398450007686E-3</v>
      </c>
      <c r="X880" s="3">
        <v>45124</v>
      </c>
      <c r="Y880" cm="1">
        <f t="array" ref="Y880">SUMPRODUCT($T$2:$T$4,TRANSPOSE(B880:D880))</f>
        <v>-5.4208325316192222E-3</v>
      </c>
      <c r="AD880" s="3">
        <v>45121</v>
      </c>
      <c r="AE880" s="4">
        <v>1.0869993314420177E-2</v>
      </c>
      <c r="AF880">
        <f t="shared" si="13"/>
        <v>0</v>
      </c>
      <c r="AG880" s="13"/>
    </row>
    <row r="881" spans="1:33" x14ac:dyDescent="0.35">
      <c r="A881" s="3">
        <v>45125</v>
      </c>
      <c r="B881" s="6">
        <f>LN(Raw!B883/Raw!B882)</f>
        <v>-9.9748290714560331E-3</v>
      </c>
      <c r="C881" s="6">
        <f>LN(Raw!C883/Raw!C882)</f>
        <v>1.208872805074746E-2</v>
      </c>
      <c r="D881" s="6">
        <f>LN(Raw!D883/Raw!D882)</f>
        <v>-1.1182961928621457E-2</v>
      </c>
      <c r="X881" s="3">
        <v>45125</v>
      </c>
      <c r="Y881" cm="1">
        <f t="array" ref="Y881">SUMPRODUCT($T$2:$T$4,TRANSPOSE(B881:D881))</f>
        <v>-5.6314376781386767E-3</v>
      </c>
      <c r="AD881" s="3">
        <v>45124</v>
      </c>
      <c r="AE881" s="4">
        <v>-5.4208325316192222E-3</v>
      </c>
      <c r="AF881">
        <f t="shared" si="13"/>
        <v>0</v>
      </c>
      <c r="AG881" s="13"/>
    </row>
    <row r="882" spans="1:33" x14ac:dyDescent="0.35">
      <c r="A882" s="3">
        <v>45126</v>
      </c>
      <c r="B882" s="6">
        <f>LN(Raw!B884/Raw!B883)</f>
        <v>1.0889977930199812E-2</v>
      </c>
      <c r="C882" s="6">
        <f>LN(Raw!C884/Raw!C883)</f>
        <v>2.6707616138736711E-4</v>
      </c>
      <c r="D882" s="6">
        <f>LN(Raw!D884/Raw!D883)</f>
        <v>5.1768226615769046E-3</v>
      </c>
      <c r="X882" s="3">
        <v>45126</v>
      </c>
      <c r="Y882" cm="1">
        <f t="array" ref="Y882">SUMPRODUCT($T$2:$T$4,TRANSPOSE(B882:D882))</f>
        <v>8.4872409529064743E-3</v>
      </c>
      <c r="AD882" s="3">
        <v>45125</v>
      </c>
      <c r="AE882" s="4">
        <v>-5.6314376781386767E-3</v>
      </c>
      <c r="AF882">
        <f t="shared" si="13"/>
        <v>0</v>
      </c>
      <c r="AG882" s="13"/>
    </row>
    <row r="883" spans="1:33" x14ac:dyDescent="0.35">
      <c r="A883" s="3">
        <v>45127</v>
      </c>
      <c r="B883" s="6">
        <f>LN(Raw!B885/Raw!B884)</f>
        <v>2.3327018741016788E-2</v>
      </c>
      <c r="C883" s="6">
        <f>LN(Raw!C885/Raw!C884)</f>
        <v>0</v>
      </c>
      <c r="D883" s="6">
        <f>LN(Raw!D885/Raw!D884)</f>
        <v>-4.302724585433644E-4</v>
      </c>
      <c r="X883" s="3">
        <v>45127</v>
      </c>
      <c r="Y883" cm="1">
        <f t="array" ref="Y883">SUMPRODUCT($T$2:$T$4,TRANSPOSE(B883:D883))</f>
        <v>1.7495939054314635E-2</v>
      </c>
      <c r="AD883" s="3">
        <v>45126</v>
      </c>
      <c r="AE883" s="4">
        <v>8.4872409529064743E-3</v>
      </c>
      <c r="AF883">
        <f t="shared" si="13"/>
        <v>0</v>
      </c>
      <c r="AG883" s="13"/>
    </row>
    <row r="884" spans="1:33" x14ac:dyDescent="0.35">
      <c r="A884" s="3">
        <v>45128</v>
      </c>
      <c r="B884" s="6">
        <f>LN(Raw!B886/Raw!B885)</f>
        <v>7.7274586598977072E-3</v>
      </c>
      <c r="C884" s="6">
        <f>LN(Raw!C886/Raw!C885)</f>
        <v>3.5919503032745867E-2</v>
      </c>
      <c r="D884" s="6">
        <f>LN(Raw!D886/Raw!D885)</f>
        <v>2.3820698334655499E-2</v>
      </c>
      <c r="X884" s="3">
        <v>45128</v>
      </c>
      <c r="Y884" cm="1">
        <f t="array" ref="Y884">SUMPRODUCT($T$2:$T$4,TRANSPOSE(B884:D884))</f>
        <v>1.4150147206464965E-2</v>
      </c>
      <c r="AD884" s="3">
        <v>45127</v>
      </c>
      <c r="AE884" s="4">
        <v>1.7495939054314635E-2</v>
      </c>
      <c r="AF884">
        <f t="shared" si="13"/>
        <v>0</v>
      </c>
      <c r="AG884" s="13"/>
    </row>
    <row r="885" spans="1:33" x14ac:dyDescent="0.35">
      <c r="A885" s="3">
        <v>45131</v>
      </c>
      <c r="B885" s="6">
        <f>LN(Raw!B887/Raw!B886)</f>
        <v>-1.5766927370863864E-2</v>
      </c>
      <c r="C885" s="6">
        <f>LN(Raw!C887/Raw!C886)</f>
        <v>2.1905989055294246E-2</v>
      </c>
      <c r="D885" s="6">
        <f>LN(Raw!D887/Raw!D886)</f>
        <v>3.63226440236223E-2</v>
      </c>
      <c r="X885" s="3">
        <v>45131</v>
      </c>
      <c r="Y885" cm="1">
        <f t="array" ref="Y885">SUMPRODUCT($T$2:$T$4,TRANSPOSE(B885:D885))</f>
        <v>-5.6706967232114805E-3</v>
      </c>
      <c r="AD885" s="3">
        <v>45128</v>
      </c>
      <c r="AE885" s="4">
        <v>1.4150147206464965E-2</v>
      </c>
      <c r="AF885">
        <f t="shared" si="13"/>
        <v>0</v>
      </c>
      <c r="AG885" s="13"/>
    </row>
    <row r="886" spans="1:33" x14ac:dyDescent="0.35">
      <c r="A886" s="3">
        <v>45132</v>
      </c>
      <c r="B886" s="6">
        <f>LN(Raw!B888/Raw!B887)</f>
        <v>-1.043260778714457E-2</v>
      </c>
      <c r="C886" s="6">
        <f>LN(Raw!C888/Raw!C887)</f>
        <v>1.82255575717198E-2</v>
      </c>
      <c r="D886" s="6">
        <f>LN(Raw!D888/Raw!D887)</f>
        <v>3.2375386447231667E-3</v>
      </c>
      <c r="X886" s="3">
        <v>45132</v>
      </c>
      <c r="Y886" cm="1">
        <f t="array" ref="Y886">SUMPRODUCT($T$2:$T$4,TRANSPOSE(B886:D886))</f>
        <v>-4.0368153607513967E-3</v>
      </c>
      <c r="AD886" s="3">
        <v>45131</v>
      </c>
      <c r="AE886" s="4">
        <v>-5.6706967232114805E-3</v>
      </c>
      <c r="AF886">
        <f t="shared" si="13"/>
        <v>0</v>
      </c>
      <c r="AG886" s="13"/>
    </row>
    <row r="887" spans="1:33" x14ac:dyDescent="0.35">
      <c r="A887" s="3">
        <v>45133</v>
      </c>
      <c r="B887" s="6">
        <f>LN(Raw!B889/Raw!B888)</f>
        <v>-2.7713658663576545E-3</v>
      </c>
      <c r="C887" s="6">
        <f>LN(Raw!C889/Raw!C888)</f>
        <v>-1.4856010993493552E-3</v>
      </c>
      <c r="D887" s="6">
        <f>LN(Raw!D889/Raw!D888)</f>
        <v>-1.2604381832187237E-2</v>
      </c>
      <c r="X887" s="3">
        <v>45133</v>
      </c>
      <c r="Y887" cm="1">
        <f t="array" ref="Y887">SUMPRODUCT($T$2:$T$4,TRANSPOSE(B887:D887))</f>
        <v>-3.0014052575718202E-3</v>
      </c>
      <c r="AD887" s="3">
        <v>45132</v>
      </c>
      <c r="AE887" s="4">
        <v>-4.0368153607513967E-3</v>
      </c>
      <c r="AF887">
        <f t="shared" si="13"/>
        <v>0</v>
      </c>
      <c r="AG887" s="13"/>
    </row>
    <row r="888" spans="1:33" x14ac:dyDescent="0.35">
      <c r="A888" s="3">
        <v>45134</v>
      </c>
      <c r="B888" s="6">
        <f>LN(Raw!B890/Raw!B889)</f>
        <v>-8.5076417634009638E-3</v>
      </c>
      <c r="C888" s="6">
        <f>LN(Raw!C890/Raw!C889)</f>
        <v>-5.4658611373733026E-3</v>
      </c>
      <c r="D888" s="6">
        <f>LN(Raw!D890/Raw!D889)</f>
        <v>-4.1000702459526965E-3</v>
      </c>
      <c r="X888" s="3">
        <v>45134</v>
      </c>
      <c r="Y888" cm="1">
        <f t="array" ref="Y888">SUMPRODUCT($T$2:$T$4,TRANSPOSE(B888:D888))</f>
        <v>-7.6824681488912791E-3</v>
      </c>
      <c r="AD888" s="3">
        <v>45133</v>
      </c>
      <c r="AE888" s="4">
        <v>-3.0014052575718202E-3</v>
      </c>
      <c r="AF888">
        <f t="shared" si="13"/>
        <v>0</v>
      </c>
      <c r="AG888" s="13"/>
    </row>
    <row r="889" spans="1:33" x14ac:dyDescent="0.35">
      <c r="A889" s="3">
        <v>45135</v>
      </c>
      <c r="B889" s="6">
        <f>LN(Raw!B891/Raw!B890)</f>
        <v>1.1752179332503498E-2</v>
      </c>
      <c r="C889" s="6">
        <f>LN(Raw!C891/Raw!C890)</f>
        <v>-1.5060466741354412E-2</v>
      </c>
      <c r="D889" s="6">
        <f>LN(Raw!D891/Raw!D890)</f>
        <v>-8.2194455395508841E-4</v>
      </c>
      <c r="X889" s="3">
        <v>45135</v>
      </c>
      <c r="Y889" cm="1">
        <f t="array" ref="Y889">SUMPRODUCT($T$2:$T$4,TRANSPOSE(B889:D889))</f>
        <v>5.7789359274646231E-3</v>
      </c>
      <c r="AD889" s="3">
        <v>45134</v>
      </c>
      <c r="AE889" s="4">
        <v>-7.6824681488912791E-3</v>
      </c>
      <c r="AF889">
        <f t="shared" si="13"/>
        <v>0</v>
      </c>
      <c r="AG889" s="13"/>
    </row>
    <row r="890" spans="1:33" x14ac:dyDescent="0.35">
      <c r="A890" s="3">
        <v>45138</v>
      </c>
      <c r="B890" s="6">
        <f>LN(Raw!B892/Raw!B891)</f>
        <v>8.5169425251171195E-3</v>
      </c>
      <c r="C890" s="6">
        <f>LN(Raw!C892/Raw!C891)</f>
        <v>3.7478076860365493E-2</v>
      </c>
      <c r="D890" s="6">
        <f>LN(Raw!D892/Raw!D891)</f>
        <v>2.1961037890418058E-2</v>
      </c>
      <c r="X890" s="3">
        <v>45138</v>
      </c>
      <c r="Y890" cm="1">
        <f t="array" ref="Y890">SUMPRODUCT($T$2:$T$4,TRANSPOSE(B890:D890))</f>
        <v>1.4962010438428638E-2</v>
      </c>
      <c r="AD890" s="3">
        <v>45135</v>
      </c>
      <c r="AE890" s="4">
        <v>5.7789359274646231E-3</v>
      </c>
      <c r="AF890">
        <f t="shared" si="13"/>
        <v>0</v>
      </c>
      <c r="AG890" s="13"/>
    </row>
    <row r="891" spans="1:33" x14ac:dyDescent="0.35">
      <c r="A891" s="3">
        <v>45139</v>
      </c>
      <c r="B891" s="6">
        <f>LN(Raw!B893/Raw!B892)</f>
        <v>-1.6629746398927885E-2</v>
      </c>
      <c r="C891" s="6">
        <f>LN(Raw!C893/Raw!C892)</f>
        <v>1.5230425416967619E-2</v>
      </c>
      <c r="D891" s="6">
        <f>LN(Raw!D893/Raw!D892)</f>
        <v>1.5169936836802331E-2</v>
      </c>
      <c r="X891" s="3">
        <v>45139</v>
      </c>
      <c r="Y891" cm="1">
        <f t="array" ref="Y891">SUMPRODUCT($T$2:$T$4,TRANSPOSE(B891:D891))</f>
        <v>-8.6977028563123976E-3</v>
      </c>
      <c r="AD891" s="3">
        <v>45138</v>
      </c>
      <c r="AE891" s="4">
        <v>1.4962010438428638E-2</v>
      </c>
      <c r="AF891">
        <f t="shared" si="13"/>
        <v>0</v>
      </c>
      <c r="AG891" s="13"/>
    </row>
    <row r="892" spans="1:33" x14ac:dyDescent="0.35">
      <c r="A892" s="3">
        <v>45140</v>
      </c>
      <c r="B892" s="6">
        <f>LN(Raw!B894/Raw!B893)</f>
        <v>-2.8293885571515584E-3</v>
      </c>
      <c r="C892" s="6">
        <f>LN(Raw!C894/Raw!C893)</f>
        <v>-1.7913766335143619E-2</v>
      </c>
      <c r="D892" s="6">
        <f>LN(Raw!D894/Raw!D893)</f>
        <v>-1.9200597918239807E-2</v>
      </c>
      <c r="X892" s="3">
        <v>45140</v>
      </c>
      <c r="Y892" cm="1">
        <f t="array" ref="Y892">SUMPRODUCT($T$2:$T$4,TRANSPOSE(B892:D892))</f>
        <v>-6.6499619193767E-3</v>
      </c>
      <c r="AD892" s="3">
        <v>45139</v>
      </c>
      <c r="AE892" s="4">
        <v>-8.6977028563123976E-3</v>
      </c>
      <c r="AF892">
        <f t="shared" si="13"/>
        <v>0</v>
      </c>
      <c r="AG892" s="13"/>
    </row>
    <row r="893" spans="1:33" x14ac:dyDescent="0.35">
      <c r="A893" s="3">
        <v>45141</v>
      </c>
      <c r="B893" s="6">
        <f>LN(Raw!B895/Raw!B894)</f>
        <v>-8.4623176636492489E-3</v>
      </c>
      <c r="C893" s="6">
        <f>LN(Raw!C895/Raw!C894)</f>
        <v>5.8450501724115764E-3</v>
      </c>
      <c r="D893" s="6">
        <f>LN(Raw!D895/Raw!D894)</f>
        <v>-1.2599194342036484E-2</v>
      </c>
      <c r="X893" s="3">
        <v>45141</v>
      </c>
      <c r="Y893" cm="1">
        <f t="array" ref="Y893">SUMPRODUCT($T$2:$T$4,TRANSPOSE(B893:D893))</f>
        <v>-5.8117580094502654E-3</v>
      </c>
      <c r="AD893" s="3">
        <v>45140</v>
      </c>
      <c r="AE893" s="4">
        <v>-6.6499619193767E-3</v>
      </c>
      <c r="AF893">
        <f t="shared" si="13"/>
        <v>0</v>
      </c>
      <c r="AG893" s="13"/>
    </row>
    <row r="894" spans="1:33" x14ac:dyDescent="0.35">
      <c r="A894" s="3">
        <v>45142</v>
      </c>
      <c r="B894" s="6">
        <f>LN(Raw!B896/Raw!B895)</f>
        <v>1.4405881042387689E-2</v>
      </c>
      <c r="C894" s="6">
        <f>LN(Raw!C896/Raw!C895)</f>
        <v>1.6985750811079694E-3</v>
      </c>
      <c r="D894" s="6">
        <f>LN(Raw!D896/Raw!D895)</f>
        <v>3.0610495292234415E-2</v>
      </c>
      <c r="X894" s="3">
        <v>45142</v>
      </c>
      <c r="Y894" cm="1">
        <f t="array" ref="Y894">SUMPRODUCT($T$2:$T$4,TRANSPOSE(B894:D894))</f>
        <v>1.2671876277054368E-2</v>
      </c>
      <c r="AD894" s="3">
        <v>45141</v>
      </c>
      <c r="AE894" s="4">
        <v>-5.8117580094502654E-3</v>
      </c>
      <c r="AF894">
        <f t="shared" si="13"/>
        <v>0</v>
      </c>
      <c r="AG894" s="13"/>
    </row>
    <row r="895" spans="1:33" x14ac:dyDescent="0.35">
      <c r="A895" s="3">
        <v>45145</v>
      </c>
      <c r="B895" s="6">
        <f>LN(Raw!B897/Raw!B896)</f>
        <v>2.2640103059811865E-2</v>
      </c>
      <c r="C895" s="6">
        <f>LN(Raw!C897/Raw!C896)</f>
        <v>2.9047918504411015E-3</v>
      </c>
      <c r="D895" s="6">
        <f>LN(Raw!D897/Raw!D896)</f>
        <v>1.7302817098932756E-2</v>
      </c>
      <c r="X895" s="3">
        <v>45145</v>
      </c>
      <c r="Y895" cm="1">
        <f t="array" ref="Y895">SUMPRODUCT($T$2:$T$4,TRANSPOSE(B895:D895))</f>
        <v>1.8437421655889304E-2</v>
      </c>
      <c r="AD895" s="3">
        <v>45142</v>
      </c>
      <c r="AE895" s="4">
        <v>1.2671876277054368E-2</v>
      </c>
      <c r="AF895">
        <f t="shared" si="13"/>
        <v>0</v>
      </c>
      <c r="AG895" s="13"/>
    </row>
    <row r="896" spans="1:33" x14ac:dyDescent="0.35">
      <c r="A896" s="3">
        <v>45146</v>
      </c>
      <c r="B896" s="6">
        <f>LN(Raw!B898/Raw!B897)</f>
        <v>1.2579761430921453E-2</v>
      </c>
      <c r="C896" s="6">
        <f>LN(Raw!C898/Raw!C897)</f>
        <v>-1.5345512982468713E-2</v>
      </c>
      <c r="D896" s="6">
        <f>LN(Raw!D898/Raw!D897)</f>
        <v>-9.0072890979782834E-3</v>
      </c>
      <c r="X896" s="3">
        <v>45146</v>
      </c>
      <c r="Y896" cm="1">
        <f t="array" ref="Y896">SUMPRODUCT($T$2:$T$4,TRANSPOSE(B896:D896))</f>
        <v>5.9384221847784847E-3</v>
      </c>
      <c r="AD896" s="3">
        <v>45145</v>
      </c>
      <c r="AE896" s="4">
        <v>1.8437421655889304E-2</v>
      </c>
      <c r="AF896">
        <f t="shared" si="13"/>
        <v>0</v>
      </c>
      <c r="AG896" s="13"/>
    </row>
    <row r="897" spans="1:33" x14ac:dyDescent="0.35">
      <c r="A897" s="3">
        <v>45147</v>
      </c>
      <c r="B897" s="6">
        <f>LN(Raw!B899/Raw!B898)</f>
        <v>-1.5588036382754477E-2</v>
      </c>
      <c r="C897" s="6">
        <f>LN(Raw!C899/Raw!C898)</f>
        <v>0</v>
      </c>
      <c r="D897" s="6">
        <f>LN(Raw!D899/Raw!D898)</f>
        <v>-1.9689343353276995E-3</v>
      </c>
      <c r="X897" s="3">
        <v>45147</v>
      </c>
      <c r="Y897" cm="1">
        <f t="array" ref="Y897">SUMPRODUCT($T$2:$T$4,TRANSPOSE(B897:D897))</f>
        <v>-1.1803150769914382E-2</v>
      </c>
      <c r="AD897" s="3">
        <v>45146</v>
      </c>
      <c r="AE897" s="4">
        <v>5.9384221847784847E-3</v>
      </c>
      <c r="AF897">
        <f t="shared" si="13"/>
        <v>0</v>
      </c>
      <c r="AG897" s="13"/>
    </row>
    <row r="898" spans="1:33" x14ac:dyDescent="0.35">
      <c r="A898" s="3">
        <v>45148</v>
      </c>
      <c r="B898" s="6">
        <f>LN(Raw!B900/Raw!B899)</f>
        <v>-2.8043878731777723E-2</v>
      </c>
      <c r="C898" s="6">
        <f>LN(Raw!C900/Raw!C899)</f>
        <v>-4.9103931714723716E-4</v>
      </c>
      <c r="D898" s="6">
        <f>LN(Raw!D900/Raw!D899)</f>
        <v>-4.7412200526059482E-3</v>
      </c>
      <c r="X898" s="3">
        <v>45148</v>
      </c>
      <c r="Y898" cm="1">
        <f t="array" ref="Y898">SUMPRODUCT($T$2:$T$4,TRANSPOSE(B898:D898))</f>
        <v>-2.139195986097913E-2</v>
      </c>
      <c r="AD898" s="3">
        <v>45147</v>
      </c>
      <c r="AE898" s="4">
        <v>-1.1803150769914382E-2</v>
      </c>
      <c r="AF898">
        <f t="shared" si="13"/>
        <v>0</v>
      </c>
      <c r="AG898" s="13"/>
    </row>
    <row r="899" spans="1:33" x14ac:dyDescent="0.35">
      <c r="A899" s="3">
        <v>45149</v>
      </c>
      <c r="B899" s="6">
        <f>LN(Raw!B901/Raw!B900)</f>
        <v>1.1078642656356649E-2</v>
      </c>
      <c r="C899" s="6">
        <f>LN(Raw!C901/Raw!C900)</f>
        <v>-9.8717638527414404E-3</v>
      </c>
      <c r="D899" s="6">
        <f>LN(Raw!D901/Raw!D900)</f>
        <v>-4.3659336849832479E-3</v>
      </c>
      <c r="X899" s="3">
        <v>45149</v>
      </c>
      <c r="Y899" cm="1">
        <f t="array" ref="Y899">SUMPRODUCT($T$2:$T$4,TRANSPOSE(B899:D899))</f>
        <v>6.133256200304805E-3</v>
      </c>
      <c r="AD899" s="3">
        <v>45148</v>
      </c>
      <c r="AE899" s="4">
        <v>-2.139195986097913E-2</v>
      </c>
      <c r="AF899">
        <f t="shared" ref="AF899:AF962" si="14">IF(AE899&lt;$AB$2,1,0)</f>
        <v>0</v>
      </c>
      <c r="AG899" s="13"/>
    </row>
    <row r="900" spans="1:33" x14ac:dyDescent="0.35">
      <c r="A900" s="3">
        <v>45152</v>
      </c>
      <c r="B900" s="6">
        <f>LN(Raw!B902/Raw!B901)</f>
        <v>-1.4848382282705146E-2</v>
      </c>
      <c r="C900" s="6">
        <f>LN(Raw!C902/Raw!C901)</f>
        <v>-2.3335683730769392E-2</v>
      </c>
      <c r="D900" s="6">
        <f>LN(Raw!D902/Raw!D901)</f>
        <v>-4.7847002258518921E-3</v>
      </c>
      <c r="X900" s="3">
        <v>45152</v>
      </c>
      <c r="Y900" cm="1">
        <f t="array" ref="Y900">SUMPRODUCT($T$2:$T$4,TRANSPOSE(B900:D900))</f>
        <v>-1.6044123966566248E-2</v>
      </c>
      <c r="AD900" s="3">
        <v>45149</v>
      </c>
      <c r="AE900" s="4">
        <v>6.133256200304805E-3</v>
      </c>
      <c r="AF900">
        <f t="shared" si="14"/>
        <v>0</v>
      </c>
      <c r="AG900" s="13"/>
    </row>
    <row r="901" spans="1:33" x14ac:dyDescent="0.35">
      <c r="A901" s="3">
        <v>45154</v>
      </c>
      <c r="B901" s="6">
        <f>LN(Raw!B903/Raw!B902)</f>
        <v>4.912684903046311E-3</v>
      </c>
      <c r="C901" s="6">
        <f>LN(Raw!C903/Raw!C902)</f>
        <v>5.8221574126968208E-3</v>
      </c>
      <c r="D901" s="6">
        <f>LN(Raw!D903/Raw!D902)</f>
        <v>-1.4493013732887774E-2</v>
      </c>
      <c r="X901" s="3">
        <v>45154</v>
      </c>
      <c r="Y901" cm="1">
        <f t="array" ref="Y901">SUMPRODUCT($T$2:$T$4,TRANSPOSE(B901:D901))</f>
        <v>4.1337964105969934E-3</v>
      </c>
      <c r="AD901" s="3">
        <v>45152</v>
      </c>
      <c r="AE901" s="4">
        <v>-1.6044123966566248E-2</v>
      </c>
      <c r="AF901">
        <f t="shared" si="14"/>
        <v>0</v>
      </c>
      <c r="AG901" s="13"/>
    </row>
    <row r="902" spans="1:33" x14ac:dyDescent="0.35">
      <c r="A902" s="3">
        <v>45155</v>
      </c>
      <c r="B902" s="6">
        <f>LN(Raw!B904/Raw!B903)</f>
        <v>-9.1427601820595183E-3</v>
      </c>
      <c r="C902" s="6">
        <f>LN(Raw!C904/Raw!C903)</f>
        <v>2.1720857145688156E-2</v>
      </c>
      <c r="D902" s="6">
        <f>LN(Raw!D904/Raw!D903)</f>
        <v>1.8481810264420643E-2</v>
      </c>
      <c r="X902" s="3">
        <v>45155</v>
      </c>
      <c r="Y902" cm="1">
        <f t="array" ref="Y902">SUMPRODUCT($T$2:$T$4,TRANSPOSE(B902:D902))</f>
        <v>-1.6162239651949328E-3</v>
      </c>
      <c r="AD902" s="3">
        <v>45154</v>
      </c>
      <c r="AE902" s="4">
        <v>4.1337964105969934E-3</v>
      </c>
      <c r="AF902">
        <f t="shared" si="14"/>
        <v>0</v>
      </c>
      <c r="AG902" s="13"/>
    </row>
    <row r="903" spans="1:33" x14ac:dyDescent="0.35">
      <c r="A903" s="3">
        <v>45156</v>
      </c>
      <c r="B903" s="6">
        <f>LN(Raw!B905/Raw!B904)</f>
        <v>-1.253489550328544E-2</v>
      </c>
      <c r="C903" s="6">
        <f>LN(Raw!C905/Raw!C904)</f>
        <v>-4.9407196701169989E-4</v>
      </c>
      <c r="D903" s="6">
        <f>LN(Raw!D905/Raw!D904)</f>
        <v>-7.191404816078913E-3</v>
      </c>
      <c r="X903" s="3">
        <v>45156</v>
      </c>
      <c r="Y903" cm="1">
        <f t="array" ref="Y903">SUMPRODUCT($T$2:$T$4,TRANSPOSE(B903:D903))</f>
        <v>-9.8674813147300398E-3</v>
      </c>
      <c r="AD903" s="3">
        <v>45155</v>
      </c>
      <c r="AE903" s="4">
        <v>-1.6162239651949328E-3</v>
      </c>
      <c r="AF903">
        <f t="shared" si="14"/>
        <v>0</v>
      </c>
      <c r="AG903" s="13"/>
    </row>
    <row r="904" spans="1:33" x14ac:dyDescent="0.35">
      <c r="A904" s="3">
        <v>45159</v>
      </c>
      <c r="B904" s="6">
        <f>LN(Raw!B906/Raw!B905)</f>
        <v>1.1665507218309101E-3</v>
      </c>
      <c r="C904" s="6">
        <f>LN(Raw!C906/Raw!C905)</f>
        <v>1.5690467573679995E-2</v>
      </c>
      <c r="D904" s="6">
        <f>LN(Raw!D906/Raw!D905)</f>
        <v>-6.8396788854144007E-3</v>
      </c>
      <c r="X904" s="3">
        <v>45159</v>
      </c>
      <c r="Y904" cm="1">
        <f t="array" ref="Y904">SUMPRODUCT($T$2:$T$4,TRANSPOSE(B904:D904))</f>
        <v>3.668831869195973E-3</v>
      </c>
      <c r="AD904" s="3">
        <v>45156</v>
      </c>
      <c r="AE904" s="4">
        <v>-9.8674813147300398E-3</v>
      </c>
      <c r="AF904">
        <f t="shared" si="14"/>
        <v>0</v>
      </c>
      <c r="AG904" s="13"/>
    </row>
    <row r="905" spans="1:33" x14ac:dyDescent="0.35">
      <c r="A905" s="3">
        <v>45160</v>
      </c>
      <c r="B905" s="6">
        <f>LN(Raw!B907/Raw!B906)</f>
        <v>-3.5037426418693639E-3</v>
      </c>
      <c r="C905" s="6">
        <f>LN(Raw!C907/Raw!C906)</f>
        <v>5.4438437502137109E-2</v>
      </c>
      <c r="D905" s="6">
        <f>LN(Raw!D907/Raw!D906)</f>
        <v>5.765168668705288E-2</v>
      </c>
      <c r="X905" s="3">
        <v>45160</v>
      </c>
      <c r="Y905" cm="1">
        <f t="array" ref="Y905">SUMPRODUCT($T$2:$T$4,TRANSPOSE(B905:D905))</f>
        <v>1.1086256428843892E-2</v>
      </c>
      <c r="AD905" s="3">
        <v>45159</v>
      </c>
      <c r="AE905" s="4">
        <v>3.668831869195973E-3</v>
      </c>
      <c r="AF905">
        <f t="shared" si="14"/>
        <v>0</v>
      </c>
      <c r="AG905" s="13"/>
    </row>
    <row r="906" spans="1:33" x14ac:dyDescent="0.35">
      <c r="A906" s="3">
        <v>45161</v>
      </c>
      <c r="B906" s="6">
        <f>LN(Raw!B908/Raw!B907)</f>
        <v>-3.3647153865405529E-3</v>
      </c>
      <c r="C906" s="6">
        <f>LN(Raw!C908/Raw!C907)</f>
        <v>-2.5371983845994947E-3</v>
      </c>
      <c r="D906" s="6">
        <f>LN(Raw!D908/Raw!D907)</f>
        <v>-1.1438271762343919E-3</v>
      </c>
      <c r="X906" s="3">
        <v>45161</v>
      </c>
      <c r="Y906" cm="1">
        <f t="array" ref="Y906">SUMPRODUCT($T$2:$T$4,TRANSPOSE(B906:D906))</f>
        <v>-3.0896573714212327E-3</v>
      </c>
      <c r="AD906" s="3">
        <v>45160</v>
      </c>
      <c r="AE906" s="4">
        <v>1.1086256428843892E-2</v>
      </c>
      <c r="AF906">
        <f t="shared" si="14"/>
        <v>0</v>
      </c>
      <c r="AG906" s="13"/>
    </row>
    <row r="907" spans="1:33" x14ac:dyDescent="0.35">
      <c r="A907" s="3">
        <v>45162</v>
      </c>
      <c r="B907" s="6">
        <f>LN(Raw!B909/Raw!B908)</f>
        <v>1.0884648800176462E-2</v>
      </c>
      <c r="C907" s="6">
        <f>LN(Raw!C909/Raw!C908)</f>
        <v>7.133858296005823E-3</v>
      </c>
      <c r="D907" s="6">
        <f>LN(Raw!D909/Raw!D908)</f>
        <v>-2.2918879034093767E-3</v>
      </c>
      <c r="X907" s="3">
        <v>45162</v>
      </c>
      <c r="Y907" cm="1">
        <f t="array" ref="Y907">SUMPRODUCT($T$2:$T$4,TRANSPOSE(B907:D907))</f>
        <v>9.4840023755863988E-3</v>
      </c>
      <c r="AD907" s="3">
        <v>45161</v>
      </c>
      <c r="AE907" s="4">
        <v>-3.0896573714212327E-3</v>
      </c>
      <c r="AF907">
        <f t="shared" si="14"/>
        <v>0</v>
      </c>
      <c r="AG907" s="13"/>
    </row>
    <row r="908" spans="1:33" x14ac:dyDescent="0.35">
      <c r="A908" s="3">
        <v>45163</v>
      </c>
      <c r="B908" s="6">
        <f>LN(Raw!B910/Raw!B909)</f>
        <v>-6.7653340395764892E-3</v>
      </c>
      <c r="C908" s="6">
        <f>LN(Raw!C910/Raw!C909)</f>
        <v>-6.9029377060084727E-3</v>
      </c>
      <c r="D908" s="6">
        <f>LN(Raw!D910/Raw!D909)</f>
        <v>-1.7358206340507391E-2</v>
      </c>
      <c r="X908" s="3">
        <v>45163</v>
      </c>
      <c r="Y908" cm="1">
        <f t="array" ref="Y908">SUMPRODUCT($T$2:$T$4,TRANSPOSE(B908:D908))</f>
        <v>-7.3170376882428414E-3</v>
      </c>
      <c r="AD908" s="3">
        <v>45162</v>
      </c>
      <c r="AE908" s="4">
        <v>9.4840023755863988E-3</v>
      </c>
      <c r="AF908">
        <f t="shared" si="14"/>
        <v>0</v>
      </c>
      <c r="AG908" s="13"/>
    </row>
    <row r="909" spans="1:33" x14ac:dyDescent="0.35">
      <c r="A909" s="3">
        <v>45166</v>
      </c>
      <c r="B909" s="6">
        <f>LN(Raw!B911/Raw!B910)</f>
        <v>1.1682101601495011E-3</v>
      </c>
      <c r="C909" s="6">
        <f>LN(Raw!C911/Raw!C910)</f>
        <v>7.5906179156130949E-3</v>
      </c>
      <c r="D909" s="6">
        <f>LN(Raw!D911/Raw!D910)</f>
        <v>1.1605551303874931E-2</v>
      </c>
      <c r="X909" s="3">
        <v>45166</v>
      </c>
      <c r="Y909" cm="1">
        <f t="array" ref="Y909">SUMPRODUCT($T$2:$T$4,TRANSPOSE(B909:D909))</f>
        <v>2.9664629453427919E-3</v>
      </c>
      <c r="AD909" s="3">
        <v>45163</v>
      </c>
      <c r="AE909" s="4">
        <v>-7.3170376882428414E-3</v>
      </c>
      <c r="AF909">
        <f t="shared" si="14"/>
        <v>0</v>
      </c>
      <c r="AG909" s="13"/>
    </row>
    <row r="910" spans="1:33" x14ac:dyDescent="0.35">
      <c r="A910" s="3">
        <v>45167</v>
      </c>
      <c r="B910" s="6">
        <f>LN(Raw!B912/Raw!B911)</f>
        <v>-4.6441106263111027E-3</v>
      </c>
      <c r="C910" s="6">
        <f>LN(Raw!C912/Raw!C911)</f>
        <v>6.6233075730327004E-3</v>
      </c>
      <c r="D910" s="6">
        <f>LN(Raw!D912/Raw!D911)</f>
        <v>-3.4674842261098945E-3</v>
      </c>
      <c r="X910" s="3">
        <v>45167</v>
      </c>
      <c r="Y910" cm="1">
        <f t="array" ref="Y910">SUMPRODUCT($T$2:$T$4,TRANSPOSE(B910:D910))</f>
        <v>-2.3372620979467493E-3</v>
      </c>
      <c r="AD910" s="3">
        <v>45166</v>
      </c>
      <c r="AE910" s="4">
        <v>2.9664629453427919E-3</v>
      </c>
      <c r="AF910">
        <f t="shared" si="14"/>
        <v>0</v>
      </c>
      <c r="AG910" s="13"/>
    </row>
    <row r="911" spans="1:33" x14ac:dyDescent="0.35">
      <c r="A911" s="3">
        <v>45168</v>
      </c>
      <c r="B911" s="6">
        <f>LN(Raw!B913/Raw!B912)</f>
        <v>1.3994508648871771E-3</v>
      </c>
      <c r="C911" s="6">
        <f>LN(Raw!C913/Raw!C912)</f>
        <v>4.5516686596688074E-4</v>
      </c>
      <c r="D911" s="6">
        <f>LN(Raw!D913/Raw!D912)</f>
        <v>6.1561954726689593E-3</v>
      </c>
      <c r="X911" s="3">
        <v>45168</v>
      </c>
      <c r="Y911" cm="1">
        <f t="array" ref="Y911">SUMPRODUCT($T$2:$T$4,TRANSPOSE(B911:D911))</f>
        <v>1.4464137090542072E-3</v>
      </c>
      <c r="AD911" s="3">
        <v>45167</v>
      </c>
      <c r="AE911" s="4">
        <v>-2.3372620979467493E-3</v>
      </c>
      <c r="AF911">
        <f t="shared" si="14"/>
        <v>0</v>
      </c>
      <c r="AG911" s="13"/>
    </row>
    <row r="912" spans="1:33" x14ac:dyDescent="0.35">
      <c r="A912" s="3">
        <v>45169</v>
      </c>
      <c r="B912" s="6">
        <f>LN(Raw!B914/Raw!B913)</f>
        <v>-7.0922603767334001E-3</v>
      </c>
      <c r="C912" s="6">
        <f>LN(Raw!C914/Raw!C913)</f>
        <v>-9.8320372629164751E-3</v>
      </c>
      <c r="D912" s="6">
        <f>LN(Raw!D914/Raw!D913)</f>
        <v>-9.2486247655237195E-3</v>
      </c>
      <c r="X912" s="3">
        <v>45169</v>
      </c>
      <c r="Y912" cm="1">
        <f t="array" ref="Y912">SUMPRODUCT($T$2:$T$4,TRANSPOSE(B912:D912))</f>
        <v>-7.7457510632525494E-3</v>
      </c>
      <c r="AD912" s="3">
        <v>45168</v>
      </c>
      <c r="AE912" s="4">
        <v>1.4464137090542072E-3</v>
      </c>
      <c r="AF912">
        <f t="shared" si="14"/>
        <v>0</v>
      </c>
      <c r="AG912" s="13"/>
    </row>
    <row r="913" spans="1:33" x14ac:dyDescent="0.35">
      <c r="A913" s="3">
        <v>45170</v>
      </c>
      <c r="B913" s="6">
        <f>LN(Raw!B915/Raw!B914)</f>
        <v>2.0829105954460716E-2</v>
      </c>
      <c r="C913" s="6">
        <f>LN(Raw!C915/Raw!C914)</f>
        <v>8.9214962597604589E-3</v>
      </c>
      <c r="D913" s="6">
        <f>LN(Raw!D915/Raw!D914)</f>
        <v>6.1752643645458004E-3</v>
      </c>
      <c r="X913" s="3">
        <v>45170</v>
      </c>
      <c r="Y913" cm="1">
        <f t="array" ref="Y913">SUMPRODUCT($T$2:$T$4,TRANSPOSE(B913:D913))</f>
        <v>1.7727506645858242E-2</v>
      </c>
      <c r="AD913" s="3">
        <v>45169</v>
      </c>
      <c r="AE913" s="4">
        <v>-7.7457510632525494E-3</v>
      </c>
      <c r="AF913">
        <f t="shared" si="14"/>
        <v>0</v>
      </c>
      <c r="AG913" s="13"/>
    </row>
    <row r="914" spans="1:33" x14ac:dyDescent="0.35">
      <c r="A914" s="3">
        <v>45173</v>
      </c>
      <c r="B914" s="6">
        <f>LN(Raw!B916/Raw!B915)</f>
        <v>1.2336369600507777E-2</v>
      </c>
      <c r="C914" s="6">
        <f>LN(Raw!C916/Raw!C915)</f>
        <v>2.9176188944610069E-2</v>
      </c>
      <c r="D914" s="6">
        <f>LN(Raw!D916/Raw!D915)</f>
        <v>2.5827480159867567E-2</v>
      </c>
      <c r="X914" s="3">
        <v>45173</v>
      </c>
      <c r="Y914" cm="1">
        <f t="array" ref="Y914">SUMPRODUCT($T$2:$T$4,TRANSPOSE(B914:D914))</f>
        <v>1.6364736597290951E-2</v>
      </c>
      <c r="AD914" s="3">
        <v>45170</v>
      </c>
      <c r="AE914" s="4">
        <v>1.7727506645858242E-2</v>
      </c>
      <c r="AF914">
        <f t="shared" si="14"/>
        <v>0</v>
      </c>
      <c r="AG914" s="13"/>
    </row>
    <row r="915" spans="1:33" x14ac:dyDescent="0.35">
      <c r="A915" s="3">
        <v>45174</v>
      </c>
      <c r="B915" s="6">
        <f>LN(Raw!B917/Raw!B916)</f>
        <v>-8.6528072920073178E-3</v>
      </c>
      <c r="C915" s="6">
        <f>LN(Raw!C917/Raw!C916)</f>
        <v>7.7119225843386048E-3</v>
      </c>
      <c r="D915" s="6">
        <f>LN(Raw!D917/Raw!D916)</f>
        <v>5.608600672823958E-3</v>
      </c>
      <c r="X915" s="3">
        <v>45174</v>
      </c>
      <c r="Y915" cm="1">
        <f t="array" ref="Y915">SUMPRODUCT($T$2:$T$4,TRANSPOSE(B915:D915))</f>
        <v>-4.6811307117406607E-3</v>
      </c>
      <c r="AD915" s="3">
        <v>45173</v>
      </c>
      <c r="AE915" s="4">
        <v>1.6364736597290951E-2</v>
      </c>
      <c r="AF915">
        <f t="shared" si="14"/>
        <v>0</v>
      </c>
      <c r="AG915" s="13"/>
    </row>
    <row r="916" spans="1:33" x14ac:dyDescent="0.35">
      <c r="A916" s="3">
        <v>45175</v>
      </c>
      <c r="B916" s="6">
        <f>LN(Raw!B918/Raw!B917)</f>
        <v>-9.2894440729188882E-4</v>
      </c>
      <c r="C916" s="6">
        <f>LN(Raw!C918/Raw!C917)</f>
        <v>1.0480389098223509E-2</v>
      </c>
      <c r="D916" s="6">
        <f>LN(Raw!D918/Raw!D917)</f>
        <v>4.4642946975615837E-3</v>
      </c>
      <c r="X916" s="3">
        <v>45175</v>
      </c>
      <c r="Y916" cm="1">
        <f t="array" ref="Y916">SUMPRODUCT($T$2:$T$4,TRANSPOSE(B916:D916))</f>
        <v>1.6149064785876605E-3</v>
      </c>
      <c r="AD916" s="3">
        <v>45174</v>
      </c>
      <c r="AE916" s="4">
        <v>-4.6811307117406607E-3</v>
      </c>
      <c r="AF916">
        <f t="shared" si="14"/>
        <v>0</v>
      </c>
      <c r="AG916" s="13"/>
    </row>
    <row r="917" spans="1:33" x14ac:dyDescent="0.35">
      <c r="A917" s="3">
        <v>45176</v>
      </c>
      <c r="B917" s="6">
        <f>LN(Raw!B919/Raw!B918)</f>
        <v>3.8214485175117694E-3</v>
      </c>
      <c r="C917" s="6">
        <f>LN(Raw!C919/Raw!C918)</f>
        <v>-1.9567381603673522E-3</v>
      </c>
      <c r="D917" s="6">
        <f>LN(Raw!D919/Raw!D918)</f>
        <v>-3.7140070102296914E-4</v>
      </c>
      <c r="X917" s="3">
        <v>45176</v>
      </c>
      <c r="Y917" cm="1">
        <f t="array" ref="Y917">SUMPRODUCT($T$2:$T$4,TRANSPOSE(B917:D917))</f>
        <v>2.4608022457659026E-3</v>
      </c>
      <c r="AD917" s="3">
        <v>45175</v>
      </c>
      <c r="AE917" s="4">
        <v>1.6149064785876605E-3</v>
      </c>
      <c r="AF917">
        <f t="shared" si="14"/>
        <v>0</v>
      </c>
      <c r="AG917" s="13"/>
    </row>
    <row r="918" spans="1:33" x14ac:dyDescent="0.35">
      <c r="A918" s="3">
        <v>45177</v>
      </c>
      <c r="B918" s="6">
        <f>LN(Raw!B920/Raw!B919)</f>
        <v>-8.8906799202110697E-4</v>
      </c>
      <c r="C918" s="6">
        <f>LN(Raw!C920/Raw!C919)</f>
        <v>1.0948608107802632E-2</v>
      </c>
      <c r="D918" s="6">
        <f>LN(Raw!D920/Raw!D919)</f>
        <v>-1.5061031702121006E-4</v>
      </c>
      <c r="X918" s="3">
        <v>45177</v>
      </c>
      <c r="Y918" cm="1">
        <f t="array" ref="Y918">SUMPRODUCT($T$2:$T$4,TRANSPOSE(B918:D918))</f>
        <v>1.5099007660192036E-3</v>
      </c>
      <c r="AD918" s="3">
        <v>45176</v>
      </c>
      <c r="AE918" s="4">
        <v>2.4608022457659026E-3</v>
      </c>
      <c r="AF918">
        <f t="shared" si="14"/>
        <v>0</v>
      </c>
      <c r="AG918" s="13"/>
    </row>
    <row r="919" spans="1:33" x14ac:dyDescent="0.35">
      <c r="A919" s="3">
        <v>45180</v>
      </c>
      <c r="B919" s="6">
        <f>LN(Raw!B921/Raw!B920)</f>
        <v>1.2998874932159454E-2</v>
      </c>
      <c r="C919" s="6">
        <f>LN(Raw!C921/Raw!C920)</f>
        <v>-8.0321947587776929E-3</v>
      </c>
      <c r="D919" s="6">
        <f>LN(Raw!D921/Raw!D920)</f>
        <v>6.3850853881834528E-3</v>
      </c>
      <c r="X919" s="3">
        <v>45180</v>
      </c>
      <c r="Y919" cm="1">
        <f t="array" ref="Y919">SUMPRODUCT($T$2:$T$4,TRANSPOSE(B919:D919))</f>
        <v>8.4744272643324497E-3</v>
      </c>
      <c r="AD919" s="3">
        <v>45177</v>
      </c>
      <c r="AE919" s="4">
        <v>1.5099007660192036E-3</v>
      </c>
      <c r="AF919">
        <f t="shared" si="14"/>
        <v>0</v>
      </c>
      <c r="AG919" s="13"/>
    </row>
    <row r="920" spans="1:33" x14ac:dyDescent="0.35">
      <c r="A920" s="3">
        <v>45181</v>
      </c>
      <c r="B920" s="6">
        <f>LN(Raw!B922/Raw!B921)</f>
        <v>-1.1887525460332589E-2</v>
      </c>
      <c r="C920" s="6">
        <f>LN(Raw!C922/Raw!C921)</f>
        <v>-7.6799799382364031E-2</v>
      </c>
      <c r="D920" s="6">
        <f>LN(Raw!D922/Raw!D921)</f>
        <v>-6.656239705480671E-2</v>
      </c>
      <c r="X920" s="3">
        <v>45181</v>
      </c>
      <c r="Y920" cm="1">
        <f t="array" ref="Y920">SUMPRODUCT($T$2:$T$4,TRANSPOSE(B920:D920))</f>
        <v>-2.75478091881451E-2</v>
      </c>
      <c r="AD920" s="3">
        <v>45180</v>
      </c>
      <c r="AE920" s="4">
        <v>8.4744272643324497E-3</v>
      </c>
      <c r="AF920">
        <f t="shared" si="14"/>
        <v>0</v>
      </c>
      <c r="AG920" s="13"/>
    </row>
    <row r="921" spans="1:33" x14ac:dyDescent="0.35">
      <c r="A921" s="3">
        <v>45182</v>
      </c>
      <c r="B921" s="6">
        <f>LN(Raw!B923/Raw!B922)</f>
        <v>4.1010765412789561E-3</v>
      </c>
      <c r="C921" s="6">
        <f>LN(Raw!C923/Raw!C922)</f>
        <v>2.7438209451796796E-2</v>
      </c>
      <c r="D921" s="6">
        <f>LN(Raw!D923/Raw!D922)</f>
        <v>2.6847311311502812E-2</v>
      </c>
      <c r="X921" s="3">
        <v>45182</v>
      </c>
      <c r="Y921" cm="1">
        <f t="array" ref="Y921">SUMPRODUCT($T$2:$T$4,TRANSPOSE(B921:D921))</f>
        <v>9.8841371677068409E-3</v>
      </c>
      <c r="AD921" s="3">
        <v>45181</v>
      </c>
      <c r="AE921" s="4">
        <v>-2.75478091881451E-2</v>
      </c>
      <c r="AF921">
        <f t="shared" si="14"/>
        <v>0</v>
      </c>
      <c r="AG921" s="13"/>
    </row>
    <row r="922" spans="1:33" x14ac:dyDescent="0.35">
      <c r="A922" s="3">
        <v>45183</v>
      </c>
      <c r="B922" s="6">
        <f>LN(Raw!B924/Raw!B923)</f>
        <v>9.4315501304686883E-3</v>
      </c>
      <c r="C922" s="6">
        <f>LN(Raw!C924/Raw!C923)</f>
        <v>3.2873339033900717E-2</v>
      </c>
      <c r="D922" s="6">
        <f>LN(Raw!D924/Raw!D923)</f>
        <v>4.4197586592384416E-2</v>
      </c>
      <c r="X922" s="3">
        <v>45183</v>
      </c>
      <c r="Y922" cm="1">
        <f t="array" ref="Y922">SUMPRODUCT($T$2:$T$4,TRANSPOSE(B922:D922))</f>
        <v>1.5830358004649315E-2</v>
      </c>
      <c r="AD922" s="3">
        <v>45182</v>
      </c>
      <c r="AE922" s="4">
        <v>9.8841371677068409E-3</v>
      </c>
      <c r="AF922">
        <f t="shared" si="14"/>
        <v>0</v>
      </c>
      <c r="AG922" s="13"/>
    </row>
    <row r="923" spans="1:33" x14ac:dyDescent="0.35">
      <c r="A923" s="3">
        <v>45184</v>
      </c>
      <c r="B923" s="6">
        <f>LN(Raw!B925/Raw!B924)</f>
        <v>6.5167015924815679E-3</v>
      </c>
      <c r="C923" s="6">
        <f>LN(Raw!C925/Raw!C924)</f>
        <v>6.8643598562285052E-2</v>
      </c>
      <c r="D923" s="6">
        <f>LN(Raw!D925/Raw!D924)</f>
        <v>6.5283717641467953E-2</v>
      </c>
      <c r="X923" s="3">
        <v>45184</v>
      </c>
      <c r="Y923" cm="1">
        <f t="array" ref="Y923">SUMPRODUCT($T$2:$T$4,TRANSPOSE(B923:D923))</f>
        <v>2.1823633685165416E-2</v>
      </c>
      <c r="AD923" s="3">
        <v>45183</v>
      </c>
      <c r="AE923" s="4">
        <v>1.5830358004649315E-2</v>
      </c>
      <c r="AF923">
        <f t="shared" si="14"/>
        <v>0</v>
      </c>
      <c r="AG923" s="13"/>
    </row>
    <row r="924" spans="1:33" x14ac:dyDescent="0.35">
      <c r="A924" s="3">
        <v>45187</v>
      </c>
      <c r="B924" s="6">
        <f>LN(Raw!B926/Raw!B925)</f>
        <v>2.5395507222487971E-4</v>
      </c>
      <c r="C924" s="6">
        <f>LN(Raw!C926/Raw!C925)</f>
        <v>-1.6075823458844923E-2</v>
      </c>
      <c r="D924" s="6">
        <f>LN(Raw!D926/Raw!D925)</f>
        <v>0</v>
      </c>
      <c r="X924" s="3">
        <v>45187</v>
      </c>
      <c r="Y924" cm="1">
        <f t="array" ref="Y924">SUMPRODUCT($T$2:$T$4,TRANSPOSE(B924:D924))</f>
        <v>-3.0175158924045809E-3</v>
      </c>
      <c r="AD924" s="3">
        <v>45184</v>
      </c>
      <c r="AE924" s="4">
        <v>2.1823633685165416E-2</v>
      </c>
      <c r="AF924">
        <f t="shared" si="14"/>
        <v>0</v>
      </c>
      <c r="AG924" s="13"/>
    </row>
    <row r="925" spans="1:33" x14ac:dyDescent="0.35">
      <c r="A925" s="3">
        <v>45189</v>
      </c>
      <c r="B925" s="6">
        <f>LN(Raw!B927/Raw!B926)</f>
        <v>-2.0335389739316954E-3</v>
      </c>
      <c r="C925" s="6">
        <f>LN(Raw!C927/Raw!C926)</f>
        <v>-7.8090332676088196E-3</v>
      </c>
      <c r="D925" s="6">
        <f>LN(Raw!D927/Raw!D926)</f>
        <v>1.28363049762555E-2</v>
      </c>
      <c r="X925" s="3">
        <v>45189</v>
      </c>
      <c r="Y925" cm="1">
        <f t="array" ref="Y925">SUMPRODUCT($T$2:$T$4,TRANSPOSE(B925:D925))</f>
        <v>-2.4502331183190954E-3</v>
      </c>
      <c r="AD925" s="3">
        <v>45187</v>
      </c>
      <c r="AE925" s="4">
        <v>-3.0175158924045809E-3</v>
      </c>
      <c r="AF925">
        <f t="shared" si="14"/>
        <v>0</v>
      </c>
      <c r="AG925" s="13"/>
    </row>
    <row r="926" spans="1:33" x14ac:dyDescent="0.35">
      <c r="A926" s="3">
        <v>45190</v>
      </c>
      <c r="B926" s="6">
        <f>LN(Raw!B928/Raw!B927)</f>
        <v>-1.4500514655405928E-2</v>
      </c>
      <c r="C926" s="6">
        <f>LN(Raw!C928/Raw!C927)</f>
        <v>-3.0513213845999258E-2</v>
      </c>
      <c r="D926" s="6">
        <f>LN(Raw!D928/Raw!D927)</f>
        <v>-4.2604712130648453E-2</v>
      </c>
      <c r="X926" s="3">
        <v>45190</v>
      </c>
      <c r="Y926" cm="1">
        <f t="array" ref="Y926">SUMPRODUCT($T$2:$T$4,TRANSPOSE(B926:D926))</f>
        <v>-1.9087018110269079E-2</v>
      </c>
      <c r="AD926" s="3">
        <v>45189</v>
      </c>
      <c r="AE926" s="4">
        <v>-2.4502331183190954E-3</v>
      </c>
      <c r="AF926">
        <f t="shared" si="14"/>
        <v>0</v>
      </c>
      <c r="AG926" s="13"/>
    </row>
    <row r="927" spans="1:33" x14ac:dyDescent="0.35">
      <c r="A927" s="3">
        <v>45191</v>
      </c>
      <c r="B927" s="6">
        <f>LN(Raw!B929/Raw!B928)</f>
        <v>-8.8171639874791586E-3</v>
      </c>
      <c r="C927" s="6">
        <f>LN(Raw!C929/Raw!C928)</f>
        <v>1.3159548984807335E-2</v>
      </c>
      <c r="D927" s="6">
        <f>LN(Raw!D929/Raw!D928)</f>
        <v>-5.7718836582943784E-3</v>
      </c>
      <c r="X927" s="3">
        <v>45191</v>
      </c>
      <c r="Y927" cm="1">
        <f t="array" ref="Y927">SUMPRODUCT($T$2:$T$4,TRANSPOSE(B927:D927))</f>
        <v>-4.2806020426205162E-3</v>
      </c>
      <c r="AD927" s="3">
        <v>45190</v>
      </c>
      <c r="AE927" s="4">
        <v>-1.9087018110269079E-2</v>
      </c>
      <c r="AF927">
        <f t="shared" si="14"/>
        <v>0</v>
      </c>
      <c r="AG927" s="13"/>
    </row>
    <row r="928" spans="1:33" x14ac:dyDescent="0.35">
      <c r="A928" s="3">
        <v>45194</v>
      </c>
      <c r="B928" s="6">
        <f>LN(Raw!B930/Raw!B929)</f>
        <v>-2.0868261853156208E-2</v>
      </c>
      <c r="C928" s="6">
        <f>LN(Raw!C930/Raw!C929)</f>
        <v>2.8764763099155565E-3</v>
      </c>
      <c r="D928" s="6">
        <f>LN(Raw!D930/Raw!D929)</f>
        <v>1.3297529558079651E-2</v>
      </c>
      <c r="X928" s="3">
        <v>45194</v>
      </c>
      <c r="Y928" cm="1">
        <f t="array" ref="Y928">SUMPRODUCT($T$2:$T$4,TRANSPOSE(B928:D928))</f>
        <v>-1.4438700909935645E-2</v>
      </c>
      <c r="AD928" s="3">
        <v>45191</v>
      </c>
      <c r="AE928" s="4">
        <v>-4.2806020426205162E-3</v>
      </c>
      <c r="AF928">
        <f t="shared" si="14"/>
        <v>0</v>
      </c>
      <c r="AG928" s="13"/>
    </row>
    <row r="929" spans="1:33" x14ac:dyDescent="0.35">
      <c r="A929" s="3">
        <v>45195</v>
      </c>
      <c r="B929" s="6">
        <f>LN(Raw!B931/Raw!B930)</f>
        <v>-5.5626013489887254E-3</v>
      </c>
      <c r="C929" s="6">
        <f>LN(Raw!C931/Raw!C930)</f>
        <v>-1.3345360752157224E-2</v>
      </c>
      <c r="D929" s="6">
        <f>LN(Raw!D931/Raw!D930)</f>
        <v>-1.4021377142717681E-2</v>
      </c>
      <c r="X929" s="3">
        <v>45195</v>
      </c>
      <c r="Y929" cm="1">
        <f t="array" ref="Y929">SUMPRODUCT($T$2:$T$4,TRANSPOSE(B929:D929))</f>
        <v>-7.5344174609016015E-3</v>
      </c>
      <c r="AD929" s="3">
        <v>45194</v>
      </c>
      <c r="AE929" s="4">
        <v>-1.4438700909935645E-2</v>
      </c>
      <c r="AF929">
        <f t="shared" si="14"/>
        <v>0</v>
      </c>
      <c r="AG929" s="13"/>
    </row>
    <row r="930" spans="1:33" x14ac:dyDescent="0.35">
      <c r="A930" s="3">
        <v>45196</v>
      </c>
      <c r="B930" s="6">
        <f>LN(Raw!B932/Raw!B931)</f>
        <v>-3.8665196349238289E-3</v>
      </c>
      <c r="C930" s="6">
        <f>LN(Raw!C932/Raw!C931)</f>
        <v>4.4682715681043971E-3</v>
      </c>
      <c r="D930" s="6">
        <f>LN(Raw!D932/Raw!D931)</f>
        <v>6.8554887883121186E-3</v>
      </c>
      <c r="X930" s="3">
        <v>45196</v>
      </c>
      <c r="Y930" cm="1">
        <f t="array" ref="Y930">SUMPRODUCT($T$2:$T$4,TRANSPOSE(B930:D930))</f>
        <v>-1.6725278818704866E-3</v>
      </c>
      <c r="AD930" s="3">
        <v>45195</v>
      </c>
      <c r="AE930" s="4">
        <v>-7.5344174609016015E-3</v>
      </c>
      <c r="AF930">
        <f t="shared" si="14"/>
        <v>0</v>
      </c>
      <c r="AG930" s="13"/>
    </row>
    <row r="931" spans="1:33" x14ac:dyDescent="0.35">
      <c r="A931" s="3">
        <v>45197</v>
      </c>
      <c r="B931" s="6">
        <f>LN(Raw!B933/Raw!B932)</f>
        <v>-2.2771815031637107E-2</v>
      </c>
      <c r="C931" s="6">
        <f>LN(Raw!C933/Raw!C932)</f>
        <v>-4.2444119815818505E-3</v>
      </c>
      <c r="D931" s="6">
        <f>LN(Raw!D933/Raw!D932)</f>
        <v>1.1085458625049144E-2</v>
      </c>
      <c r="X931" s="3">
        <v>45197</v>
      </c>
      <c r="Y931" cm="1">
        <f t="array" ref="Y931">SUMPRODUCT($T$2:$T$4,TRANSPOSE(B931:D931))</f>
        <v>-1.7398736248716476E-2</v>
      </c>
      <c r="AD931" s="3">
        <v>45196</v>
      </c>
      <c r="AE931" s="4">
        <v>-1.6725278818704866E-3</v>
      </c>
      <c r="AF931">
        <f t="shared" si="14"/>
        <v>0</v>
      </c>
      <c r="AG931" s="13"/>
    </row>
    <row r="932" spans="1:33" x14ac:dyDescent="0.35">
      <c r="A932" s="3">
        <v>45198</v>
      </c>
      <c r="B932" s="6">
        <f>LN(Raw!B934/Raw!B933)</f>
        <v>2.7325717193053736E-2</v>
      </c>
      <c r="C932" s="6">
        <f>LN(Raw!C934/Raw!C933)</f>
        <v>9.1365742245994377E-3</v>
      </c>
      <c r="D932" s="6">
        <f>LN(Raw!D934/Raw!D933)</f>
        <v>-7.1148730340065281E-4</v>
      </c>
      <c r="X932" s="3">
        <v>45198</v>
      </c>
      <c r="Y932" cm="1">
        <f t="array" ref="Y932">SUMPRODUCT($T$2:$T$4,TRANSPOSE(B932:D932))</f>
        <v>2.2308180147025035E-2</v>
      </c>
      <c r="AD932" s="3">
        <v>45197</v>
      </c>
      <c r="AE932" s="4">
        <v>-1.7398736248716476E-2</v>
      </c>
      <c r="AF932">
        <f t="shared" si="14"/>
        <v>0</v>
      </c>
      <c r="AG932" s="13"/>
    </row>
    <row r="933" spans="1:33" x14ac:dyDescent="0.35">
      <c r="A933" s="3">
        <v>45202</v>
      </c>
      <c r="B933" s="6">
        <f>LN(Raw!B935/Raw!B934)</f>
        <v>-3.2888351735038809E-3</v>
      </c>
      <c r="C933" s="6">
        <f>LN(Raw!C935/Raw!C934)</f>
        <v>-9.8083754468532777E-3</v>
      </c>
      <c r="D933" s="6">
        <f>LN(Raw!D935/Raw!D934)</f>
        <v>-7.8601764853028881E-3</v>
      </c>
      <c r="X933" s="3">
        <v>45202</v>
      </c>
      <c r="Y933" cm="1">
        <f t="array" ref="Y933">SUMPRODUCT($T$2:$T$4,TRANSPOSE(B933:D933))</f>
        <v>-4.816163520325034E-3</v>
      </c>
      <c r="AD933" s="3">
        <v>45198</v>
      </c>
      <c r="AE933" s="4">
        <v>2.2308180147025035E-2</v>
      </c>
      <c r="AF933">
        <f t="shared" si="14"/>
        <v>0</v>
      </c>
      <c r="AG933" s="13"/>
    </row>
    <row r="934" spans="1:33" x14ac:dyDescent="0.35">
      <c r="A934" s="3">
        <v>45203</v>
      </c>
      <c r="B934" s="6">
        <f>LN(Raw!B936/Raw!B935)</f>
        <v>-1.5335568720875679E-3</v>
      </c>
      <c r="C934" s="6">
        <f>LN(Raw!C936/Raw!C935)</f>
        <v>-2.2656174018553538E-2</v>
      </c>
      <c r="D934" s="6">
        <f>LN(Raw!D936/Raw!D935)</f>
        <v>-2.7269336123426444E-2</v>
      </c>
      <c r="X934" s="3">
        <v>45203</v>
      </c>
      <c r="Y934" cm="1">
        <f t="array" ref="Y934">SUMPRODUCT($T$2:$T$4,TRANSPOSE(B934:D934))</f>
        <v>-7.0226237231850886E-3</v>
      </c>
      <c r="AD934" s="3">
        <v>45202</v>
      </c>
      <c r="AE934" s="4">
        <v>-4.816163520325034E-3</v>
      </c>
      <c r="AF934">
        <f t="shared" si="14"/>
        <v>0</v>
      </c>
      <c r="AG934" s="13"/>
    </row>
    <row r="935" spans="1:33" x14ac:dyDescent="0.35">
      <c r="A935" s="3">
        <v>45204</v>
      </c>
      <c r="B935" s="6">
        <f>LN(Raw!B937/Raw!B936)</f>
        <v>-5.0386242043464115E-3</v>
      </c>
      <c r="C935" s="6">
        <f>LN(Raw!C937/Raw!C936)</f>
        <v>-1.850186940581932E-2</v>
      </c>
      <c r="D935" s="6">
        <f>LN(Raw!D937/Raw!D936)</f>
        <v>1.0267850129731687E-2</v>
      </c>
      <c r="X935" s="3">
        <v>45204</v>
      </c>
      <c r="Y935" cm="1">
        <f t="array" ref="Y935">SUMPRODUCT($T$2:$T$4,TRANSPOSE(B935:D935))</f>
        <v>-6.9679391967105899E-3</v>
      </c>
      <c r="AD935" s="3">
        <v>45203</v>
      </c>
      <c r="AE935" s="4">
        <v>-7.0226237231850886E-3</v>
      </c>
      <c r="AF935">
        <f t="shared" si="14"/>
        <v>0</v>
      </c>
      <c r="AG935" s="13"/>
    </row>
    <row r="936" spans="1:33" x14ac:dyDescent="0.35">
      <c r="A936" s="3">
        <v>45205</v>
      </c>
      <c r="B936" s="6">
        <f>LN(Raw!B938/Raw!B937)</f>
        <v>1.7544041492402969E-2</v>
      </c>
      <c r="C936" s="6">
        <f>LN(Raw!C938/Raw!C937)</f>
        <v>5.0522651526939757E-2</v>
      </c>
      <c r="D936" s="6">
        <f>LN(Raw!D938/Raw!D937)</f>
        <v>1.7360211425948735E-2</v>
      </c>
      <c r="X936" s="3">
        <v>45205</v>
      </c>
      <c r="Y936" cm="1">
        <f t="array" ref="Y936">SUMPRODUCT($T$2:$T$4,TRANSPOSE(B936:D936))</f>
        <v>2.4116421762013712E-2</v>
      </c>
      <c r="AD936" s="3">
        <v>45204</v>
      </c>
      <c r="AE936" s="4">
        <v>-6.9679391967105899E-3</v>
      </c>
      <c r="AF936">
        <f t="shared" si="14"/>
        <v>0</v>
      </c>
      <c r="AG936" s="13"/>
    </row>
    <row r="937" spans="1:33" x14ac:dyDescent="0.35">
      <c r="A937" s="3">
        <v>45208</v>
      </c>
      <c r="B937" s="6">
        <f>LN(Raw!B939/Raw!B938)</f>
        <v>-1.6118263791591762E-2</v>
      </c>
      <c r="C937" s="6">
        <f>LN(Raw!C939/Raw!C938)</f>
        <v>-3.9842318462850711E-2</v>
      </c>
      <c r="D937" s="6">
        <f>LN(Raw!D939/Raw!D938)</f>
        <v>-2.7996723467023452E-2</v>
      </c>
      <c r="X937" s="3">
        <v>45208</v>
      </c>
      <c r="Y937" cm="1">
        <f t="array" ref="Y937">SUMPRODUCT($T$2:$T$4,TRANSPOSE(B937:D937))</f>
        <v>-2.1440694177908892E-2</v>
      </c>
      <c r="AD937" s="3">
        <v>45205</v>
      </c>
      <c r="AE937" s="4">
        <v>2.4116421762013712E-2</v>
      </c>
      <c r="AF937">
        <f t="shared" si="14"/>
        <v>0</v>
      </c>
      <c r="AG937" s="13"/>
    </row>
    <row r="938" spans="1:33" x14ac:dyDescent="0.35">
      <c r="A938" s="3">
        <v>45209</v>
      </c>
      <c r="B938" s="6">
        <f>LN(Raw!B940/Raw!B939)</f>
        <v>1.1979711298407945E-2</v>
      </c>
      <c r="C938" s="6">
        <f>LN(Raw!C940/Raw!C939)</f>
        <v>1.6945737917085216E-2</v>
      </c>
      <c r="D938" s="6">
        <f>LN(Raw!D940/Raw!D939)</f>
        <v>1.7181847175971644E-2</v>
      </c>
      <c r="X938" s="3">
        <v>45209</v>
      </c>
      <c r="Y938" cm="1">
        <f t="array" ref="Y938">SUMPRODUCT($T$2:$T$4,TRANSPOSE(B938:D938))</f>
        <v>1.322822591172196E-2</v>
      </c>
      <c r="AD938" s="3">
        <v>45208</v>
      </c>
      <c r="AE938" s="4">
        <v>-2.1440694177908892E-2</v>
      </c>
      <c r="AF938">
        <f t="shared" si="14"/>
        <v>0</v>
      </c>
      <c r="AG938" s="13"/>
    </row>
    <row r="939" spans="1:33" x14ac:dyDescent="0.35">
      <c r="A939" s="3">
        <v>45210</v>
      </c>
      <c r="B939" s="6">
        <f>LN(Raw!B941/Raw!B940)</f>
        <v>-4.9452320351834396E-4</v>
      </c>
      <c r="C939" s="6">
        <f>LN(Raw!C941/Raw!C940)</f>
        <v>3.626439018888723E-3</v>
      </c>
      <c r="D939" s="6">
        <f>LN(Raw!D941/Raw!D940)</f>
        <v>-5.816057032966949E-3</v>
      </c>
      <c r="X939" s="3">
        <v>45210</v>
      </c>
      <c r="Y939" cm="1">
        <f t="array" ref="Y939">SUMPRODUCT($T$2:$T$4,TRANSPOSE(B939:D939))</f>
        <v>6.4526067479522755E-5</v>
      </c>
      <c r="AD939" s="3">
        <v>45209</v>
      </c>
      <c r="AE939" s="4">
        <v>1.322822591172196E-2</v>
      </c>
      <c r="AF939">
        <f t="shared" si="14"/>
        <v>0</v>
      </c>
      <c r="AG939" s="13"/>
    </row>
    <row r="940" spans="1:33" x14ac:dyDescent="0.35">
      <c r="A940" s="3">
        <v>45211</v>
      </c>
      <c r="B940" s="6">
        <f>LN(Raw!B942/Raw!B941)</f>
        <v>8.6035796079602309E-3</v>
      </c>
      <c r="C940" s="6">
        <f>LN(Raw!C942/Raw!C941)</f>
        <v>1.2143093965928501E-2</v>
      </c>
      <c r="D940" s="6">
        <f>LN(Raw!D942/Raw!D941)</f>
        <v>4.7282324615057353E-3</v>
      </c>
      <c r="X940" s="3">
        <v>45211</v>
      </c>
      <c r="Y940" cm="1">
        <f t="array" ref="Y940">SUMPRODUCT($T$2:$T$4,TRANSPOSE(B940:D940))</f>
        <v>9.1181622991126001E-3</v>
      </c>
      <c r="AD940" s="3">
        <v>45210</v>
      </c>
      <c r="AE940" s="4">
        <v>6.4526067479522755E-5</v>
      </c>
      <c r="AF940">
        <f t="shared" si="14"/>
        <v>0</v>
      </c>
      <c r="AG940" s="13"/>
    </row>
    <row r="941" spans="1:33" x14ac:dyDescent="0.35">
      <c r="A941" s="3">
        <v>45212</v>
      </c>
      <c r="B941" s="6">
        <f>LN(Raw!B943/Raw!B942)</f>
        <v>-8.299105101802479E-3</v>
      </c>
      <c r="C941" s="6">
        <f>LN(Raw!C943/Raw!C942)</f>
        <v>-1.3275026064106297E-2</v>
      </c>
      <c r="D941" s="6">
        <f>LN(Raw!D943/Raw!D942)</f>
        <v>-8.3805209107846411E-3</v>
      </c>
      <c r="X941" s="3">
        <v>45212</v>
      </c>
      <c r="Y941" cm="1">
        <f t="array" ref="Y941">SUMPRODUCT($T$2:$T$4,TRANSPOSE(B941:D941))</f>
        <v>-9.2961693470049889E-3</v>
      </c>
      <c r="AD941" s="3">
        <v>45211</v>
      </c>
      <c r="AE941" s="4">
        <v>9.1181622991126001E-3</v>
      </c>
      <c r="AF941">
        <f t="shared" si="14"/>
        <v>0</v>
      </c>
      <c r="AG941" s="13"/>
    </row>
    <row r="942" spans="1:33" x14ac:dyDescent="0.35">
      <c r="A942" s="3">
        <v>45215</v>
      </c>
      <c r="B942" s="6">
        <f>LN(Raw!B944/Raw!B943)</f>
        <v>1.7801585184172592E-2</v>
      </c>
      <c r="C942" s="6">
        <f>LN(Raw!C944/Raw!C943)</f>
        <v>1.4168707764199817E-2</v>
      </c>
      <c r="D942" s="6">
        <f>LN(Raw!D944/Raw!D943)</f>
        <v>4.0514630469307686E-2</v>
      </c>
      <c r="X942" s="3">
        <v>45215</v>
      </c>
      <c r="Y942" cm="1">
        <f t="array" ref="Y942">SUMPRODUCT($T$2:$T$4,TRANSPOSE(B942:D942))</f>
        <v>1.820064971612359E-2</v>
      </c>
      <c r="AD942" s="3">
        <v>45212</v>
      </c>
      <c r="AE942" s="4">
        <v>-9.2961693470049889E-3</v>
      </c>
      <c r="AF942">
        <f t="shared" si="14"/>
        <v>0</v>
      </c>
      <c r="AG942" s="13"/>
    </row>
    <row r="943" spans="1:33" x14ac:dyDescent="0.35">
      <c r="A943" s="3">
        <v>45216</v>
      </c>
      <c r="B943" s="6">
        <f>LN(Raw!B945/Raw!B944)</f>
        <v>1.6902398480987076E-2</v>
      </c>
      <c r="C943" s="6">
        <f>LN(Raw!C945/Raw!C944)</f>
        <v>1.3309836075440191E-2</v>
      </c>
      <c r="D943" s="6">
        <f>LN(Raw!D945/Raw!D944)</f>
        <v>1.755302230209354E-3</v>
      </c>
      <c r="X943" s="3">
        <v>45216</v>
      </c>
      <c r="Y943" cm="1">
        <f t="array" ref="Y943">SUMPRODUCT($T$2:$T$4,TRANSPOSE(B943:D943))</f>
        <v>1.543580607773706E-2</v>
      </c>
      <c r="AD943" s="3">
        <v>45215</v>
      </c>
      <c r="AE943" s="4">
        <v>1.820064971612359E-2</v>
      </c>
      <c r="AF943">
        <f t="shared" si="14"/>
        <v>0</v>
      </c>
      <c r="AG943" s="13"/>
    </row>
    <row r="944" spans="1:33" x14ac:dyDescent="0.35">
      <c r="A944" s="3">
        <v>45217</v>
      </c>
      <c r="B944" s="6">
        <f>LN(Raw!B946/Raw!B945)</f>
        <v>-1.3239393714745398E-3</v>
      </c>
      <c r="C944" s="6">
        <f>LN(Raw!C946/Raw!C945)</f>
        <v>-1.3533073849635528E-2</v>
      </c>
      <c r="D944" s="6">
        <f>LN(Raw!D946/Raw!D945)</f>
        <v>6.9906674608976958E-3</v>
      </c>
      <c r="X944" s="3">
        <v>45217</v>
      </c>
      <c r="Y944" cm="1">
        <f t="array" ref="Y944">SUMPRODUCT($T$2:$T$4,TRANSPOSE(B944:D944))</f>
        <v>-3.3490021998083814E-3</v>
      </c>
      <c r="AD944" s="3">
        <v>45216</v>
      </c>
      <c r="AE944" s="4">
        <v>1.543580607773706E-2</v>
      </c>
      <c r="AF944">
        <f t="shared" si="14"/>
        <v>0</v>
      </c>
      <c r="AG944" s="13"/>
    </row>
    <row r="945" spans="1:33" x14ac:dyDescent="0.35">
      <c r="A945" s="3">
        <v>45218</v>
      </c>
      <c r="B945" s="6">
        <f>LN(Raw!B947/Raw!B946)</f>
        <v>9.6327583644406755E-3</v>
      </c>
      <c r="C945" s="6">
        <f>LN(Raw!C947/Raw!C946)</f>
        <v>1.2651284264020892E-2</v>
      </c>
      <c r="D945" s="6">
        <f>LN(Raw!D947/Raw!D946)</f>
        <v>3.4814036277066467E-4</v>
      </c>
      <c r="X945" s="3">
        <v>45218</v>
      </c>
      <c r="Y945" cm="1">
        <f t="array" ref="Y945">SUMPRODUCT($T$2:$T$4,TRANSPOSE(B945:D945))</f>
        <v>9.7756629712285482E-3</v>
      </c>
      <c r="AD945" s="3">
        <v>45217</v>
      </c>
      <c r="AE945" s="4">
        <v>-3.3490021998083814E-3</v>
      </c>
      <c r="AF945">
        <f t="shared" si="14"/>
        <v>0</v>
      </c>
      <c r="AG945" s="13"/>
    </row>
    <row r="946" spans="1:33" x14ac:dyDescent="0.35">
      <c r="A946" s="3">
        <v>45219</v>
      </c>
      <c r="B946" s="6">
        <f>LN(Raw!B948/Raw!B947)</f>
        <v>1.1921125184098037E-2</v>
      </c>
      <c r="C946" s="6">
        <f>LN(Raw!C948/Raw!C947)</f>
        <v>-9.3064350930029162E-3</v>
      </c>
      <c r="D946" s="6">
        <f>LN(Raw!D948/Raw!D947)</f>
        <v>3.7920893544466878E-2</v>
      </c>
      <c r="X946" s="3">
        <v>45219</v>
      </c>
      <c r="Y946" cm="1">
        <f t="array" ref="Y946">SUMPRODUCT($T$2:$T$4,TRANSPOSE(B946:D946))</f>
        <v>8.9715128117617421E-3</v>
      </c>
      <c r="AD946" s="3">
        <v>45218</v>
      </c>
      <c r="AE946" s="4">
        <v>9.7756629712285482E-3</v>
      </c>
      <c r="AF946">
        <f t="shared" si="14"/>
        <v>0</v>
      </c>
      <c r="AG946" s="13"/>
    </row>
    <row r="947" spans="1:33" x14ac:dyDescent="0.35">
      <c r="A947" s="3">
        <v>45222</v>
      </c>
      <c r="B947" s="6">
        <f>LN(Raw!B949/Raw!B948)</f>
        <v>7.8216428468787305E-3</v>
      </c>
      <c r="C947" s="6">
        <f>LN(Raw!C949/Raw!C948)</f>
        <v>-4.0200772954706997E-2</v>
      </c>
      <c r="D947" s="6">
        <f>LN(Raw!D949/Raw!D948)</f>
        <v>-7.3721225421213177E-2</v>
      </c>
      <c r="X947" s="3">
        <v>45222</v>
      </c>
      <c r="Y947" cm="1">
        <f t="array" ref="Y947">SUMPRODUCT($T$2:$T$4,TRANSPOSE(B947:D947))</f>
        <v>-5.7976644218373195E-3</v>
      </c>
      <c r="AD947" s="3">
        <v>45219</v>
      </c>
      <c r="AE947" s="4">
        <v>8.9715128117617421E-3</v>
      </c>
      <c r="AF947">
        <f t="shared" si="14"/>
        <v>0</v>
      </c>
      <c r="AG947" s="13"/>
    </row>
    <row r="948" spans="1:33" x14ac:dyDescent="0.35">
      <c r="A948" s="3">
        <v>45224</v>
      </c>
      <c r="B948" s="6">
        <f>LN(Raw!B950/Raw!B949)</f>
        <v>-1.4942672471238636E-2</v>
      </c>
      <c r="C948" s="6">
        <f>LN(Raw!C950/Raw!C949)</f>
        <v>2.9457577171669105E-2</v>
      </c>
      <c r="D948" s="6">
        <f>LN(Raw!D950/Raw!D949)</f>
        <v>-1.4906701403767587E-2</v>
      </c>
      <c r="X948" s="3">
        <v>45224</v>
      </c>
      <c r="Y948" cm="1">
        <f t="array" ref="Y948">SUMPRODUCT($T$2:$T$4,TRANSPOSE(B948:D948))</f>
        <v>-6.0800191517905765E-3</v>
      </c>
      <c r="AD948" s="3">
        <v>45222</v>
      </c>
      <c r="AE948" s="4">
        <v>-5.7976644218373195E-3</v>
      </c>
      <c r="AF948">
        <f t="shared" si="14"/>
        <v>0</v>
      </c>
      <c r="AG948" s="13"/>
    </row>
    <row r="949" spans="1:33" x14ac:dyDescent="0.35">
      <c r="A949" s="3">
        <v>45225</v>
      </c>
      <c r="B949" s="6">
        <f>LN(Raw!B951/Raw!B950)</f>
        <v>-1.6569759583668409E-2</v>
      </c>
      <c r="C949" s="6">
        <f>LN(Raw!C951/Raw!C950)</f>
        <v>-1.5191290149284544E-2</v>
      </c>
      <c r="D949" s="6">
        <f>LN(Raw!D951/Raw!D950)</f>
        <v>-6.9840068094712002E-3</v>
      </c>
      <c r="X949" s="3">
        <v>45225</v>
      </c>
      <c r="Y949" cm="1">
        <f t="array" ref="Y949">SUMPRODUCT($T$2:$T$4,TRANSPOSE(B949:D949))</f>
        <v>-1.5820260981889912E-2</v>
      </c>
      <c r="AD949" s="3">
        <v>45224</v>
      </c>
      <c r="AE949" s="4">
        <v>-6.0800191517905765E-3</v>
      </c>
      <c r="AF949">
        <f t="shared" si="14"/>
        <v>0</v>
      </c>
      <c r="AG949" s="13"/>
    </row>
    <row r="950" spans="1:33" x14ac:dyDescent="0.35">
      <c r="A950" s="3">
        <v>45226</v>
      </c>
      <c r="B950" s="6">
        <f>LN(Raw!B952/Raw!B951)</f>
        <v>4.9483099989163703E-3</v>
      </c>
      <c r="C950" s="6">
        <f>LN(Raw!C952/Raw!C951)</f>
        <v>3.1705752906234994E-2</v>
      </c>
      <c r="D950" s="6">
        <f>LN(Raw!D952/Raw!D951)</f>
        <v>8.81382517307348E-3</v>
      </c>
      <c r="X950" s="3">
        <v>45226</v>
      </c>
      <c r="Y950" cm="1">
        <f t="array" ref="Y950">SUMPRODUCT($T$2:$T$4,TRANSPOSE(B950:D950))</f>
        <v>1.0479546476898506E-2</v>
      </c>
      <c r="AD950" s="3">
        <v>45225</v>
      </c>
      <c r="AE950" s="4">
        <v>-1.5820260981889912E-2</v>
      </c>
      <c r="AF950">
        <f t="shared" si="14"/>
        <v>0</v>
      </c>
      <c r="AG950" s="13"/>
    </row>
    <row r="951" spans="1:33" x14ac:dyDescent="0.35">
      <c r="A951" s="3">
        <v>45229</v>
      </c>
      <c r="B951" s="6">
        <f>LN(Raw!B953/Raw!B952)</f>
        <v>-2.101942914593887E-3</v>
      </c>
      <c r="C951" s="6">
        <f>LN(Raw!C953/Raw!C952)</f>
        <v>-4.4271370258897838E-4</v>
      </c>
      <c r="D951" s="6">
        <f>LN(Raw!D953/Raw!D952)</f>
        <v>-4.3973161577008108E-3</v>
      </c>
      <c r="X951" s="3">
        <v>45229</v>
      </c>
      <c r="Y951" cm="1">
        <f t="array" ref="Y951">SUMPRODUCT($T$2:$T$4,TRANSPOSE(B951:D951))</f>
        <v>-1.8844119655028384E-3</v>
      </c>
      <c r="AD951" s="3">
        <v>45226</v>
      </c>
      <c r="AE951" s="4">
        <v>1.0479546476898506E-2</v>
      </c>
      <c r="AF951">
        <f t="shared" si="14"/>
        <v>0</v>
      </c>
      <c r="AG951" s="13"/>
    </row>
    <row r="952" spans="1:33" x14ac:dyDescent="0.35">
      <c r="A952" s="3">
        <v>45230</v>
      </c>
      <c r="B952" s="6">
        <f>LN(Raw!B954/Raw!B953)</f>
        <v>1.4148308242120461E-2</v>
      </c>
      <c r="C952" s="6">
        <f>LN(Raw!C954/Raw!C953)</f>
        <v>9.9152976582140683E-3</v>
      </c>
      <c r="D952" s="6">
        <f>LN(Raw!D954/Raw!D953)</f>
        <v>1.9637131719779679E-2</v>
      </c>
      <c r="X952" s="3">
        <v>45230</v>
      </c>
      <c r="Y952" cm="1">
        <f t="array" ref="Y952">SUMPRODUCT($T$2:$T$4,TRANSPOSE(B952:D952))</f>
        <v>1.3575176760759837E-2</v>
      </c>
      <c r="AD952" s="3">
        <v>45229</v>
      </c>
      <c r="AE952" s="4">
        <v>-1.8844119655028384E-3</v>
      </c>
      <c r="AF952">
        <f t="shared" si="14"/>
        <v>0</v>
      </c>
      <c r="AG952" s="13"/>
    </row>
    <row r="953" spans="1:33" x14ac:dyDescent="0.35">
      <c r="A953" s="3">
        <v>45231</v>
      </c>
      <c r="B953" s="6">
        <f>LN(Raw!B955/Raw!B954)</f>
        <v>-1.1714983824549708E-2</v>
      </c>
      <c r="C953" s="6">
        <f>LN(Raw!C955/Raw!C954)</f>
        <v>1.7523759616626081E-3</v>
      </c>
      <c r="D953" s="6">
        <f>LN(Raw!D955/Raw!D954)</f>
        <v>-1.3048330821004067E-2</v>
      </c>
      <c r="X953" s="3">
        <v>45231</v>
      </c>
      <c r="Y953" cm="1">
        <f t="array" ref="Y953">SUMPRODUCT($T$2:$T$4,TRANSPOSE(B953:D953))</f>
        <v>-9.0933159544684932E-3</v>
      </c>
      <c r="AD953" s="3">
        <v>45230</v>
      </c>
      <c r="AE953" s="4">
        <v>1.3575176760759837E-2</v>
      </c>
      <c r="AF953">
        <f t="shared" si="14"/>
        <v>0</v>
      </c>
      <c r="AG953" s="13"/>
    </row>
    <row r="954" spans="1:33" x14ac:dyDescent="0.35">
      <c r="A954" s="3">
        <v>45232</v>
      </c>
      <c r="B954" s="6">
        <f>LN(Raw!B956/Raw!B955)</f>
        <v>9.6017743206242984E-3</v>
      </c>
      <c r="C954" s="6">
        <f>LN(Raw!C956/Raw!C955)</f>
        <v>-4.8265486659721047E-3</v>
      </c>
      <c r="D954" s="6">
        <f>LN(Raw!D956/Raw!D955)</f>
        <v>7.6322023690371596E-3</v>
      </c>
      <c r="X954" s="3">
        <v>45232</v>
      </c>
      <c r="Y954" cm="1">
        <f t="array" ref="Y954">SUMPRODUCT($T$2:$T$4,TRANSPOSE(B954:D954))</f>
        <v>6.6248670598837E-3</v>
      </c>
      <c r="AD954" s="3">
        <v>45231</v>
      </c>
      <c r="AE954" s="4">
        <v>-9.0933159544684932E-3</v>
      </c>
      <c r="AF954">
        <f t="shared" si="14"/>
        <v>0</v>
      </c>
      <c r="AG954" s="13"/>
    </row>
    <row r="955" spans="1:33" x14ac:dyDescent="0.35">
      <c r="A955" s="3">
        <v>45233</v>
      </c>
      <c r="B955" s="6">
        <f>LN(Raw!B957/Raw!B956)</f>
        <v>-5.999489426291681E-3</v>
      </c>
      <c r="C955" s="6">
        <f>LN(Raw!C957/Raw!C956)</f>
        <v>-2.6426696253165059E-3</v>
      </c>
      <c r="D955" s="6">
        <f>LN(Raw!D957/Raw!D956)</f>
        <v>1.4471715929163555E-3</v>
      </c>
      <c r="X955" s="3">
        <v>45233</v>
      </c>
      <c r="Y955" cm="1">
        <f t="array" ref="Y955">SUMPRODUCT($T$2:$T$4,TRANSPOSE(B955:D955))</f>
        <v>-4.9610391960566852E-3</v>
      </c>
      <c r="AD955" s="3">
        <v>45232</v>
      </c>
      <c r="AE955" s="4">
        <v>6.6248670598837E-3</v>
      </c>
      <c r="AF955">
        <f t="shared" si="14"/>
        <v>0</v>
      </c>
      <c r="AG955" s="13"/>
    </row>
    <row r="956" spans="1:33" x14ac:dyDescent="0.35">
      <c r="A956" s="3">
        <v>45236</v>
      </c>
      <c r="B956" s="6">
        <f>LN(Raw!B958/Raw!B957)</f>
        <v>9.6037446094587586E-3</v>
      </c>
      <c r="C956" s="6">
        <f>LN(Raw!C958/Raw!C957)</f>
        <v>-1.2425288394747207E-2</v>
      </c>
      <c r="D956" s="6">
        <f>LN(Raw!D958/Raw!D957)</f>
        <v>2.0397823138960786E-2</v>
      </c>
      <c r="X956" s="3">
        <v>45236</v>
      </c>
      <c r="Y956" cm="1">
        <f t="array" ref="Y956">SUMPRODUCT($T$2:$T$4,TRANSPOSE(B956:D956))</f>
        <v>5.7416526282137422E-3</v>
      </c>
      <c r="AD956" s="3">
        <v>45233</v>
      </c>
      <c r="AE956" s="4">
        <v>-4.9610391960566852E-3</v>
      </c>
      <c r="AF956">
        <f t="shared" si="14"/>
        <v>0</v>
      </c>
      <c r="AG956" s="13"/>
    </row>
    <row r="957" spans="1:33" x14ac:dyDescent="0.35">
      <c r="A957" s="3">
        <v>45237</v>
      </c>
      <c r="B957" s="6">
        <f>LN(Raw!B959/Raw!B958)</f>
        <v>2.7219336820007468E-3</v>
      </c>
      <c r="C957" s="6">
        <f>LN(Raw!C959/Raw!C958)</f>
        <v>1.6166906513924689E-2</v>
      </c>
      <c r="D957" s="6">
        <f>LN(Raw!D959/Raw!D958)</f>
        <v>1.4419143665448044E-2</v>
      </c>
      <c r="X957" s="3">
        <v>45237</v>
      </c>
      <c r="Y957" cm="1">
        <f t="array" ref="Y957">SUMPRODUCT($T$2:$T$4,TRANSPOSE(B957:D957))</f>
        <v>5.9840173937561036E-3</v>
      </c>
      <c r="AD957" s="3">
        <v>45236</v>
      </c>
      <c r="AE957" s="4">
        <v>5.7416526282137422E-3</v>
      </c>
      <c r="AF957">
        <f t="shared" si="14"/>
        <v>0</v>
      </c>
      <c r="AG957" s="13"/>
    </row>
    <row r="958" spans="1:33" x14ac:dyDescent="0.35">
      <c r="A958" s="3">
        <v>45238</v>
      </c>
      <c r="B958" s="6">
        <f>LN(Raw!B960/Raw!B959)</f>
        <v>-8.4437830375304872E-3</v>
      </c>
      <c r="C958" s="6">
        <f>LN(Raw!C960/Raw!C959)</f>
        <v>7.877454875229695E-3</v>
      </c>
      <c r="D958" s="6">
        <f>LN(Raw!D960/Raw!D959)</f>
        <v>1.076581318921125E-2</v>
      </c>
      <c r="X958" s="3">
        <v>45238</v>
      </c>
      <c r="Y958" cm="1">
        <f t="array" ref="Y958">SUMPRODUCT($T$2:$T$4,TRANSPOSE(B958:D958))</f>
        <v>-4.2358996904281725E-3</v>
      </c>
      <c r="AD958" s="3">
        <v>45237</v>
      </c>
      <c r="AE958" s="4">
        <v>5.9840173937561036E-3</v>
      </c>
      <c r="AF958">
        <f t="shared" si="14"/>
        <v>0</v>
      </c>
      <c r="AG958" s="13"/>
    </row>
    <row r="959" spans="1:33" x14ac:dyDescent="0.35">
      <c r="A959" s="3">
        <v>45239</v>
      </c>
      <c r="B959" s="6">
        <f>LN(Raw!B961/Raw!B960)</f>
        <v>-7.9262288881882907E-3</v>
      </c>
      <c r="C959" s="6">
        <f>LN(Raw!C961/Raw!C960)</f>
        <v>-2.2037048357864356E-2</v>
      </c>
      <c r="D959" s="6">
        <f>LN(Raw!D961/Raw!D960)</f>
        <v>-5.1747888504323339E-2</v>
      </c>
      <c r="X959" s="3">
        <v>45239</v>
      </c>
      <c r="Y959" cm="1">
        <f t="array" ref="Y959">SUMPRODUCT($T$2:$T$4,TRANSPOSE(B959:D959))</f>
        <v>-1.2911036812420337E-2</v>
      </c>
      <c r="AD959" s="3">
        <v>45238</v>
      </c>
      <c r="AE959" s="4">
        <v>-4.2358996904281725E-3</v>
      </c>
      <c r="AF959">
        <f t="shared" si="14"/>
        <v>0</v>
      </c>
      <c r="AG959" s="13"/>
    </row>
    <row r="960" spans="1:33" x14ac:dyDescent="0.35">
      <c r="A960" s="3">
        <v>45240</v>
      </c>
      <c r="B960" s="6">
        <f>LN(Raw!B962/Raw!B961)</f>
        <v>-3.6537826515102884E-3</v>
      </c>
      <c r="C960" s="6">
        <f>LN(Raw!C962/Raw!C961)</f>
        <v>9.3147630145200225E-3</v>
      </c>
      <c r="D960" s="6">
        <f>LN(Raw!D962/Raw!D961)</f>
        <v>4.3557041370646359E-3</v>
      </c>
      <c r="X960" s="3">
        <v>45240</v>
      </c>
      <c r="Y960" cm="1">
        <f t="array" ref="Y960">SUMPRODUCT($T$2:$T$4,TRANSPOSE(B960:D960))</f>
        <v>-6.6928436782751251E-4</v>
      </c>
      <c r="AD960" s="3">
        <v>45239</v>
      </c>
      <c r="AE960" s="4">
        <v>-1.2911036812420337E-2</v>
      </c>
      <c r="AF960">
        <f t="shared" si="14"/>
        <v>0</v>
      </c>
      <c r="AG960" s="13"/>
    </row>
    <row r="961" spans="1:33" x14ac:dyDescent="0.35">
      <c r="A961" s="3">
        <v>45243</v>
      </c>
      <c r="B961" s="6">
        <f>LN(Raw!B963/Raw!B962)</f>
        <v>5.0528124504062985E-3</v>
      </c>
      <c r="C961" s="6">
        <f>LN(Raw!C963/Raw!C962)</f>
        <v>-9.9834197575633232E-3</v>
      </c>
      <c r="D961" s="6">
        <f>LN(Raw!D963/Raw!D962)</f>
        <v>2.185293326917653E-2</v>
      </c>
      <c r="X961" s="3">
        <v>45243</v>
      </c>
      <c r="Y961" cm="1">
        <f t="array" ref="Y961">SUMPRODUCT($T$2:$T$4,TRANSPOSE(B961:D961))</f>
        <v>2.8835000885941899E-3</v>
      </c>
      <c r="AD961" s="3">
        <v>45240</v>
      </c>
      <c r="AE961" s="4">
        <v>-6.6928436782751251E-4</v>
      </c>
      <c r="AF961">
        <f t="shared" si="14"/>
        <v>0</v>
      </c>
      <c r="AG961" s="13"/>
    </row>
    <row r="962" spans="1:33" x14ac:dyDescent="0.35">
      <c r="A962" s="3">
        <v>45245</v>
      </c>
      <c r="B962" s="6">
        <f>LN(Raw!B964/Raw!B963)</f>
        <v>2.6465916568289567E-2</v>
      </c>
      <c r="C962" s="6">
        <f>LN(Raw!C964/Raw!C963)</f>
        <v>2.4496540463632261E-3</v>
      </c>
      <c r="D962" s="6">
        <f>LN(Raw!D964/Raw!D963)</f>
        <v>1.5820479203328651E-2</v>
      </c>
      <c r="X962" s="3">
        <v>45245</v>
      </c>
      <c r="Y962" cm="1">
        <f t="array" ref="Y962">SUMPRODUCT($T$2:$T$4,TRANSPOSE(B962:D962))</f>
        <v>2.1146192866716089E-2</v>
      </c>
      <c r="AD962" s="3">
        <v>45243</v>
      </c>
      <c r="AE962" s="4">
        <v>2.8835000885941899E-3</v>
      </c>
      <c r="AF962">
        <f t="shared" si="14"/>
        <v>0</v>
      </c>
      <c r="AG962" s="13"/>
    </row>
    <row r="963" spans="1:33" x14ac:dyDescent="0.35">
      <c r="A963" s="3">
        <v>45246</v>
      </c>
      <c r="B963" s="6">
        <f>LN(Raw!B965/Raw!B964)</f>
        <v>2.8977836914370158E-3</v>
      </c>
      <c r="C963" s="6">
        <f>LN(Raw!C965/Raw!C964)</f>
        <v>7.3519985881219135E-2</v>
      </c>
      <c r="D963" s="6">
        <f>LN(Raw!D965/Raw!D964)</f>
        <v>3.5295708979684287E-2</v>
      </c>
      <c r="X963" s="3">
        <v>45246</v>
      </c>
      <c r="Y963" cm="1">
        <f t="array" ref="Y963">SUMPRODUCT($T$2:$T$4,TRANSPOSE(B963:D963))</f>
        <v>1.8595098467355659E-2</v>
      </c>
      <c r="AD963" s="3">
        <v>45245</v>
      </c>
      <c r="AE963" s="4">
        <v>2.1146192866716089E-2</v>
      </c>
      <c r="AF963">
        <f t="shared" ref="AF963:AF1026" si="15">IF(AE963&lt;$AB$2,1,0)</f>
        <v>0</v>
      </c>
      <c r="AG963" s="13"/>
    </row>
    <row r="964" spans="1:33" x14ac:dyDescent="0.35">
      <c r="A964" s="3">
        <v>45247</v>
      </c>
      <c r="B964" s="6">
        <f>LN(Raw!B966/Raw!B965)</f>
        <v>3.2718433866310022E-2</v>
      </c>
      <c r="C964" s="6">
        <f>LN(Raw!C966/Raw!C965)</f>
        <v>6.8096904146871376E-2</v>
      </c>
      <c r="D964" s="6">
        <f>LN(Raw!D966/Raw!D965)</f>
        <v>2.2966456723267085E-2</v>
      </c>
      <c r="X964" s="3">
        <v>45247</v>
      </c>
      <c r="Y964" cm="1">
        <f t="array" ref="Y964">SUMPRODUCT($T$2:$T$4,TRANSPOSE(B964:D964))</f>
        <v>3.9296220888509988E-2</v>
      </c>
      <c r="AD964" s="3">
        <v>45246</v>
      </c>
      <c r="AE964" s="4">
        <v>1.8595098467355659E-2</v>
      </c>
      <c r="AF964">
        <f t="shared" si="15"/>
        <v>0</v>
      </c>
      <c r="AG964" s="13"/>
    </row>
    <row r="965" spans="1:33" x14ac:dyDescent="0.35">
      <c r="A965" s="3">
        <v>45250</v>
      </c>
      <c r="B965" s="6">
        <f>LN(Raw!B967/Raw!B966)</f>
        <v>-3.4480013381011816E-5</v>
      </c>
      <c r="C965" s="6">
        <f>LN(Raw!C967/Raw!C966)</f>
        <v>1.5516065875226644E-2</v>
      </c>
      <c r="D965" s="6">
        <f>LN(Raw!D967/Raw!D966)</f>
        <v>1.987360925166639E-2</v>
      </c>
      <c r="X965" s="3">
        <v>45250</v>
      </c>
      <c r="Y965" cm="1">
        <f t="array" ref="Y965">SUMPRODUCT($T$2:$T$4,TRANSPOSE(B965:D965))</f>
        <v>4.0541662243679917E-3</v>
      </c>
      <c r="AD965" s="3">
        <v>45247</v>
      </c>
      <c r="AE965" s="4">
        <v>3.9296220888509988E-2</v>
      </c>
      <c r="AF965">
        <f t="shared" si="15"/>
        <v>0</v>
      </c>
      <c r="AG965" s="13"/>
    </row>
    <row r="966" spans="1:33" x14ac:dyDescent="0.35">
      <c r="A966" s="3">
        <v>45251</v>
      </c>
      <c r="B966" s="6">
        <f>LN(Raw!B968/Raw!B967)</f>
        <v>1.2814149893473892E-2</v>
      </c>
      <c r="C966" s="6">
        <f>LN(Raw!C968/Raw!C967)</f>
        <v>1.09642149927225E-2</v>
      </c>
      <c r="D966" s="6">
        <f>LN(Raw!D968/Raw!D967)</f>
        <v>6.1914124485572583E-2</v>
      </c>
      <c r="X966" s="3">
        <v>45251</v>
      </c>
      <c r="Y966" cm="1">
        <f t="array" ref="Y966">SUMPRODUCT($T$2:$T$4,TRANSPOSE(B966:D966))</f>
        <v>1.4874924908319369E-2</v>
      </c>
      <c r="AD966" s="3">
        <v>45250</v>
      </c>
      <c r="AE966" s="4">
        <v>4.0541662243679917E-3</v>
      </c>
      <c r="AF966">
        <f t="shared" si="15"/>
        <v>0</v>
      </c>
      <c r="AG966" s="13"/>
    </row>
    <row r="967" spans="1:33" x14ac:dyDescent="0.35">
      <c r="A967" s="3">
        <v>45252</v>
      </c>
      <c r="B967" s="6">
        <f>LN(Raw!B969/Raw!B968)</f>
        <v>-1.0741729862687156E-2</v>
      </c>
      <c r="C967" s="6">
        <f>LN(Raw!C969/Raw!C968)</f>
        <v>1.065927352126699E-2</v>
      </c>
      <c r="D967" s="6">
        <f>LN(Raw!D969/Raw!D968)</f>
        <v>6.7698376662579163E-2</v>
      </c>
      <c r="X967" s="3">
        <v>45252</v>
      </c>
      <c r="Y967" cm="1">
        <f t="array" ref="Y967">SUMPRODUCT($T$2:$T$4,TRANSPOSE(B967:D967))</f>
        <v>-2.5887629937771089E-3</v>
      </c>
      <c r="AD967" s="3">
        <v>45251</v>
      </c>
      <c r="AE967" s="4">
        <v>1.4874924908319369E-2</v>
      </c>
      <c r="AF967">
        <f t="shared" si="15"/>
        <v>0</v>
      </c>
      <c r="AG967" s="13"/>
    </row>
    <row r="968" spans="1:33" x14ac:dyDescent="0.35">
      <c r="A968" s="3">
        <v>45253</v>
      </c>
      <c r="B968" s="6">
        <f>LN(Raw!B970/Raw!B969)</f>
        <v>-6.994277285581091E-3</v>
      </c>
      <c r="C968" s="6">
        <f>LN(Raw!C970/Raw!C969)</f>
        <v>-1.9155419502441508E-2</v>
      </c>
      <c r="D968" s="6">
        <f>LN(Raw!D970/Raw!D969)</f>
        <v>-1.2833515716921795E-2</v>
      </c>
      <c r="X968" s="3">
        <v>45253</v>
      </c>
      <c r="Y968" cm="1">
        <f t="array" ref="Y968">SUMPRODUCT($T$2:$T$4,TRANSPOSE(B968:D968))</f>
        <v>-9.7102376874667589E-3</v>
      </c>
      <c r="AD968" s="3">
        <v>45252</v>
      </c>
      <c r="AE968" s="4">
        <v>-2.5887629937771089E-3</v>
      </c>
      <c r="AF968">
        <f t="shared" si="15"/>
        <v>0</v>
      </c>
      <c r="AG968" s="13"/>
    </row>
    <row r="969" spans="1:33" x14ac:dyDescent="0.35">
      <c r="A969" s="3">
        <v>45254</v>
      </c>
      <c r="B969" s="6">
        <f>LN(Raw!B971/Raw!B970)</f>
        <v>-3.4751352532960174E-4</v>
      </c>
      <c r="C969" s="6">
        <f>LN(Raw!C971/Raw!C970)</f>
        <v>0.1523612809940755</v>
      </c>
      <c r="D969" s="6">
        <f>LN(Raw!D971/Raw!D970)</f>
        <v>0.18213017356593431</v>
      </c>
      <c r="X969" s="3">
        <v>45254</v>
      </c>
      <c r="Y969" cm="1">
        <f t="array" ref="Y969">SUMPRODUCT($T$2:$T$4,TRANSPOSE(B969:D969))</f>
        <v>3.915912943474531E-2</v>
      </c>
      <c r="AD969" s="3">
        <v>45253</v>
      </c>
      <c r="AE969" s="4">
        <v>-9.7102376874667589E-3</v>
      </c>
      <c r="AF969">
        <f t="shared" si="15"/>
        <v>0</v>
      </c>
      <c r="AG969" s="13"/>
    </row>
    <row r="970" spans="1:33" x14ac:dyDescent="0.35">
      <c r="A970" s="3">
        <v>45258</v>
      </c>
      <c r="B970" s="6">
        <f>LN(Raw!B972/Raw!B971)</f>
        <v>8.0314450688302157E-3</v>
      </c>
      <c r="C970" s="6">
        <f>LN(Raw!C972/Raw!C971)</f>
        <v>1.5028161515338782E-2</v>
      </c>
      <c r="D970" s="6">
        <f>LN(Raw!D972/Raw!D971)</f>
        <v>7.8643196577475288E-2</v>
      </c>
      <c r="X970" s="3">
        <v>45258</v>
      </c>
      <c r="Y970" cm="1">
        <f t="array" ref="Y970">SUMPRODUCT($T$2:$T$4,TRANSPOSE(B970:D970))</f>
        <v>1.2922349614768678E-2</v>
      </c>
      <c r="AD970" s="3">
        <v>45254</v>
      </c>
      <c r="AE970" s="4">
        <v>3.915912943474531E-2</v>
      </c>
      <c r="AF970">
        <f t="shared" si="15"/>
        <v>0</v>
      </c>
      <c r="AG970" s="13"/>
    </row>
    <row r="971" spans="1:33" x14ac:dyDescent="0.35">
      <c r="A971" s="3">
        <v>45259</v>
      </c>
      <c r="B971" s="6">
        <f>LN(Raw!B973/Raw!B972)</f>
        <v>-6.572802176406818E-3</v>
      </c>
      <c r="C971" s="6">
        <f>LN(Raw!C973/Raw!C972)</f>
        <v>-2.3694633987262015E-2</v>
      </c>
      <c r="D971" s="6">
        <f>LN(Raw!D973/Raw!D972)</f>
        <v>2.5759942326599145E-2</v>
      </c>
      <c r="X971" s="3">
        <v>45259</v>
      </c>
      <c r="Y971" cm="1">
        <f t="array" ref="Y971">SUMPRODUCT($T$2:$T$4,TRANSPOSE(B971:D971))</f>
        <v>-8.3896223271398961E-3</v>
      </c>
      <c r="AD971" s="3">
        <v>45258</v>
      </c>
      <c r="AE971" s="4">
        <v>1.2922349614768678E-2</v>
      </c>
      <c r="AF971">
        <f t="shared" si="15"/>
        <v>0</v>
      </c>
      <c r="AG971" s="13"/>
    </row>
    <row r="972" spans="1:33" x14ac:dyDescent="0.35">
      <c r="A972" s="3">
        <v>45260</v>
      </c>
      <c r="B972" s="6">
        <f>LN(Raw!B974/Raw!B973)</f>
        <v>2.6982539973335152E-2</v>
      </c>
      <c r="C972" s="6">
        <f>LN(Raw!C974/Raw!C973)</f>
        <v>4.8406825610038902E-2</v>
      </c>
      <c r="D972" s="6">
        <f>LN(Raw!D974/Raw!D973)</f>
        <v>9.531013115779978E-2</v>
      </c>
      <c r="X972" s="3">
        <v>45260</v>
      </c>
      <c r="Y972" cm="1">
        <f t="array" ref="Y972">SUMPRODUCT($T$2:$T$4,TRANSPOSE(B972:D972))</f>
        <v>3.4639683429753439E-2</v>
      </c>
      <c r="AD972" s="3">
        <v>45259</v>
      </c>
      <c r="AE972" s="4">
        <v>-8.3896223271398961E-3</v>
      </c>
      <c r="AF972">
        <f t="shared" si="15"/>
        <v>0</v>
      </c>
      <c r="AG972" s="13"/>
    </row>
    <row r="973" spans="1:33" x14ac:dyDescent="0.35">
      <c r="A973" s="3">
        <v>45261</v>
      </c>
      <c r="B973" s="6">
        <f>LN(Raw!B975/Raw!B974)</f>
        <v>-1.5216615019161252E-2</v>
      </c>
      <c r="C973" s="6">
        <f>LN(Raw!C975/Raw!C974)</f>
        <v>-4.0391838313096944E-2</v>
      </c>
      <c r="D973" s="6">
        <f>LN(Raw!D975/Raw!D974)</f>
        <v>-9.8548111679846034E-2</v>
      </c>
      <c r="X973" s="3">
        <v>45261</v>
      </c>
      <c r="Y973" cm="1">
        <f t="array" ref="Y973">SUMPRODUCT($T$2:$T$4,TRANSPOSE(B973:D973))</f>
        <v>-2.4364870954535874E-2</v>
      </c>
      <c r="AD973" s="3">
        <v>45260</v>
      </c>
      <c r="AE973" s="4">
        <v>3.4639683429753439E-2</v>
      </c>
      <c r="AF973">
        <f t="shared" si="15"/>
        <v>0</v>
      </c>
      <c r="AG973" s="13"/>
    </row>
    <row r="974" spans="1:33" x14ac:dyDescent="0.35">
      <c r="A974" s="3">
        <v>45264</v>
      </c>
      <c r="B974" s="6">
        <f>LN(Raw!B976/Raw!B975)</f>
        <v>9.0490188182928751E-3</v>
      </c>
      <c r="C974" s="6">
        <f>LN(Raw!C976/Raw!C975)</f>
        <v>1.5358867470677487E-2</v>
      </c>
      <c r="D974" s="6">
        <f>LN(Raw!D976/Raw!D975)</f>
        <v>4.5024968624785333E-2</v>
      </c>
      <c r="X974" s="3">
        <v>45264</v>
      </c>
      <c r="Y974" cm="1">
        <f t="array" ref="Y974">SUMPRODUCT($T$2:$T$4,TRANSPOSE(B974:D974))</f>
        <v>1.2088716859154604E-2</v>
      </c>
      <c r="AD974" s="3">
        <v>45261</v>
      </c>
      <c r="AE974" s="4">
        <v>-2.4364870954535874E-2</v>
      </c>
      <c r="AF974">
        <f t="shared" si="15"/>
        <v>0</v>
      </c>
      <c r="AG974" s="13"/>
    </row>
    <row r="975" spans="1:33" x14ac:dyDescent="0.35">
      <c r="A975" s="3">
        <v>45265</v>
      </c>
      <c r="B975" s="6">
        <f>LN(Raw!B977/Raw!B976)</f>
        <v>-3.0982060972706525E-3</v>
      </c>
      <c r="C975" s="6">
        <f>LN(Raw!C977/Raw!C976)</f>
        <v>-1.5195877776034173E-2</v>
      </c>
      <c r="D975" s="6">
        <f>LN(Raw!D977/Raw!D976)</f>
        <v>-4.1356048448351931E-2</v>
      </c>
      <c r="X975" s="3">
        <v>45265</v>
      </c>
      <c r="Y975" cm="1">
        <f t="array" ref="Y975">SUMPRODUCT($T$2:$T$4,TRANSPOSE(B975:D975))</f>
        <v>-7.405900081427593E-3</v>
      </c>
      <c r="AD975" s="3">
        <v>45264</v>
      </c>
      <c r="AE975" s="4">
        <v>1.2088716859154604E-2</v>
      </c>
      <c r="AF975">
        <f t="shared" si="15"/>
        <v>0</v>
      </c>
      <c r="AG975" s="13"/>
    </row>
    <row r="976" spans="1:33" x14ac:dyDescent="0.35">
      <c r="A976" s="3">
        <v>45266</v>
      </c>
      <c r="B976" s="6">
        <f>LN(Raw!B978/Raw!B977)</f>
        <v>-1.4182748536930754E-2</v>
      </c>
      <c r="C976" s="6">
        <f>LN(Raw!C978/Raw!C977)</f>
        <v>-4.3445378858468504E-2</v>
      </c>
      <c r="D976" s="6">
        <f>LN(Raw!D978/Raw!D977)</f>
        <v>-1.6945866154471342E-2</v>
      </c>
      <c r="X976" s="3">
        <v>45266</v>
      </c>
      <c r="Y976" cm="1">
        <f t="array" ref="Y976">SUMPRODUCT($T$2:$T$4,TRANSPOSE(B976:D976))</f>
        <v>-2.0159382626542953E-2</v>
      </c>
      <c r="AD976" s="3">
        <v>45265</v>
      </c>
      <c r="AE976" s="4">
        <v>-7.405900081427593E-3</v>
      </c>
      <c r="AF976">
        <f t="shared" si="15"/>
        <v>0</v>
      </c>
      <c r="AG976" s="13"/>
    </row>
    <row r="977" spans="1:33" x14ac:dyDescent="0.35">
      <c r="A977" s="3">
        <v>45267</v>
      </c>
      <c r="B977" s="6">
        <f>LN(Raw!B979/Raw!B978)</f>
        <v>2.5905065142595341E-3</v>
      </c>
      <c r="C977" s="6">
        <f>LN(Raw!C979/Raw!C978)</f>
        <v>5.6071001275817697E-2</v>
      </c>
      <c r="D977" s="6">
        <f>LN(Raw!D979/Raw!D978)</f>
        <v>3.6571046598858847E-2</v>
      </c>
      <c r="X977" s="3">
        <v>45267</v>
      </c>
      <c r="Y977" cm="1">
        <f t="array" ref="Y977">SUMPRODUCT($T$2:$T$4,TRANSPOSE(B977:D977))</f>
        <v>1.4945207274825794E-2</v>
      </c>
      <c r="AD977" s="3">
        <v>45266</v>
      </c>
      <c r="AE977" s="4">
        <v>-2.0159382626542953E-2</v>
      </c>
      <c r="AF977">
        <f t="shared" si="15"/>
        <v>0</v>
      </c>
      <c r="AG977" s="13"/>
    </row>
    <row r="978" spans="1:33" x14ac:dyDescent="0.35">
      <c r="A978" s="3">
        <v>45268</v>
      </c>
      <c r="B978" s="6">
        <f>LN(Raw!B980/Raw!B979)</f>
        <v>-3.4316146638168088E-5</v>
      </c>
      <c r="C978" s="6">
        <f>LN(Raw!C980/Raw!C979)</f>
        <v>-2.12965593090624E-2</v>
      </c>
      <c r="D978" s="6">
        <f>LN(Raw!D980/Raw!D979)</f>
        <v>-3.6790175654915484E-2</v>
      </c>
      <c r="X978" s="3">
        <v>45268</v>
      </c>
      <c r="Y978" cm="1">
        <f t="array" ref="Y978">SUMPRODUCT($T$2:$T$4,TRANSPOSE(B978:D978))</f>
        <v>-6.0966328813127279E-3</v>
      </c>
      <c r="AD978" s="3">
        <v>45267</v>
      </c>
      <c r="AE978" s="4">
        <v>1.4945207274825794E-2</v>
      </c>
      <c r="AF978">
        <f t="shared" si="15"/>
        <v>0</v>
      </c>
      <c r="AG978" s="13"/>
    </row>
    <row r="979" spans="1:33" x14ac:dyDescent="0.35">
      <c r="A979" s="3">
        <v>45271</v>
      </c>
      <c r="B979" s="6">
        <f>LN(Raw!B981/Raw!B980)</f>
        <v>-1.6572830679377768E-3</v>
      </c>
      <c r="C979" s="6">
        <f>LN(Raw!C981/Raw!C980)</f>
        <v>2.1339143952240885E-3</v>
      </c>
      <c r="D979" s="6">
        <f>LN(Raw!D981/Raw!D980)</f>
        <v>0</v>
      </c>
      <c r="X979" s="3">
        <v>45271</v>
      </c>
      <c r="Y979" cm="1">
        <f t="array" ref="Y979">SUMPRODUCT($T$2:$T$4,TRANSPOSE(B979:D979))</f>
        <v>-8.1866190066774984E-4</v>
      </c>
      <c r="AD979" s="3">
        <v>45268</v>
      </c>
      <c r="AE979" s="4">
        <v>-6.0966328813127279E-3</v>
      </c>
      <c r="AF979">
        <f t="shared" si="15"/>
        <v>0</v>
      </c>
      <c r="AG979" s="13"/>
    </row>
    <row r="980" spans="1:33" x14ac:dyDescent="0.35">
      <c r="A980" s="3">
        <v>45272</v>
      </c>
      <c r="B980" s="6">
        <f>LN(Raw!B982/Raw!B981)</f>
        <v>5.7538281637017821E-3</v>
      </c>
      <c r="C980" s="6">
        <f>LN(Raw!C982/Raw!C981)</f>
        <v>2.413654893626475E-2</v>
      </c>
      <c r="D980" s="6">
        <f>LN(Raw!D982/Raw!D981)</f>
        <v>3.7212625767595681E-2</v>
      </c>
      <c r="X980" s="3">
        <v>45272</v>
      </c>
      <c r="Y980" cm="1">
        <f t="array" ref="Y980">SUMPRODUCT($T$2:$T$4,TRANSPOSE(B980:D980))</f>
        <v>1.0979331897431244E-2</v>
      </c>
      <c r="AD980" s="3">
        <v>45271</v>
      </c>
      <c r="AE980" s="4">
        <v>-8.1866190066774984E-4</v>
      </c>
      <c r="AF980">
        <f t="shared" si="15"/>
        <v>0</v>
      </c>
      <c r="AG980" s="13"/>
    </row>
    <row r="981" spans="1:33" x14ac:dyDescent="0.35">
      <c r="A981" s="3">
        <v>45273</v>
      </c>
      <c r="B981" s="6">
        <f>LN(Raw!B983/Raw!B982)</f>
        <v>-1.3406658639810373E-3</v>
      </c>
      <c r="C981" s="6">
        <f>LN(Raw!C983/Raw!C982)</f>
        <v>1.6001741484900769E-4</v>
      </c>
      <c r="D981" s="6">
        <f>LN(Raw!D983/Raw!D982)</f>
        <v>-7.6304197638563569E-3</v>
      </c>
      <c r="X981" s="3">
        <v>45273</v>
      </c>
      <c r="Y981" cm="1">
        <f t="array" ref="Y981">SUMPRODUCT($T$2:$T$4,TRANSPOSE(B981:D981))</f>
        <v>-1.352457964570717E-3</v>
      </c>
      <c r="AD981" s="3">
        <v>45272</v>
      </c>
      <c r="AE981" s="4">
        <v>1.0979331897431244E-2</v>
      </c>
      <c r="AF981">
        <f t="shared" si="15"/>
        <v>0</v>
      </c>
      <c r="AG981" s="13"/>
    </row>
    <row r="982" spans="1:33" x14ac:dyDescent="0.35">
      <c r="A982" s="3">
        <v>45274</v>
      </c>
      <c r="B982" s="6">
        <f>LN(Raw!B984/Raw!B983)</f>
        <v>6.549271981329958E-3</v>
      </c>
      <c r="C982" s="6">
        <f>LN(Raw!C984/Raw!C983)</f>
        <v>1.7587092302352621E-3</v>
      </c>
      <c r="D982" s="6">
        <f>LN(Raw!D984/Raw!D983)</f>
        <v>-1.9117802164246512E-2</v>
      </c>
      <c r="X982" s="3">
        <v>45274</v>
      </c>
      <c r="Y982" cm="1">
        <f t="array" ref="Y982">SUMPRODUCT($T$2:$T$4,TRANSPOSE(B982:D982))</f>
        <v>4.3229621729466974E-3</v>
      </c>
      <c r="AD982" s="3">
        <v>45273</v>
      </c>
      <c r="AE982" s="4">
        <v>-1.352457964570717E-3</v>
      </c>
      <c r="AF982">
        <f t="shared" si="15"/>
        <v>0</v>
      </c>
      <c r="AG982" s="13"/>
    </row>
    <row r="983" spans="1:33" x14ac:dyDescent="0.35">
      <c r="A983" s="3">
        <v>45275</v>
      </c>
      <c r="B983" s="6">
        <f>LN(Raw!B985/Raw!B984)</f>
        <v>-7.7540773441186293E-3</v>
      </c>
      <c r="C983" s="6">
        <f>LN(Raw!C985/Raw!C984)</f>
        <v>1.6791082459636418E-2</v>
      </c>
      <c r="D983" s="6">
        <f>LN(Raw!D985/Raw!D984)</f>
        <v>-2.7706200219206674E-2</v>
      </c>
      <c r="X983" s="3">
        <v>45275</v>
      </c>
      <c r="Y983" cm="1">
        <f t="array" ref="Y983">SUMPRODUCT($T$2:$T$4,TRANSPOSE(B983:D983))</f>
        <v>-3.8430793743810415E-3</v>
      </c>
      <c r="AD983" s="3">
        <v>45274</v>
      </c>
      <c r="AE983" s="4">
        <v>4.3229621729466974E-3</v>
      </c>
      <c r="AF983">
        <f t="shared" si="15"/>
        <v>0</v>
      </c>
      <c r="AG983" s="13"/>
    </row>
    <row r="984" spans="1:33" x14ac:dyDescent="0.35">
      <c r="A984" s="3">
        <v>45278</v>
      </c>
      <c r="B984" s="6">
        <f>LN(Raw!B986/Raw!B985)</f>
        <v>-1.5856472971328571E-3</v>
      </c>
      <c r="C984" s="6">
        <f>LN(Raw!C986/Raw!C985)</f>
        <v>4.0759503472584E-3</v>
      </c>
      <c r="D984" s="6">
        <f>LN(Raw!D986/Raw!D985)</f>
        <v>9.7626932201270913E-3</v>
      </c>
      <c r="X984" s="3">
        <v>45278</v>
      </c>
      <c r="Y984" cm="1">
        <f t="array" ref="Y984">SUMPRODUCT($T$2:$T$4,TRANSPOSE(B984:D984))</f>
        <v>1.0585754967623378E-4</v>
      </c>
      <c r="AD984" s="3">
        <v>45275</v>
      </c>
      <c r="AE984" s="4">
        <v>-3.8430793743810415E-3</v>
      </c>
      <c r="AF984">
        <f t="shared" si="15"/>
        <v>0</v>
      </c>
      <c r="AG984" s="13"/>
    </row>
    <row r="985" spans="1:33" x14ac:dyDescent="0.35">
      <c r="A985" s="3">
        <v>45279</v>
      </c>
      <c r="B985" s="6">
        <f>LN(Raw!B987/Raw!B986)</f>
        <v>-5.0495227085892219E-3</v>
      </c>
      <c r="C985" s="6">
        <f>LN(Raw!C987/Raw!C986)</f>
        <v>1.073678999958699E-2</v>
      </c>
      <c r="D985" s="6">
        <f>LN(Raw!D987/Raw!D986)</f>
        <v>-4.4258136019406681E-3</v>
      </c>
      <c r="X985" s="3">
        <v>45279</v>
      </c>
      <c r="Y985" cm="1">
        <f t="array" ref="Y985">SUMPRODUCT($T$2:$T$4,TRANSPOSE(B985:D985))</f>
        <v>-1.8682109715815825E-3</v>
      </c>
      <c r="AD985" s="3">
        <v>45278</v>
      </c>
      <c r="AE985" s="4">
        <v>1.0585754967623378E-4</v>
      </c>
      <c r="AF985">
        <f t="shared" si="15"/>
        <v>0</v>
      </c>
      <c r="AG985" s="13"/>
    </row>
    <row r="986" spans="1:33" x14ac:dyDescent="0.35">
      <c r="A986" s="3">
        <v>45280</v>
      </c>
      <c r="B986" s="6">
        <f>LN(Raw!B988/Raw!B987)</f>
        <v>-2.0209107326737207E-2</v>
      </c>
      <c r="C986" s="6">
        <f>LN(Raw!C988/Raw!C987)</f>
        <v>-5.5857279481387717E-2</v>
      </c>
      <c r="D986" s="6">
        <f>LN(Raw!D988/Raw!D987)</f>
        <v>-5.2823541467112989E-2</v>
      </c>
      <c r="X986" s="3">
        <v>45280</v>
      </c>
      <c r="Y986" cm="1">
        <f t="array" ref="Y986">SUMPRODUCT($T$2:$T$4,TRANSPOSE(B986:D986))</f>
        <v>-2.89374366572159E-2</v>
      </c>
      <c r="AD986" s="3">
        <v>45279</v>
      </c>
      <c r="AE986" s="4">
        <v>-1.8682109715815825E-3</v>
      </c>
      <c r="AF986">
        <f t="shared" si="15"/>
        <v>0</v>
      </c>
      <c r="AG986" s="13"/>
    </row>
    <row r="987" spans="1:33" x14ac:dyDescent="0.35">
      <c r="A987" s="3">
        <v>45281</v>
      </c>
      <c r="B987" s="6">
        <f>LN(Raw!B989/Raw!B988)</f>
        <v>-5.2856075574334738E-3</v>
      </c>
      <c r="C987" s="6">
        <f>LN(Raw!C989/Raw!C988)</f>
        <v>1.6556154479496474E-2</v>
      </c>
      <c r="D987" s="6">
        <f>LN(Raw!D989/Raw!D988)</f>
        <v>1.1853658428200832E-2</v>
      </c>
      <c r="X987" s="3">
        <v>45281</v>
      </c>
      <c r="Y987" cm="1">
        <f t="array" ref="Y987">SUMPRODUCT($T$2:$T$4,TRANSPOSE(B987:D987))</f>
        <v>-7.8464655779294894E-5</v>
      </c>
      <c r="AD987" s="3">
        <v>45280</v>
      </c>
      <c r="AE987" s="4">
        <v>-2.89374366572159E-2</v>
      </c>
      <c r="AF987">
        <f t="shared" si="15"/>
        <v>0</v>
      </c>
      <c r="AG987" s="13"/>
    </row>
    <row r="988" spans="1:33" x14ac:dyDescent="0.35">
      <c r="A988" s="3">
        <v>45282</v>
      </c>
      <c r="B988" s="6">
        <f>LN(Raw!B990/Raw!B989)</f>
        <v>1.1915236224637625E-2</v>
      </c>
      <c r="C988" s="6">
        <f>LN(Raw!C990/Raw!C989)</f>
        <v>1.1364722436529714E-2</v>
      </c>
      <c r="D988" s="6">
        <f>LN(Raw!D990/Raw!D989)</f>
        <v>5.3002096445378642E-3</v>
      </c>
      <c r="X988" s="3">
        <v>45282</v>
      </c>
      <c r="Y988" cm="1">
        <f t="array" ref="Y988">SUMPRODUCT($T$2:$T$4,TRANSPOSE(B988:D988))</f>
        <v>1.1477992751925233E-2</v>
      </c>
      <c r="AD988" s="3">
        <v>45281</v>
      </c>
      <c r="AE988" s="4">
        <v>-7.8464655779294894E-5</v>
      </c>
      <c r="AF988">
        <f t="shared" si="15"/>
        <v>0</v>
      </c>
      <c r="AG988" s="13"/>
    </row>
    <row r="989" spans="1:33" x14ac:dyDescent="0.35">
      <c r="A989" s="3">
        <v>45286</v>
      </c>
      <c r="B989" s="6">
        <f>LN(Raw!B991/Raw!B990)</f>
        <v>-4.5796069649423907E-3</v>
      </c>
      <c r="C989" s="6">
        <f>LN(Raw!C991/Raw!C990)</f>
        <v>-5.7462929067615036E-3</v>
      </c>
      <c r="D989" s="6">
        <f>LN(Raw!D991/Raw!D990)</f>
        <v>-2.2310984596128791E-2</v>
      </c>
      <c r="X989" s="3">
        <v>45286</v>
      </c>
      <c r="Y989" cm="1">
        <f t="array" ref="Y989">SUMPRODUCT($T$2:$T$4,TRANSPOSE(B989:D989))</f>
        <v>-5.6899680227164842E-3</v>
      </c>
      <c r="AD989" s="3">
        <v>45282</v>
      </c>
      <c r="AE989" s="4">
        <v>1.1477992751925233E-2</v>
      </c>
      <c r="AF989">
        <f t="shared" si="15"/>
        <v>0</v>
      </c>
      <c r="AG989" s="13"/>
    </row>
    <row r="990" spans="1:33" x14ac:dyDescent="0.35">
      <c r="A990" s="3">
        <v>45287</v>
      </c>
      <c r="B990" s="6">
        <f>LN(Raw!B992/Raw!B991)</f>
        <v>-7.7704251578830598E-4</v>
      </c>
      <c r="C990" s="6">
        <f>LN(Raw!C992/Raw!C991)</f>
        <v>4.3128123282484693E-3</v>
      </c>
      <c r="D990" s="6">
        <f>LN(Raw!D992/Raw!D991)</f>
        <v>2.3474083148942808E-3</v>
      </c>
      <c r="X990" s="3">
        <v>45287</v>
      </c>
      <c r="Y990" cm="1">
        <f t="array" ref="Y990">SUMPRODUCT($T$2:$T$4,TRANSPOSE(B990:D990))</f>
        <v>3.9335950858864171E-4</v>
      </c>
      <c r="AD990" s="3">
        <v>45286</v>
      </c>
      <c r="AE990" s="4">
        <v>-5.6899680227164842E-3</v>
      </c>
      <c r="AF990">
        <f t="shared" si="15"/>
        <v>0</v>
      </c>
      <c r="AG990" s="13"/>
    </row>
    <row r="991" spans="1:33" x14ac:dyDescent="0.35">
      <c r="A991" s="3">
        <v>45288</v>
      </c>
      <c r="B991" s="6">
        <f>LN(Raw!B993/Raw!B992)</f>
        <v>1.5428050019070586E-2</v>
      </c>
      <c r="C991" s="6">
        <f>LN(Raw!C993/Raw!C992)</f>
        <v>7.9662038723385886E-4</v>
      </c>
      <c r="D991" s="6">
        <f>LN(Raw!D993/Raw!D992)</f>
        <v>9.3742260472760885E-4</v>
      </c>
      <c r="X991" s="3">
        <v>45288</v>
      </c>
      <c r="Y991" cm="1">
        <f t="array" ref="Y991">SUMPRODUCT($T$2:$T$4,TRANSPOSE(B991:D991))</f>
        <v>1.1790940703522601E-2</v>
      </c>
      <c r="AD991" s="3">
        <v>45287</v>
      </c>
      <c r="AE991" s="4">
        <v>3.9335950858864171E-4</v>
      </c>
      <c r="AF991">
        <f t="shared" si="15"/>
        <v>0</v>
      </c>
      <c r="AG991" s="13"/>
    </row>
    <row r="992" spans="1:33" x14ac:dyDescent="0.35">
      <c r="A992" s="3">
        <v>45289</v>
      </c>
      <c r="B992" s="6">
        <f>LN(Raw!B994/Raw!B993)</f>
        <v>-1.183032682662765E-2</v>
      </c>
      <c r="C992" s="6">
        <f>LN(Raw!C994/Raw!C993)</f>
        <v>-1.897162437805363E-2</v>
      </c>
      <c r="D992" s="6">
        <f>LN(Raw!D994/Raw!D993)</f>
        <v>-1.462973673851955E-2</v>
      </c>
      <c r="X992" s="3">
        <v>45289</v>
      </c>
      <c r="Y992" cm="1">
        <f t="array" ref="Y992">SUMPRODUCT($T$2:$T$4,TRANSPOSE(B992:D992))</f>
        <v>-1.3394044934661186E-2</v>
      </c>
      <c r="AD992" s="3">
        <v>45288</v>
      </c>
      <c r="AE992" s="4">
        <v>1.1790940703522601E-2</v>
      </c>
      <c r="AF992">
        <f t="shared" si="15"/>
        <v>0</v>
      </c>
      <c r="AG992" s="13"/>
    </row>
    <row r="993" spans="1:33" x14ac:dyDescent="0.35">
      <c r="A993" s="3">
        <v>45292</v>
      </c>
      <c r="B993" s="6">
        <f>LN(Raw!B995/Raw!B994)</f>
        <v>1.1969543495039689E-2</v>
      </c>
      <c r="C993" s="6">
        <f>LN(Raw!C995/Raw!C994)</f>
        <v>1.2580821273441076E-2</v>
      </c>
      <c r="D993" s="6">
        <f>LN(Raw!D995/Raw!D994)</f>
        <v>2.9279535838198721E-2</v>
      </c>
      <c r="X993" s="3">
        <v>45292</v>
      </c>
      <c r="Y993" cm="1">
        <f t="array" ref="Y993">SUMPRODUCT($T$2:$T$4,TRANSPOSE(B993:D993))</f>
        <v>1.2948208340340148E-2</v>
      </c>
      <c r="AD993" s="3">
        <v>45289</v>
      </c>
      <c r="AE993" s="4">
        <v>-1.3394044934661186E-2</v>
      </c>
      <c r="AF993">
        <f t="shared" si="15"/>
        <v>0</v>
      </c>
      <c r="AG993" s="13"/>
    </row>
    <row r="994" spans="1:33" x14ac:dyDescent="0.35">
      <c r="A994" s="3">
        <v>45293</v>
      </c>
      <c r="B994" s="6">
        <f>LN(Raw!B996/Raw!B995)</f>
        <v>-1.2462538501042347E-2</v>
      </c>
      <c r="C994" s="6">
        <f>LN(Raw!C996/Raw!C995)</f>
        <v>-7.5617163334095079E-3</v>
      </c>
      <c r="D994" s="6">
        <f>LN(Raw!D996/Raw!D995)</f>
        <v>-1.3713254433156586E-2</v>
      </c>
      <c r="X994" s="3">
        <v>45293</v>
      </c>
      <c r="Y994" cm="1">
        <f t="array" ref="Y994">SUMPRODUCT($T$2:$T$4,TRANSPOSE(B994:D994))</f>
        <v>-1.1546388747700019E-2</v>
      </c>
      <c r="AD994" s="3">
        <v>45292</v>
      </c>
      <c r="AE994" s="4">
        <v>1.2948208340340148E-2</v>
      </c>
      <c r="AF994">
        <f t="shared" si="15"/>
        <v>0</v>
      </c>
      <c r="AG994" s="13"/>
    </row>
    <row r="995" spans="1:33" x14ac:dyDescent="0.35">
      <c r="A995" s="3">
        <v>45294</v>
      </c>
      <c r="B995" s="6">
        <f>LN(Raw!B997/Raw!B996)</f>
        <v>-2.9601094177807749E-2</v>
      </c>
      <c r="C995" s="6">
        <f>LN(Raw!C997/Raw!C996)</f>
        <v>3.3856018825185966E-3</v>
      </c>
      <c r="D995" s="6">
        <f>LN(Raw!D997/Raw!D996)</f>
        <v>2.2446894530081685E-2</v>
      </c>
      <c r="X995" s="3">
        <v>45294</v>
      </c>
      <c r="Y995" cm="1">
        <f t="array" ref="Y995">SUMPRODUCT($T$2:$T$4,TRANSPOSE(B995:D995))</f>
        <v>-2.0442141388331444E-2</v>
      </c>
      <c r="AD995" s="3">
        <v>45293</v>
      </c>
      <c r="AE995" s="4">
        <v>-1.1546388747700019E-2</v>
      </c>
      <c r="AF995">
        <f t="shared" si="15"/>
        <v>0</v>
      </c>
      <c r="AG995" s="13"/>
    </row>
    <row r="996" spans="1:33" x14ac:dyDescent="0.35">
      <c r="A996" s="3">
        <v>45295</v>
      </c>
      <c r="B996" s="6">
        <f>LN(Raw!B998/Raw!B997)</f>
        <v>1.0970081401543244E-2</v>
      </c>
      <c r="C996" s="6">
        <f>LN(Raw!C998/Raw!C997)</f>
        <v>1.8972347331276406E-2</v>
      </c>
      <c r="D996" s="6">
        <f>LN(Raw!D998/Raw!D997)</f>
        <v>4.2340307920252222E-2</v>
      </c>
      <c r="X996" s="3">
        <v>45295</v>
      </c>
      <c r="Y996" cm="1">
        <f t="array" ref="Y996">SUMPRODUCT($T$2:$T$4,TRANSPOSE(B996:D996))</f>
        <v>1.4119594160479984E-2</v>
      </c>
      <c r="AD996" s="3">
        <v>45294</v>
      </c>
      <c r="AE996" s="4">
        <v>-2.0442141388331444E-2</v>
      </c>
      <c r="AF996">
        <f t="shared" si="15"/>
        <v>0</v>
      </c>
      <c r="AG996" s="13"/>
    </row>
    <row r="997" spans="1:33" x14ac:dyDescent="0.35">
      <c r="A997" s="3">
        <v>45296</v>
      </c>
      <c r="B997" s="6">
        <f>LN(Raw!B999/Raw!B998)</f>
        <v>1.721225953847846E-3</v>
      </c>
      <c r="C997" s="6">
        <f>LN(Raw!C999/Raw!C998)</f>
        <v>-7.4503427075488437E-3</v>
      </c>
      <c r="D997" s="6">
        <f>LN(Raw!D999/Raw!D998)</f>
        <v>5.4686533055607525E-3</v>
      </c>
      <c r="X997" s="3">
        <v>45296</v>
      </c>
      <c r="Y997" cm="1">
        <f t="array" ref="Y997">SUMPRODUCT($T$2:$T$4,TRANSPOSE(B997:D997))</f>
        <v>7.6334094946122041E-5</v>
      </c>
      <c r="AD997" s="3">
        <v>45295</v>
      </c>
      <c r="AE997" s="4">
        <v>1.4119594160479984E-2</v>
      </c>
      <c r="AF997">
        <f t="shared" si="15"/>
        <v>0</v>
      </c>
      <c r="AG997" s="13"/>
    </row>
    <row r="998" spans="1:33" x14ac:dyDescent="0.35">
      <c r="A998" s="3">
        <v>45299</v>
      </c>
      <c r="B998" s="6">
        <f>LN(Raw!B1000/Raw!B999)</f>
        <v>3.5727655093155603E-5</v>
      </c>
      <c r="C998" s="6">
        <f>LN(Raw!C1000/Raw!C999)</f>
        <v>-1.007446005311355E-2</v>
      </c>
      <c r="D998" s="6">
        <f>LN(Raw!D1000/Raw!D999)</f>
        <v>-3.146724866638119E-2</v>
      </c>
      <c r="X998" s="3">
        <v>45299</v>
      </c>
      <c r="Y998" cm="1">
        <f t="array" ref="Y998">SUMPRODUCT($T$2:$T$4,TRANSPOSE(B998:D998))</f>
        <v>-3.5410289209580788E-3</v>
      </c>
      <c r="AD998" s="3">
        <v>45296</v>
      </c>
      <c r="AE998" s="4">
        <v>7.6334094946122041E-5</v>
      </c>
      <c r="AF998">
        <f t="shared" si="15"/>
        <v>0</v>
      </c>
      <c r="AG998" s="13"/>
    </row>
    <row r="999" spans="1:33" x14ac:dyDescent="0.35">
      <c r="A999" s="3">
        <v>45300</v>
      </c>
      <c r="B999" s="6">
        <f>LN(Raw!B1001/Raw!B1000)</f>
        <v>-4.6580082470447175E-4</v>
      </c>
      <c r="C999" s="6">
        <f>LN(Raw!C1001/Raw!C1000)</f>
        <v>-3.8647504219085325E-3</v>
      </c>
      <c r="D999" s="6">
        <f>LN(Raw!D1001/Raw!D1000)</f>
        <v>-3.3825563339889859E-3</v>
      </c>
      <c r="X999" s="3">
        <v>45300</v>
      </c>
      <c r="Y999" cm="1">
        <f t="array" ref="Y999">SUMPRODUCT($T$2:$T$4,TRANSPOSE(B999:D999))</f>
        <v>-1.2884732453241623E-3</v>
      </c>
      <c r="AD999" s="3">
        <v>45299</v>
      </c>
      <c r="AE999" s="4">
        <v>-3.5410289209580788E-3</v>
      </c>
      <c r="AF999">
        <f t="shared" si="15"/>
        <v>0</v>
      </c>
      <c r="AG999" s="13"/>
    </row>
    <row r="1000" spans="1:33" x14ac:dyDescent="0.35">
      <c r="A1000" s="3">
        <v>45301</v>
      </c>
      <c r="B1000" s="6">
        <f>LN(Raw!B1002/Raw!B1001)</f>
        <v>-4.9946578955514754E-3</v>
      </c>
      <c r="C1000" s="6">
        <f>LN(Raw!C1002/Raw!C1001)</f>
        <v>-1.6757897607532608E-2</v>
      </c>
      <c r="D1000" s="6">
        <f>LN(Raw!D1002/Raw!D1001)</f>
        <v>-2.6320270586974972E-2</v>
      </c>
      <c r="X1000" s="3">
        <v>45301</v>
      </c>
      <c r="Y1000" cm="1">
        <f t="array" ref="Y1000">SUMPRODUCT($T$2:$T$4,TRANSPOSE(B1000:D1000))</f>
        <v>-8.3976320227366844E-3</v>
      </c>
      <c r="AD1000" s="3">
        <v>45300</v>
      </c>
      <c r="AE1000" s="4">
        <v>-1.2884732453241623E-3</v>
      </c>
      <c r="AF1000">
        <f t="shared" si="15"/>
        <v>0</v>
      </c>
      <c r="AG1000" s="13"/>
    </row>
    <row r="1001" spans="1:33" x14ac:dyDescent="0.35">
      <c r="A1001" s="3">
        <v>45302</v>
      </c>
      <c r="B1001" s="6">
        <f>LN(Raw!B1003/Raw!B1002)</f>
        <v>3.7392943136280248E-3</v>
      </c>
      <c r="C1001" s="6">
        <f>LN(Raw!C1003/Raw!C1002)</f>
        <v>-3.4512607997705148E-3</v>
      </c>
      <c r="D1001" s="6">
        <f>LN(Raw!D1003/Raw!D1002)</f>
        <v>-9.3196888165215618E-3</v>
      </c>
      <c r="X1001" s="3">
        <v>45302</v>
      </c>
      <c r="Y1001" cm="1">
        <f t="array" ref="Y1001">SUMPRODUCT($T$2:$T$4,TRANSPOSE(B1001:D1001))</f>
        <v>1.6579984385480043E-3</v>
      </c>
      <c r="AD1001" s="3">
        <v>45301</v>
      </c>
      <c r="AE1001" s="4">
        <v>-8.3976320227366844E-3</v>
      </c>
      <c r="AF1001">
        <f t="shared" si="15"/>
        <v>0</v>
      </c>
      <c r="AG1001" s="13"/>
    </row>
    <row r="1002" spans="1:33" x14ac:dyDescent="0.35">
      <c r="A1002" s="3">
        <v>45303</v>
      </c>
      <c r="B1002" s="6">
        <f>LN(Raw!B1004/Raw!B1003)</f>
        <v>6.0999557422970264E-4</v>
      </c>
      <c r="C1002" s="6">
        <f>LN(Raw!C1004/Raw!C1003)</f>
        <v>5.7456070344848852E-3</v>
      </c>
      <c r="D1002" s="6">
        <f>LN(Raw!D1004/Raw!D1003)</f>
        <v>6.9978967632387881E-3</v>
      </c>
      <c r="X1002" s="3">
        <v>45303</v>
      </c>
      <c r="Y1002" cm="1">
        <f t="array" ref="Y1002">SUMPRODUCT($T$2:$T$4,TRANSPOSE(B1002:D1002))</f>
        <v>1.9510376614095928E-3</v>
      </c>
      <c r="AD1002" s="3">
        <v>45302</v>
      </c>
      <c r="AE1002" s="4">
        <v>1.6579984385480043E-3</v>
      </c>
      <c r="AF1002">
        <f t="shared" si="15"/>
        <v>0</v>
      </c>
      <c r="AG1002" s="13"/>
    </row>
    <row r="1003" spans="1:33" x14ac:dyDescent="0.35">
      <c r="A1003" s="3">
        <v>45306</v>
      </c>
      <c r="B1003" s="6">
        <f>LN(Raw!B1005/Raw!B1004)</f>
        <v>-1.5396530179551216E-2</v>
      </c>
      <c r="C1003" s="6">
        <f>LN(Raw!C1005/Raw!C1004)</f>
        <v>1.8649751437145905E-2</v>
      </c>
      <c r="D1003" s="6">
        <f>LN(Raw!D1005/Raw!D1004)</f>
        <v>8.5637650689606003E-3</v>
      </c>
      <c r="X1003" s="3">
        <v>45306</v>
      </c>
      <c r="Y1003" cm="1">
        <f t="array" ref="Y1003">SUMPRODUCT($T$2:$T$4,TRANSPOSE(B1003:D1003))</f>
        <v>-7.4161810580752338E-3</v>
      </c>
      <c r="AD1003" s="3">
        <v>45303</v>
      </c>
      <c r="AE1003">
        <v>1.9510376614095928E-3</v>
      </c>
      <c r="AF1003">
        <f t="shared" si="15"/>
        <v>0</v>
      </c>
    </row>
    <row r="1004" spans="1:33" x14ac:dyDescent="0.35">
      <c r="A1004" s="3">
        <v>45307</v>
      </c>
      <c r="B1004" s="6">
        <f>LN(Raw!B1006/Raw!B1005)</f>
        <v>1.0191013684275572E-3</v>
      </c>
      <c r="C1004" s="6">
        <f>LN(Raw!C1006/Raw!C1005)</f>
        <v>-2.8963587409605619E-3</v>
      </c>
      <c r="D1004" s="6">
        <f>LN(Raw!D1006/Raw!D1005)</f>
        <v>3.0191903220847829E-2</v>
      </c>
      <c r="X1004" s="3">
        <v>45307</v>
      </c>
      <c r="Y1004" cm="1">
        <f t="array" ref="Y1004">SUMPRODUCT($T$2:$T$4,TRANSPOSE(B1004:D1004))</f>
        <v>1.6814656124125426E-3</v>
      </c>
      <c r="AD1004" s="3">
        <v>45306</v>
      </c>
      <c r="AE1004">
        <v>-7.4161810580752338E-3</v>
      </c>
      <c r="AF1004">
        <f t="shared" si="15"/>
        <v>0</v>
      </c>
    </row>
    <row r="1005" spans="1:33" x14ac:dyDescent="0.35">
      <c r="A1005" s="3">
        <v>45308</v>
      </c>
      <c r="B1005" s="6">
        <f>LN(Raw!B1007/Raw!B1006)</f>
        <v>5.6756185191564404E-2</v>
      </c>
      <c r="C1005" s="6">
        <f>LN(Raw!C1007/Raw!C1006)</f>
        <v>-2.7428912302214325E-3</v>
      </c>
      <c r="D1005" s="6">
        <f>LN(Raw!D1007/Raw!D1006)</f>
        <v>-3.5842167807121454E-3</v>
      </c>
      <c r="X1005" s="3">
        <v>45308</v>
      </c>
      <c r="Y1005" cm="1">
        <f t="array" ref="Y1005">SUMPRODUCT($T$2:$T$4,TRANSPOSE(B1005:D1005))</f>
        <v>4.1895814646381847E-2</v>
      </c>
      <c r="AD1005" s="3">
        <v>45307</v>
      </c>
      <c r="AE1005">
        <v>1.6814656124125426E-3</v>
      </c>
      <c r="AF1005">
        <f t="shared" si="15"/>
        <v>0</v>
      </c>
    </row>
    <row r="1006" spans="1:33" x14ac:dyDescent="0.35">
      <c r="A1006" s="3">
        <v>45309</v>
      </c>
      <c r="B1006" s="6">
        <f>LN(Raw!B1008/Raw!B1007)</f>
        <v>-9.9498782881752706E-3</v>
      </c>
      <c r="C1006" s="6">
        <f>LN(Raw!C1008/Raw!C1007)</f>
        <v>-1.219226842667822E-2</v>
      </c>
      <c r="D1006" s="6">
        <f>LN(Raw!D1008/Raw!D1007)</f>
        <v>-7.2072753086380031E-3</v>
      </c>
      <c r="X1006" s="3">
        <v>45309</v>
      </c>
      <c r="Y1006" cm="1">
        <f t="array" ref="Y1006">SUMPRODUCT($T$2:$T$4,TRANSPOSE(B1006:D1006))</f>
        <v>-1.0261655998331646E-2</v>
      </c>
      <c r="AD1006" s="3">
        <v>45308</v>
      </c>
      <c r="AE1006">
        <v>4.1895814646381847E-2</v>
      </c>
      <c r="AF1006">
        <f t="shared" si="15"/>
        <v>0</v>
      </c>
    </row>
    <row r="1007" spans="1:33" x14ac:dyDescent="0.35">
      <c r="A1007" s="3">
        <v>45310</v>
      </c>
      <c r="B1007" s="6">
        <f>LN(Raw!B1009/Raw!B1008)</f>
        <v>3.2049112888088947E-2</v>
      </c>
      <c r="C1007" s="6">
        <f>LN(Raw!C1009/Raw!C1008)</f>
        <v>0.15246681631448677</v>
      </c>
      <c r="D1007" s="6">
        <f>LN(Raw!D1009/Raw!D1008)</f>
        <v>9.3582542301097291E-2</v>
      </c>
      <c r="X1007" s="3">
        <v>45310</v>
      </c>
      <c r="Y1007" cm="1">
        <f t="array" ref="Y1007">SUMPRODUCT($T$2:$T$4,TRANSPOSE(B1007:D1007))</f>
        <v>5.912593972469242E-2</v>
      </c>
      <c r="AD1007" s="3">
        <v>45309</v>
      </c>
      <c r="AE1007">
        <v>-1.0261655998331646E-2</v>
      </c>
      <c r="AF1007">
        <f t="shared" si="15"/>
        <v>0</v>
      </c>
    </row>
    <row r="1008" spans="1:33" x14ac:dyDescent="0.35">
      <c r="A1008" s="3">
        <v>45314</v>
      </c>
      <c r="B1008" s="6">
        <f>LN(Raw!B1010/Raw!B1009)</f>
        <v>-5.2256104247063251E-3</v>
      </c>
      <c r="C1008" s="6">
        <f>LN(Raw!C1010/Raw!C1009)</f>
        <v>-6.348115255401493E-2</v>
      </c>
      <c r="D1008" s="6">
        <f>LN(Raw!D1010/Raw!D1009)</f>
        <v>-6.7699774255876352E-2</v>
      </c>
      <c r="X1008" s="3">
        <v>45314</v>
      </c>
      <c r="Y1008" cm="1">
        <f t="array" ref="Y1008">SUMPRODUCT($T$2:$T$4,TRANSPOSE(B1008:D1008))</f>
        <v>-1.9943410788276879E-2</v>
      </c>
      <c r="AD1008" s="3">
        <v>45310</v>
      </c>
      <c r="AE1008">
        <v>5.912593972469242E-2</v>
      </c>
      <c r="AF1008">
        <f t="shared" si="15"/>
        <v>0</v>
      </c>
    </row>
    <row r="1009" spans="1:32" x14ac:dyDescent="0.35">
      <c r="A1009" s="3">
        <v>45315</v>
      </c>
      <c r="B1009" s="6">
        <f>LN(Raw!B1011/Raw!B1010)</f>
        <v>1.9614324102721205E-2</v>
      </c>
      <c r="C1009" s="6">
        <f>LN(Raw!C1011/Raw!C1010)</f>
        <v>8.1710396405228577E-2</v>
      </c>
      <c r="D1009" s="6">
        <f>LN(Raw!D1011/Raw!D1010)</f>
        <v>3.6973153171509315E-2</v>
      </c>
      <c r="X1009" s="3">
        <v>45315</v>
      </c>
      <c r="Y1009" cm="1">
        <f t="array" ref="Y1009">SUMPRODUCT($T$2:$T$4,TRANSPOSE(B1009:D1009))</f>
        <v>3.2865808775102194E-2</v>
      </c>
      <c r="AD1009" s="3">
        <v>45314</v>
      </c>
      <c r="AE1009">
        <v>-1.9943410788276879E-2</v>
      </c>
      <c r="AF1009">
        <f t="shared" si="15"/>
        <v>0</v>
      </c>
    </row>
    <row r="1010" spans="1:32" x14ac:dyDescent="0.35">
      <c r="A1010" s="3">
        <v>45316</v>
      </c>
      <c r="B1010" s="6">
        <f>LN(Raw!B1012/Raw!B1011)</f>
        <v>-1.7588315030591186E-2</v>
      </c>
      <c r="C1010" s="6">
        <f>LN(Raw!C1012/Raw!C1011)</f>
        <v>-2.7824272543170363E-2</v>
      </c>
      <c r="D1010" s="6">
        <f>LN(Raw!D1012/Raw!D1011)</f>
        <v>-1.77754429858374E-2</v>
      </c>
      <c r="X1010" s="3">
        <v>45316</v>
      </c>
      <c r="Y1010" cm="1">
        <f t="array" ref="Y1010">SUMPRODUCT($T$2:$T$4,TRANSPOSE(B1010:D1010))</f>
        <v>-1.964034634597275E-2</v>
      </c>
      <c r="AD1010" s="3">
        <v>45315</v>
      </c>
      <c r="AE1010">
        <v>3.2865808775102194E-2</v>
      </c>
      <c r="AF1010">
        <f t="shared" si="15"/>
        <v>0</v>
      </c>
    </row>
    <row r="1011" spans="1:32" x14ac:dyDescent="0.35">
      <c r="A1011" s="3">
        <v>45320</v>
      </c>
      <c r="B1011" s="6">
        <f>LN(Raw!B1013/Raw!B1012)</f>
        <v>4.4765476590217469E-3</v>
      </c>
      <c r="C1011" s="6">
        <f>LN(Raw!C1013/Raw!C1012)</f>
        <v>4.924236857804392E-2</v>
      </c>
      <c r="D1011" s="6">
        <f>LN(Raw!D1013/Raw!D1012)</f>
        <v>2.6440851419988781E-2</v>
      </c>
      <c r="X1011" s="3">
        <v>45320</v>
      </c>
      <c r="Y1011" cm="1">
        <f t="array" ref="Y1011">SUMPRODUCT($T$2:$T$4,TRANSPOSE(B1011:D1011))</f>
        <v>1.4497392750939109E-2</v>
      </c>
      <c r="AD1011" s="3">
        <v>45316</v>
      </c>
      <c r="AE1011">
        <v>-1.964034634597275E-2</v>
      </c>
      <c r="AF1011">
        <f t="shared" si="15"/>
        <v>0</v>
      </c>
    </row>
    <row r="1012" spans="1:32" x14ac:dyDescent="0.35">
      <c r="A1012" s="3">
        <v>45321</v>
      </c>
      <c r="B1012" s="6">
        <f>LN(Raw!B1014/Raw!B1013)</f>
        <v>7.2610525615795455E-3</v>
      </c>
      <c r="C1012" s="6">
        <f>LN(Raw!C1014/Raw!C1013)</f>
        <v>1.1674004744668559E-2</v>
      </c>
      <c r="D1012" s="6">
        <f>LN(Raw!D1014/Raw!D1013)</f>
        <v>3.5961745163107101E-2</v>
      </c>
      <c r="X1012" s="3">
        <v>45321</v>
      </c>
      <c r="Y1012" cm="1">
        <f t="array" ref="Y1012">SUMPRODUCT($T$2:$T$4,TRANSPOSE(B1012:D1012))</f>
        <v>9.562137341424904E-3</v>
      </c>
      <c r="AD1012" s="3">
        <v>45320</v>
      </c>
      <c r="AE1012">
        <v>1.4497392750939109E-2</v>
      </c>
      <c r="AF1012">
        <f t="shared" si="15"/>
        <v>0</v>
      </c>
    </row>
    <row r="1013" spans="1:32" x14ac:dyDescent="0.35">
      <c r="A1013" s="3">
        <v>45322</v>
      </c>
      <c r="B1013" s="6">
        <f>LN(Raw!B1015/Raw!B1014)</f>
        <v>-1.7351164359495643E-3</v>
      </c>
      <c r="C1013" s="6">
        <f>LN(Raw!C1015/Raw!C1014)</f>
        <v>5.1893772601396158E-3</v>
      </c>
      <c r="D1013" s="6">
        <f>LN(Raw!D1015/Raw!D1014)</f>
        <v>-1.2460653981526926E-2</v>
      </c>
      <c r="X1013" s="3">
        <v>45322</v>
      </c>
      <c r="Y1013" cm="1">
        <f t="array" ref="Y1013">SUMPRODUCT($T$2:$T$4,TRANSPOSE(B1013:D1013))</f>
        <v>-8.8401646846246191E-4</v>
      </c>
      <c r="AD1013" s="3">
        <v>45321</v>
      </c>
      <c r="AE1013">
        <v>9.562137341424904E-3</v>
      </c>
      <c r="AF1013">
        <f t="shared" si="15"/>
        <v>0</v>
      </c>
    </row>
    <row r="1014" spans="1:32" x14ac:dyDescent="0.35">
      <c r="A1014" s="3">
        <v>45323</v>
      </c>
      <c r="B1014" s="6">
        <f>LN(Raw!B1016/Raw!B1015)</f>
        <v>1.013481464086502E-2</v>
      </c>
      <c r="C1014" s="6">
        <f>LN(Raw!C1016/Raw!C1015)</f>
        <v>-2.119176202636024E-2</v>
      </c>
      <c r="D1014" s="6">
        <f>LN(Raw!D1016/Raw!D1015)</f>
        <v>-1.4075928910331513E-2</v>
      </c>
      <c r="X1014" s="3">
        <v>45323</v>
      </c>
      <c r="Y1014" cm="1">
        <f t="array" ref="Y1014">SUMPRODUCT($T$2:$T$4,TRANSPOSE(B1014:D1014))</f>
        <v>2.6848371701524315E-3</v>
      </c>
      <c r="AD1014" s="3">
        <v>45322</v>
      </c>
      <c r="AE1014">
        <v>-8.8401646846246191E-4</v>
      </c>
      <c r="AF1014">
        <f t="shared" si="15"/>
        <v>0</v>
      </c>
    </row>
    <row r="1015" spans="1:32" x14ac:dyDescent="0.35">
      <c r="A1015" s="3">
        <v>45324</v>
      </c>
      <c r="B1015" s="6">
        <f>LN(Raw!B1017/Raw!B1016)</f>
        <v>-8.8331745146474957E-3</v>
      </c>
      <c r="C1015" s="6">
        <f>LN(Raw!C1017/Raw!C1016)</f>
        <v>2.238548938250012E-2</v>
      </c>
      <c r="D1015" s="6">
        <f>LN(Raw!D1017/Raw!D1016)</f>
        <v>9.33709330371023E-3</v>
      </c>
      <c r="X1015" s="3">
        <v>45324</v>
      </c>
      <c r="Y1015" cm="1">
        <f t="array" ref="Y1015">SUMPRODUCT($T$2:$T$4,TRANSPOSE(B1015:D1015))</f>
        <v>-1.7036768030332173E-3</v>
      </c>
      <c r="AD1015" s="3">
        <v>45323</v>
      </c>
      <c r="AE1015">
        <v>2.6848371701524315E-3</v>
      </c>
      <c r="AF1015">
        <f t="shared" si="15"/>
        <v>0</v>
      </c>
    </row>
    <row r="1016" spans="1:32" x14ac:dyDescent="0.35">
      <c r="A1016" s="3">
        <v>45327</v>
      </c>
      <c r="B1016" s="6">
        <f>LN(Raw!B1018/Raw!B1017)</f>
        <v>1.2957299410684379E-2</v>
      </c>
      <c r="C1016" s="6">
        <f>LN(Raw!C1018/Raw!C1017)</f>
        <v>8.0083474732189283E-2</v>
      </c>
      <c r="D1016" s="6">
        <f>LN(Raw!D1018/Raw!D1017)</f>
        <v>9.2828794418140001E-2</v>
      </c>
      <c r="X1016" s="3">
        <v>45327</v>
      </c>
      <c r="Y1016" cm="1">
        <f t="array" ref="Y1016">SUMPRODUCT($T$2:$T$4,TRANSPOSE(B1016:D1016))</f>
        <v>3.0306390841731243E-2</v>
      </c>
      <c r="AD1016" s="3">
        <v>45324</v>
      </c>
      <c r="AE1016">
        <v>-1.7036768030332173E-3</v>
      </c>
      <c r="AF1016">
        <f t="shared" si="15"/>
        <v>0</v>
      </c>
    </row>
    <row r="1017" spans="1:32" x14ac:dyDescent="0.35">
      <c r="A1017" s="3">
        <v>45328</v>
      </c>
      <c r="B1017" s="6">
        <f>LN(Raw!B1019/Raw!B1018)</f>
        <v>4.6542454361841866E-2</v>
      </c>
      <c r="C1017" s="6">
        <f>LN(Raw!C1019/Raw!C1018)</f>
        <v>-1.5918971598292942E-3</v>
      </c>
      <c r="D1017" s="6">
        <f>LN(Raw!D1019/Raw!D1018)</f>
        <v>3.8764594980808087E-2</v>
      </c>
      <c r="X1017" s="3">
        <v>45328</v>
      </c>
      <c r="Y1017" cm="1">
        <f t="array" ref="Y1017">SUMPRODUCT($T$2:$T$4,TRANSPOSE(B1017:D1017))</f>
        <v>3.655144630052104E-2</v>
      </c>
      <c r="AD1017" s="3">
        <v>45327</v>
      </c>
      <c r="AE1017">
        <v>3.0306390841731243E-2</v>
      </c>
      <c r="AF1017">
        <f t="shared" si="15"/>
        <v>0</v>
      </c>
    </row>
    <row r="1018" spans="1:32" x14ac:dyDescent="0.35">
      <c r="A1018" s="3">
        <v>45329</v>
      </c>
      <c r="B1018" s="6">
        <f>LN(Raw!B1020/Raw!B1019)</f>
        <v>2.0930355022805641E-2</v>
      </c>
      <c r="C1018" s="6">
        <f>LN(Raw!C1020/Raw!C1019)</f>
        <v>-9.9760260432816845E-3</v>
      </c>
      <c r="D1018" s="6">
        <f>LN(Raw!D1020/Raw!D1019)</f>
        <v>-1.2022060732630849E-2</v>
      </c>
      <c r="X1018" s="3">
        <v>45329</v>
      </c>
      <c r="Y1018" cm="1">
        <f t="array" ref="Y1018">SUMPRODUCT($T$2:$T$4,TRANSPOSE(B1018:D1018))</f>
        <v>1.31316087830027E-2</v>
      </c>
      <c r="AD1018" s="3">
        <v>45328</v>
      </c>
      <c r="AE1018">
        <v>3.655144630052104E-2</v>
      </c>
      <c r="AF1018">
        <f t="shared" si="15"/>
        <v>0</v>
      </c>
    </row>
    <row r="1019" spans="1:32" x14ac:dyDescent="0.35">
      <c r="A1019" s="3">
        <v>45330</v>
      </c>
      <c r="B1019" s="6">
        <f>LN(Raw!B1021/Raw!B1020)</f>
        <v>-2.4035731020493351E-3</v>
      </c>
      <c r="C1019" s="6">
        <f>LN(Raw!C1021/Raw!C1020)</f>
        <v>8.7980464952907289E-2</v>
      </c>
      <c r="D1019" s="6">
        <f>LN(Raw!D1021/Raw!D1020)</f>
        <v>0.10942047056442339</v>
      </c>
      <c r="X1019" s="3">
        <v>45330</v>
      </c>
      <c r="Y1019" cm="1">
        <f t="array" ref="Y1019">SUMPRODUCT($T$2:$T$4,TRANSPOSE(B1019:D1019))</f>
        <v>2.1168380801150997E-2</v>
      </c>
      <c r="AD1019" s="3">
        <v>45329</v>
      </c>
      <c r="AE1019">
        <v>1.31316087830027E-2</v>
      </c>
      <c r="AF1019">
        <f t="shared" si="15"/>
        <v>0</v>
      </c>
    </row>
    <row r="1020" spans="1:32" x14ac:dyDescent="0.35">
      <c r="A1020" s="3">
        <v>45331</v>
      </c>
      <c r="B1020" s="6">
        <f>LN(Raw!B1022/Raw!B1021)</f>
        <v>1.0862027242078921E-2</v>
      </c>
      <c r="C1020" s="6">
        <f>LN(Raw!C1022/Raw!C1021)</f>
        <v>-8.5384528100944546E-2</v>
      </c>
      <c r="D1020" s="6">
        <f>LN(Raw!D1022/Raw!D1021)</f>
        <v>-4.5191196128901788E-2</v>
      </c>
      <c r="X1020" s="3">
        <v>45331</v>
      </c>
      <c r="Y1020" cm="1">
        <f t="array" ref="Y1020">SUMPRODUCT($T$2:$T$4,TRANSPOSE(B1020:D1020))</f>
        <v>-1.111979412772642E-2</v>
      </c>
      <c r="AD1020" s="3">
        <v>45330</v>
      </c>
      <c r="AE1020">
        <v>2.1168380801150997E-2</v>
      </c>
      <c r="AF1020">
        <f t="shared" si="15"/>
        <v>0</v>
      </c>
    </row>
    <row r="1021" spans="1:32" x14ac:dyDescent="0.35">
      <c r="A1021" s="3">
        <v>45334</v>
      </c>
      <c r="B1021" s="6">
        <f>LN(Raw!B1023/Raw!B1022)</f>
        <v>-1.4199323276631757E-2</v>
      </c>
      <c r="C1021" s="6">
        <f>LN(Raw!C1023/Raw!C1022)</f>
        <v>-0.15571568331629551</v>
      </c>
      <c r="D1021" s="6">
        <f>LN(Raw!D1023/Raw!D1022)</f>
        <v>-0.16477581160509114</v>
      </c>
      <c r="X1021" s="3">
        <v>45334</v>
      </c>
      <c r="Y1021" cm="1">
        <f t="array" ref="Y1021">SUMPRODUCT($T$2:$T$4,TRANSPOSE(B1021:D1021))</f>
        <v>-4.9893519545214801E-2</v>
      </c>
      <c r="AD1021" s="3">
        <v>45331</v>
      </c>
      <c r="AE1021">
        <v>-1.111979412772642E-2</v>
      </c>
      <c r="AF1021">
        <f t="shared" si="15"/>
        <v>0</v>
      </c>
    </row>
    <row r="1022" spans="1:32" x14ac:dyDescent="0.35">
      <c r="A1022" s="3">
        <v>45335</v>
      </c>
      <c r="B1022" s="6">
        <f>LN(Raw!B1024/Raw!B1023)</f>
        <v>9.4579034182832884E-3</v>
      </c>
      <c r="C1022" s="6">
        <f>LN(Raw!C1024/Raw!C1023)</f>
        <v>4.0290973889948484E-2</v>
      </c>
      <c r="D1022" s="6">
        <f>LN(Raw!D1024/Raw!D1023)</f>
        <v>-2.7736756936928904E-2</v>
      </c>
      <c r="X1022" s="3">
        <v>45335</v>
      </c>
      <c r="Y1022" cm="1">
        <f t="array" ref="Y1022">SUMPRODUCT($T$2:$T$4,TRANSPOSE(B1022:D1022))</f>
        <v>1.3770432498707958E-2</v>
      </c>
      <c r="AD1022" s="3">
        <v>45334</v>
      </c>
      <c r="AE1022">
        <v>-4.9893519545214801E-2</v>
      </c>
      <c r="AF1022">
        <f t="shared" si="15"/>
        <v>1</v>
      </c>
    </row>
    <row r="1023" spans="1:32" x14ac:dyDescent="0.35">
      <c r="A1023" s="3">
        <v>45336</v>
      </c>
      <c r="B1023" s="6">
        <f>LN(Raw!B1025/Raw!B1024)</f>
        <v>5.4735216708593788E-3</v>
      </c>
      <c r="C1023" s="6">
        <f>LN(Raw!C1025/Raw!C1024)</f>
        <v>5.1577317376624583E-2</v>
      </c>
      <c r="D1023" s="6">
        <f>LN(Raw!D1025/Raw!D1024)</f>
        <v>4.4614780777842353E-2</v>
      </c>
      <c r="X1023" s="3">
        <v>45336</v>
      </c>
      <c r="Y1023" cm="1">
        <f t="array" ref="Y1023">SUMPRODUCT($T$2:$T$4,TRANSPOSE(B1023:D1023))</f>
        <v>1.6611473219088381E-2</v>
      </c>
      <c r="AD1023" s="3">
        <v>45335</v>
      </c>
      <c r="AE1023">
        <v>1.3770432498707958E-2</v>
      </c>
      <c r="AF1023">
        <f t="shared" si="15"/>
        <v>0</v>
      </c>
    </row>
    <row r="1024" spans="1:32" x14ac:dyDescent="0.35">
      <c r="A1024" s="3">
        <v>45337</v>
      </c>
      <c r="B1024" s="6">
        <f>LN(Raw!B1026/Raw!B1025)</f>
        <v>6.0503420723979628E-3</v>
      </c>
      <c r="C1024" s="6">
        <f>LN(Raw!C1026/Raw!C1025)</f>
        <v>1.4112429340426523E-2</v>
      </c>
      <c r="D1024" s="6">
        <f>LN(Raw!D1026/Raw!D1025)</f>
        <v>-1.4651537697758217E-2</v>
      </c>
      <c r="X1024" s="3">
        <v>45337</v>
      </c>
      <c r="Y1024" cm="1">
        <f t="array" ref="Y1024">SUMPRODUCT($T$2:$T$4,TRANSPOSE(B1024:D1024))</f>
        <v>6.6347390846162148E-3</v>
      </c>
      <c r="AD1024" s="3">
        <v>45336</v>
      </c>
      <c r="AE1024">
        <v>1.6611473219088381E-2</v>
      </c>
      <c r="AF1024">
        <f t="shared" si="15"/>
        <v>0</v>
      </c>
    </row>
    <row r="1025" spans="1:32" x14ac:dyDescent="0.35">
      <c r="A1025" s="3">
        <v>45338</v>
      </c>
      <c r="B1025" s="6">
        <f>LN(Raw!B1027/Raw!B1026)</f>
        <v>-2.5190602485705279E-3</v>
      </c>
      <c r="C1025" s="6">
        <f>LN(Raw!C1027/Raw!C1026)</f>
        <v>0.10310022095762807</v>
      </c>
      <c r="D1025" s="6">
        <f>LN(Raw!D1027/Raw!D1026)</f>
        <v>0.1448650653310406</v>
      </c>
      <c r="X1025" s="3">
        <v>45338</v>
      </c>
      <c r="Y1025" cm="1">
        <f t="array" ref="Y1025">SUMPRODUCT($T$2:$T$4,TRANSPOSE(B1025:D1025))</f>
        <v>2.5853234351245827E-2</v>
      </c>
      <c r="AD1025" s="3">
        <v>45337</v>
      </c>
      <c r="AE1025">
        <v>6.6347390846162148E-3</v>
      </c>
      <c r="AF1025">
        <f t="shared" si="15"/>
        <v>0</v>
      </c>
    </row>
    <row r="1026" spans="1:32" x14ac:dyDescent="0.35">
      <c r="A1026" s="3">
        <v>45341</v>
      </c>
      <c r="B1026" s="6">
        <f>LN(Raw!B1028/Raw!B1027)</f>
        <v>-1.4902230171663661E-3</v>
      </c>
      <c r="C1026" s="6">
        <f>LN(Raw!C1028/Raw!C1027)</f>
        <v>-6.458058263500775E-3</v>
      </c>
      <c r="D1026" s="6">
        <f>LN(Raw!D1028/Raw!D1027)</f>
        <v>3.6411418774575009E-2</v>
      </c>
      <c r="X1026" s="3">
        <v>45341</v>
      </c>
      <c r="Y1026" cm="1">
        <f t="array" ref="Y1026">SUMPRODUCT($T$2:$T$4,TRANSPOSE(B1026:D1026))</f>
        <v>-6.0588800659847823E-4</v>
      </c>
      <c r="AD1026" s="3">
        <v>45338</v>
      </c>
      <c r="AE1026">
        <v>2.5853234351245827E-2</v>
      </c>
      <c r="AF1026">
        <f t="shared" si="15"/>
        <v>0</v>
      </c>
    </row>
    <row r="1027" spans="1:32" x14ac:dyDescent="0.35">
      <c r="A1027" s="3">
        <v>45342</v>
      </c>
      <c r="B1027" s="6">
        <f>LN(Raw!B1029/Raw!B1028)</f>
        <v>3.645357331412408E-3</v>
      </c>
      <c r="C1027" s="6">
        <f>LN(Raw!C1029/Raw!C1028)</f>
        <v>-4.0630673745674757E-2</v>
      </c>
      <c r="D1027" s="6">
        <f>LN(Raw!D1029/Raw!D1028)</f>
        <v>-5.9592147712418789E-2</v>
      </c>
      <c r="X1027" s="3">
        <v>45342</v>
      </c>
      <c r="Y1027" cm="1">
        <f t="array" ref="Y1027">SUMPRODUCT($T$2:$T$4,TRANSPOSE(B1027:D1027))</f>
        <v>-8.3203566388831366E-3</v>
      </c>
      <c r="AD1027" s="3">
        <v>45341</v>
      </c>
      <c r="AE1027">
        <v>-6.0588800659847823E-4</v>
      </c>
      <c r="AF1027">
        <f t="shared" ref="AF1027:AF1090" si="16">IF(AE1027&lt;$AB$2,1,0)</f>
        <v>0</v>
      </c>
    </row>
    <row r="1028" spans="1:32" x14ac:dyDescent="0.35">
      <c r="A1028" s="3">
        <v>45343</v>
      </c>
      <c r="B1028" s="6">
        <f>LN(Raw!B1030/Raw!B1029)</f>
        <v>-2.6718666758364378E-3</v>
      </c>
      <c r="C1028" s="6">
        <f>LN(Raw!C1030/Raw!C1029)</f>
        <v>4.2396102590936451E-2</v>
      </c>
      <c r="D1028" s="6">
        <f>LN(Raw!D1030/Raw!D1029)</f>
        <v>1.431120741205277E-3</v>
      </c>
      <c r="X1028" s="3">
        <v>45343</v>
      </c>
      <c r="Y1028" cm="1">
        <f t="array" ref="Y1028">SUMPRODUCT($T$2:$T$4,TRANSPOSE(B1028:D1028))</f>
        <v>6.5253191515464914E-3</v>
      </c>
      <c r="AD1028" s="3">
        <v>45342</v>
      </c>
      <c r="AE1028">
        <v>-8.3203566388831366E-3</v>
      </c>
      <c r="AF1028">
        <f t="shared" si="16"/>
        <v>0</v>
      </c>
    </row>
    <row r="1029" spans="1:32" x14ac:dyDescent="0.35">
      <c r="A1029" s="3">
        <v>45344</v>
      </c>
      <c r="B1029" s="6">
        <f>LN(Raw!B1031/Raw!B1030)</f>
        <v>1.0332730062581972E-3</v>
      </c>
      <c r="C1029" s="6">
        <f>LN(Raw!C1031/Raw!C1030)</f>
        <v>1.0294900953701173E-2</v>
      </c>
      <c r="D1029" s="6">
        <f>LN(Raw!D1031/Raw!D1030)</f>
        <v>9.6068619138068544E-3</v>
      </c>
      <c r="X1029" s="3">
        <v>45344</v>
      </c>
      <c r="Y1029" cm="1">
        <f t="array" ref="Y1029">SUMPRODUCT($T$2:$T$4,TRANSPOSE(B1029:D1029))</f>
        <v>3.3059062396760047E-3</v>
      </c>
      <c r="AD1029" s="3">
        <v>45343</v>
      </c>
      <c r="AE1029">
        <v>6.5253191515464914E-3</v>
      </c>
      <c r="AF1029">
        <f t="shared" si="16"/>
        <v>0</v>
      </c>
    </row>
    <row r="1030" spans="1:32" x14ac:dyDescent="0.35">
      <c r="A1030" s="3">
        <v>45345</v>
      </c>
      <c r="B1030" s="6">
        <f>LN(Raw!B1032/Raw!B1031)</f>
        <v>-4.2611772966085221E-3</v>
      </c>
      <c r="C1030" s="6">
        <f>LN(Raw!C1032/Raw!C1031)</f>
        <v>-1.9865596002546188E-2</v>
      </c>
      <c r="D1030" s="6">
        <f>LN(Raw!D1032/Raw!D1031)</f>
        <v>-9.4281157428232083E-3</v>
      </c>
      <c r="X1030" s="3">
        <v>45345</v>
      </c>
      <c r="Y1030" cm="1">
        <f t="array" ref="Y1030">SUMPRODUCT($T$2:$T$4,TRANSPOSE(B1030:D1030))</f>
        <v>-7.6310336315753664E-3</v>
      </c>
      <c r="AD1030" s="3">
        <v>45344</v>
      </c>
      <c r="AE1030">
        <v>3.3059062396760047E-3</v>
      </c>
      <c r="AF1030">
        <f t="shared" si="16"/>
        <v>0</v>
      </c>
    </row>
    <row r="1031" spans="1:32" x14ac:dyDescent="0.35">
      <c r="A1031" s="3">
        <v>45348</v>
      </c>
      <c r="B1031" s="6">
        <f>LN(Raw!B1033/Raw!B1032)</f>
        <v>6.8696461164241491E-3</v>
      </c>
      <c r="C1031" s="6">
        <f>LN(Raw!C1033/Raw!C1032)</f>
        <v>-4.6785728466894459E-2</v>
      </c>
      <c r="D1031" s="6">
        <f>LN(Raw!D1033/Raw!D1032)</f>
        <v>-5.1716686527148566E-2</v>
      </c>
      <c r="X1031" s="3">
        <v>45348</v>
      </c>
      <c r="Y1031" cm="1">
        <f t="array" ref="Y1031">SUMPRODUCT($T$2:$T$4,TRANSPOSE(B1031:D1031))</f>
        <v>-6.7376985132904773E-3</v>
      </c>
      <c r="AD1031" s="3">
        <v>45345</v>
      </c>
      <c r="AE1031">
        <v>-7.6310336315753664E-3</v>
      </c>
      <c r="AF1031">
        <f t="shared" si="16"/>
        <v>0</v>
      </c>
    </row>
    <row r="1032" spans="1:32" x14ac:dyDescent="0.35">
      <c r="A1032" s="3">
        <v>45349</v>
      </c>
      <c r="B1032" s="6">
        <f>LN(Raw!B1034/Raw!B1033)</f>
        <v>4.5132483099756308E-2</v>
      </c>
      <c r="C1032" s="6">
        <f>LN(Raw!C1034/Raw!C1033)</f>
        <v>1.3837645152924641E-2</v>
      </c>
      <c r="D1032" s="6">
        <f>LN(Raw!D1034/Raw!D1033)</f>
        <v>2.4357441698402666E-2</v>
      </c>
      <c r="X1032" s="3">
        <v>45349</v>
      </c>
      <c r="Y1032" cm="1">
        <f t="array" ref="Y1032">SUMPRODUCT($T$2:$T$4,TRANSPOSE(B1032:D1032))</f>
        <v>3.7858872641817941E-2</v>
      </c>
      <c r="AD1032" s="3">
        <v>45348</v>
      </c>
      <c r="AE1032">
        <v>-6.7376985132904773E-3</v>
      </c>
      <c r="AF1032">
        <f t="shared" si="16"/>
        <v>0</v>
      </c>
    </row>
    <row r="1033" spans="1:32" x14ac:dyDescent="0.35">
      <c r="A1033" s="3">
        <v>45350</v>
      </c>
      <c r="B1033" s="6">
        <f>LN(Raw!B1035/Raw!B1034)</f>
        <v>-1.3328589146905916E-3</v>
      </c>
      <c r="C1033" s="6">
        <f>LN(Raw!C1035/Raw!C1034)</f>
        <v>-4.8777888020420143E-2</v>
      </c>
      <c r="D1033" s="6">
        <f>LN(Raw!D1035/Raw!D1034)</f>
        <v>-5.7266504762166624E-2</v>
      </c>
      <c r="X1033" s="3">
        <v>45350</v>
      </c>
      <c r="Y1033" cm="1">
        <f t="array" ref="Y1033">SUMPRODUCT($T$2:$T$4,TRANSPOSE(B1033:D1033))</f>
        <v>-1.3569534935829818E-2</v>
      </c>
      <c r="AD1033" s="3">
        <v>45349</v>
      </c>
      <c r="AE1033">
        <v>3.7858872641817941E-2</v>
      </c>
      <c r="AF1033">
        <f t="shared" si="16"/>
        <v>0</v>
      </c>
    </row>
    <row r="1034" spans="1:32" x14ac:dyDescent="0.35">
      <c r="A1034" s="3">
        <v>45351</v>
      </c>
      <c r="B1034" s="6">
        <f>LN(Raw!B1036/Raw!B1035)</f>
        <v>-7.3918870061169184E-3</v>
      </c>
      <c r="C1034" s="6">
        <f>LN(Raw!C1036/Raw!C1035)</f>
        <v>-2.082869537551808E-2</v>
      </c>
      <c r="D1034" s="6">
        <f>LN(Raw!D1036/Raw!D1035)</f>
        <v>4.0765299280636864E-3</v>
      </c>
      <c r="X1034" s="3">
        <v>45351</v>
      </c>
      <c r="Y1034" cm="1">
        <f t="array" ref="Y1034">SUMPRODUCT($T$2:$T$4,TRANSPOSE(B1034:D1034))</f>
        <v>-9.5058719097034419E-3</v>
      </c>
      <c r="AD1034" s="3">
        <v>45350</v>
      </c>
      <c r="AE1034">
        <v>-1.3569534935829818E-2</v>
      </c>
      <c r="AF1034">
        <f t="shared" si="16"/>
        <v>0</v>
      </c>
    </row>
    <row r="1035" spans="1:32" x14ac:dyDescent="0.35">
      <c r="A1035" s="3">
        <v>45352</v>
      </c>
      <c r="B1035" s="6">
        <f>LN(Raw!B1037/Raw!B1036)</f>
        <v>-4.0475250449400091E-2</v>
      </c>
      <c r="C1035" s="6">
        <f>LN(Raw!C1037/Raw!C1036)</f>
        <v>1.9152519146222229E-2</v>
      </c>
      <c r="D1035" s="6">
        <f>LN(Raw!D1037/Raw!D1036)</f>
        <v>4.0620435491760663E-2</v>
      </c>
      <c r="X1035" s="3">
        <v>45352</v>
      </c>
      <c r="Y1035" cm="1">
        <f t="array" ref="Y1035">SUMPRODUCT($T$2:$T$4,TRANSPOSE(B1035:D1035))</f>
        <v>-2.4562015724652435E-2</v>
      </c>
      <c r="AD1035" s="3">
        <v>45351</v>
      </c>
      <c r="AE1035">
        <v>-9.5058719097034419E-3</v>
      </c>
      <c r="AF1035">
        <f t="shared" si="16"/>
        <v>0</v>
      </c>
    </row>
    <row r="1036" spans="1:32" x14ac:dyDescent="0.35">
      <c r="A1036" s="3">
        <v>45355</v>
      </c>
      <c r="B1036" s="6">
        <f>LN(Raw!B1038/Raw!B1037)</f>
        <v>3.7949153021821424E-3</v>
      </c>
      <c r="C1036" s="6">
        <f>LN(Raw!C1038/Raw!C1037)</f>
        <v>3.0126179782999869E-2</v>
      </c>
      <c r="D1036" s="6">
        <f>LN(Raw!D1038/Raw!D1037)</f>
        <v>2.570835495188557E-2</v>
      </c>
      <c r="X1036" s="3">
        <v>45355</v>
      </c>
      <c r="Y1036" cm="1">
        <f t="array" ref="Y1036">SUMPRODUCT($T$2:$T$4,TRANSPOSE(B1036:D1036))</f>
        <v>1.0134293926131124E-2</v>
      </c>
      <c r="AD1036" s="3">
        <v>45352</v>
      </c>
      <c r="AE1036">
        <v>-2.4562015724652435E-2</v>
      </c>
      <c r="AF1036">
        <f t="shared" si="16"/>
        <v>0</v>
      </c>
    </row>
    <row r="1037" spans="1:32" x14ac:dyDescent="0.35">
      <c r="A1037" s="3">
        <v>45356</v>
      </c>
      <c r="B1037" s="6">
        <f>LN(Raw!B1039/Raw!B1038)</f>
        <v>1.4229732556603222E-3</v>
      </c>
      <c r="C1037" s="6">
        <f>LN(Raw!C1039/Raw!C1038)</f>
        <v>-1.8196075613525663E-2</v>
      </c>
      <c r="D1037" s="6">
        <f>LN(Raw!D1039/Raw!D1038)</f>
        <v>-1.2037296744712787E-2</v>
      </c>
      <c r="X1037" s="3">
        <v>45356</v>
      </c>
      <c r="Y1037" cm="1">
        <f t="array" ref="Y1037">SUMPRODUCT($T$2:$T$4,TRANSPOSE(B1037:D1037))</f>
        <v>-3.1585130810130525E-3</v>
      </c>
      <c r="AD1037" s="3">
        <v>45355</v>
      </c>
      <c r="AE1037">
        <v>1.0134293926131124E-2</v>
      </c>
      <c r="AF1037">
        <f t="shared" si="16"/>
        <v>0</v>
      </c>
    </row>
    <row r="1038" spans="1:32" x14ac:dyDescent="0.35">
      <c r="A1038" s="3">
        <v>45357</v>
      </c>
      <c r="B1038" s="6">
        <f>LN(Raw!B1040/Raw!B1039)</f>
        <v>2.0253524838001222E-3</v>
      </c>
      <c r="C1038" s="6">
        <f>LN(Raw!C1040/Raw!C1039)</f>
        <v>-4.9938499091028779E-2</v>
      </c>
      <c r="D1038" s="6">
        <f>LN(Raw!D1040/Raw!D1039)</f>
        <v>-4.6188011584512051E-2</v>
      </c>
      <c r="X1038" s="3">
        <v>45357</v>
      </c>
      <c r="Y1038" cm="1">
        <f t="array" ref="Y1038">SUMPRODUCT($T$2:$T$4,TRANSPOSE(B1038:D1038))</f>
        <v>-1.0731058744226432E-2</v>
      </c>
      <c r="AD1038" s="3">
        <v>45356</v>
      </c>
      <c r="AE1038">
        <v>-3.1585130810130525E-3</v>
      </c>
      <c r="AF1038">
        <f t="shared" si="16"/>
        <v>0</v>
      </c>
    </row>
    <row r="1039" spans="1:32" x14ac:dyDescent="0.35">
      <c r="A1039" s="3">
        <v>45358</v>
      </c>
      <c r="B1039" s="6">
        <f>LN(Raw!B1041/Raw!B1040)</f>
        <v>6.2312858517819692E-3</v>
      </c>
      <c r="C1039" s="6">
        <f>LN(Raw!C1041/Raw!C1040)</f>
        <v>-1.6625367630457258E-2</v>
      </c>
      <c r="D1039" s="6">
        <f>LN(Raw!D1041/Raw!D1040)</f>
        <v>-9.2665532112997089E-3</v>
      </c>
      <c r="X1039" s="3">
        <v>45358</v>
      </c>
      <c r="Y1039" cm="1">
        <f t="array" ref="Y1039">SUMPRODUCT($T$2:$T$4,TRANSPOSE(B1039:D1039))</f>
        <v>9.0283739302374981E-4</v>
      </c>
      <c r="AD1039" s="3">
        <v>45357</v>
      </c>
      <c r="AE1039">
        <v>-1.0731058744226432E-2</v>
      </c>
      <c r="AF1039">
        <f t="shared" si="16"/>
        <v>0</v>
      </c>
    </row>
    <row r="1040" spans="1:32" x14ac:dyDescent="0.35">
      <c r="A1040" s="3">
        <v>45362</v>
      </c>
      <c r="B1040" s="6">
        <f>LN(Raw!B1042/Raw!B1041)</f>
        <v>-7.1072857328694974E-3</v>
      </c>
      <c r="C1040" s="6">
        <f>LN(Raw!C1042/Raw!C1041)</f>
        <v>-2.9180060809035294E-2</v>
      </c>
      <c r="D1040" s="6">
        <f>LN(Raw!D1042/Raw!D1041)</f>
        <v>-2.5536590934589851E-2</v>
      </c>
      <c r="X1040" s="3">
        <v>45362</v>
      </c>
      <c r="Y1040" cm="1">
        <f t="array" ref="Y1040">SUMPRODUCT($T$2:$T$4,TRANSPOSE(B1040:D1040))</f>
        <v>-1.2424375541630289E-2</v>
      </c>
      <c r="AD1040" s="3">
        <v>45358</v>
      </c>
      <c r="AE1040">
        <v>9.0283739302374981E-4</v>
      </c>
      <c r="AF1040">
        <f t="shared" si="16"/>
        <v>0</v>
      </c>
    </row>
    <row r="1041" spans="1:32" x14ac:dyDescent="0.35">
      <c r="A1041" s="3">
        <v>45363</v>
      </c>
      <c r="B1041" s="6">
        <f>LN(Raw!B1043/Raw!B1042)</f>
        <v>4.071766967246605E-3</v>
      </c>
      <c r="C1041" s="6">
        <f>LN(Raw!C1043/Raw!C1042)</f>
        <v>-3.7168374225923756E-2</v>
      </c>
      <c r="D1041" s="6">
        <f>LN(Raw!D1043/Raw!D1042)</f>
        <v>-4.3096091935711352E-2</v>
      </c>
      <c r="X1041" s="3">
        <v>45363</v>
      </c>
      <c r="Y1041" cm="1">
        <f t="array" ref="Y1041">SUMPRODUCT($T$2:$T$4,TRANSPOSE(B1041:D1041))</f>
        <v>-6.4927917236669835E-3</v>
      </c>
      <c r="AD1041" s="3">
        <v>45362</v>
      </c>
      <c r="AE1041">
        <v>-1.2424375541630289E-2</v>
      </c>
      <c r="AF1041">
        <f t="shared" si="16"/>
        <v>0</v>
      </c>
    </row>
    <row r="1042" spans="1:32" x14ac:dyDescent="0.35">
      <c r="A1042" s="3">
        <v>45364</v>
      </c>
      <c r="B1042" s="6">
        <f>LN(Raw!B1044/Raw!B1043)</f>
        <v>-1.0804045638913441E-2</v>
      </c>
      <c r="C1042" s="6">
        <f>LN(Raw!C1044/Raw!C1043)</f>
        <v>-7.8441836983533603E-2</v>
      </c>
      <c r="D1042" s="6">
        <f>LN(Raw!D1044/Raw!D1043)</f>
        <v>-0.10043346320126491</v>
      </c>
      <c r="X1042" s="3">
        <v>45364</v>
      </c>
      <c r="Y1042" cm="1">
        <f t="array" ref="Y1042">SUMPRODUCT($T$2:$T$4,TRANSPOSE(B1042:D1042))</f>
        <v>-2.8738159971701531E-2</v>
      </c>
      <c r="AD1042" s="3">
        <v>45363</v>
      </c>
      <c r="AE1042">
        <v>-6.4927917236669835E-3</v>
      </c>
      <c r="AF1042">
        <f t="shared" si="16"/>
        <v>0</v>
      </c>
    </row>
    <row r="1043" spans="1:32" x14ac:dyDescent="0.35">
      <c r="A1043" s="3">
        <v>45365</v>
      </c>
      <c r="B1043" s="6">
        <f>LN(Raw!B1045/Raw!B1044)</f>
        <v>1.1285553720178918E-2</v>
      </c>
      <c r="C1043" s="6">
        <f>LN(Raw!C1045/Raw!C1044)</f>
        <v>6.30309876045307E-2</v>
      </c>
      <c r="D1043" s="6">
        <f>LN(Raw!D1045/Raw!D1044)</f>
        <v>7.6254823888387196E-2</v>
      </c>
      <c r="X1043" s="3">
        <v>45365</v>
      </c>
      <c r="Y1043" cm="1">
        <f t="array" ref="Y1043">SUMPRODUCT($T$2:$T$4,TRANSPOSE(B1043:D1043))</f>
        <v>2.4827627254189258E-2</v>
      </c>
      <c r="AD1043" s="3">
        <v>45364</v>
      </c>
      <c r="AE1043">
        <v>-2.8738159971701531E-2</v>
      </c>
      <c r="AF1043">
        <f t="shared" si="16"/>
        <v>0</v>
      </c>
    </row>
    <row r="1044" spans="1:32" x14ac:dyDescent="0.35">
      <c r="A1044" s="3">
        <v>45366</v>
      </c>
      <c r="B1044" s="6">
        <f>LN(Raw!B1046/Raw!B1045)</f>
        <v>-6.3684178822464429E-3</v>
      </c>
      <c r="C1044" s="6">
        <f>LN(Raw!C1046/Raw!C1045)</f>
        <v>-1.2801649302233769E-2</v>
      </c>
      <c r="D1044" s="6">
        <f>LN(Raw!D1046/Raw!D1045)</f>
        <v>-4.4790978457469703E-3</v>
      </c>
      <c r="X1044" s="3">
        <v>45366</v>
      </c>
      <c r="Y1044" cm="1">
        <f t="array" ref="Y1044">SUMPRODUCT($T$2:$T$4,TRANSPOSE(B1044:D1044))</f>
        <v>-7.558782875325778E-3</v>
      </c>
      <c r="AD1044" s="3">
        <v>45365</v>
      </c>
      <c r="AE1044">
        <v>2.4827627254189258E-2</v>
      </c>
      <c r="AF1044">
        <f t="shared" si="16"/>
        <v>0</v>
      </c>
    </row>
    <row r="1045" spans="1:32" x14ac:dyDescent="0.35">
      <c r="A1045" s="3">
        <v>45369</v>
      </c>
      <c r="B1045" s="6">
        <f>LN(Raw!B1047/Raw!B1046)</f>
        <v>3.0233106244944149E-3</v>
      </c>
      <c r="C1045" s="6">
        <f>LN(Raw!C1047/Raw!C1046)</f>
        <v>1.197819868554032E-3</v>
      </c>
      <c r="D1045" s="6">
        <f>LN(Raw!D1047/Raw!D1046)</f>
        <v>-1.2475906430431319E-2</v>
      </c>
      <c r="X1045" s="3">
        <v>45369</v>
      </c>
      <c r="Y1045" cm="1">
        <f t="array" ref="Y1045">SUMPRODUCT($T$2:$T$4,TRANSPOSE(B1045:D1045))</f>
        <v>1.8919429546203532E-3</v>
      </c>
      <c r="AD1045" s="3">
        <v>45366</v>
      </c>
      <c r="AE1045">
        <v>-7.558782875325778E-3</v>
      </c>
      <c r="AF1045">
        <f t="shared" si="16"/>
        <v>0</v>
      </c>
    </row>
    <row r="1046" spans="1:32" x14ac:dyDescent="0.35">
      <c r="A1046" s="3">
        <v>45370</v>
      </c>
      <c r="B1046" s="6">
        <f>LN(Raw!B1048/Raw!B1047)</f>
        <v>3.9224338472696238E-4</v>
      </c>
      <c r="C1046" s="6">
        <f>LN(Raw!C1048/Raw!C1047)</f>
        <v>-2.3006919804892573E-2</v>
      </c>
      <c r="D1046" s="6">
        <f>LN(Raw!D1048/Raw!D1047)</f>
        <v>-3.1888344059412238E-2</v>
      </c>
      <c r="X1046" s="3">
        <v>45370</v>
      </c>
      <c r="Y1046" cm="1">
        <f t="array" ref="Y1046">SUMPRODUCT($T$2:$T$4,TRANSPOSE(B1046:D1046))</f>
        <v>-5.8750526976575649E-3</v>
      </c>
      <c r="AD1046" s="3">
        <v>45369</v>
      </c>
      <c r="AE1046">
        <v>1.8919429546203532E-3</v>
      </c>
      <c r="AF1046">
        <f t="shared" si="16"/>
        <v>0</v>
      </c>
    </row>
    <row r="1047" spans="1:32" x14ac:dyDescent="0.35">
      <c r="A1047" s="3">
        <v>45371</v>
      </c>
      <c r="B1047" s="6">
        <f>LN(Raw!B1049/Raw!B1048)</f>
        <v>-1.0068534363012669E-2</v>
      </c>
      <c r="C1047" s="6">
        <f>LN(Raw!C1049/Raw!C1048)</f>
        <v>7.9305369092704196E-3</v>
      </c>
      <c r="D1047" s="6">
        <f>LN(Raw!D1049/Raw!D1048)</f>
        <v>1.3398779480451289E-3</v>
      </c>
      <c r="X1047" s="3">
        <v>45371</v>
      </c>
      <c r="Y1047" cm="1">
        <f t="array" ref="Y1047">SUMPRODUCT($T$2:$T$4,TRANSPOSE(B1047:D1047))</f>
        <v>-5.9118904472883855E-3</v>
      </c>
      <c r="AD1047" s="3">
        <v>45370</v>
      </c>
      <c r="AE1047">
        <v>-5.8750526976575649E-3</v>
      </c>
      <c r="AF1047">
        <f t="shared" si="16"/>
        <v>0</v>
      </c>
    </row>
    <row r="1048" spans="1:32" x14ac:dyDescent="0.35">
      <c r="A1048" s="3">
        <v>45372</v>
      </c>
      <c r="B1048" s="6">
        <f>LN(Raw!B1050/Raw!B1049)</f>
        <v>1.9708181182389751E-2</v>
      </c>
      <c r="C1048" s="6">
        <f>LN(Raw!C1050/Raw!C1049)</f>
        <v>2.8601286880893601E-2</v>
      </c>
      <c r="D1048" s="6">
        <f>LN(Raw!D1050/Raw!D1049)</f>
        <v>2.5340077329412347E-2</v>
      </c>
      <c r="X1048" s="3">
        <v>45372</v>
      </c>
      <c r="Y1048" cm="1">
        <f t="array" ref="Y1048">SUMPRODUCT($T$2:$T$4,TRANSPOSE(B1048:D1048))</f>
        <v>2.1761684280742617E-2</v>
      </c>
      <c r="AD1048" s="3">
        <v>45371</v>
      </c>
      <c r="AE1048">
        <v>-5.9118904472883855E-3</v>
      </c>
      <c r="AF1048">
        <f t="shared" si="16"/>
        <v>0</v>
      </c>
    </row>
    <row r="1049" spans="1:32" x14ac:dyDescent="0.35">
      <c r="A1049" s="3">
        <v>45373</v>
      </c>
      <c r="B1049" s="6">
        <f>LN(Raw!B1051/Raw!B1050)</f>
        <v>-1.9145674077955133E-3</v>
      </c>
      <c r="C1049" s="6">
        <f>LN(Raw!C1051/Raw!C1050)</f>
        <v>-1.0387460214632179E-2</v>
      </c>
      <c r="D1049" s="6">
        <f>LN(Raw!D1051/Raw!D1050)</f>
        <v>1.1035574037549494E-2</v>
      </c>
      <c r="X1049" s="3">
        <v>45373</v>
      </c>
      <c r="Y1049" cm="1">
        <f t="array" ref="Y1049">SUMPRODUCT($T$2:$T$4,TRANSPOSE(B1049:D1049))</f>
        <v>-2.9645825065403404E-3</v>
      </c>
      <c r="AD1049" s="3">
        <v>45372</v>
      </c>
      <c r="AE1049">
        <v>2.1761684280742617E-2</v>
      </c>
      <c r="AF1049">
        <f t="shared" si="16"/>
        <v>0</v>
      </c>
    </row>
    <row r="1050" spans="1:32" x14ac:dyDescent="0.35">
      <c r="A1050" s="3">
        <v>45377</v>
      </c>
      <c r="B1050" s="6">
        <f>LN(Raw!B1052/Raw!B1051)</f>
        <v>-1.3019578611773341E-2</v>
      </c>
      <c r="C1050" s="6">
        <f>LN(Raw!C1052/Raw!C1051)</f>
        <v>-2.446152915833192E-2</v>
      </c>
      <c r="D1050" s="6">
        <f>LN(Raw!D1052/Raw!D1051)</f>
        <v>-2.859527631228282E-2</v>
      </c>
      <c r="X1050" s="3">
        <v>45377</v>
      </c>
      <c r="Y1050" cm="1">
        <f t="array" ref="Y1050">SUMPRODUCT($T$2:$T$4,TRANSPOSE(B1050:D1050))</f>
        <v>-1.6073869686099456E-2</v>
      </c>
      <c r="AD1050" s="3">
        <v>45373</v>
      </c>
      <c r="AE1050">
        <v>-2.9645825065403404E-3</v>
      </c>
      <c r="AF1050">
        <f t="shared" si="16"/>
        <v>0</v>
      </c>
    </row>
    <row r="1051" spans="1:32" x14ac:dyDescent="0.35">
      <c r="A1051" s="3">
        <v>45378</v>
      </c>
      <c r="B1051" s="6">
        <f>LN(Raw!B1053/Raw!B1052)</f>
        <v>8.6986501477948966E-3</v>
      </c>
      <c r="C1051" s="6">
        <f>LN(Raw!C1053/Raw!C1052)</f>
        <v>1.2909350047394757E-2</v>
      </c>
      <c r="D1051" s="6">
        <f>LN(Raw!D1053/Raw!D1052)</f>
        <v>2.2768091056688106E-2</v>
      </c>
      <c r="X1051" s="3">
        <v>45378</v>
      </c>
      <c r="Y1051" cm="1">
        <f t="array" ref="Y1051">SUMPRODUCT($T$2:$T$4,TRANSPOSE(B1051:D1051))</f>
        <v>1.023526957189484E-2</v>
      </c>
      <c r="AD1051" s="3">
        <v>45377</v>
      </c>
      <c r="AE1051">
        <v>-1.6073869686099456E-2</v>
      </c>
      <c r="AF1051">
        <f t="shared" si="16"/>
        <v>0</v>
      </c>
    </row>
    <row r="1052" spans="1:32" x14ac:dyDescent="0.35">
      <c r="A1052" s="3">
        <v>45379</v>
      </c>
      <c r="B1052" s="6">
        <f>LN(Raw!B1054/Raw!B1053)</f>
        <v>1.3055996913639227E-2</v>
      </c>
      <c r="C1052" s="6">
        <f>LN(Raw!C1054/Raw!C1053)</f>
        <v>-4.8404734134638774E-3</v>
      </c>
      <c r="D1052" s="6">
        <f>LN(Raw!D1054/Raw!D1053)</f>
        <v>-1.7027251293567115E-2</v>
      </c>
      <c r="X1052" s="3">
        <v>45379</v>
      </c>
      <c r="Y1052" cm="1">
        <f t="array" ref="Y1052">SUMPRODUCT($T$2:$T$4,TRANSPOSE(B1052:D1052))</f>
        <v>7.9956091821601523E-3</v>
      </c>
      <c r="AD1052" s="3">
        <v>45378</v>
      </c>
      <c r="AE1052">
        <v>1.023526957189484E-2</v>
      </c>
      <c r="AF1052">
        <f t="shared" si="16"/>
        <v>0</v>
      </c>
    </row>
    <row r="1053" spans="1:32" x14ac:dyDescent="0.35">
      <c r="A1053" s="3">
        <v>45383</v>
      </c>
      <c r="B1053" s="6">
        <f>LN(Raw!B1055/Raw!B1054)</f>
        <v>7.8939669024132297E-3</v>
      </c>
      <c r="C1053" s="6">
        <f>LN(Raw!C1055/Raw!C1054)</f>
        <v>4.3759287811622201E-2</v>
      </c>
      <c r="D1053" s="6">
        <f>LN(Raw!D1055/Raw!D1054)</f>
        <v>5.4206281995158347E-2</v>
      </c>
      <c r="X1053" s="3">
        <v>45383</v>
      </c>
      <c r="Y1053" cm="1">
        <f t="array" ref="Y1053">SUMPRODUCT($T$2:$T$4,TRANSPOSE(B1053:D1053))</f>
        <v>1.7343541921515E-2</v>
      </c>
      <c r="AD1053" s="3">
        <v>45379</v>
      </c>
      <c r="AE1053">
        <v>7.9956091821601523E-3</v>
      </c>
      <c r="AF1053">
        <f t="shared" si="16"/>
        <v>0</v>
      </c>
    </row>
    <row r="1054" spans="1:32" x14ac:dyDescent="0.35">
      <c r="A1054" s="3">
        <v>45384</v>
      </c>
      <c r="B1054" s="6">
        <f>LN(Raw!B1056/Raw!B1055)</f>
        <v>-5.2853843644603323E-3</v>
      </c>
      <c r="C1054" s="6">
        <f>LN(Raw!C1056/Raw!C1055)</f>
        <v>-1.624142783803352E-2</v>
      </c>
      <c r="D1054" s="6">
        <f>LN(Raw!D1056/Raw!D1055)</f>
        <v>1.0421401320234952E-3</v>
      </c>
      <c r="X1054" s="3">
        <v>45384</v>
      </c>
      <c r="Y1054" cm="1">
        <f t="array" ref="Y1054">SUMPRODUCT($T$2:$T$4,TRANSPOSE(B1054:D1054))</f>
        <v>-7.1587111033015278E-3</v>
      </c>
      <c r="AD1054" s="3">
        <v>45383</v>
      </c>
      <c r="AE1054">
        <v>1.7343541921515E-2</v>
      </c>
      <c r="AF1054">
        <f t="shared" si="16"/>
        <v>0</v>
      </c>
    </row>
    <row r="1055" spans="1:32" x14ac:dyDescent="0.35">
      <c r="A1055" s="3">
        <v>45385</v>
      </c>
      <c r="B1055" s="6">
        <f>LN(Raw!B1057/Raw!B1056)</f>
        <v>2.2474932994860954E-3</v>
      </c>
      <c r="C1055" s="6">
        <f>LN(Raw!C1057/Raw!C1056)</f>
        <v>7.7878764171378703E-3</v>
      </c>
      <c r="D1055" s="6">
        <f>LN(Raw!D1057/Raw!D1056)</f>
        <v>-3.547937128582708E-3</v>
      </c>
      <c r="X1055" s="3">
        <v>45385</v>
      </c>
      <c r="Y1055" cm="1">
        <f t="array" ref="Y1055">SUMPRODUCT($T$2:$T$4,TRANSPOSE(B1055:D1055))</f>
        <v>3.0663604686786109E-3</v>
      </c>
      <c r="AD1055" s="3">
        <v>45384</v>
      </c>
      <c r="AE1055">
        <v>-7.1587111033015278E-3</v>
      </c>
      <c r="AF1055">
        <f t="shared" si="16"/>
        <v>0</v>
      </c>
    </row>
    <row r="1056" spans="1:32" x14ac:dyDescent="0.35">
      <c r="A1056" s="3">
        <v>45386</v>
      </c>
      <c r="B1056" s="6">
        <f>LN(Raw!B1058/Raw!B1057)</f>
        <v>-3.2665775962549763E-2</v>
      </c>
      <c r="C1056" s="6">
        <f>LN(Raw!C1058/Raw!C1057)</f>
        <v>-2.6380739745857241E-3</v>
      </c>
      <c r="D1056" s="6">
        <f>LN(Raw!D1058/Raw!D1057)</f>
        <v>-3.7704104334772073E-3</v>
      </c>
      <c r="X1056" s="3">
        <v>45386</v>
      </c>
      <c r="Y1056" cm="1">
        <f t="array" ref="Y1056">SUMPRODUCT($T$2:$T$4,TRANSPOSE(B1056:D1056))</f>
        <v>-2.5243169785883559E-2</v>
      </c>
      <c r="AD1056" s="3">
        <v>45385</v>
      </c>
      <c r="AE1056">
        <v>3.0663604686786109E-3</v>
      </c>
      <c r="AF1056">
        <f t="shared" si="16"/>
        <v>0</v>
      </c>
    </row>
    <row r="1057" spans="1:32" x14ac:dyDescent="0.35">
      <c r="A1057" s="3">
        <v>45387</v>
      </c>
      <c r="B1057" s="6">
        <f>LN(Raw!B1059/Raw!B1058)</f>
        <v>4.7385273521567586E-2</v>
      </c>
      <c r="C1057" s="6">
        <f>LN(Raw!C1059/Raw!C1058)</f>
        <v>3.0770300833873913E-3</v>
      </c>
      <c r="D1057" s="6">
        <f>LN(Raw!D1059/Raw!D1058)</f>
        <v>3.7704104334772858E-3</v>
      </c>
      <c r="X1057" s="3">
        <v>45387</v>
      </c>
      <c r="Y1057" cm="1">
        <f t="array" ref="Y1057">SUMPRODUCT($T$2:$T$4,TRANSPOSE(B1057:D1057))</f>
        <v>3.638425731087315E-2</v>
      </c>
      <c r="AD1057" s="3">
        <v>45386</v>
      </c>
      <c r="AE1057">
        <v>-2.5243169785883559E-2</v>
      </c>
      <c r="AF1057">
        <f t="shared" si="16"/>
        <v>0</v>
      </c>
    </row>
    <row r="1058" spans="1:32" x14ac:dyDescent="0.35">
      <c r="A1058" s="3">
        <v>45390</v>
      </c>
      <c r="B1058" s="6">
        <f>LN(Raw!B1060/Raw!B1059)</f>
        <v>-4.1417654799716253E-3</v>
      </c>
      <c r="C1058" s="6">
        <f>LN(Raw!C1060/Raw!C1059)</f>
        <v>-1.5184194630417636E-2</v>
      </c>
      <c r="D1058" s="6">
        <f>LN(Raw!D1060/Raw!D1059)</f>
        <v>-1.6229600072435478E-2</v>
      </c>
      <c r="X1058" s="3">
        <v>45390</v>
      </c>
      <c r="Y1058" cm="1">
        <f t="array" ref="Y1058">SUMPRODUCT($T$2:$T$4,TRANSPOSE(B1058:D1058))</f>
        <v>-6.9437101824773384E-3</v>
      </c>
      <c r="AD1058" s="3">
        <v>45387</v>
      </c>
      <c r="AE1058">
        <v>3.638425731087315E-2</v>
      </c>
      <c r="AF1058">
        <f t="shared" si="16"/>
        <v>0</v>
      </c>
    </row>
    <row r="1059" spans="1:32" x14ac:dyDescent="0.35">
      <c r="A1059" s="3">
        <v>45391</v>
      </c>
      <c r="B1059" s="6">
        <f>LN(Raw!B1061/Raw!B1060)</f>
        <v>-4.9223059601801802E-3</v>
      </c>
      <c r="C1059" s="6">
        <f>LN(Raw!C1061/Raw!C1060)</f>
        <v>-6.2583483573924233E-3</v>
      </c>
      <c r="D1059" s="6">
        <f>LN(Raw!D1061/Raw!D1060)</f>
        <v>-1.197114859885145E-2</v>
      </c>
      <c r="X1059" s="3">
        <v>45391</v>
      </c>
      <c r="Y1059" cm="1">
        <f t="array" ref="Y1059">SUMPRODUCT($T$2:$T$4,TRANSPOSE(B1059:D1059))</f>
        <v>-5.5377853375385925E-3</v>
      </c>
      <c r="AD1059" s="3">
        <v>45390</v>
      </c>
      <c r="AE1059">
        <v>-6.9437101824773384E-3</v>
      </c>
      <c r="AF1059">
        <f t="shared" si="16"/>
        <v>0</v>
      </c>
    </row>
    <row r="1060" spans="1:32" x14ac:dyDescent="0.35">
      <c r="A1060" s="3">
        <v>45392</v>
      </c>
      <c r="B1060" s="6">
        <f>LN(Raw!B1062/Raw!B1061)</f>
        <v>-9.1174209843099437E-3</v>
      </c>
      <c r="C1060" s="6">
        <f>LN(Raw!C1062/Raw!C1061)</f>
        <v>-1.5971350962241105E-2</v>
      </c>
      <c r="D1060" s="6">
        <f>LN(Raw!D1062/Raw!D1061)</f>
        <v>-1.5604994482323841E-2</v>
      </c>
      <c r="X1060" s="3">
        <v>45392</v>
      </c>
      <c r="Y1060" cm="1">
        <f t="array" ref="Y1060">SUMPRODUCT($T$2:$T$4,TRANSPOSE(B1060:D1060))</f>
        <v>-1.0806317335903103E-2</v>
      </c>
      <c r="AD1060" s="3">
        <v>45391</v>
      </c>
      <c r="AE1060">
        <v>-5.5377853375385925E-3</v>
      </c>
      <c r="AF1060">
        <f t="shared" si="16"/>
        <v>0</v>
      </c>
    </row>
    <row r="1061" spans="1:32" x14ac:dyDescent="0.35">
      <c r="A1061" s="3">
        <v>45394</v>
      </c>
      <c r="B1061" s="6">
        <f>LN(Raw!B1063/Raw!B1062)</f>
        <v>-1.1717235140370775E-2</v>
      </c>
      <c r="C1061" s="6">
        <f>LN(Raw!C1063/Raw!C1062)</f>
        <v>-1.3763853288589036E-2</v>
      </c>
      <c r="D1061" s="6">
        <f>LN(Raw!D1063/Raw!D1062)</f>
        <v>-1.8519031927319192E-2</v>
      </c>
      <c r="X1061" s="3">
        <v>45394</v>
      </c>
      <c r="Y1061" cm="1">
        <f t="array" ref="Y1061">SUMPRODUCT($T$2:$T$4,TRANSPOSE(B1061:D1061))</f>
        <v>-1.2462296378760496E-2</v>
      </c>
      <c r="AD1061" s="3">
        <v>45392</v>
      </c>
      <c r="AE1061">
        <v>-1.0806317335903103E-2</v>
      </c>
      <c r="AF1061">
        <f t="shared" si="16"/>
        <v>0</v>
      </c>
    </row>
    <row r="1062" spans="1:32" x14ac:dyDescent="0.35">
      <c r="A1062" s="3">
        <v>45397</v>
      </c>
      <c r="B1062" s="6">
        <f>LN(Raw!B1064/Raw!B1063)</f>
        <v>-2.2381623461093361E-2</v>
      </c>
      <c r="C1062" s="6">
        <f>LN(Raw!C1064/Raw!C1063)</f>
        <v>1.8461102069862337E-3</v>
      </c>
      <c r="D1062" s="6">
        <f>LN(Raw!D1064/Raw!D1063)</f>
        <v>-2.6608056657543008E-2</v>
      </c>
      <c r="X1062" s="3">
        <v>45397</v>
      </c>
      <c r="Y1062" cm="1">
        <f t="array" ref="Y1062">SUMPRODUCT($T$2:$T$4,TRANSPOSE(B1062:D1062))</f>
        <v>-1.7755707397481051E-2</v>
      </c>
      <c r="AD1062" s="3">
        <v>45394</v>
      </c>
      <c r="AE1062">
        <v>-1.2462296378760496E-2</v>
      </c>
      <c r="AF1062">
        <f t="shared" si="16"/>
        <v>0</v>
      </c>
    </row>
    <row r="1063" spans="1:32" x14ac:dyDescent="0.35">
      <c r="A1063" s="3">
        <v>45398</v>
      </c>
      <c r="B1063" s="6">
        <f>LN(Raw!B1065/Raw!B1064)</f>
        <v>1.1192715479572565E-2</v>
      </c>
      <c r="C1063" s="6">
        <f>LN(Raw!C1065/Raw!C1064)</f>
        <v>9.0276772632150136E-3</v>
      </c>
      <c r="D1063" s="6">
        <f>LN(Raw!D1065/Raw!D1064)</f>
        <v>1.2490169874825784E-2</v>
      </c>
      <c r="X1063" s="3">
        <v>45398</v>
      </c>
      <c r="Y1063" cm="1">
        <f t="array" ref="Y1063">SUMPRODUCT($T$2:$T$4,TRANSPOSE(B1063:D1063))</f>
        <v>1.0824854004224501E-2</v>
      </c>
      <c r="AD1063" s="3">
        <v>45397</v>
      </c>
      <c r="AE1063">
        <v>-1.7755707397481051E-2</v>
      </c>
      <c r="AF1063">
        <f t="shared" si="16"/>
        <v>0</v>
      </c>
    </row>
    <row r="1064" spans="1:32" x14ac:dyDescent="0.35">
      <c r="A1064" s="3">
        <v>45400</v>
      </c>
      <c r="B1064" s="6">
        <f>LN(Raw!B1066/Raw!B1065)</f>
        <v>3.65950998422001E-2</v>
      </c>
      <c r="C1064" s="6">
        <f>LN(Raw!C1066/Raw!C1065)</f>
        <v>8.493868028891698E-3</v>
      </c>
      <c r="D1064" s="6">
        <f>LN(Raw!D1066/Raw!D1065)</f>
        <v>-5.6580180039179136E-3</v>
      </c>
      <c r="X1064" s="3">
        <v>45400</v>
      </c>
      <c r="Y1064" cm="1">
        <f t="array" ref="Y1064">SUMPRODUCT($T$2:$T$4,TRANSPOSE(B1064:D1064))</f>
        <v>2.8895878984986963E-2</v>
      </c>
      <c r="AD1064" s="3">
        <v>45398</v>
      </c>
      <c r="AE1064">
        <v>1.0824854004224501E-2</v>
      </c>
      <c r="AF1064">
        <f t="shared" si="16"/>
        <v>0</v>
      </c>
    </row>
    <row r="1065" spans="1:32" x14ac:dyDescent="0.35">
      <c r="A1065" s="3">
        <v>45401</v>
      </c>
      <c r="B1065" s="6">
        <f>LN(Raw!B1067/Raw!B1066)</f>
        <v>-1.1971215377519889E-2</v>
      </c>
      <c r="C1065" s="6">
        <f>LN(Raw!C1067/Raw!C1066)</f>
        <v>-1.9675738223673141E-2</v>
      </c>
      <c r="D1065" s="6">
        <f>LN(Raw!D1067/Raw!D1066)</f>
        <v>-6.1469032053654577E-3</v>
      </c>
      <c r="X1065" s="3">
        <v>45401</v>
      </c>
      <c r="Y1065" cm="1">
        <f t="array" ref="Y1065">SUMPRODUCT($T$2:$T$4,TRANSPOSE(B1065:D1065))</f>
        <v>-1.3220546333857943E-2</v>
      </c>
      <c r="AD1065" s="3">
        <v>45400</v>
      </c>
      <c r="AE1065">
        <v>2.8895878984986963E-2</v>
      </c>
      <c r="AF1065">
        <f t="shared" si="16"/>
        <v>0</v>
      </c>
    </row>
    <row r="1066" spans="1:32" x14ac:dyDescent="0.35">
      <c r="A1066" s="3">
        <v>45404</v>
      </c>
      <c r="B1066" s="6">
        <f>LN(Raw!B1068/Raw!B1067)</f>
        <v>-2.221773130791937E-3</v>
      </c>
      <c r="C1066" s="6">
        <f>LN(Raw!C1068/Raw!C1067)</f>
        <v>1.407193601316916E-2</v>
      </c>
      <c r="D1066" s="6">
        <f>LN(Raw!D1068/Raw!D1067)</f>
        <v>1.04499136251903E-2</v>
      </c>
      <c r="X1066" s="3">
        <v>45404</v>
      </c>
      <c r="Y1066" cm="1">
        <f t="array" ref="Y1066">SUMPRODUCT($T$2:$T$4,TRANSPOSE(B1066:D1066))</f>
        <v>1.6570544470492186E-3</v>
      </c>
      <c r="AD1066" s="3">
        <v>45401</v>
      </c>
      <c r="AE1066">
        <v>-1.3220546333857943E-2</v>
      </c>
      <c r="AF1066">
        <f t="shared" si="16"/>
        <v>0</v>
      </c>
    </row>
    <row r="1067" spans="1:32" x14ac:dyDescent="0.35">
      <c r="A1067" s="3">
        <v>45405</v>
      </c>
      <c r="B1067" s="6">
        <f>LN(Raw!B1069/Raw!B1068)</f>
        <v>5.7958221949533035E-3</v>
      </c>
      <c r="C1067" s="6">
        <f>LN(Raw!C1069/Raw!C1068)</f>
        <v>-4.4144526196101801E-3</v>
      </c>
      <c r="D1067" s="6">
        <f>LN(Raw!D1069/Raw!D1068)</f>
        <v>1.569538751322001E-2</v>
      </c>
      <c r="X1067" s="3">
        <v>45405</v>
      </c>
      <c r="Y1067" cm="1">
        <f t="array" ref="Y1067">SUMPRODUCT($T$2:$T$4,TRANSPOSE(B1067:D1067))</f>
        <v>4.2481076781040669E-3</v>
      </c>
      <c r="AD1067" s="3">
        <v>45404</v>
      </c>
      <c r="AE1067">
        <v>1.6570544470492186E-3</v>
      </c>
      <c r="AF1067">
        <f t="shared" si="16"/>
        <v>0</v>
      </c>
    </row>
    <row r="1068" spans="1:32" x14ac:dyDescent="0.35">
      <c r="A1068" s="3">
        <v>45406</v>
      </c>
      <c r="B1068" s="6">
        <f>LN(Raw!B1070/Raw!B1069)</f>
        <v>2.826396118198805E-3</v>
      </c>
      <c r="C1068" s="6">
        <f>LN(Raw!C1070/Raw!C1069)</f>
        <v>-1.8322974928997168E-3</v>
      </c>
      <c r="D1068" s="6">
        <f>LN(Raw!D1070/Raw!D1069)</f>
        <v>5.767582830980035E-3</v>
      </c>
      <c r="X1068" s="3">
        <v>45406</v>
      </c>
      <c r="Y1068" cm="1">
        <f t="array" ref="Y1068">SUMPRODUCT($T$2:$T$4,TRANSPOSE(B1068:D1068))</f>
        <v>2.0422291632932804E-3</v>
      </c>
      <c r="AD1068" s="3">
        <v>45405</v>
      </c>
      <c r="AE1068">
        <v>4.2481076781040669E-3</v>
      </c>
      <c r="AF1068">
        <f t="shared" si="16"/>
        <v>0</v>
      </c>
    </row>
    <row r="1069" spans="1:32" x14ac:dyDescent="0.35">
      <c r="A1069" s="3">
        <v>45407</v>
      </c>
      <c r="B1069" s="6">
        <f>LN(Raw!B1071/Raw!B1070)</f>
        <v>3.6392227990503252E-3</v>
      </c>
      <c r="C1069" s="6">
        <f>LN(Raw!C1071/Raw!C1070)</f>
        <v>1.21526334446339E-2</v>
      </c>
      <c r="D1069" s="6">
        <f>LN(Raw!D1071/Raw!D1070)</f>
        <v>3.7530924222849704E-3</v>
      </c>
      <c r="X1069" s="3">
        <v>45407</v>
      </c>
      <c r="Y1069" cm="1">
        <f t="array" ref="Y1069">SUMPRODUCT($T$2:$T$4,TRANSPOSE(B1069:D1069))</f>
        <v>5.3438632832157641E-3</v>
      </c>
      <c r="AD1069" s="3">
        <v>45406</v>
      </c>
      <c r="AE1069">
        <v>2.0422291632932804E-3</v>
      </c>
      <c r="AF1069">
        <f t="shared" si="16"/>
        <v>0</v>
      </c>
    </row>
    <row r="1070" spans="1:32" x14ac:dyDescent="0.35">
      <c r="A1070" s="3">
        <v>45408</v>
      </c>
      <c r="B1070" s="6">
        <f>LN(Raw!B1072/Raw!B1071)</f>
        <v>-8.324872214928376E-3</v>
      </c>
      <c r="C1070" s="6">
        <f>LN(Raw!C1072/Raw!C1071)</f>
        <v>2.9604285691407283E-2</v>
      </c>
      <c r="D1070" s="6">
        <f>LN(Raw!D1072/Raw!D1071)</f>
        <v>7.5523630816595536E-2</v>
      </c>
      <c r="X1070" s="3">
        <v>45408</v>
      </c>
      <c r="Y1070" cm="1">
        <f t="array" ref="Y1070">SUMPRODUCT($T$2:$T$4,TRANSPOSE(B1070:D1070))</f>
        <v>3.3942489821248336E-3</v>
      </c>
      <c r="AD1070" s="3">
        <v>45407</v>
      </c>
      <c r="AE1070">
        <v>5.3438632832157641E-3</v>
      </c>
      <c r="AF1070">
        <f t="shared" si="16"/>
        <v>0</v>
      </c>
    </row>
    <row r="1071" spans="1:32" x14ac:dyDescent="0.35">
      <c r="A1071" s="3">
        <v>45411</v>
      </c>
      <c r="B1071" s="6">
        <f>LN(Raw!B1073/Raw!B1072)</f>
        <v>7.650838969324828E-3</v>
      </c>
      <c r="C1071" s="6">
        <f>LN(Raw!C1073/Raw!C1072)</f>
        <v>3.6273371988717648E-2</v>
      </c>
      <c r="D1071" s="6">
        <f>LN(Raw!D1073/Raw!D1072)</f>
        <v>3.315884406492136E-2</v>
      </c>
      <c r="X1071" s="3">
        <v>45411</v>
      </c>
      <c r="Y1071" cm="1">
        <f t="array" ref="Y1071">SUMPRODUCT($T$2:$T$4,TRANSPOSE(B1071:D1071))</f>
        <v>1.4625377080498386E-2</v>
      </c>
      <c r="AD1071" s="3">
        <v>45408</v>
      </c>
      <c r="AE1071">
        <v>3.3942489821248336E-3</v>
      </c>
      <c r="AF1071">
        <f t="shared" si="16"/>
        <v>0</v>
      </c>
    </row>
    <row r="1072" spans="1:32" x14ac:dyDescent="0.35">
      <c r="A1072" s="3">
        <v>45412</v>
      </c>
      <c r="B1072" s="6">
        <f>LN(Raw!B1074/Raw!B1073)</f>
        <v>2.9271307401981094E-3</v>
      </c>
      <c r="C1072" s="6">
        <f>LN(Raw!C1074/Raw!C1073)</f>
        <v>-2.2299398885310486E-2</v>
      </c>
      <c r="D1072" s="6">
        <f>LN(Raw!D1074/Raw!D1073)</f>
        <v>-2.3196420023908388E-2</v>
      </c>
      <c r="X1072" s="3">
        <v>45412</v>
      </c>
      <c r="Y1072" cm="1">
        <f t="array" ref="Y1072">SUMPRODUCT($T$2:$T$4,TRANSPOSE(B1072:D1072))</f>
        <v>-3.4001369748392378E-3</v>
      </c>
      <c r="AD1072" s="3">
        <v>45411</v>
      </c>
      <c r="AE1072">
        <v>1.4625377080498386E-2</v>
      </c>
      <c r="AF1072">
        <f t="shared" si="16"/>
        <v>0</v>
      </c>
    </row>
    <row r="1073" spans="1:32" x14ac:dyDescent="0.35">
      <c r="A1073" s="3">
        <v>45414</v>
      </c>
      <c r="B1073" s="6">
        <f>LN(Raw!B1075/Raw!B1074)</f>
        <v>-6.3333888714574207E-3</v>
      </c>
      <c r="C1073" s="6">
        <f>LN(Raw!C1075/Raw!C1074)</f>
        <v>-1.3534373695661558E-2</v>
      </c>
      <c r="D1073" s="6">
        <f>LN(Raw!D1075/Raw!D1074)</f>
        <v>-3.2695397175647248E-2</v>
      </c>
      <c r="X1073" s="3">
        <v>45414</v>
      </c>
      <c r="Y1073" cm="1">
        <f t="array" ref="Y1073">SUMPRODUCT($T$2:$T$4,TRANSPOSE(B1073:D1073))</f>
        <v>-9.0751342650422315E-3</v>
      </c>
      <c r="AD1073" s="3">
        <v>45412</v>
      </c>
      <c r="AE1073">
        <v>-3.4001369748392378E-3</v>
      </c>
      <c r="AF1073">
        <f t="shared" si="16"/>
        <v>0</v>
      </c>
    </row>
    <row r="1074" spans="1:32" x14ac:dyDescent="0.35">
      <c r="A1074" s="3">
        <v>45415</v>
      </c>
      <c r="B1074" s="6">
        <f>LN(Raw!B1076/Raw!B1075)</f>
        <v>-1.5682581060145664E-2</v>
      </c>
      <c r="C1074" s="6">
        <f>LN(Raw!C1076/Raw!C1075)</f>
        <v>-3.6697198775300834E-3</v>
      </c>
      <c r="D1074" s="6">
        <f>LN(Raw!D1076/Raw!D1075)</f>
        <v>-3.0562643251480875E-2</v>
      </c>
      <c r="X1074" s="3">
        <v>45415</v>
      </c>
      <c r="Y1074" cm="1">
        <f t="array" ref="Y1074">SUMPRODUCT($T$2:$T$4,TRANSPOSE(B1074:D1074))</f>
        <v>-1.4021613075680926E-2</v>
      </c>
      <c r="AD1074" s="3">
        <v>45414</v>
      </c>
      <c r="AE1074">
        <v>-9.0751342650422315E-3</v>
      </c>
      <c r="AF1074">
        <f t="shared" si="16"/>
        <v>0</v>
      </c>
    </row>
    <row r="1075" spans="1:32" x14ac:dyDescent="0.35">
      <c r="A1075" s="3">
        <v>45418</v>
      </c>
      <c r="B1075" s="6">
        <f>LN(Raw!B1077/Raw!B1076)</f>
        <v>4.7396447870667211E-3</v>
      </c>
      <c r="C1075" s="6">
        <f>LN(Raw!C1077/Raw!C1076)</f>
        <v>-2.4111897002710797E-2</v>
      </c>
      <c r="D1075" s="6">
        <f>LN(Raw!D1077/Raw!D1076)</f>
        <v>-1.8269304914647382E-2</v>
      </c>
      <c r="X1075" s="3">
        <v>45418</v>
      </c>
      <c r="Y1075" cm="1">
        <f t="array" ref="Y1075">SUMPRODUCT($T$2:$T$4,TRANSPOSE(B1075:D1075))</f>
        <v>-2.1569177480277521E-3</v>
      </c>
      <c r="AD1075" s="3">
        <v>45415</v>
      </c>
      <c r="AE1075">
        <v>-1.4021613075680926E-2</v>
      </c>
      <c r="AF1075">
        <f t="shared" si="16"/>
        <v>0</v>
      </c>
    </row>
    <row r="1076" spans="1:32" x14ac:dyDescent="0.35">
      <c r="A1076" s="3">
        <v>45419</v>
      </c>
      <c r="B1076" s="6">
        <f>LN(Raw!B1078/Raw!B1077)</f>
        <v>2.1981733675686802E-3</v>
      </c>
      <c r="C1076" s="6">
        <f>LN(Raw!C1078/Raw!C1077)</f>
        <v>-2.1162361528962646E-2</v>
      </c>
      <c r="D1076" s="6">
        <f>LN(Raw!D1078/Raw!D1077)</f>
        <v>-2.6917445260332521E-2</v>
      </c>
      <c r="X1076" s="3">
        <v>45419</v>
      </c>
      <c r="Y1076" cm="1">
        <f t="array" ref="Y1076">SUMPRODUCT($T$2:$T$4,TRANSPOSE(B1076:D1076))</f>
        <v>-3.9047791036519747E-3</v>
      </c>
      <c r="AD1076" s="3">
        <v>45418</v>
      </c>
      <c r="AE1076">
        <v>-2.1569177480277521E-3</v>
      </c>
      <c r="AF1076">
        <f t="shared" si="16"/>
        <v>0</v>
      </c>
    </row>
    <row r="1077" spans="1:32" x14ac:dyDescent="0.35">
      <c r="A1077" s="3">
        <v>45420</v>
      </c>
      <c r="B1077" s="6">
        <f>LN(Raw!B1079/Raw!B1078)</f>
        <v>2.1981492620639507E-2</v>
      </c>
      <c r="C1077" s="6">
        <f>LN(Raw!C1079/Raw!C1078)</f>
        <v>-9.2372235549857446E-4</v>
      </c>
      <c r="D1077" s="6">
        <f>LN(Raw!D1079/Raw!D1078)</f>
        <v>5.3968854007199508E-3</v>
      </c>
      <c r="X1077" s="3">
        <v>45420</v>
      </c>
      <c r="Y1077" cm="1">
        <f t="array" ref="Y1077">SUMPRODUCT($T$2:$T$4,TRANSPOSE(B1077:D1077))</f>
        <v>1.6589568429053465E-2</v>
      </c>
      <c r="AD1077" s="3">
        <v>45419</v>
      </c>
      <c r="AE1077">
        <v>-3.9047791036519747E-3</v>
      </c>
      <c r="AF1077">
        <f t="shared" si="16"/>
        <v>0</v>
      </c>
    </row>
    <row r="1078" spans="1:32" x14ac:dyDescent="0.35">
      <c r="A1078" s="3">
        <v>45421</v>
      </c>
      <c r="B1078" s="6">
        <f>LN(Raw!B1080/Raw!B1079)</f>
        <v>-4.2062483464822498E-2</v>
      </c>
      <c r="C1078" s="6">
        <f>LN(Raw!C1080/Raw!C1079)</f>
        <v>-1.1306568419584375E-2</v>
      </c>
      <c r="D1078" s="6">
        <f>LN(Raw!D1080/Raw!D1079)</f>
        <v>-2.5438528468854055E-2</v>
      </c>
      <c r="X1078" s="3">
        <v>45421</v>
      </c>
      <c r="Y1078" cm="1">
        <f t="array" ref="Y1078">SUMPRODUCT($T$2:$T$4,TRANSPOSE(B1078:D1078))</f>
        <v>-3.5101862565506424E-2</v>
      </c>
      <c r="AD1078" s="3">
        <v>45420</v>
      </c>
      <c r="AE1078">
        <v>1.6589568429053465E-2</v>
      </c>
      <c r="AF1078">
        <f t="shared" si="16"/>
        <v>0</v>
      </c>
    </row>
    <row r="1079" spans="1:32" x14ac:dyDescent="0.35">
      <c r="A1079" s="3">
        <v>45422</v>
      </c>
      <c r="B1079" s="6">
        <f>LN(Raw!B1081/Raw!B1080)</f>
        <v>6.006545782765953E-3</v>
      </c>
      <c r="C1079" s="6">
        <f>LN(Raw!C1081/Raw!C1080)</f>
        <v>1.5564168069204531E-3</v>
      </c>
      <c r="D1079" s="6">
        <f>LN(Raw!D1081/Raw!D1080)</f>
        <v>1.2345850277002196E-2</v>
      </c>
      <c r="X1079" s="3">
        <v>45422</v>
      </c>
      <c r="Y1079" cm="1">
        <f t="array" ref="Y1079">SUMPRODUCT($T$2:$T$4,TRANSPOSE(B1079:D1079))</f>
        <v>5.4321748661619379E-3</v>
      </c>
      <c r="AD1079" s="3">
        <v>45421</v>
      </c>
      <c r="AE1079">
        <v>-3.5101862565506424E-2</v>
      </c>
      <c r="AF1079">
        <f t="shared" si="16"/>
        <v>0</v>
      </c>
    </row>
    <row r="1080" spans="1:32" x14ac:dyDescent="0.35">
      <c r="A1080" s="3">
        <v>45425</v>
      </c>
      <c r="B1080" s="6">
        <f>LN(Raw!B1082/Raw!B1081)</f>
        <v>1.3540194828204819E-2</v>
      </c>
      <c r="C1080" s="6">
        <f>LN(Raw!C1082/Raw!C1081)</f>
        <v>4.0354627758359346E-3</v>
      </c>
      <c r="D1080" s="6">
        <f>LN(Raw!D1082/Raw!D1081)</f>
        <v>-5.4682753938728942E-3</v>
      </c>
      <c r="X1080" s="3">
        <v>45425</v>
      </c>
      <c r="Y1080" cm="1">
        <f t="array" ref="Y1080">SUMPRODUCT($T$2:$T$4,TRANSPOSE(B1080:D1080))</f>
        <v>1.0702622235222047E-2</v>
      </c>
      <c r="AD1080" s="3">
        <v>45422</v>
      </c>
      <c r="AE1080">
        <v>5.4321748661619379E-3</v>
      </c>
      <c r="AF1080">
        <f t="shared" si="16"/>
        <v>0</v>
      </c>
    </row>
    <row r="1081" spans="1:32" x14ac:dyDescent="0.35">
      <c r="A1081" s="3">
        <v>45426</v>
      </c>
      <c r="B1081" s="6">
        <f>LN(Raw!B1083/Raw!B1082)</f>
        <v>-2.0785741511716556E-4</v>
      </c>
      <c r="C1081" s="6">
        <f>LN(Raw!C1083/Raw!C1082)</f>
        <v>2.054338681646839E-2</v>
      </c>
      <c r="D1081" s="6">
        <f>LN(Raw!D1083/Raw!D1082)</f>
        <v>3.1927166979554382E-2</v>
      </c>
      <c r="X1081" s="3">
        <v>45426</v>
      </c>
      <c r="Y1081" cm="1">
        <f t="array" ref="Y1081">SUMPRODUCT($T$2:$T$4,TRANSPOSE(B1081:D1081))</f>
        <v>5.523794607739661E-3</v>
      </c>
      <c r="AD1081" s="3">
        <v>45425</v>
      </c>
      <c r="AE1081">
        <v>1.0702622235222047E-2</v>
      </c>
      <c r="AF1081">
        <f t="shared" si="16"/>
        <v>0</v>
      </c>
    </row>
    <row r="1082" spans="1:32" x14ac:dyDescent="0.35">
      <c r="A1082" s="3">
        <v>45427</v>
      </c>
      <c r="B1082" s="6">
        <f>LN(Raw!B1084/Raw!B1083)</f>
        <v>-1.8521805042229521E-2</v>
      </c>
      <c r="C1082" s="6">
        <f>LN(Raw!C1084/Raw!C1083)</f>
        <v>3.4306135366410404E-2</v>
      </c>
      <c r="D1082" s="6">
        <f>LN(Raw!D1084/Raw!D1083)</f>
        <v>3.3724488172218209E-2</v>
      </c>
      <c r="X1082" s="3">
        <v>45427</v>
      </c>
      <c r="Y1082" cm="1">
        <f t="array" ref="Y1082">SUMPRODUCT($T$2:$T$4,TRANSPOSE(B1082:D1082))</f>
        <v>-5.3933590135000964E-3</v>
      </c>
      <c r="AD1082" s="3">
        <v>45426</v>
      </c>
      <c r="AE1082">
        <v>5.523794607739661E-3</v>
      </c>
      <c r="AF1082">
        <f t="shared" si="16"/>
        <v>0</v>
      </c>
    </row>
    <row r="1083" spans="1:32" x14ac:dyDescent="0.35">
      <c r="A1083" s="3">
        <v>45428</v>
      </c>
      <c r="B1083" s="6">
        <f>LN(Raw!B1085/Raw!B1084)</f>
        <v>1.4355926836470379E-2</v>
      </c>
      <c r="C1083" s="6">
        <f>LN(Raw!C1085/Raw!C1084)</f>
        <v>-1.0020632682660228E-2</v>
      </c>
      <c r="D1083" s="6">
        <f>LN(Raw!D1085/Raw!D1084)</f>
        <v>-2.5706173072240321E-3</v>
      </c>
      <c r="X1083" s="3">
        <v>45428</v>
      </c>
      <c r="Y1083" cm="1">
        <f t="array" ref="Y1083">SUMPRODUCT($T$2:$T$4,TRANSPOSE(B1083:D1083))</f>
        <v>8.6534467949879769E-3</v>
      </c>
      <c r="AD1083" s="3">
        <v>45427</v>
      </c>
      <c r="AE1083">
        <v>-5.3933590135000964E-3</v>
      </c>
      <c r="AF1083">
        <f t="shared" si="16"/>
        <v>0</v>
      </c>
    </row>
    <row r="1084" spans="1:32" x14ac:dyDescent="0.35">
      <c r="A1084" s="3">
        <v>45429</v>
      </c>
      <c r="B1084" s="6">
        <f>LN(Raw!B1086/Raw!B1085)</f>
        <v>-4.3331417968881739E-3</v>
      </c>
      <c r="C1084" s="6">
        <f>LN(Raw!C1086/Raw!C1085)</f>
        <v>1.5722824158571274E-2</v>
      </c>
      <c r="D1084" s="6">
        <f>LN(Raw!D1086/Raw!D1085)</f>
        <v>-1.0731383262352931E-3</v>
      </c>
      <c r="X1084" s="3">
        <v>45429</v>
      </c>
      <c r="Y1084" cm="1">
        <f t="array" ref="Y1084">SUMPRODUCT($T$2:$T$4,TRANSPOSE(B1084:D1084))</f>
        <v>-1.6927303035926028E-4</v>
      </c>
      <c r="AD1084" s="3">
        <v>45428</v>
      </c>
      <c r="AE1084">
        <v>8.6534467949879769E-3</v>
      </c>
      <c r="AF1084">
        <f t="shared" si="16"/>
        <v>0</v>
      </c>
    </row>
    <row r="1085" spans="1:32" x14ac:dyDescent="0.35">
      <c r="A1085" s="3">
        <v>45433</v>
      </c>
      <c r="B1085" s="6">
        <f>LN(Raw!B1087/Raw!B1086)</f>
        <v>-1.3082749366613803E-2</v>
      </c>
      <c r="C1085" s="6">
        <f>LN(Raw!C1087/Raw!C1086)</f>
        <v>5.0898904298262116E-3</v>
      </c>
      <c r="D1085" s="6">
        <f>LN(Raw!D1087/Raw!D1086)</f>
        <v>-5.1668340897285609E-3</v>
      </c>
      <c r="X1085" s="3">
        <v>45433</v>
      </c>
      <c r="Y1085" cm="1">
        <f t="array" ref="Y1085">SUMPRODUCT($T$2:$T$4,TRANSPOSE(B1085:D1085))</f>
        <v>-9.0643107456708869E-3</v>
      </c>
      <c r="AD1085" s="3">
        <v>45429</v>
      </c>
      <c r="AE1085">
        <v>-1.6927303035926028E-4</v>
      </c>
      <c r="AF1085">
        <f t="shared" si="16"/>
        <v>0</v>
      </c>
    </row>
    <row r="1086" spans="1:32" x14ac:dyDescent="0.35">
      <c r="A1086" s="3">
        <v>45434</v>
      </c>
      <c r="B1086" s="6">
        <f>LN(Raw!B1088/Raw!B1087)</f>
        <v>-9.1081701136924457E-5</v>
      </c>
      <c r="C1086" s="6">
        <f>LN(Raw!C1088/Raw!C1087)</f>
        <v>9.5652794491469004E-2</v>
      </c>
      <c r="D1086" s="6">
        <f>LN(Raw!D1088/Raw!D1087)</f>
        <v>5.7661854884578562E-2</v>
      </c>
      <c r="X1086" s="3">
        <v>45434</v>
      </c>
      <c r="Y1086" cm="1">
        <f t="array" ref="Y1086">SUMPRODUCT($T$2:$T$4,TRANSPOSE(B1086:D1086))</f>
        <v>2.1874539852071107E-2</v>
      </c>
      <c r="AD1086" s="3">
        <v>45433</v>
      </c>
      <c r="AE1086">
        <v>-9.0643107456708869E-3</v>
      </c>
      <c r="AF1086">
        <f t="shared" si="16"/>
        <v>0</v>
      </c>
    </row>
    <row r="1087" spans="1:32" x14ac:dyDescent="0.35">
      <c r="A1087" s="3">
        <v>45435</v>
      </c>
      <c r="B1087" s="6">
        <f>LN(Raw!B1089/Raw!B1088)</f>
        <v>8.2804164271227786E-3</v>
      </c>
      <c r="C1087" s="6">
        <f>LN(Raw!C1089/Raw!C1088)</f>
        <v>6.5695314183849118E-3</v>
      </c>
      <c r="D1087" s="6">
        <f>LN(Raw!D1089/Raw!D1088)</f>
        <v>6.70130865681979E-3</v>
      </c>
      <c r="X1087" s="3">
        <v>45435</v>
      </c>
      <c r="Y1087" cm="1">
        <f t="array" ref="Y1087">SUMPRODUCT($T$2:$T$4,TRANSPOSE(B1087:D1087))</f>
        <v>7.8608280890764305E-3</v>
      </c>
      <c r="AD1087" s="3">
        <v>45434</v>
      </c>
      <c r="AE1087">
        <v>2.1874539852071107E-2</v>
      </c>
      <c r="AF1087">
        <f t="shared" si="16"/>
        <v>0</v>
      </c>
    </row>
    <row r="1088" spans="1:32" x14ac:dyDescent="0.35">
      <c r="A1088" s="3">
        <v>45436</v>
      </c>
      <c r="B1088" s="6">
        <f>LN(Raw!B1090/Raw!B1089)</f>
        <v>-9.0330837223136901E-4</v>
      </c>
      <c r="C1088" s="6">
        <f>LN(Raw!C1090/Raw!C1089)</f>
        <v>-3.3964778409034349E-2</v>
      </c>
      <c r="D1088" s="6">
        <f>LN(Raw!D1090/Raw!D1089)</f>
        <v>-3.3336459659528896E-2</v>
      </c>
      <c r="X1088" s="3">
        <v>45436</v>
      </c>
      <c r="Y1088" cm="1">
        <f t="array" ref="Y1088">SUMPRODUCT($T$2:$T$4,TRANSPOSE(B1088:D1088))</f>
        <v>-9.1064429594631714E-3</v>
      </c>
      <c r="AD1088" s="3">
        <v>45435</v>
      </c>
      <c r="AE1088">
        <v>7.8608280890764305E-3</v>
      </c>
      <c r="AF1088">
        <f t="shared" si="16"/>
        <v>0</v>
      </c>
    </row>
    <row r="1089" spans="1:32" x14ac:dyDescent="0.35">
      <c r="A1089" s="3">
        <v>45439</v>
      </c>
      <c r="B1089" s="6">
        <f>LN(Raw!B1091/Raw!B1090)</f>
        <v>-2.2142290696104423E-2</v>
      </c>
      <c r="C1089" s="6">
        <f>LN(Raw!C1091/Raw!C1090)</f>
        <v>-1.2268478297462769E-2</v>
      </c>
      <c r="D1089" s="6">
        <f>LN(Raw!D1091/Raw!D1090)</f>
        <v>-2.4143507264729094E-2</v>
      </c>
      <c r="X1089" s="3">
        <v>45439</v>
      </c>
      <c r="Y1089" cm="1">
        <f t="array" ref="Y1089">SUMPRODUCT($T$2:$T$4,TRANSPOSE(B1089:D1089))</f>
        <v>-2.0270833061004769E-2</v>
      </c>
      <c r="AD1089" s="3">
        <v>45436</v>
      </c>
      <c r="AE1089">
        <v>-9.1064429594631714E-3</v>
      </c>
      <c r="AF1089">
        <f t="shared" si="16"/>
        <v>0</v>
      </c>
    </row>
    <row r="1090" spans="1:32" x14ac:dyDescent="0.35">
      <c r="A1090" s="3">
        <v>45440</v>
      </c>
      <c r="B1090" s="6">
        <f>LN(Raw!B1092/Raw!B1091)</f>
        <v>7.1194340504096808E-3</v>
      </c>
      <c r="C1090" s="6">
        <f>LN(Raw!C1092/Raw!C1091)</f>
        <v>-2.0227833105149605E-2</v>
      </c>
      <c r="D1090" s="6">
        <f>LN(Raw!D1092/Raw!D1091)</f>
        <v>-7.3149735857198327E-3</v>
      </c>
      <c r="X1090" s="3">
        <v>45440</v>
      </c>
      <c r="Y1090" cm="1">
        <f t="array" ref="Y1090">SUMPRODUCT($T$2:$T$4,TRANSPOSE(B1090:D1090))</f>
        <v>9.4743173134747118E-4</v>
      </c>
      <c r="AD1090" s="3">
        <v>45439</v>
      </c>
      <c r="AE1090">
        <v>-2.0270833061004769E-2</v>
      </c>
      <c r="AF1090">
        <f t="shared" si="16"/>
        <v>0</v>
      </c>
    </row>
    <row r="1091" spans="1:32" x14ac:dyDescent="0.35">
      <c r="A1091" s="3">
        <v>45441</v>
      </c>
      <c r="B1091" s="6">
        <f>LN(Raw!B1093/Raw!B1092)</f>
        <v>-2.3701618372640378E-2</v>
      </c>
      <c r="C1091" s="6">
        <f>LN(Raw!C1093/Raw!C1092)</f>
        <v>-6.1771952381134438E-3</v>
      </c>
      <c r="D1091" s="6">
        <f>LN(Raw!D1093/Raw!D1092)</f>
        <v>1.3086110191624908E-2</v>
      </c>
      <c r="X1091" s="3">
        <v>45441</v>
      </c>
      <c r="Y1091" cm="1">
        <f t="array" ref="Y1091">SUMPRODUCT($T$2:$T$4,TRANSPOSE(B1091:D1091))</f>
        <v>-1.8383673834120512E-2</v>
      </c>
      <c r="AD1091" s="3">
        <v>45440</v>
      </c>
      <c r="AE1091">
        <v>9.4743173134747118E-4</v>
      </c>
      <c r="AF1091">
        <f t="shared" ref="AF1091:AF1154" si="17">IF(AE1091&lt;$AB$2,1,0)</f>
        <v>0</v>
      </c>
    </row>
    <row r="1092" spans="1:32" x14ac:dyDescent="0.35">
      <c r="A1092" s="3">
        <v>45442</v>
      </c>
      <c r="B1092" s="6">
        <f>LN(Raw!B1094/Raw!B1093)</f>
        <v>-6.7231663549450812E-3</v>
      </c>
      <c r="C1092" s="6">
        <f>LN(Raw!C1094/Raw!C1093)</f>
        <v>2.9530307690972309E-3</v>
      </c>
      <c r="D1092" s="6">
        <f>LN(Raw!D1094/Raw!D1093)</f>
        <v>-2.5033628837630412E-2</v>
      </c>
      <c r="X1092" s="3">
        <v>45442</v>
      </c>
      <c r="Y1092" cm="1">
        <f t="array" ref="Y1092">SUMPRODUCT($T$2:$T$4,TRANSPOSE(B1092:D1092))</f>
        <v>-5.6982929122660671E-3</v>
      </c>
      <c r="AD1092" s="3">
        <v>45441</v>
      </c>
      <c r="AE1092">
        <v>-1.8383673834120512E-2</v>
      </c>
      <c r="AF1092">
        <f t="shared" si="17"/>
        <v>0</v>
      </c>
    </row>
    <row r="1093" spans="1:32" x14ac:dyDescent="0.35">
      <c r="A1093" s="3">
        <v>45443</v>
      </c>
      <c r="B1093" s="6">
        <f>LN(Raw!B1095/Raw!B1094)</f>
        <v>-3.4103485558041576E-3</v>
      </c>
      <c r="C1093" s="6">
        <f>LN(Raw!C1095/Raw!C1094)</f>
        <v>0</v>
      </c>
      <c r="D1093" s="6">
        <f>LN(Raw!D1095/Raw!D1094)</f>
        <v>-2.1862218121378188E-4</v>
      </c>
      <c r="X1093" s="3">
        <v>45443</v>
      </c>
      <c r="Y1093" cm="1">
        <f t="array" ref="Y1093">SUMPRODUCT($T$2:$T$4,TRANSPOSE(B1093:D1093))</f>
        <v>-2.5717928957874584E-3</v>
      </c>
      <c r="AD1093" s="3">
        <v>45442</v>
      </c>
      <c r="AE1093">
        <v>-5.6982929122660671E-3</v>
      </c>
      <c r="AF1093">
        <f t="shared" si="17"/>
        <v>0</v>
      </c>
    </row>
    <row r="1094" spans="1:32" x14ac:dyDescent="0.35">
      <c r="A1094" s="3">
        <v>45446</v>
      </c>
      <c r="B1094" s="6">
        <f>LN(Raw!B1096/Raw!B1095)</f>
        <v>1.2510333178061949E-2</v>
      </c>
      <c r="C1094" s="6">
        <f>LN(Raw!C1096/Raw!C1095)</f>
        <v>3.9236905101109311E-2</v>
      </c>
      <c r="D1094" s="6">
        <f>LN(Raw!D1096/Raw!D1095)</f>
        <v>4.0900693158229549E-2</v>
      </c>
      <c r="X1094" s="3">
        <v>45446</v>
      </c>
      <c r="Y1094" cm="1">
        <f t="array" ref="Y1094">SUMPRODUCT($T$2:$T$4,TRANSPOSE(B1094:D1094))</f>
        <v>1.9249145972377014E-2</v>
      </c>
      <c r="AD1094" s="3">
        <v>45443</v>
      </c>
      <c r="AE1094">
        <v>-2.5717928957874584E-3</v>
      </c>
      <c r="AF1094">
        <f t="shared" si="17"/>
        <v>0</v>
      </c>
    </row>
    <row r="1095" spans="1:32" x14ac:dyDescent="0.35">
      <c r="A1095" s="3">
        <v>45447</v>
      </c>
      <c r="B1095" s="6">
        <f>LN(Raw!B1097/Raw!B1096)</f>
        <v>-4.1065311930668001E-2</v>
      </c>
      <c r="C1095" s="6">
        <f>LN(Raw!C1097/Raw!C1096)</f>
        <v>-5.7372842480227136E-2</v>
      </c>
      <c r="D1095" s="6">
        <f>LN(Raw!D1097/Raw!D1096)</f>
        <v>-0.1752130757093644</v>
      </c>
      <c r="X1095" s="3">
        <v>45447</v>
      </c>
      <c r="Y1095" cm="1">
        <f t="array" ref="Y1095">SUMPRODUCT($T$2:$T$4,TRANSPOSE(B1095:D1095))</f>
        <v>-5.0958761751303497E-2</v>
      </c>
      <c r="AD1095" s="3">
        <v>45446</v>
      </c>
      <c r="AE1095">
        <v>1.9249145972377014E-2</v>
      </c>
      <c r="AF1095">
        <f t="shared" si="17"/>
        <v>0</v>
      </c>
    </row>
    <row r="1096" spans="1:32" x14ac:dyDescent="0.35">
      <c r="A1096" s="3">
        <v>45448</v>
      </c>
      <c r="B1096" s="6">
        <f>LN(Raw!B1098/Raw!B1097)</f>
        <v>5.9511659456077538E-2</v>
      </c>
      <c r="C1096" s="6">
        <f>LN(Raw!C1098/Raw!C1097)</f>
        <v>-1.309658049971418E-2</v>
      </c>
      <c r="D1096" s="6">
        <f>LN(Raw!D1098/Raw!D1097)</f>
        <v>4.5690221428238552E-2</v>
      </c>
      <c r="X1096" s="3">
        <v>45448</v>
      </c>
      <c r="Y1096" cm="1">
        <f t="array" ref="Y1096">SUMPRODUCT($T$2:$T$4,TRANSPOSE(B1096:D1096))</f>
        <v>4.4337346768676955E-2</v>
      </c>
      <c r="AD1096" s="3">
        <v>45447</v>
      </c>
      <c r="AE1096">
        <v>-5.0958761751303497E-2</v>
      </c>
      <c r="AF1096">
        <f t="shared" si="17"/>
        <v>1</v>
      </c>
    </row>
    <row r="1097" spans="1:32" x14ac:dyDescent="0.35">
      <c r="A1097" s="3">
        <v>45449</v>
      </c>
      <c r="B1097" s="6">
        <f>LN(Raw!B1099/Raw!B1098)</f>
        <v>8.762733923074922E-3</v>
      </c>
      <c r="C1097" s="6">
        <f>LN(Raw!C1099/Raw!C1098)</f>
        <v>4.3928837246791495E-2</v>
      </c>
      <c r="D1097" s="6">
        <f>LN(Raw!D1099/Raw!D1098)</f>
        <v>3.6580772898331566E-2</v>
      </c>
      <c r="X1097" s="3">
        <v>45449</v>
      </c>
      <c r="Y1097" cm="1">
        <f t="array" ref="Y1097">SUMPRODUCT($T$2:$T$4,TRANSPOSE(B1097:D1097))</f>
        <v>1.7157483675502173E-2</v>
      </c>
      <c r="AD1097" s="3">
        <v>45448</v>
      </c>
      <c r="AE1097">
        <v>4.4337346768676955E-2</v>
      </c>
      <c r="AF1097">
        <f t="shared" si="17"/>
        <v>0</v>
      </c>
    </row>
    <row r="1098" spans="1:32" x14ac:dyDescent="0.35">
      <c r="A1098" s="3">
        <v>45450</v>
      </c>
      <c r="B1098" s="6">
        <f>LN(Raw!B1100/Raw!B1099)</f>
        <v>9.927413407775261E-3</v>
      </c>
      <c r="C1098" s="6">
        <f>LN(Raw!C1100/Raw!C1099)</f>
        <v>9.3832744119505523E-3</v>
      </c>
      <c r="D1098" s="6">
        <f>LN(Raw!D1100/Raw!D1099)</f>
        <v>1.7574404541786735E-2</v>
      </c>
      <c r="X1098" s="3">
        <v>45450</v>
      </c>
      <c r="Y1098" cm="1">
        <f t="array" ref="Y1098">SUMPRODUCT($T$2:$T$4,TRANSPOSE(B1098:D1098))</f>
        <v>1.0197270968982626E-2</v>
      </c>
      <c r="AD1098" s="3">
        <v>45449</v>
      </c>
      <c r="AE1098">
        <v>1.7157483675502173E-2</v>
      </c>
      <c r="AF1098">
        <f t="shared" si="17"/>
        <v>0</v>
      </c>
    </row>
    <row r="1099" spans="1:32" x14ac:dyDescent="0.35">
      <c r="A1099" s="3">
        <v>45453</v>
      </c>
      <c r="B1099" s="6">
        <f>LN(Raw!B1101/Raw!B1100)</f>
        <v>1.4961587330926644E-2</v>
      </c>
      <c r="C1099" s="6">
        <f>LN(Raw!C1101/Raw!C1100)</f>
        <v>4.3406307937496606E-2</v>
      </c>
      <c r="D1099" s="6">
        <f>LN(Raw!D1101/Raw!D1100)</f>
        <v>8.0724710503333491E-2</v>
      </c>
      <c r="X1099" s="3">
        <v>45453</v>
      </c>
      <c r="Y1099" cm="1">
        <f t="array" ref="Y1099">SUMPRODUCT($T$2:$T$4,TRANSPOSE(B1099:D1099))</f>
        <v>2.3892869879992364E-2</v>
      </c>
      <c r="AD1099" s="3">
        <v>45450</v>
      </c>
      <c r="AE1099">
        <v>1.0197270968982626E-2</v>
      </c>
      <c r="AF1099">
        <f t="shared" si="17"/>
        <v>0</v>
      </c>
    </row>
    <row r="1100" spans="1:32" x14ac:dyDescent="0.35">
      <c r="A1100" s="3">
        <v>45454</v>
      </c>
      <c r="B1100" s="6">
        <f>LN(Raw!B1102/Raw!B1101)</f>
        <v>-2.0900177233824389E-2</v>
      </c>
      <c r="C1100" s="6">
        <f>LN(Raw!C1102/Raw!C1101)</f>
        <v>1.7856375124021693E-2</v>
      </c>
      <c r="D1100" s="6">
        <f>LN(Raw!D1102/Raw!D1101)</f>
        <v>5.2453725274982516E-3</v>
      </c>
      <c r="X1100" s="3">
        <v>45454</v>
      </c>
      <c r="Y1100" cm="1">
        <f t="array" ref="Y1100">SUMPRODUCT($T$2:$T$4,TRANSPOSE(B1100:D1100))</f>
        <v>-1.1871659850139781E-2</v>
      </c>
      <c r="AD1100" s="3">
        <v>45453</v>
      </c>
      <c r="AE1100">
        <v>2.3892869879992364E-2</v>
      </c>
      <c r="AF1100">
        <f t="shared" si="17"/>
        <v>0</v>
      </c>
    </row>
    <row r="1101" spans="1:32" x14ac:dyDescent="0.35">
      <c r="A1101" s="3">
        <v>45455</v>
      </c>
      <c r="B1101" s="6">
        <f>LN(Raw!B1103/Raw!B1102)</f>
        <v>5.8478683086382061E-3</v>
      </c>
      <c r="C1101" s="6">
        <f>LN(Raw!C1103/Raw!C1102)</f>
        <v>5.6678469455553127E-3</v>
      </c>
      <c r="D1101" s="6">
        <f>LN(Raw!D1103/Raw!D1102)</f>
        <v>-1.9117735682296464E-3</v>
      </c>
      <c r="X1101" s="3">
        <v>45455</v>
      </c>
      <c r="Y1101" cm="1">
        <f t="array" ref="Y1101">SUMPRODUCT($T$2:$T$4,TRANSPOSE(B1101:D1101))</f>
        <v>5.4279162168895962E-3</v>
      </c>
      <c r="AD1101" s="3">
        <v>45454</v>
      </c>
      <c r="AE1101">
        <v>-1.1871659850139781E-2</v>
      </c>
      <c r="AF1101">
        <f t="shared" si="17"/>
        <v>0</v>
      </c>
    </row>
    <row r="1102" spans="1:32" x14ac:dyDescent="0.35">
      <c r="A1102" s="3">
        <v>45456</v>
      </c>
      <c r="B1102" s="6">
        <f>LN(Raw!B1104/Raw!B1103)</f>
        <v>4.6417706775637333E-3</v>
      </c>
      <c r="C1102" s="6">
        <f>LN(Raw!C1104/Raw!C1103)</f>
        <v>2.9500697264895396E-3</v>
      </c>
      <c r="D1102" s="6">
        <f>LN(Raw!D1104/Raw!D1103)</f>
        <v>5.7659200623869427E-3</v>
      </c>
      <c r="X1102" s="3">
        <v>45456</v>
      </c>
      <c r="Y1102" cm="1">
        <f t="array" ref="Y1102">SUMPRODUCT($T$2:$T$4,TRANSPOSE(B1102:D1102))</f>
        <v>4.3597953875283875E-3</v>
      </c>
      <c r="AD1102" s="3">
        <v>45455</v>
      </c>
      <c r="AE1102">
        <v>5.4279162168895962E-3</v>
      </c>
      <c r="AF1102">
        <f t="shared" si="17"/>
        <v>0</v>
      </c>
    </row>
    <row r="1103" spans="1:32" x14ac:dyDescent="0.35">
      <c r="A1103" s="3">
        <v>45457</v>
      </c>
      <c r="B1103" s="6">
        <f>LN(Raw!B1105/Raw!B1104)</f>
        <v>4.0198724603657879E-2</v>
      </c>
      <c r="C1103" s="6">
        <f>LN(Raw!C1105/Raw!C1104)</f>
        <v>8.4174701888927363E-3</v>
      </c>
      <c r="D1103" s="6">
        <f>LN(Raw!D1105/Raw!D1104)</f>
        <v>9.7958716161557543E-3</v>
      </c>
      <c r="X1103" s="3">
        <v>45457</v>
      </c>
      <c r="Y1103" cm="1">
        <f t="array" ref="Y1103">SUMPRODUCT($T$2:$T$4,TRANSPOSE(B1103:D1103))</f>
        <v>3.235155953724133E-2</v>
      </c>
      <c r="AD1103" s="3">
        <v>45456</v>
      </c>
      <c r="AE1103">
        <v>4.3597953875283875E-3</v>
      </c>
      <c r="AF1103">
        <f t="shared" si="17"/>
        <v>0</v>
      </c>
    </row>
    <row r="1104" spans="1:32" x14ac:dyDescent="0.35">
      <c r="A1104" s="3">
        <v>45461</v>
      </c>
      <c r="B1104" s="6">
        <f>LN(Raw!B1106/Raw!B1105)</f>
        <v>8.2563228988913849E-3</v>
      </c>
      <c r="C1104" s="6">
        <f>LN(Raw!C1106/Raw!C1105)</f>
        <v>-1.5873407990386543E-2</v>
      </c>
      <c r="D1104" s="6">
        <f>LN(Raw!D1106/Raw!D1105)</f>
        <v>-5.421232281102536E-3</v>
      </c>
      <c r="X1104" s="3">
        <v>45461</v>
      </c>
      <c r="Y1104" cm="1">
        <f t="array" ref="Y1104">SUMPRODUCT($T$2:$T$4,TRANSPOSE(B1104:D1104))</f>
        <v>2.7638948453118234E-3</v>
      </c>
      <c r="AD1104" s="3">
        <v>45457</v>
      </c>
      <c r="AE1104">
        <v>3.235155953724133E-2</v>
      </c>
      <c r="AF1104">
        <f t="shared" si="17"/>
        <v>0</v>
      </c>
    </row>
    <row r="1105" spans="1:32" x14ac:dyDescent="0.35">
      <c r="A1105" s="3">
        <v>45462</v>
      </c>
      <c r="B1105" s="6">
        <f>LN(Raw!B1107/Raw!B1106)</f>
        <v>8.2739726455290478E-3</v>
      </c>
      <c r="C1105" s="6">
        <f>LN(Raw!C1107/Raw!C1106)</f>
        <v>-1.6916431175408437E-2</v>
      </c>
      <c r="D1105" s="6">
        <f>LN(Raw!D1107/Raw!D1106)</f>
        <v>-2.0595236284086788E-2</v>
      </c>
      <c r="X1105" s="3">
        <v>45462</v>
      </c>
      <c r="Y1105" cm="1">
        <f t="array" ref="Y1105">SUMPRODUCT($T$2:$T$4,TRANSPOSE(B1105:D1105))</f>
        <v>1.8180315208729608E-3</v>
      </c>
      <c r="AD1105" s="3">
        <v>45461</v>
      </c>
      <c r="AE1105">
        <v>2.7638948453118234E-3</v>
      </c>
      <c r="AF1105">
        <f t="shared" si="17"/>
        <v>0</v>
      </c>
    </row>
    <row r="1106" spans="1:32" x14ac:dyDescent="0.35">
      <c r="A1106" s="3">
        <v>45463</v>
      </c>
      <c r="B1106" s="6">
        <f>LN(Raw!B1108/Raw!B1107)</f>
        <v>-6.5278328586454151E-3</v>
      </c>
      <c r="C1106" s="6">
        <f>LN(Raw!C1108/Raw!C1107)</f>
        <v>1.7561382832824327E-2</v>
      </c>
      <c r="D1106" s="6">
        <f>LN(Raw!D1108/Raw!D1107)</f>
        <v>5.4045078694220698E-2</v>
      </c>
      <c r="X1106" s="3">
        <v>45463</v>
      </c>
      <c r="Y1106" cm="1">
        <f t="array" ref="Y1106">SUMPRODUCT($T$2:$T$4,TRANSPOSE(B1106:D1106))</f>
        <v>1.2773659404442961E-3</v>
      </c>
      <c r="AD1106" s="3">
        <v>45462</v>
      </c>
      <c r="AE1106">
        <v>1.8180315208729608E-3</v>
      </c>
      <c r="AF1106">
        <f t="shared" si="17"/>
        <v>0</v>
      </c>
    </row>
    <row r="1107" spans="1:32" x14ac:dyDescent="0.35">
      <c r="A1107" s="3">
        <v>45464</v>
      </c>
      <c r="B1107" s="6">
        <f>LN(Raw!B1109/Raw!B1108)</f>
        <v>4.8784638563817342E-3</v>
      </c>
      <c r="C1107" s="6">
        <f>LN(Raw!C1109/Raw!C1108)</f>
        <v>4.6730950641685448E-2</v>
      </c>
      <c r="D1107" s="6">
        <f>LN(Raw!D1109/Raw!D1108)</f>
        <v>5.8770199891675923E-3</v>
      </c>
      <c r="X1107" s="3">
        <v>45464</v>
      </c>
      <c r="Y1107" cm="1">
        <f t="array" ref="Y1107">SUMPRODUCT($T$2:$T$4,TRANSPOSE(B1107:D1107))</f>
        <v>1.3280303282249429E-2</v>
      </c>
      <c r="AD1107" s="3">
        <v>45463</v>
      </c>
      <c r="AE1107">
        <v>1.2773659404442961E-3</v>
      </c>
      <c r="AF1107">
        <f t="shared" si="17"/>
        <v>0</v>
      </c>
    </row>
    <row r="1108" spans="1:32" x14ac:dyDescent="0.35">
      <c r="A1108" s="3">
        <v>45467</v>
      </c>
      <c r="B1108" s="6">
        <f>LN(Raw!B1110/Raw!B1109)</f>
        <v>8.3042591784419691E-3</v>
      </c>
      <c r="C1108" s="6">
        <f>LN(Raw!C1110/Raw!C1109)</f>
        <v>-2.35333855972703E-2</v>
      </c>
      <c r="D1108" s="6">
        <f>LN(Raw!D1110/Raw!D1109)</f>
        <v>-2.8513692416231598E-2</v>
      </c>
      <c r="X1108" s="3">
        <v>45467</v>
      </c>
      <c r="Y1108" cm="1">
        <f t="array" ref="Y1108">SUMPRODUCT($T$2:$T$4,TRANSPOSE(B1108:D1108))</f>
        <v>1.2835673653655726E-4</v>
      </c>
      <c r="AD1108" s="3">
        <v>45464</v>
      </c>
      <c r="AE1108">
        <v>1.3280303282249429E-2</v>
      </c>
      <c r="AF1108">
        <f t="shared" si="17"/>
        <v>0</v>
      </c>
    </row>
    <row r="1109" spans="1:32" x14ac:dyDescent="0.35">
      <c r="A1109" s="3">
        <v>45468</v>
      </c>
      <c r="B1109" s="6">
        <f>LN(Raw!B1111/Raw!B1110)</f>
        <v>4.9552358185718879E-3</v>
      </c>
      <c r="C1109" s="6">
        <f>LN(Raw!C1111/Raw!C1110)</f>
        <v>-1.651464407959001E-2</v>
      </c>
      <c r="D1109" s="6">
        <f>LN(Raw!D1111/Raw!D1110)</f>
        <v>-2.7925288873415839E-2</v>
      </c>
      <c r="X1109" s="3">
        <v>45468</v>
      </c>
      <c r="Y1109" cm="1">
        <f t="array" ref="Y1109">SUMPRODUCT($T$2:$T$4,TRANSPOSE(B1109:D1109))</f>
        <v>-9.5672788239018532E-4</v>
      </c>
      <c r="AD1109" s="3">
        <v>45467</v>
      </c>
      <c r="AE1109">
        <v>1.2835673653655726E-4</v>
      </c>
      <c r="AF1109">
        <f t="shared" si="17"/>
        <v>0</v>
      </c>
    </row>
    <row r="1110" spans="1:32" x14ac:dyDescent="0.35">
      <c r="A1110" s="3">
        <v>45469</v>
      </c>
      <c r="B1110" s="6">
        <f>LN(Raw!B1112/Raw!B1111)</f>
        <v>3.7003793123228101E-3</v>
      </c>
      <c r="C1110" s="6">
        <f>LN(Raw!C1112/Raw!C1111)</f>
        <v>-1.2243179779101918E-2</v>
      </c>
      <c r="D1110" s="6">
        <f>LN(Raw!D1112/Raw!D1111)</f>
        <v>5.8476988546240227E-3</v>
      </c>
      <c r="X1110" s="3">
        <v>45469</v>
      </c>
      <c r="Y1110" cm="1">
        <f t="array" ref="Y1110">SUMPRODUCT($T$2:$T$4,TRANSPOSE(B1110:D1110))</f>
        <v>6.2482473654551182E-4</v>
      </c>
      <c r="AD1110" s="3">
        <v>45468</v>
      </c>
      <c r="AE1110">
        <v>-9.5672788239018532E-4</v>
      </c>
      <c r="AF1110">
        <f t="shared" si="17"/>
        <v>0</v>
      </c>
    </row>
    <row r="1111" spans="1:32" x14ac:dyDescent="0.35">
      <c r="A1111" s="3">
        <v>45470</v>
      </c>
      <c r="B1111" s="6">
        <f>LN(Raw!B1113/Raw!B1112)</f>
        <v>3.6588300594277649E-3</v>
      </c>
      <c r="C1111" s="6">
        <f>LN(Raw!C1113/Raw!C1112)</f>
        <v>-2.1362433920511563E-2</v>
      </c>
      <c r="D1111" s="6">
        <f>LN(Raw!D1113/Raw!D1112)</f>
        <v>-3.2938344318878182E-2</v>
      </c>
      <c r="X1111" s="3">
        <v>45470</v>
      </c>
      <c r="Y1111" cm="1">
        <f t="array" ref="Y1111">SUMPRODUCT($T$2:$T$4,TRANSPOSE(B1111:D1111))</f>
        <v>-3.1458139639650687E-3</v>
      </c>
      <c r="AD1111" s="3">
        <v>45469</v>
      </c>
      <c r="AE1111">
        <v>6.2482473654551182E-4</v>
      </c>
      <c r="AF1111">
        <f t="shared" si="17"/>
        <v>0</v>
      </c>
    </row>
    <row r="1112" spans="1:32" x14ac:dyDescent="0.35">
      <c r="A1112" s="3">
        <v>45471</v>
      </c>
      <c r="B1112" s="6">
        <f>LN(Raw!B1114/Raw!B1113)</f>
        <v>-2.1768688554560703E-3</v>
      </c>
      <c r="C1112" s="6">
        <f>LN(Raw!C1114/Raw!C1113)</f>
        <v>3.4382217077312447E-3</v>
      </c>
      <c r="D1112" s="6">
        <f>LN(Raw!D1114/Raw!D1113)</f>
        <v>1.9648119625622965E-2</v>
      </c>
      <c r="X1112" s="3">
        <v>45471</v>
      </c>
      <c r="Y1112" cm="1">
        <f t="array" ref="Y1112">SUMPRODUCT($T$2:$T$4,TRANSPOSE(B1112:D1112))</f>
        <v>2.3845117240698689E-5</v>
      </c>
      <c r="AD1112" s="3">
        <v>45470</v>
      </c>
      <c r="AE1112">
        <v>-3.1458139639650687E-3</v>
      </c>
      <c r="AF1112">
        <f t="shared" si="17"/>
        <v>0</v>
      </c>
    </row>
    <row r="1113" spans="1:32" x14ac:dyDescent="0.35">
      <c r="A1113" s="3">
        <v>45474</v>
      </c>
      <c r="B1113" s="6">
        <f>LN(Raw!B1115/Raw!B1114)</f>
        <v>9.7591143422550569E-3</v>
      </c>
      <c r="C1113" s="6">
        <f>LN(Raw!C1115/Raw!C1114)</f>
        <v>1.2072073975810576E-2</v>
      </c>
      <c r="D1113" s="6">
        <f>LN(Raw!D1115/Raw!D1114)</f>
        <v>3.5449300015326625E-2</v>
      </c>
      <c r="X1113" s="3">
        <v>45474</v>
      </c>
      <c r="Y1113" cm="1">
        <f t="array" ref="Y1113">SUMPRODUCT($T$2:$T$4,TRANSPOSE(B1113:D1113))</f>
        <v>1.1492117284301523E-2</v>
      </c>
      <c r="AD1113" s="3">
        <v>45471</v>
      </c>
      <c r="AE1113">
        <v>2.3845117240698689E-5</v>
      </c>
      <c r="AF1113">
        <f t="shared" si="17"/>
        <v>0</v>
      </c>
    </row>
    <row r="1114" spans="1:32" x14ac:dyDescent="0.35">
      <c r="A1114" s="3">
        <v>45475</v>
      </c>
      <c r="B1114" s="6">
        <f>LN(Raw!B1116/Raw!B1115)</f>
        <v>3.873349105002367E-4</v>
      </c>
      <c r="C1114" s="6">
        <f>LN(Raw!C1116/Raw!C1115)</f>
        <v>-2.7428298006007641E-3</v>
      </c>
      <c r="D1114" s="6">
        <f>LN(Raw!D1116/Raw!D1115)</f>
        <v>-1.3368566092990445E-2</v>
      </c>
      <c r="X1114" s="3">
        <v>45475</v>
      </c>
      <c r="Y1114" cm="1">
        <f t="array" ref="Y1114">SUMPRODUCT($T$2:$T$4,TRANSPOSE(B1114:D1114))</f>
        <v>-9.1812712374728534E-4</v>
      </c>
      <c r="AD1114" s="3">
        <v>45474</v>
      </c>
      <c r="AE1114">
        <v>1.1492117284301523E-2</v>
      </c>
      <c r="AF1114">
        <f t="shared" si="17"/>
        <v>0</v>
      </c>
    </row>
    <row r="1115" spans="1:32" x14ac:dyDescent="0.35">
      <c r="A1115" s="3">
        <v>45476</v>
      </c>
      <c r="B1115" s="6">
        <f>LN(Raw!B1117/Raw!B1116)</f>
        <v>2.4830167140609163E-2</v>
      </c>
      <c r="C1115" s="6">
        <f>LN(Raw!C1117/Raw!C1116)</f>
        <v>8.9839289433955444E-3</v>
      </c>
      <c r="D1115" s="6">
        <f>LN(Raw!D1117/Raw!D1116)</f>
        <v>1.2635022477997311E-2</v>
      </c>
      <c r="X1115" s="3">
        <v>45476</v>
      </c>
      <c r="Y1115" cm="1">
        <f t="array" ref="Y1115">SUMPRODUCT($T$2:$T$4,TRANSPOSE(B1115:D1115))</f>
        <v>2.1064224412841032E-2</v>
      </c>
      <c r="AD1115" s="3">
        <v>45475</v>
      </c>
      <c r="AE1115">
        <v>-9.1812712374728534E-4</v>
      </c>
      <c r="AF1115">
        <f t="shared" si="17"/>
        <v>0</v>
      </c>
    </row>
    <row r="1116" spans="1:32" x14ac:dyDescent="0.35">
      <c r="A1116" s="3">
        <v>45477</v>
      </c>
      <c r="B1116" s="6">
        <f>LN(Raw!B1118/Raw!B1117)</f>
        <v>-1.3909873346267336E-2</v>
      </c>
      <c r="C1116" s="6">
        <f>LN(Raw!C1118/Raw!C1117)</f>
        <v>-6.4829661735524475E-4</v>
      </c>
      <c r="D1116" s="6">
        <f>LN(Raw!D1118/Raw!D1117)</f>
        <v>4.2029576313298442E-2</v>
      </c>
      <c r="X1116" s="3">
        <v>45477</v>
      </c>
      <c r="Y1116" cm="1">
        <f t="array" ref="Y1116">SUMPRODUCT($T$2:$T$4,TRANSPOSE(B1116:D1116))</f>
        <v>-8.4948362370325589E-3</v>
      </c>
      <c r="AD1116" s="3">
        <v>45476</v>
      </c>
      <c r="AE1116">
        <v>2.1064224412841032E-2</v>
      </c>
      <c r="AF1116">
        <f t="shared" si="17"/>
        <v>0</v>
      </c>
    </row>
    <row r="1117" spans="1:32" x14ac:dyDescent="0.35">
      <c r="A1117" s="3">
        <v>45478</v>
      </c>
      <c r="B1117" s="6">
        <f>LN(Raw!B1119/Raw!B1118)</f>
        <v>2.0256906730706438E-2</v>
      </c>
      <c r="C1117" s="6">
        <f>LN(Raw!C1119/Raw!C1118)</f>
        <v>4.3402341718290792E-2</v>
      </c>
      <c r="D1117" s="6">
        <f>LN(Raw!D1119/Raw!D1118)</f>
        <v>6.79917278591496E-2</v>
      </c>
      <c r="X1117" s="3">
        <v>45478</v>
      </c>
      <c r="Y1117" cm="1">
        <f t="array" ref="Y1117">SUMPRODUCT($T$2:$T$4,TRANSPOSE(B1117:D1117))</f>
        <v>2.7238398295673275E-2</v>
      </c>
      <c r="AD1117" s="3">
        <v>45477</v>
      </c>
      <c r="AE1117">
        <v>-8.4948362370325589E-3</v>
      </c>
      <c r="AF1117">
        <f t="shared" si="17"/>
        <v>0</v>
      </c>
    </row>
    <row r="1118" spans="1:32" x14ac:dyDescent="0.35">
      <c r="A1118" s="3">
        <v>45481</v>
      </c>
      <c r="B1118" s="6">
        <f>LN(Raw!B1120/Raw!B1119)</f>
        <v>-1.4093185504429551E-2</v>
      </c>
      <c r="C1118" s="6">
        <f>LN(Raw!C1120/Raw!C1119)</f>
        <v>3.5981672933071113E-2</v>
      </c>
      <c r="D1118" s="6">
        <f>LN(Raw!D1120/Raw!D1119)</f>
        <v>7.2044971269958537E-3</v>
      </c>
      <c r="X1118" s="3">
        <v>45481</v>
      </c>
      <c r="Y1118" cm="1">
        <f t="array" ref="Y1118">SUMPRODUCT($T$2:$T$4,TRANSPOSE(B1118:D1118))</f>
        <v>-3.0458169343128404E-3</v>
      </c>
      <c r="AD1118" s="3">
        <v>45478</v>
      </c>
      <c r="AE1118">
        <v>2.7238398295673275E-2</v>
      </c>
      <c r="AF1118">
        <f t="shared" si="17"/>
        <v>0</v>
      </c>
    </row>
    <row r="1119" spans="1:32" x14ac:dyDescent="0.35">
      <c r="A1119" s="3">
        <v>45482</v>
      </c>
      <c r="B1119" s="6">
        <f>LN(Raw!B1121/Raw!B1120)</f>
        <v>9.9022413134039599E-3</v>
      </c>
      <c r="C1119" s="6">
        <f>LN(Raw!C1121/Raw!C1120)</f>
        <v>2.3954691526787398E-4</v>
      </c>
      <c r="D1119" s="6">
        <f>LN(Raw!D1121/Raw!D1120)</f>
        <v>-1.6486416069212015E-2</v>
      </c>
      <c r="X1119" s="3">
        <v>45482</v>
      </c>
      <c r="Y1119" cm="1">
        <f t="array" ref="Y1119">SUMPRODUCT($T$2:$T$4,TRANSPOSE(B1119:D1119))</f>
        <v>6.667898240414593E-3</v>
      </c>
      <c r="AD1119" s="3">
        <v>45481</v>
      </c>
      <c r="AE1119">
        <v>-3.0458169343128404E-3</v>
      </c>
      <c r="AF1119">
        <f t="shared" si="17"/>
        <v>0</v>
      </c>
    </row>
    <row r="1120" spans="1:32" x14ac:dyDescent="0.35">
      <c r="A1120" s="3">
        <v>45483</v>
      </c>
      <c r="B1120" s="6">
        <f>LN(Raw!B1122/Raw!B1121)</f>
        <v>1.0977316019042461E-2</v>
      </c>
      <c r="C1120" s="6">
        <f>LN(Raw!C1122/Raw!C1121)</f>
        <v>-1.326283884160775E-2</v>
      </c>
      <c r="D1120" s="6">
        <f>LN(Raw!D1122/Raw!D1121)</f>
        <v>1.7537179341269884E-2</v>
      </c>
      <c r="X1120" s="3">
        <v>45483</v>
      </c>
      <c r="Y1120" cm="1">
        <f t="array" ref="Y1120">SUMPRODUCT($T$2:$T$4,TRANSPOSE(B1120:D1120))</f>
        <v>6.4644028899476852E-3</v>
      </c>
      <c r="AD1120" s="3">
        <v>45482</v>
      </c>
      <c r="AE1120">
        <v>6.667898240414593E-3</v>
      </c>
      <c r="AF1120">
        <f t="shared" si="17"/>
        <v>0</v>
      </c>
    </row>
    <row r="1121" spans="1:32" x14ac:dyDescent="0.35">
      <c r="A1121" s="3">
        <v>45484</v>
      </c>
      <c r="B1121" s="6">
        <f>LN(Raw!B1123/Raw!B1122)</f>
        <v>-1.8923497065071132E-3</v>
      </c>
      <c r="C1121" s="6">
        <f>LN(Raw!C1123/Raw!C1122)</f>
        <v>1.2130785907138245E-3</v>
      </c>
      <c r="D1121" s="6">
        <f>LN(Raw!D1123/Raw!D1122)</f>
        <v>3.8020796315097832E-2</v>
      </c>
      <c r="X1121" s="3">
        <v>45484</v>
      </c>
      <c r="Y1121" cm="1">
        <f t="array" ref="Y1121">SUMPRODUCT($T$2:$T$4,TRANSPOSE(B1121:D1121))</f>
        <v>7.0270065003510767E-4</v>
      </c>
      <c r="AD1121" s="3">
        <v>45483</v>
      </c>
      <c r="AE1121">
        <v>6.4644028899476852E-3</v>
      </c>
      <c r="AF1121">
        <f t="shared" si="17"/>
        <v>0</v>
      </c>
    </row>
    <row r="1122" spans="1:32" x14ac:dyDescent="0.35">
      <c r="A1122" s="3">
        <v>45485</v>
      </c>
      <c r="B1122" s="6">
        <f>LN(Raw!B1124/Raw!B1123)</f>
        <v>-4.7599836628466549E-3</v>
      </c>
      <c r="C1122" s="6">
        <f>LN(Raw!C1124/Raw!C1123)</f>
        <v>-2.4295723677554525E-2</v>
      </c>
      <c r="D1122" s="6">
        <f>LN(Raw!D1124/Raw!D1123)</f>
        <v>4.2794070821765865E-3</v>
      </c>
      <c r="X1122" s="3">
        <v>45485</v>
      </c>
      <c r="Y1122" cm="1">
        <f t="array" ref="Y1122">SUMPRODUCT($T$2:$T$4,TRANSPOSE(B1122:D1122))</f>
        <v>-8.211333494279955E-3</v>
      </c>
      <c r="AD1122" s="3">
        <v>45484</v>
      </c>
      <c r="AE1122">
        <v>7.0270065003510767E-4</v>
      </c>
      <c r="AF1122">
        <f t="shared" si="17"/>
        <v>0</v>
      </c>
    </row>
    <row r="1123" spans="1:32" x14ac:dyDescent="0.35">
      <c r="A1123" s="3">
        <v>45488</v>
      </c>
      <c r="B1123" s="6">
        <f>LN(Raw!B1125/Raw!B1124)</f>
        <v>6.0929592181190135E-3</v>
      </c>
      <c r="C1123" s="6">
        <f>LN(Raw!C1125/Raw!C1124)</f>
        <v>1.4305365122890337E-2</v>
      </c>
      <c r="D1123" s="6">
        <f>LN(Raw!D1125/Raw!D1124)</f>
        <v>-8.5422122762975356E-3</v>
      </c>
      <c r="X1123" s="3">
        <v>45488</v>
      </c>
      <c r="Y1123" cm="1">
        <f t="array" ref="Y1123">SUMPRODUCT($T$2:$T$4,TRANSPOSE(B1123:D1123))</f>
        <v>7.0075970872147545E-3</v>
      </c>
      <c r="AD1123" s="3">
        <v>45485</v>
      </c>
      <c r="AE1123">
        <v>-8.211333494279955E-3</v>
      </c>
      <c r="AF1123">
        <f t="shared" si="17"/>
        <v>0</v>
      </c>
    </row>
    <row r="1124" spans="1:32" x14ac:dyDescent="0.35">
      <c r="A1124" s="3">
        <v>45489</v>
      </c>
      <c r="B1124" s="6">
        <f>LN(Raw!B1126/Raw!B1125)</f>
        <v>-1.9200639634147131E-3</v>
      </c>
      <c r="C1124" s="6">
        <f>LN(Raw!C1126/Raw!C1125)</f>
        <v>2.1081432377622517E-2</v>
      </c>
      <c r="D1124" s="6">
        <f>LN(Raw!D1126/Raw!D1125)</f>
        <v>1.5047888386559183E-2</v>
      </c>
      <c r="X1124" s="3">
        <v>45489</v>
      </c>
      <c r="Y1124" cm="1">
        <f t="array" ref="Y1124">SUMPRODUCT($T$2:$T$4,TRANSPOSE(B1124:D1124))</f>
        <v>3.5100465381946409E-3</v>
      </c>
      <c r="AD1124" s="3">
        <v>45488</v>
      </c>
      <c r="AE1124">
        <v>7.0075970872147545E-3</v>
      </c>
      <c r="AF1124">
        <f t="shared" si="17"/>
        <v>0</v>
      </c>
    </row>
    <row r="1125" spans="1:32" x14ac:dyDescent="0.35">
      <c r="A1125" s="3">
        <v>45491</v>
      </c>
      <c r="B1125" s="6">
        <f>LN(Raw!B1127/Raw!B1126)</f>
        <v>1.9796404601615587E-2</v>
      </c>
      <c r="C1125" s="6">
        <f>LN(Raw!C1127/Raw!C1126)</f>
        <v>-2.5130290809441472E-2</v>
      </c>
      <c r="D1125" s="6">
        <f>LN(Raw!D1127/Raw!D1126)</f>
        <v>-3.3245332346449732E-2</v>
      </c>
      <c r="X1125" s="3">
        <v>45491</v>
      </c>
      <c r="Y1125" cm="1">
        <f t="array" ref="Y1125">SUMPRODUCT($T$2:$T$4,TRANSPOSE(B1125:D1125))</f>
        <v>8.2054283312962793E-3</v>
      </c>
      <c r="AD1125" s="3">
        <v>45489</v>
      </c>
      <c r="AE1125">
        <v>3.5100465381946409E-3</v>
      </c>
      <c r="AF1125">
        <f t="shared" si="17"/>
        <v>0</v>
      </c>
    </row>
    <row r="1126" spans="1:32" x14ac:dyDescent="0.35">
      <c r="A1126" s="3">
        <v>45492</v>
      </c>
      <c r="B1126" s="6">
        <f>LN(Raw!B1128/Raw!B1127)</f>
        <v>-1.5375049686582929E-2</v>
      </c>
      <c r="C1126" s="6">
        <f>LN(Raw!C1128/Raw!C1127)</f>
        <v>-5.5222158561112428E-2</v>
      </c>
      <c r="D1126" s="6">
        <f>LN(Raw!D1128/Raw!D1127)</f>
        <v>-5.5875418439565665E-2</v>
      </c>
      <c r="X1126" s="3">
        <v>45492</v>
      </c>
      <c r="Y1126" cm="1">
        <f t="array" ref="Y1126">SUMPRODUCT($T$2:$T$4,TRANSPOSE(B1126:D1126))</f>
        <v>-2.5331628599819814E-2</v>
      </c>
      <c r="AD1126" s="3">
        <v>45491</v>
      </c>
      <c r="AE1126">
        <v>8.2054283312962793E-3</v>
      </c>
      <c r="AF1126">
        <f t="shared" si="17"/>
        <v>0</v>
      </c>
    </row>
    <row r="1127" spans="1:32" x14ac:dyDescent="0.35">
      <c r="A1127" s="3">
        <v>45495</v>
      </c>
      <c r="B1127" s="6">
        <f>LN(Raw!B1129/Raw!B1128)</f>
        <v>7.8884196869780463E-3</v>
      </c>
      <c r="C1127" s="6">
        <f>LN(Raw!C1129/Raw!C1128)</f>
        <v>1.7131858290518928E-2</v>
      </c>
      <c r="D1127" s="6">
        <f>LN(Raw!D1129/Raw!D1128)</f>
        <v>2.096999225854802E-2</v>
      </c>
      <c r="X1127" s="3">
        <v>45495</v>
      </c>
      <c r="Y1127" cm="1">
        <f t="array" ref="Y1127">SUMPRODUCT($T$2:$T$4,TRANSPOSE(B1127:D1127))</f>
        <v>1.0380523452726683E-2</v>
      </c>
      <c r="AD1127" s="3">
        <v>45492</v>
      </c>
      <c r="AE1127">
        <v>-2.5331628599819814E-2</v>
      </c>
      <c r="AF1127">
        <f t="shared" si="17"/>
        <v>0</v>
      </c>
    </row>
    <row r="1128" spans="1:32" x14ac:dyDescent="0.35">
      <c r="A1128" s="3">
        <v>45496</v>
      </c>
      <c r="B1128" s="6">
        <f>LN(Raw!B1130/Raw!B1129)</f>
        <v>-8.4466427706761677E-3</v>
      </c>
      <c r="C1128" s="6">
        <f>LN(Raw!C1130/Raw!C1129)</f>
        <v>-4.0795319397117481E-2</v>
      </c>
      <c r="D1128" s="6">
        <f>LN(Raw!D1130/Raw!D1129)</f>
        <v>-5.8545113886575885E-2</v>
      </c>
      <c r="X1128" s="3">
        <v>45496</v>
      </c>
      <c r="Y1128" cm="1">
        <f t="array" ref="Y1128">SUMPRODUCT($T$2:$T$4,TRANSPOSE(B1128:D1128))</f>
        <v>-1.7381785079695265E-2</v>
      </c>
      <c r="AD1128" s="3">
        <v>45495</v>
      </c>
      <c r="AE1128">
        <v>1.0380523452726683E-2</v>
      </c>
      <c r="AF1128">
        <f t="shared" si="17"/>
        <v>0</v>
      </c>
    </row>
    <row r="1129" spans="1:32" x14ac:dyDescent="0.35">
      <c r="A1129" s="3">
        <v>45497</v>
      </c>
      <c r="B1129" s="6">
        <f>LN(Raw!B1131/Raw!B1130)</f>
        <v>1.5462006027297892E-2</v>
      </c>
      <c r="C1129" s="6">
        <f>LN(Raw!C1131/Raw!C1130)</f>
        <v>2.5243403877126189E-3</v>
      </c>
      <c r="D1129" s="6">
        <f>LN(Raw!D1131/Raw!D1130)</f>
        <v>1.8887190662988298E-2</v>
      </c>
      <c r="X1129" s="3">
        <v>45497</v>
      </c>
      <c r="Y1129" cm="1">
        <f t="array" ref="Y1129">SUMPRODUCT($T$2:$T$4,TRANSPOSE(B1129:D1129))</f>
        <v>1.3049573446985131E-2</v>
      </c>
      <c r="AD1129" s="3">
        <v>45496</v>
      </c>
      <c r="AE1129">
        <v>-1.7381785079695265E-2</v>
      </c>
      <c r="AF1129">
        <f t="shared" si="17"/>
        <v>0</v>
      </c>
    </row>
    <row r="1130" spans="1:32" x14ac:dyDescent="0.35">
      <c r="A1130" s="3">
        <v>45498</v>
      </c>
      <c r="B1130" s="6">
        <f>LN(Raw!B1132/Raw!B1131)</f>
        <v>2.6279586750843419E-2</v>
      </c>
      <c r="C1130" s="6">
        <f>LN(Raw!C1132/Raw!C1131)</f>
        <v>-1.2417634196386617E-2</v>
      </c>
      <c r="D1130" s="6">
        <f>LN(Raw!D1132/Raw!D1131)</f>
        <v>-7.1329224210816868E-3</v>
      </c>
      <c r="X1130" s="3">
        <v>45498</v>
      </c>
      <c r="Y1130" cm="1">
        <f t="array" ref="Y1130">SUMPRODUCT($T$2:$T$4,TRANSPOSE(B1130:D1130))</f>
        <v>1.6903267364056767E-2</v>
      </c>
      <c r="AD1130" s="3">
        <v>45497</v>
      </c>
      <c r="AE1130">
        <v>1.3049573446985131E-2</v>
      </c>
      <c r="AF1130">
        <f t="shared" si="17"/>
        <v>0</v>
      </c>
    </row>
    <row r="1131" spans="1:32" x14ac:dyDescent="0.35">
      <c r="A1131" s="3">
        <v>45499</v>
      </c>
      <c r="B1131" s="6">
        <f>LN(Raw!B1133/Raw!B1132)</f>
        <v>3.4625356764215816E-3</v>
      </c>
      <c r="C1131" s="6">
        <f>LN(Raw!C1133/Raw!C1132)</f>
        <v>9.8079069305403999E-2</v>
      </c>
      <c r="D1131" s="6">
        <f>LN(Raw!D1133/Raw!D1132)</f>
        <v>0.12116524805588917</v>
      </c>
      <c r="X1131" s="3">
        <v>45499</v>
      </c>
      <c r="Y1131" cm="1">
        <f t="array" ref="Y1131">SUMPRODUCT($T$2:$T$4,TRANSPOSE(B1131:D1131))</f>
        <v>2.8170096539690853E-2</v>
      </c>
      <c r="AD1131" s="3">
        <v>45498</v>
      </c>
      <c r="AE1131">
        <v>1.6903267364056767E-2</v>
      </c>
      <c r="AF1131">
        <f t="shared" si="17"/>
        <v>0</v>
      </c>
    </row>
    <row r="1132" spans="1:32" x14ac:dyDescent="0.35">
      <c r="A1132" s="3">
        <v>45502</v>
      </c>
      <c r="B1132" s="6">
        <f>LN(Raw!B1134/Raw!B1133)</f>
        <v>3.5567400174648159E-4</v>
      </c>
      <c r="C1132" s="6">
        <f>LN(Raw!C1134/Raw!C1133)</f>
        <v>-1.7199477405457689E-2</v>
      </c>
      <c r="D1132" s="6">
        <f>LN(Raw!D1134/Raw!D1133)</f>
        <v>-4.0039757050813932E-2</v>
      </c>
      <c r="X1132" s="3">
        <v>45502</v>
      </c>
      <c r="Y1132" cm="1">
        <f t="array" ref="Y1132">SUMPRODUCT($T$2:$T$4,TRANSPOSE(B1132:D1132))</f>
        <v>-5.1469483108352032E-3</v>
      </c>
      <c r="AD1132" s="3">
        <v>45499</v>
      </c>
      <c r="AE1132">
        <v>2.8170096539690853E-2</v>
      </c>
      <c r="AF1132">
        <f t="shared" si="17"/>
        <v>0</v>
      </c>
    </row>
    <row r="1133" spans="1:32" x14ac:dyDescent="0.35">
      <c r="A1133" s="3">
        <v>45503</v>
      </c>
      <c r="B1133" s="6">
        <f>LN(Raw!B1135/Raw!B1134)</f>
        <v>-2.2860172244963176E-4</v>
      </c>
      <c r="C1133" s="6">
        <f>LN(Raw!C1135/Raw!C1134)</f>
        <v>2.4722821797592845E-2</v>
      </c>
      <c r="D1133" s="6">
        <f>LN(Raw!D1135/Raw!D1134)</f>
        <v>1.8943284811815647E-2</v>
      </c>
      <c r="X1133" s="3">
        <v>45503</v>
      </c>
      <c r="Y1133" cm="1">
        <f t="array" ref="Y1133">SUMPRODUCT($T$2:$T$4,TRANSPOSE(B1133:D1133))</f>
        <v>5.6997249490835979E-3</v>
      </c>
      <c r="AD1133" s="3">
        <v>45502</v>
      </c>
      <c r="AE1133">
        <v>-5.1469483108352032E-3</v>
      </c>
      <c r="AF1133">
        <f t="shared" si="17"/>
        <v>0</v>
      </c>
    </row>
    <row r="1134" spans="1:32" x14ac:dyDescent="0.35">
      <c r="A1134" s="3">
        <v>45504</v>
      </c>
      <c r="B1134" s="6">
        <f>LN(Raw!B1136/Raw!B1135)</f>
        <v>2.0250466780033987E-2</v>
      </c>
      <c r="C1134" s="6">
        <f>LN(Raw!C1136/Raw!C1135)</f>
        <v>3.8769625912785696E-2</v>
      </c>
      <c r="D1134" s="6">
        <f>LN(Raw!D1136/Raw!D1135)</f>
        <v>2.5030705946787746E-2</v>
      </c>
      <c r="X1134" s="3">
        <v>45504</v>
      </c>
      <c r="Y1134" cm="1">
        <f t="array" ref="Y1134">SUMPRODUCT($T$2:$T$4,TRANSPOSE(B1134:D1134))</f>
        <v>2.4182874367221135E-2</v>
      </c>
      <c r="AD1134" s="3">
        <v>45503</v>
      </c>
      <c r="AE1134">
        <v>5.6997249490835979E-3</v>
      </c>
      <c r="AF1134">
        <f t="shared" si="17"/>
        <v>0</v>
      </c>
    </row>
    <row r="1135" spans="1:32" x14ac:dyDescent="0.35">
      <c r="A1135" s="3">
        <v>45505</v>
      </c>
      <c r="B1135" s="6">
        <f>LN(Raw!B1137/Raw!B1136)</f>
        <v>-1.7198491851436357E-3</v>
      </c>
      <c r="C1135" s="6">
        <f>LN(Raw!C1137/Raw!C1136)</f>
        <v>-4.2766987738170587E-2</v>
      </c>
      <c r="D1135" s="6">
        <f>LN(Raw!D1137/Raw!D1136)</f>
        <v>-4.5509275507243659E-2</v>
      </c>
      <c r="X1135" s="3">
        <v>45505</v>
      </c>
      <c r="Y1135" cm="1">
        <f t="array" ref="Y1135">SUMPRODUCT($T$2:$T$4,TRANSPOSE(B1135:D1135))</f>
        <v>-1.2078691661954541E-2</v>
      </c>
      <c r="AD1135" s="3">
        <v>45504</v>
      </c>
      <c r="AE1135">
        <v>2.4182874367221135E-2</v>
      </c>
      <c r="AF1135">
        <f t="shared" si="17"/>
        <v>0</v>
      </c>
    </row>
    <row r="1136" spans="1:32" x14ac:dyDescent="0.35">
      <c r="A1136" s="3">
        <v>45506</v>
      </c>
      <c r="B1136" s="6">
        <f>LN(Raw!B1138/Raw!B1137)</f>
        <v>-1.055762949454846E-2</v>
      </c>
      <c r="C1136" s="6">
        <f>LN(Raw!C1138/Raw!C1137)</f>
        <v>-5.1106997805481814E-3</v>
      </c>
      <c r="D1136" s="6">
        <f>LN(Raw!D1138/Raw!D1137)</f>
        <v>-3.2211763752547223E-3</v>
      </c>
      <c r="X1136" s="3">
        <v>45506</v>
      </c>
      <c r="Y1136" cm="1">
        <f t="array" ref="Y1136">SUMPRODUCT($T$2:$T$4,TRANSPOSE(B1136:D1136))</f>
        <v>-9.1075141850797785E-3</v>
      </c>
      <c r="AD1136" s="3">
        <v>45505</v>
      </c>
      <c r="AE1136">
        <v>-1.2078691661954541E-2</v>
      </c>
      <c r="AF1136">
        <f t="shared" si="17"/>
        <v>0</v>
      </c>
    </row>
    <row r="1137" spans="1:32" x14ac:dyDescent="0.35">
      <c r="A1137" s="3">
        <v>45509</v>
      </c>
      <c r="B1137" s="6">
        <f>LN(Raw!B1139/Raw!B1138)</f>
        <v>-2.2486684550503837E-2</v>
      </c>
      <c r="C1137" s="6">
        <f>LN(Raw!C1139/Raw!C1138)</f>
        <v>-6.0213000018727439E-2</v>
      </c>
      <c r="D1137" s="6">
        <f>LN(Raw!D1139/Raw!D1138)</f>
        <v>-6.6129123329810205E-2</v>
      </c>
      <c r="X1137" s="3">
        <v>45509</v>
      </c>
      <c r="Y1137" cm="1">
        <f t="array" ref="Y1137">SUMPRODUCT($T$2:$T$4,TRANSPOSE(B1137:D1137))</f>
        <v>-3.2175522103967062E-2</v>
      </c>
      <c r="AD1137" s="3">
        <v>45506</v>
      </c>
      <c r="AE1137">
        <v>-9.1075141850797785E-3</v>
      </c>
      <c r="AF1137">
        <f t="shared" si="17"/>
        <v>0</v>
      </c>
    </row>
    <row r="1138" spans="1:32" x14ac:dyDescent="0.35">
      <c r="A1138" s="3">
        <v>45510</v>
      </c>
      <c r="B1138" s="6">
        <f>LN(Raw!B1140/Raw!B1139)</f>
        <v>-1.3472084540703611E-2</v>
      </c>
      <c r="C1138" s="6">
        <f>LN(Raw!C1140/Raw!C1139)</f>
        <v>-2.5590205007449678E-2</v>
      </c>
      <c r="D1138" s="6">
        <f>LN(Raw!D1140/Raw!D1139)</f>
        <v>-2.8750999682225664E-2</v>
      </c>
      <c r="X1138" s="3">
        <v>45510</v>
      </c>
      <c r="Y1138" cm="1">
        <f t="array" ref="Y1138">SUMPRODUCT($T$2:$T$4,TRANSPOSE(B1138:D1138))</f>
        <v>-1.6646629748916664E-2</v>
      </c>
      <c r="AD1138" s="3">
        <v>45509</v>
      </c>
      <c r="AE1138">
        <v>-3.2175522103967062E-2</v>
      </c>
      <c r="AF1138">
        <f t="shared" si="17"/>
        <v>0</v>
      </c>
    </row>
    <row r="1139" spans="1:32" x14ac:dyDescent="0.35">
      <c r="A1139" s="3">
        <v>45511</v>
      </c>
      <c r="B1139" s="6">
        <f>LN(Raw!B1141/Raw!B1140)</f>
        <v>1.1329803625287887E-2</v>
      </c>
      <c r="C1139" s="6">
        <f>LN(Raw!C1141/Raw!C1140)</f>
        <v>3.5902207308024063E-2</v>
      </c>
      <c r="D1139" s="6">
        <f>LN(Raw!D1141/Raw!D1140)</f>
        <v>3.7521273844107993E-2</v>
      </c>
      <c r="X1139" s="3">
        <v>45511</v>
      </c>
      <c r="Y1139" cm="1">
        <f t="array" ref="Y1139">SUMPRODUCT($T$2:$T$4,TRANSPOSE(B1139:D1139))</f>
        <v>1.7529889896045918E-2</v>
      </c>
      <c r="AD1139" s="3">
        <v>45510</v>
      </c>
      <c r="AE1139">
        <v>-1.6646629748916664E-2</v>
      </c>
      <c r="AF1139">
        <f t="shared" si="17"/>
        <v>0</v>
      </c>
    </row>
    <row r="1140" spans="1:32" x14ac:dyDescent="0.35">
      <c r="A1140" s="3">
        <v>45512</v>
      </c>
      <c r="B1140" s="6">
        <f>LN(Raw!B1142/Raw!B1141)</f>
        <v>1.7900344321246767E-2</v>
      </c>
      <c r="C1140" s="6">
        <f>LN(Raw!C1142/Raw!C1141)</f>
        <v>2.9451588323663419E-3</v>
      </c>
      <c r="D1140" s="6">
        <f>LN(Raw!D1142/Raw!D1141)</f>
        <v>-1.183898360078684E-2</v>
      </c>
      <c r="X1140" s="3">
        <v>45512</v>
      </c>
      <c r="Y1140" cm="1">
        <f t="array" ref="Y1140">SUMPRODUCT($T$2:$T$4,TRANSPOSE(B1140:D1140))</f>
        <v>1.344396379597796E-2</v>
      </c>
      <c r="AD1140" s="3">
        <v>45511</v>
      </c>
      <c r="AE1140">
        <v>1.7529889896045918E-2</v>
      </c>
      <c r="AF1140">
        <f t="shared" si="17"/>
        <v>0</v>
      </c>
    </row>
    <row r="1141" spans="1:32" x14ac:dyDescent="0.35">
      <c r="A1141" s="3">
        <v>45513</v>
      </c>
      <c r="B1141" s="6">
        <f>LN(Raw!B1143/Raw!B1142)</f>
        <v>-2.0579588739054835E-3</v>
      </c>
      <c r="C1141" s="6">
        <f>LN(Raw!C1143/Raw!C1142)</f>
        <v>-3.9715374618215166E-3</v>
      </c>
      <c r="D1141" s="6">
        <f>LN(Raw!D1143/Raw!D1142)</f>
        <v>-3.3398190189322975E-2</v>
      </c>
      <c r="X1141" s="3">
        <v>45513</v>
      </c>
      <c r="Y1141" cm="1">
        <f t="array" ref="Y1141">SUMPRODUCT($T$2:$T$4,TRANSPOSE(B1141:D1141))</f>
        <v>-3.9908795441575629E-3</v>
      </c>
      <c r="AD1141" s="3">
        <v>45512</v>
      </c>
      <c r="AE1141">
        <v>1.344396379597796E-2</v>
      </c>
      <c r="AF1141">
        <f t="shared" si="17"/>
        <v>0</v>
      </c>
    </row>
    <row r="1142" spans="1:32" x14ac:dyDescent="0.35">
      <c r="A1142" s="3">
        <v>45516</v>
      </c>
      <c r="B1142" s="6">
        <f>LN(Raw!B1144/Raw!B1143)</f>
        <v>-7.4028679513514434E-3</v>
      </c>
      <c r="C1142" s="6">
        <f>LN(Raw!C1144/Raw!C1143)</f>
        <v>2.0456780678010874E-2</v>
      </c>
      <c r="D1142" s="6">
        <f>LN(Raw!D1144/Raw!D1143)</f>
        <v>-2.0060886635179423E-2</v>
      </c>
      <c r="X1142" s="3">
        <v>45516</v>
      </c>
      <c r="Y1142" cm="1">
        <f t="array" ref="Y1142">SUMPRODUCT($T$2:$T$4,TRANSPOSE(B1142:D1142))</f>
        <v>-2.4694177712031051E-3</v>
      </c>
      <c r="AD1142" s="3">
        <v>45513</v>
      </c>
      <c r="AE1142">
        <v>-3.9908795441575629E-3</v>
      </c>
      <c r="AF1142">
        <f t="shared" si="17"/>
        <v>0</v>
      </c>
    </row>
    <row r="1143" spans="1:32" x14ac:dyDescent="0.35">
      <c r="A1143" s="3">
        <v>45517</v>
      </c>
      <c r="B1143" s="6">
        <f>LN(Raw!B1145/Raw!B1144)</f>
        <v>-2.1545845982154969E-3</v>
      </c>
      <c r="C1143" s="6">
        <f>LN(Raw!C1145/Raw!C1144)</f>
        <v>-2.3413676921515216E-2</v>
      </c>
      <c r="D1143" s="6">
        <f>LN(Raw!D1145/Raw!D1144)</f>
        <v>-3.2749211031725754E-2</v>
      </c>
      <c r="X1143" s="3">
        <v>45517</v>
      </c>
      <c r="Y1143" cm="1">
        <f t="array" ref="Y1143">SUMPRODUCT($T$2:$T$4,TRANSPOSE(B1143:D1143))</f>
        <v>-7.9113524112022528E-3</v>
      </c>
      <c r="AD1143" s="3">
        <v>45516</v>
      </c>
      <c r="AE1143">
        <v>-2.4694177712031051E-3</v>
      </c>
      <c r="AF1143">
        <f t="shared" si="17"/>
        <v>0</v>
      </c>
    </row>
    <row r="1144" spans="1:32" x14ac:dyDescent="0.35">
      <c r="A1144" s="3">
        <v>45518</v>
      </c>
      <c r="B1144" s="6">
        <f>LN(Raw!B1146/Raw!B1145)</f>
        <v>1.5642819743770259E-2</v>
      </c>
      <c r="C1144" s="6">
        <f>LN(Raw!C1146/Raw!C1145)</f>
        <v>-2.3579640334671852E-2</v>
      </c>
      <c r="D1144" s="6">
        <f>LN(Raw!D1146/Raw!D1145)</f>
        <v>-7.7773280649646439E-3</v>
      </c>
      <c r="X1144" s="3">
        <v>45518</v>
      </c>
      <c r="Y1144" cm="1">
        <f t="array" ref="Y1144">SUMPRODUCT($T$2:$T$4,TRANSPOSE(B1144:D1144))</f>
        <v>6.6562025310111681E-3</v>
      </c>
      <c r="AD1144" s="3">
        <v>45517</v>
      </c>
      <c r="AE1144">
        <v>-7.9113524112022528E-3</v>
      </c>
      <c r="AF1144">
        <f t="shared" si="17"/>
        <v>0</v>
      </c>
    </row>
    <row r="1145" spans="1:32" x14ac:dyDescent="0.35">
      <c r="A1145" s="3">
        <v>45520</v>
      </c>
      <c r="B1145" s="6">
        <f>LN(Raw!B1147/Raw!B1146)</f>
        <v>2.9269890288110112E-2</v>
      </c>
      <c r="C1145" s="6">
        <f>LN(Raw!C1147/Raw!C1146)</f>
        <v>1.3096101910949339E-2</v>
      </c>
      <c r="D1145" s="6">
        <f>LN(Raw!D1147/Raw!D1146)</f>
        <v>5.2615499416424419E-3</v>
      </c>
      <c r="X1145" s="3">
        <v>45520</v>
      </c>
      <c r="Y1145" cm="1">
        <f t="array" ref="Y1145">SUMPRODUCT($T$2:$T$4,TRANSPOSE(B1145:D1145))</f>
        <v>2.4853942616520214E-2</v>
      </c>
      <c r="AD1145" s="3">
        <v>45518</v>
      </c>
      <c r="AE1145">
        <v>6.6562025310111681E-3</v>
      </c>
      <c r="AF1145">
        <f t="shared" si="17"/>
        <v>0</v>
      </c>
    </row>
    <row r="1146" spans="1:32" x14ac:dyDescent="0.35">
      <c r="A1146" s="3">
        <v>45523</v>
      </c>
      <c r="B1146" s="6">
        <f>LN(Raw!B1148/Raw!B1147)</f>
        <v>-1.1183170739045263E-2</v>
      </c>
      <c r="C1146" s="6">
        <f>LN(Raw!C1148/Raw!C1147)</f>
        <v>3.9040601806887863E-2</v>
      </c>
      <c r="D1146" s="6">
        <f>LN(Raw!D1148/Raw!D1147)</f>
        <v>5.6119995697230828E-2</v>
      </c>
      <c r="X1146" s="3">
        <v>45523</v>
      </c>
      <c r="Y1146" cm="1">
        <f t="array" ref="Y1146">SUMPRODUCT($T$2:$T$4,TRANSPOSE(B1146:D1146))</f>
        <v>2.1707327208035157E-3</v>
      </c>
      <c r="AD1146" s="3">
        <v>45520</v>
      </c>
      <c r="AE1146">
        <v>2.4853942616520214E-2</v>
      </c>
      <c r="AF1146">
        <f t="shared" si="17"/>
        <v>0</v>
      </c>
    </row>
    <row r="1147" spans="1:32" x14ac:dyDescent="0.35">
      <c r="A1147" s="3">
        <v>45524</v>
      </c>
      <c r="B1147" s="6">
        <f>LN(Raw!B1149/Raw!B1148)</f>
        <v>2.4522416447285606E-2</v>
      </c>
      <c r="C1147" s="6">
        <f>LN(Raw!C1149/Raw!C1148)</f>
        <v>1.8226362989924163E-2</v>
      </c>
      <c r="D1147" s="6">
        <f>LN(Raw!D1149/Raw!D1148)</f>
        <v>2.6824846823866925E-2</v>
      </c>
      <c r="X1147" s="3">
        <v>45524</v>
      </c>
      <c r="Y1147" cm="1">
        <f t="array" ref="Y1147">SUMPRODUCT($T$2:$T$4,TRANSPOSE(B1147:D1147))</f>
        <v>2.3379872411661045E-2</v>
      </c>
      <c r="AD1147" s="3">
        <v>45523</v>
      </c>
      <c r="AE1147">
        <v>2.1707327208035157E-3</v>
      </c>
      <c r="AF1147">
        <f t="shared" si="17"/>
        <v>0</v>
      </c>
    </row>
    <row r="1148" spans="1:32" x14ac:dyDescent="0.35">
      <c r="A1148" s="3">
        <v>45525</v>
      </c>
      <c r="B1148" s="6">
        <f>LN(Raw!B1150/Raw!B1149)</f>
        <v>-2.0126879930508568E-3</v>
      </c>
      <c r="C1148" s="6">
        <f>LN(Raw!C1150/Raw!C1149)</f>
        <v>1.2454310700058355E-2</v>
      </c>
      <c r="D1148" s="6">
        <f>LN(Raw!D1150/Raw!D1149)</f>
        <v>5.4880405307932985E-2</v>
      </c>
      <c r="X1148" s="3">
        <v>45525</v>
      </c>
      <c r="Y1148" cm="1">
        <f t="array" ref="Y1148">SUMPRODUCT($T$2:$T$4,TRANSPOSE(B1148:D1148))</f>
        <v>3.6901087010632857E-3</v>
      </c>
      <c r="AD1148" s="3">
        <v>45524</v>
      </c>
      <c r="AE1148">
        <v>2.3379872411661045E-2</v>
      </c>
      <c r="AF1148">
        <f t="shared" si="17"/>
        <v>0</v>
      </c>
    </row>
    <row r="1149" spans="1:32" x14ac:dyDescent="0.35">
      <c r="A1149" s="3">
        <v>45526</v>
      </c>
      <c r="B1149" s="6">
        <f>LN(Raw!B1151/Raw!B1150)</f>
        <v>1.1247695689282333E-2</v>
      </c>
      <c r="C1149" s="6">
        <f>LN(Raw!C1151/Raw!C1150)</f>
        <v>-1.2331548195746909E-2</v>
      </c>
      <c r="D1149" s="6">
        <f>LN(Raw!D1151/Raw!D1150)</f>
        <v>-1.771255905432564E-2</v>
      </c>
      <c r="X1149" s="3">
        <v>45526</v>
      </c>
      <c r="Y1149" cm="1">
        <f t="array" ref="Y1149">SUMPRODUCT($T$2:$T$4,TRANSPOSE(B1149:D1149))</f>
        <v>5.1087847819022729E-3</v>
      </c>
      <c r="AD1149" s="3">
        <v>45525</v>
      </c>
      <c r="AE1149">
        <v>3.6901087010632857E-3</v>
      </c>
      <c r="AF1149">
        <f t="shared" si="17"/>
        <v>0</v>
      </c>
    </row>
    <row r="1150" spans="1:32" x14ac:dyDescent="0.35">
      <c r="A1150" s="3">
        <v>45527</v>
      </c>
      <c r="B1150" s="6">
        <f>LN(Raw!B1152/Raw!B1151)</f>
        <v>6.5072647031435135E-3</v>
      </c>
      <c r="C1150" s="6">
        <f>LN(Raw!C1152/Raw!C1151)</f>
        <v>1.5958053263105227E-3</v>
      </c>
      <c r="D1150" s="6">
        <f>LN(Raw!D1152/Raw!D1151)</f>
        <v>-1.6327700704701398E-2</v>
      </c>
      <c r="X1150" s="3">
        <v>45527</v>
      </c>
      <c r="Y1150" cm="1">
        <f t="array" ref="Y1150">SUMPRODUCT($T$2:$T$4,TRANSPOSE(B1150:D1150))</f>
        <v>4.3969891567986691E-3</v>
      </c>
      <c r="AD1150" s="3">
        <v>45526</v>
      </c>
      <c r="AE1150">
        <v>5.1087847819022729E-3</v>
      </c>
      <c r="AF1150">
        <f t="shared" si="17"/>
        <v>0</v>
      </c>
    </row>
    <row r="1151" spans="1:32" x14ac:dyDescent="0.35">
      <c r="A1151" s="3">
        <v>45530</v>
      </c>
      <c r="B1151" s="6">
        <f>LN(Raw!B1153/Raw!B1152)</f>
        <v>1.2064467325829524E-2</v>
      </c>
      <c r="C1151" s="6">
        <f>LN(Raw!C1153/Raw!C1152)</f>
        <v>-3.6806109456073054E-4</v>
      </c>
      <c r="D1151" s="6">
        <f>LN(Raw!D1153/Raw!D1152)</f>
        <v>1.8903510803716668E-3</v>
      </c>
      <c r="X1151" s="3">
        <v>45530</v>
      </c>
      <c r="Y1151" cm="1">
        <f t="array" ref="Y1151">SUMPRODUCT($T$2:$T$4,TRANSPOSE(B1151:D1151))</f>
        <v>9.0798131603663235E-3</v>
      </c>
      <c r="AD1151" s="3">
        <v>45527</v>
      </c>
      <c r="AE1151">
        <v>4.3969891567986691E-3</v>
      </c>
      <c r="AF1151">
        <f t="shared" si="17"/>
        <v>0</v>
      </c>
    </row>
    <row r="1152" spans="1:32" x14ac:dyDescent="0.35">
      <c r="A1152" s="3">
        <v>45531</v>
      </c>
      <c r="B1152" s="6">
        <f>LN(Raw!B1154/Raw!B1153)</f>
        <v>1.4548039542500397E-2</v>
      </c>
      <c r="C1152" s="6">
        <f>LN(Raw!C1154/Raw!C1153)</f>
        <v>1.654936070332072E-2</v>
      </c>
      <c r="D1152" s="6">
        <f>LN(Raw!D1154/Raw!D1153)</f>
        <v>1.6111178384336185E-2</v>
      </c>
      <c r="X1152" s="3">
        <v>45531</v>
      </c>
      <c r="Y1152" cm="1">
        <f t="array" ref="Y1152">SUMPRODUCT($T$2:$T$4,TRANSPOSE(B1152:D1152))</f>
        <v>1.50247991706664E-2</v>
      </c>
      <c r="AD1152" s="3">
        <v>45530</v>
      </c>
      <c r="AE1152">
        <v>9.0798131603663235E-3</v>
      </c>
      <c r="AF1152">
        <f t="shared" si="17"/>
        <v>0</v>
      </c>
    </row>
    <row r="1153" spans="1:32" x14ac:dyDescent="0.35">
      <c r="A1153" s="3">
        <v>45532</v>
      </c>
      <c r="B1153" s="6">
        <f>LN(Raw!B1155/Raw!B1154)</f>
        <v>-5.3316860675845174E-3</v>
      </c>
      <c r="C1153" s="6">
        <f>LN(Raw!C1155/Raw!C1154)</f>
        <v>5.8962511208671261E-3</v>
      </c>
      <c r="D1153" s="6">
        <f>LN(Raw!D1155/Raw!D1154)</f>
        <v>3.8951222813621189E-3</v>
      </c>
      <c r="X1153" s="3">
        <v>45532</v>
      </c>
      <c r="Y1153" cm="1">
        <f t="array" ref="Y1153">SUMPRODUCT($T$2:$T$4,TRANSPOSE(B1153:D1153))</f>
        <v>-2.6343123007780281E-3</v>
      </c>
      <c r="AD1153" s="3">
        <v>45531</v>
      </c>
      <c r="AE1153">
        <v>1.50247991706664E-2</v>
      </c>
      <c r="AF1153">
        <f t="shared" si="17"/>
        <v>0</v>
      </c>
    </row>
    <row r="1154" spans="1:32" x14ac:dyDescent="0.35">
      <c r="A1154" s="3">
        <v>45533</v>
      </c>
      <c r="B1154" s="6">
        <f>LN(Raw!B1156/Raw!B1155)</f>
        <v>-1.6586091177506193E-3</v>
      </c>
      <c r="C1154" s="6">
        <f>LN(Raw!C1156/Raw!C1155)</f>
        <v>-3.0205717722448237E-2</v>
      </c>
      <c r="D1154" s="6">
        <f>LN(Raw!D1156/Raw!D1155)</f>
        <v>-3.0447851857986385E-2</v>
      </c>
      <c r="X1154" s="3">
        <v>45533</v>
      </c>
      <c r="Y1154" cm="1">
        <f t="array" ref="Y1154">SUMPRODUCT($T$2:$T$4,TRANSPOSE(B1154:D1154))</f>
        <v>-8.7804837823175705E-3</v>
      </c>
      <c r="AD1154" s="3">
        <v>45532</v>
      </c>
      <c r="AE1154">
        <v>-2.6343123007780281E-3</v>
      </c>
      <c r="AF1154">
        <f t="shared" si="17"/>
        <v>0</v>
      </c>
    </row>
    <row r="1155" spans="1:32" x14ac:dyDescent="0.35">
      <c r="A1155" s="3">
        <v>45534</v>
      </c>
      <c r="B1155" s="6">
        <f>LN(Raw!B1157/Raw!B1156)</f>
        <v>1.5886199694935073E-3</v>
      </c>
      <c r="C1155" s="6">
        <f>LN(Raw!C1157/Raw!C1156)</f>
        <v>1.0945188585022783E-2</v>
      </c>
      <c r="D1155" s="6">
        <f>LN(Raw!D1157/Raw!D1156)</f>
        <v>1.0819192975068318E-2</v>
      </c>
      <c r="X1155" s="3">
        <v>45534</v>
      </c>
      <c r="Y1155" cm="1">
        <f t="array" ref="Y1155">SUMPRODUCT($T$2:$T$4,TRANSPOSE(B1155:D1155))</f>
        <v>3.9127145405682363E-3</v>
      </c>
      <c r="AD1155" s="3">
        <v>45533</v>
      </c>
      <c r="AE1155">
        <v>-8.7804837823175705E-3</v>
      </c>
      <c r="AF1155">
        <f t="shared" ref="AF1155:AF1218" si="18">IF(AE1155&lt;$AB$2,1,0)</f>
        <v>0</v>
      </c>
    </row>
    <row r="1156" spans="1:32" x14ac:dyDescent="0.35">
      <c r="A1156" s="3">
        <v>45537</v>
      </c>
      <c r="B1156" s="6">
        <f>LN(Raw!B1158/Raw!B1157)</f>
        <v>2.0290050253936317E-2</v>
      </c>
      <c r="C1156" s="6">
        <f>LN(Raw!C1158/Raw!C1157)</f>
        <v>3.2253202471314114E-2</v>
      </c>
      <c r="D1156" s="6">
        <f>LN(Raw!D1158/Raw!D1157)</f>
        <v>5.6619540876933015E-4</v>
      </c>
      <c r="X1156" s="3">
        <v>45537</v>
      </c>
      <c r="Y1156" cm="1">
        <f t="array" ref="Y1156">SUMPRODUCT($T$2:$T$4,TRANSPOSE(B1156:D1156))</f>
        <v>2.1701377783204145E-2</v>
      </c>
      <c r="AD1156" s="3">
        <v>45534</v>
      </c>
      <c r="AE1156">
        <v>3.9127145405682363E-3</v>
      </c>
      <c r="AF1156">
        <f t="shared" si="18"/>
        <v>0</v>
      </c>
    </row>
    <row r="1157" spans="1:32" x14ac:dyDescent="0.35">
      <c r="A1157" s="3">
        <v>45538</v>
      </c>
      <c r="B1157" s="6">
        <f>LN(Raw!B1159/Raw!B1158)</f>
        <v>1.0219227597744351E-2</v>
      </c>
      <c r="C1157" s="6">
        <f>LN(Raw!C1159/Raw!C1158)</f>
        <v>-1.303607131677017E-3</v>
      </c>
      <c r="D1157" s="6">
        <f>LN(Raw!D1159/Raw!D1158)</f>
        <v>9.9502856290770297E-3</v>
      </c>
      <c r="X1157" s="3">
        <v>45538</v>
      </c>
      <c r="Y1157" cm="1">
        <f t="array" ref="Y1157">SUMPRODUCT($T$2:$T$4,TRANSPOSE(B1157:D1157))</f>
        <v>7.9063274347028374E-3</v>
      </c>
      <c r="AD1157" s="3">
        <v>45537</v>
      </c>
      <c r="AE1157">
        <v>2.1701377783204145E-2</v>
      </c>
      <c r="AF1157">
        <f t="shared" si="18"/>
        <v>0</v>
      </c>
    </row>
    <row r="1158" spans="1:32" x14ac:dyDescent="0.35">
      <c r="A1158" s="3">
        <v>45539</v>
      </c>
      <c r="B1158" s="6">
        <f>LN(Raw!B1160/Raw!B1159)</f>
        <v>1.9108750039404779E-2</v>
      </c>
      <c r="C1158" s="6">
        <f>LN(Raw!C1160/Raw!C1159)</f>
        <v>-5.8100533867048193E-2</v>
      </c>
      <c r="D1158" s="6">
        <f>LN(Raw!D1160/Raw!D1159)</f>
        <v>-2.1144853384732588E-2</v>
      </c>
      <c r="X1158" s="3">
        <v>45539</v>
      </c>
      <c r="Y1158" cm="1">
        <f t="array" ref="Y1158">SUMPRODUCT($T$2:$T$4,TRANSPOSE(B1158:D1158))</f>
        <v>1.7080853975923991E-3</v>
      </c>
      <c r="AD1158" s="3">
        <v>45538</v>
      </c>
      <c r="AE1158">
        <v>7.9063274347028374E-3</v>
      </c>
      <c r="AF1158">
        <f t="shared" si="18"/>
        <v>0</v>
      </c>
    </row>
    <row r="1159" spans="1:32" x14ac:dyDescent="0.35">
      <c r="A1159" s="3">
        <v>45540</v>
      </c>
      <c r="B1159" s="6">
        <f>LN(Raw!B1161/Raw!B1160)</f>
        <v>2.1083838387869736E-3</v>
      </c>
      <c r="C1159" s="6">
        <f>LN(Raw!C1161/Raw!C1160)</f>
        <v>-6.285734853107059E-4</v>
      </c>
      <c r="D1159" s="6">
        <f>LN(Raw!D1161/Raw!D1160)</f>
        <v>9.1169487811321864E-3</v>
      </c>
      <c r="X1159" s="3">
        <v>45540</v>
      </c>
      <c r="Y1159" cm="1">
        <f t="array" ref="Y1159">SUMPRODUCT($T$2:$T$4,TRANSPOSE(B1159:D1159))</f>
        <v>1.9090291208149631E-3</v>
      </c>
      <c r="AD1159" s="3">
        <v>45539</v>
      </c>
      <c r="AE1159">
        <v>1.7080853975923991E-3</v>
      </c>
      <c r="AF1159">
        <f t="shared" si="18"/>
        <v>0</v>
      </c>
    </row>
    <row r="1160" spans="1:32" x14ac:dyDescent="0.35">
      <c r="A1160" s="3">
        <v>45541</v>
      </c>
      <c r="B1160" s="6">
        <f>LN(Raw!B1162/Raw!B1161)</f>
        <v>2.7670724454951956E-3</v>
      </c>
      <c r="C1160" s="6">
        <f>LN(Raw!C1162/Raw!C1161)</f>
        <v>-3.6237182764847796E-2</v>
      </c>
      <c r="D1160" s="6">
        <f>LN(Raw!D1162/Raw!D1161)</f>
        <v>-4.9972308620636965E-2</v>
      </c>
      <c r="X1160" s="3">
        <v>45541</v>
      </c>
      <c r="Y1160" cm="1">
        <f t="array" ref="Y1160">SUMPRODUCT($T$2:$T$4,TRANSPOSE(B1160:D1160))</f>
        <v>-7.6270099805413041E-3</v>
      </c>
      <c r="AD1160" s="3">
        <v>45540</v>
      </c>
      <c r="AE1160">
        <v>1.9090291208149631E-3</v>
      </c>
      <c r="AF1160">
        <f t="shared" si="18"/>
        <v>0</v>
      </c>
    </row>
    <row r="1161" spans="1:32" x14ac:dyDescent="0.35">
      <c r="A1161" s="3">
        <v>45544</v>
      </c>
      <c r="B1161" s="6">
        <f>LN(Raw!B1163/Raw!B1162)</f>
        <v>-1.3039467294863116E-2</v>
      </c>
      <c r="C1161" s="6">
        <f>LN(Raw!C1163/Raw!C1162)</f>
        <v>4.8858359191641144E-2</v>
      </c>
      <c r="D1161" s="6">
        <f>LN(Raw!D1163/Raw!D1162)</f>
        <v>2.9410906290987984E-2</v>
      </c>
      <c r="X1161" s="3">
        <v>45544</v>
      </c>
      <c r="Y1161" cm="1">
        <f t="array" ref="Y1161">SUMPRODUCT($T$2:$T$4,TRANSPOSE(B1161:D1161))</f>
        <v>1.4142373903586927E-3</v>
      </c>
      <c r="AD1161" s="3">
        <v>45541</v>
      </c>
      <c r="AE1161">
        <v>-7.6270099805413041E-3</v>
      </c>
      <c r="AF1161">
        <f t="shared" si="18"/>
        <v>0</v>
      </c>
    </row>
    <row r="1162" spans="1:32" x14ac:dyDescent="0.35">
      <c r="A1162" s="3">
        <v>45545</v>
      </c>
      <c r="B1162" s="6">
        <f>LN(Raw!B1164/Raw!B1163)</f>
        <v>-3.2459685217254786E-2</v>
      </c>
      <c r="C1162" s="6">
        <f>LN(Raw!C1164/Raw!C1163)</f>
        <v>-1.5391570810628806E-2</v>
      </c>
      <c r="D1162" s="6">
        <f>LN(Raw!D1164/Raw!D1163)</f>
        <v>-3.7860020446763447E-2</v>
      </c>
      <c r="X1162" s="3">
        <v>45545</v>
      </c>
      <c r="Y1162" cm="1">
        <f t="array" ref="Y1162">SUMPRODUCT($T$2:$T$4,TRANSPOSE(B1162:D1162))</f>
        <v>-2.9320697143026576E-2</v>
      </c>
      <c r="AD1162" s="3">
        <v>45544</v>
      </c>
      <c r="AE1162">
        <v>1.4142373903586927E-3</v>
      </c>
      <c r="AF1162">
        <f t="shared" si="18"/>
        <v>0</v>
      </c>
    </row>
    <row r="1163" spans="1:32" x14ac:dyDescent="0.35">
      <c r="A1163" s="3">
        <v>45546</v>
      </c>
      <c r="B1163" s="6">
        <f>LN(Raw!B1165/Raw!B1164)</f>
        <v>-1.451898533187009E-2</v>
      </c>
      <c r="C1163" s="6">
        <f>LN(Raw!C1165/Raw!C1164)</f>
        <v>-3.758747869101711E-3</v>
      </c>
      <c r="D1163" s="6">
        <f>LN(Raw!D1165/Raw!D1164)</f>
        <v>-4.0190847613087458E-2</v>
      </c>
      <c r="X1163" s="3">
        <v>45546</v>
      </c>
      <c r="Y1163" cm="1">
        <f t="array" ref="Y1163">SUMPRODUCT($T$2:$T$4,TRANSPOSE(B1163:D1163))</f>
        <v>-1.364208844280417E-2</v>
      </c>
      <c r="AD1163" s="3">
        <v>45545</v>
      </c>
      <c r="AE1163">
        <v>-2.9320697143026576E-2</v>
      </c>
      <c r="AF1163">
        <f t="shared" si="18"/>
        <v>0</v>
      </c>
    </row>
    <row r="1164" spans="1:32" x14ac:dyDescent="0.35">
      <c r="A1164" s="3">
        <v>45547</v>
      </c>
      <c r="B1164" s="6">
        <f>LN(Raw!B1166/Raw!B1165)</f>
        <v>-3.5274967674607362E-3</v>
      </c>
      <c r="C1164" s="6">
        <f>LN(Raw!C1166/Raw!C1165)</f>
        <v>2.0181984867259264E-2</v>
      </c>
      <c r="D1164" s="6">
        <f>LN(Raw!D1166/Raw!D1165)</f>
        <v>2.8608863657587354E-2</v>
      </c>
      <c r="X1164" s="3">
        <v>45547</v>
      </c>
      <c r="Y1164" cm="1">
        <f t="array" ref="Y1164">SUMPRODUCT($T$2:$T$4,TRANSPOSE(B1164:D1164))</f>
        <v>2.7945911897609916E-3</v>
      </c>
      <c r="AD1164" s="3">
        <v>45546</v>
      </c>
      <c r="AE1164">
        <v>-1.364208844280417E-2</v>
      </c>
      <c r="AF1164">
        <f t="shared" si="18"/>
        <v>0</v>
      </c>
    </row>
    <row r="1165" spans="1:32" x14ac:dyDescent="0.35">
      <c r="A1165" s="3">
        <v>45548</v>
      </c>
      <c r="B1165" s="6">
        <f>LN(Raw!B1167/Raw!B1166)</f>
        <v>-6.238520848835292E-3</v>
      </c>
      <c r="C1165" s="6">
        <f>LN(Raw!C1167/Raw!C1166)</f>
        <v>1.3989020913627202E-3</v>
      </c>
      <c r="D1165" s="6">
        <f>LN(Raw!D1167/Raw!D1166)</f>
        <v>-4.0879168321301398E-4</v>
      </c>
      <c r="X1165" s="3">
        <v>45548</v>
      </c>
      <c r="Y1165" cm="1">
        <f t="array" ref="Y1165">SUMPRODUCT($T$2:$T$4,TRANSPOSE(B1165:D1165))</f>
        <v>-4.4258209612773689E-3</v>
      </c>
      <c r="AD1165" s="3">
        <v>45547</v>
      </c>
      <c r="AE1165">
        <v>2.7945911897609916E-3</v>
      </c>
      <c r="AF1165">
        <f t="shared" si="18"/>
        <v>0</v>
      </c>
    </row>
    <row r="1166" spans="1:32" x14ac:dyDescent="0.35">
      <c r="A1166" s="3">
        <v>45551</v>
      </c>
      <c r="B1166" s="6">
        <f>LN(Raw!B1168/Raw!B1167)</f>
        <v>-6.8268033270146378E-3</v>
      </c>
      <c r="C1166" s="6">
        <f>LN(Raw!C1168/Raw!C1167)</f>
        <v>3.9316983179092935E-3</v>
      </c>
      <c r="D1166" s="6">
        <f>LN(Raw!D1168/Raw!D1167)</f>
        <v>-1.5037899305845016E-2</v>
      </c>
      <c r="X1166" s="3">
        <v>45551</v>
      </c>
      <c r="Y1166" cm="1">
        <f t="array" ref="Y1166">SUMPRODUCT($T$2:$T$4,TRANSPOSE(B1166:D1166))</f>
        <v>-5.0861176887046552E-3</v>
      </c>
      <c r="AD1166" s="3">
        <v>45548</v>
      </c>
      <c r="AE1166">
        <v>-4.4258209612773689E-3</v>
      </c>
      <c r="AF1166">
        <f t="shared" si="18"/>
        <v>0</v>
      </c>
    </row>
    <row r="1167" spans="1:32" x14ac:dyDescent="0.35">
      <c r="A1167" s="3">
        <v>45552</v>
      </c>
      <c r="B1167" s="6">
        <f>LN(Raw!B1169/Raw!B1168)</f>
        <v>3.8592044950383274E-3</v>
      </c>
      <c r="C1167" s="6">
        <f>LN(Raw!C1169/Raw!C1168)</f>
        <v>-2.4079676265328369E-3</v>
      </c>
      <c r="D1167" s="6">
        <f>LN(Raw!D1169/Raw!D1168)</f>
        <v>-3.1182036669981468E-3</v>
      </c>
      <c r="X1167" s="3">
        <v>45552</v>
      </c>
      <c r="Y1167" cm="1">
        <f t="array" ref="Y1167">SUMPRODUCT($T$2:$T$4,TRANSPOSE(B1167:D1167))</f>
        <v>2.2631642065675697E-3</v>
      </c>
      <c r="AD1167" s="3">
        <v>45551</v>
      </c>
      <c r="AE1167">
        <v>-5.0861176887046552E-3</v>
      </c>
      <c r="AF1167">
        <f t="shared" si="18"/>
        <v>0</v>
      </c>
    </row>
    <row r="1168" spans="1:32" x14ac:dyDescent="0.35">
      <c r="A1168" s="3">
        <v>45553</v>
      </c>
      <c r="B1168" s="6">
        <f>LN(Raw!B1170/Raw!B1169)</f>
        <v>1.7651069864200269E-2</v>
      </c>
      <c r="C1168" s="6">
        <f>LN(Raw!C1170/Raw!C1169)</f>
        <v>2.5345088656500395E-3</v>
      </c>
      <c r="D1168" s="6">
        <f>LN(Raw!D1170/Raw!D1169)</f>
        <v>-2.7225485331446076E-2</v>
      </c>
      <c r="X1168" s="3">
        <v>45553</v>
      </c>
      <c r="Y1168" cm="1">
        <f t="array" ref="Y1168">SUMPRODUCT($T$2:$T$4,TRANSPOSE(B1168:D1168))</f>
        <v>1.2413340910468742E-2</v>
      </c>
      <c r="AD1168" s="3">
        <v>45552</v>
      </c>
      <c r="AE1168">
        <v>2.2631642065675697E-3</v>
      </c>
      <c r="AF1168">
        <f t="shared" si="18"/>
        <v>0</v>
      </c>
    </row>
    <row r="1169" spans="1:32" x14ac:dyDescent="0.35">
      <c r="A1169" s="3">
        <v>45554</v>
      </c>
      <c r="B1169" s="6">
        <f>LN(Raw!B1171/Raw!B1170)</f>
        <v>2.7441412164700415E-2</v>
      </c>
      <c r="C1169" s="6">
        <f>LN(Raw!C1171/Raw!C1170)</f>
        <v>-2.8369709722067982E-2</v>
      </c>
      <c r="D1169" s="6">
        <f>LN(Raw!D1171/Raw!D1170)</f>
        <v>-2.3561910491014578E-3</v>
      </c>
      <c r="X1169" s="3">
        <v>45554</v>
      </c>
      <c r="Y1169" cm="1">
        <f t="array" ref="Y1169">SUMPRODUCT($T$2:$T$4,TRANSPOSE(B1169:D1169))</f>
        <v>1.482860634912104E-2</v>
      </c>
      <c r="AD1169" s="3">
        <v>45553</v>
      </c>
      <c r="AE1169">
        <v>1.2413340910468742E-2</v>
      </c>
      <c r="AF1169">
        <f t="shared" si="18"/>
        <v>0</v>
      </c>
    </row>
    <row r="1170" spans="1:32" x14ac:dyDescent="0.35">
      <c r="A1170" s="3">
        <v>45555</v>
      </c>
      <c r="B1170" s="6">
        <f>LN(Raw!B1172/Raw!B1171)</f>
        <v>1.5358728396362925E-2</v>
      </c>
      <c r="C1170" s="6">
        <f>LN(Raw!C1172/Raw!C1171)</f>
        <v>2.4819611857542011E-2</v>
      </c>
      <c r="D1170" s="6">
        <f>LN(Raw!D1172/Raw!D1171)</f>
        <v>-6.4357425194754101E-4</v>
      </c>
      <c r="X1170" s="3">
        <v>45555</v>
      </c>
      <c r="Y1170" cm="1">
        <f t="array" ref="Y1170">SUMPRODUCT($T$2:$T$4,TRANSPOSE(B1170:D1170))</f>
        <v>1.6454862997241505E-2</v>
      </c>
      <c r="AD1170" s="3">
        <v>45554</v>
      </c>
      <c r="AE1170">
        <v>1.482860634912104E-2</v>
      </c>
      <c r="AF1170">
        <f t="shared" si="18"/>
        <v>0</v>
      </c>
    </row>
    <row r="1171" spans="1:32" x14ac:dyDescent="0.35">
      <c r="A1171" s="3">
        <v>45558</v>
      </c>
      <c r="B1171" s="6">
        <f>LN(Raw!B1173/Raw!B1172)</f>
        <v>1.8251885264081346E-2</v>
      </c>
      <c r="C1171" s="6">
        <f>LN(Raw!C1173/Raw!C1172)</f>
        <v>1.0864196556956378E-2</v>
      </c>
      <c r="D1171" s="6">
        <f>LN(Raw!D1173/Raw!D1172)</f>
        <v>1.5332540823660651E-2</v>
      </c>
      <c r="X1171" s="3">
        <v>45558</v>
      </c>
      <c r="Y1171" cm="1">
        <f t="array" ref="Y1171">SUMPRODUCT($T$2:$T$4,TRANSPOSE(B1171:D1171))</f>
        <v>1.6633059515676257E-2</v>
      </c>
      <c r="AD1171" s="3">
        <v>45555</v>
      </c>
      <c r="AE1171">
        <v>1.6454862997241505E-2</v>
      </c>
      <c r="AF1171">
        <f t="shared" si="18"/>
        <v>0</v>
      </c>
    </row>
    <row r="1172" spans="1:32" x14ac:dyDescent="0.35">
      <c r="A1172" s="3">
        <v>45559</v>
      </c>
      <c r="B1172" s="6">
        <f>LN(Raw!B1174/Raw!B1173)</f>
        <v>-2.1861700529585037E-2</v>
      </c>
      <c r="C1172" s="6">
        <f>LN(Raw!C1174/Raw!C1173)</f>
        <v>-2.5160155907833917E-3</v>
      </c>
      <c r="D1172" s="6">
        <f>LN(Raw!D1174/Raw!D1173)</f>
        <v>-1.0622608488153811E-2</v>
      </c>
      <c r="X1172" s="3">
        <v>45559</v>
      </c>
      <c r="Y1172" cm="1">
        <f t="array" ref="Y1172">SUMPRODUCT($T$2:$T$4,TRANSPOSE(B1172:D1172))</f>
        <v>-1.7444695076069959E-2</v>
      </c>
      <c r="AD1172" s="3">
        <v>45558</v>
      </c>
      <c r="AE1172">
        <v>1.6633059515676257E-2</v>
      </c>
      <c r="AF1172">
        <f t="shared" si="18"/>
        <v>0</v>
      </c>
    </row>
    <row r="1173" spans="1:32" x14ac:dyDescent="0.35">
      <c r="A1173" s="3">
        <v>45560</v>
      </c>
      <c r="B1173" s="6">
        <f>LN(Raw!B1175/Raw!B1174)</f>
        <v>1.8692081734026096E-2</v>
      </c>
      <c r="C1173" s="6">
        <f>LN(Raw!C1175/Raw!C1174)</f>
        <v>2.7672063054227061E-3</v>
      </c>
      <c r="D1173" s="6">
        <f>LN(Raw!D1175/Raw!D1174)</f>
        <v>1.5891895294672487E-2</v>
      </c>
      <c r="X1173" s="3">
        <v>45560</v>
      </c>
      <c r="Y1173" cm="1">
        <f t="array" ref="Y1173">SUMPRODUCT($T$2:$T$4,TRANSPOSE(B1173:D1173))</f>
        <v>1.5375403083332529E-2</v>
      </c>
      <c r="AD1173" s="3">
        <v>45559</v>
      </c>
      <c r="AE1173">
        <v>-1.7444695076069959E-2</v>
      </c>
      <c r="AF1173">
        <f t="shared" si="18"/>
        <v>0</v>
      </c>
    </row>
    <row r="1174" spans="1:32" x14ac:dyDescent="0.35">
      <c r="A1174" s="3">
        <v>45561</v>
      </c>
      <c r="B1174" s="6">
        <f>LN(Raw!B1176/Raw!B1175)</f>
        <v>-4.6402577005978324E-3</v>
      </c>
      <c r="C1174" s="6">
        <f>LN(Raw!C1176/Raw!C1175)</f>
        <v>4.7620071392296534E-3</v>
      </c>
      <c r="D1174" s="6">
        <f>LN(Raw!D1176/Raw!D1175)</f>
        <v>-8.4442510396745656E-3</v>
      </c>
      <c r="X1174" s="3">
        <v>45561</v>
      </c>
      <c r="Y1174" cm="1">
        <f t="array" ref="Y1174">SUMPRODUCT($T$2:$T$4,TRANSPOSE(B1174:D1174))</f>
        <v>-2.9521256782905026E-3</v>
      </c>
      <c r="AD1174" s="3">
        <v>45560</v>
      </c>
      <c r="AE1174">
        <v>1.5375403083332529E-2</v>
      </c>
      <c r="AF1174">
        <f t="shared" si="18"/>
        <v>0</v>
      </c>
    </row>
    <row r="1175" spans="1:32" x14ac:dyDescent="0.35">
      <c r="A1175" s="3">
        <v>45562</v>
      </c>
      <c r="B1175" s="6">
        <f>LN(Raw!B1177/Raw!B1176)</f>
        <v>-8.6085970587497437E-3</v>
      </c>
      <c r="C1175" s="6">
        <f>LN(Raw!C1177/Raw!C1176)</f>
        <v>3.3696413303485485E-3</v>
      </c>
      <c r="D1175" s="6">
        <f>LN(Raw!D1177/Raw!D1176)</f>
        <v>-1.0228095066897161E-2</v>
      </c>
      <c r="X1175" s="3">
        <v>45562</v>
      </c>
      <c r="Y1175" cm="1">
        <f t="array" ref="Y1175">SUMPRODUCT($T$2:$T$4,TRANSPOSE(B1175:D1175))</f>
        <v>-6.2982719715952646E-3</v>
      </c>
      <c r="AD1175" s="3">
        <v>45561</v>
      </c>
      <c r="AE1175">
        <v>-2.9521256782905026E-3</v>
      </c>
      <c r="AF1175">
        <f t="shared" si="18"/>
        <v>0</v>
      </c>
    </row>
    <row r="1176" spans="1:32" x14ac:dyDescent="0.35">
      <c r="A1176" s="3">
        <v>45565</v>
      </c>
      <c r="B1176" s="6">
        <f>LN(Raw!B1178/Raw!B1177)</f>
        <v>-2.8896685339178847E-2</v>
      </c>
      <c r="C1176" s="6">
        <f>LN(Raw!C1178/Raw!C1177)</f>
        <v>-1.4305643706411743E-2</v>
      </c>
      <c r="D1176" s="6">
        <f>LN(Raw!D1178/Raw!D1177)</f>
        <v>-1.2934027593788753E-2</v>
      </c>
      <c r="X1176" s="3">
        <v>45565</v>
      </c>
      <c r="Y1176" cm="1">
        <f t="array" ref="Y1176">SUMPRODUCT($T$2:$T$4,TRANSPOSE(B1176:D1176))</f>
        <v>-2.5194785123500815E-2</v>
      </c>
      <c r="AD1176" s="3">
        <v>45562</v>
      </c>
      <c r="AE1176">
        <v>-6.2982719715952646E-3</v>
      </c>
      <c r="AF1176">
        <f t="shared" si="18"/>
        <v>0</v>
      </c>
    </row>
    <row r="1177" spans="1:32" x14ac:dyDescent="0.35">
      <c r="A1177" s="3">
        <v>45566</v>
      </c>
      <c r="B1177" s="6">
        <f>LN(Raw!B1179/Raw!B1178)</f>
        <v>-9.4726943903694124E-3</v>
      </c>
      <c r="C1177" s="6">
        <f>LN(Raw!C1179/Raw!C1178)</f>
        <v>-2.2775781976052704E-3</v>
      </c>
      <c r="D1177" s="6">
        <f>LN(Raw!D1179/Raw!D1178)</f>
        <v>6.2723252534330771E-3</v>
      </c>
      <c r="X1177" s="3">
        <v>45566</v>
      </c>
      <c r="Y1177" cm="1">
        <f t="array" ref="Y1177">SUMPRODUCT($T$2:$T$4,TRANSPOSE(B1177:D1177))</f>
        <v>-7.2575559807594369E-3</v>
      </c>
      <c r="AD1177" s="3">
        <v>45565</v>
      </c>
      <c r="AE1177">
        <v>-2.5194785123500815E-2</v>
      </c>
      <c r="AF1177">
        <f t="shared" si="18"/>
        <v>0</v>
      </c>
    </row>
    <row r="1178" spans="1:32" x14ac:dyDescent="0.35">
      <c r="A1178" s="3">
        <v>45568</v>
      </c>
      <c r="B1178" s="6">
        <f>LN(Raw!B1180/Raw!B1179)</f>
        <v>-8.7198765831873002E-3</v>
      </c>
      <c r="C1178" s="6">
        <f>LN(Raw!C1180/Raw!C1179)</f>
        <v>-2.8786344272394782E-2</v>
      </c>
      <c r="D1178" s="6">
        <f>LN(Raw!D1180/Raw!D1179)</f>
        <v>-2.6656534441599294E-2</v>
      </c>
      <c r="X1178" s="3">
        <v>45568</v>
      </c>
      <c r="Y1178" cm="1">
        <f t="array" ref="Y1178">SUMPRODUCT($T$2:$T$4,TRANSPOSE(B1178:D1178))</f>
        <v>-1.3612190275984619E-2</v>
      </c>
      <c r="AD1178" s="3">
        <v>45566</v>
      </c>
      <c r="AE1178">
        <v>-7.2575559807594369E-3</v>
      </c>
      <c r="AF1178">
        <f t="shared" si="18"/>
        <v>0</v>
      </c>
    </row>
    <row r="1179" spans="1:32" x14ac:dyDescent="0.35">
      <c r="A1179" s="3">
        <v>45569</v>
      </c>
      <c r="B1179" s="6">
        <f>LN(Raw!B1181/Raw!B1180)</f>
        <v>-4.0357575200132252E-3</v>
      </c>
      <c r="C1179" s="6">
        <f>LN(Raw!C1181/Raw!C1180)</f>
        <v>2.7341383903286276E-3</v>
      </c>
      <c r="D1179" s="6">
        <f>LN(Raw!D1181/Raw!D1180)</f>
        <v>-2.7659834005381578E-2</v>
      </c>
      <c r="X1179" s="3">
        <v>45569</v>
      </c>
      <c r="Y1179" cm="1">
        <f t="array" ref="Y1179">SUMPRODUCT($T$2:$T$4,TRANSPOSE(B1179:D1179))</f>
        <v>-3.8538604163965359E-3</v>
      </c>
      <c r="AD1179" s="3">
        <v>45568</v>
      </c>
      <c r="AE1179">
        <v>-1.3612190275984619E-2</v>
      </c>
      <c r="AF1179">
        <f t="shared" si="18"/>
        <v>0</v>
      </c>
    </row>
    <row r="1180" spans="1:32" x14ac:dyDescent="0.35">
      <c r="A1180" s="3">
        <v>45572</v>
      </c>
      <c r="B1180" s="6">
        <f>LN(Raw!B1182/Raw!B1181)</f>
        <v>-1.2206278714685806E-2</v>
      </c>
      <c r="C1180" s="6">
        <f>LN(Raw!C1182/Raw!C1181)</f>
        <v>-5.7257840691675332E-2</v>
      </c>
      <c r="D1180" s="6">
        <f>LN(Raw!D1182/Raw!D1181)</f>
        <v>-6.8248457622155118E-2</v>
      </c>
      <c r="X1180" s="3">
        <v>45572</v>
      </c>
      <c r="Y1180" cm="1">
        <f t="array" ref="Y1180">SUMPRODUCT($T$2:$T$4,TRANSPOSE(B1180:D1180))</f>
        <v>-2.3970666295095609E-2</v>
      </c>
      <c r="AD1180" s="3">
        <v>45569</v>
      </c>
      <c r="AE1180">
        <v>-3.8538604163965359E-3</v>
      </c>
      <c r="AF1180">
        <f t="shared" si="18"/>
        <v>0</v>
      </c>
    </row>
    <row r="1181" spans="1:32" x14ac:dyDescent="0.35">
      <c r="A1181" s="3">
        <v>45573</v>
      </c>
      <c r="B1181" s="6">
        <f>LN(Raw!B1183/Raw!B1182)</f>
        <v>-3.0941327930300458E-4</v>
      </c>
      <c r="C1181" s="6">
        <f>LN(Raw!C1183/Raw!C1182)</f>
        <v>1.5845223885915256E-2</v>
      </c>
      <c r="D1181" s="6">
        <f>LN(Raw!D1183/Raw!D1182)</f>
        <v>1.6437468369587142E-2</v>
      </c>
      <c r="X1181" s="3">
        <v>45573</v>
      </c>
      <c r="Y1181" cm="1">
        <f t="array" ref="Y1181">SUMPRODUCT($T$2:$T$4,TRANSPOSE(B1181:D1181))</f>
        <v>3.7433417928954566E-3</v>
      </c>
      <c r="AD1181" s="3">
        <v>45572</v>
      </c>
      <c r="AE1181">
        <v>-2.3970666295095609E-2</v>
      </c>
      <c r="AF1181">
        <f t="shared" si="18"/>
        <v>0</v>
      </c>
    </row>
    <row r="1182" spans="1:32" x14ac:dyDescent="0.35">
      <c r="A1182" s="3">
        <v>45574</v>
      </c>
      <c r="B1182" s="6">
        <f>LN(Raw!B1184/Raw!B1183)</f>
        <v>-7.839613004985856E-3</v>
      </c>
      <c r="C1182" s="6">
        <f>LN(Raw!C1184/Raw!C1183)</f>
        <v>5.4331055710844893E-2</v>
      </c>
      <c r="D1182" s="6">
        <f>LN(Raw!D1184/Raw!D1183)</f>
        <v>2.7058058476598455E-2</v>
      </c>
      <c r="X1182" s="3">
        <v>45574</v>
      </c>
      <c r="Y1182" cm="1">
        <f t="array" ref="Y1182">SUMPRODUCT($T$2:$T$4,TRANSPOSE(B1182:D1182))</f>
        <v>6.2947581876988679E-3</v>
      </c>
      <c r="AD1182" s="3">
        <v>45573</v>
      </c>
      <c r="AE1182">
        <v>3.7433417928954566E-3</v>
      </c>
      <c r="AF1182">
        <f t="shared" si="18"/>
        <v>0</v>
      </c>
    </row>
    <row r="1183" spans="1:32" x14ac:dyDescent="0.35">
      <c r="A1183" s="3">
        <v>45575</v>
      </c>
      <c r="B1183" s="6">
        <f>LN(Raw!B1185/Raw!B1184)</f>
        <v>-1.8014172361083614E-3</v>
      </c>
      <c r="C1183" s="6">
        <f>LN(Raw!C1185/Raw!C1184)</f>
        <v>-5.1357177730574938E-4</v>
      </c>
      <c r="D1183" s="6">
        <f>LN(Raw!D1185/Raw!D1184)</f>
        <v>-1.5995137333685374E-2</v>
      </c>
      <c r="X1183" s="3">
        <v>45575</v>
      </c>
      <c r="Y1183" cm="1">
        <f t="array" ref="Y1183">SUMPRODUCT($T$2:$T$4,TRANSPOSE(B1183:D1183))</f>
        <v>-2.2468531188811558E-3</v>
      </c>
      <c r="AD1183" s="3">
        <v>45574</v>
      </c>
      <c r="AE1183">
        <v>6.2947581876988679E-3</v>
      </c>
      <c r="AF1183">
        <f t="shared" si="18"/>
        <v>0</v>
      </c>
    </row>
    <row r="1184" spans="1:32" x14ac:dyDescent="0.35">
      <c r="A1184" s="3">
        <v>45576</v>
      </c>
      <c r="B1184" s="6">
        <f>LN(Raw!B1186/Raw!B1185)</f>
        <v>-6.1001412493068494E-3</v>
      </c>
      <c r="C1184" s="6">
        <f>LN(Raw!C1186/Raw!C1185)</f>
        <v>2.6931935904149426E-3</v>
      </c>
      <c r="D1184" s="6">
        <f>LN(Raw!D1186/Raw!D1185)</f>
        <v>-5.6592721222836571E-3</v>
      </c>
      <c r="X1184" s="3">
        <v>45576</v>
      </c>
      <c r="Y1184" cm="1">
        <f t="array" ref="Y1184">SUMPRODUCT($T$2:$T$4,TRANSPOSE(B1184:D1184))</f>
        <v>-4.3234535048303933E-3</v>
      </c>
      <c r="AD1184" s="3">
        <v>45575</v>
      </c>
      <c r="AE1184">
        <v>-2.2468531188811558E-3</v>
      </c>
      <c r="AF1184">
        <f t="shared" si="18"/>
        <v>0</v>
      </c>
    </row>
    <row r="1185" spans="1:32" x14ac:dyDescent="0.35">
      <c r="A1185" s="3">
        <v>45579</v>
      </c>
      <c r="B1185" s="6">
        <f>LN(Raw!B1187/Raw!B1186)</f>
        <v>1.0585518922876097E-2</v>
      </c>
      <c r="C1185" s="6">
        <f>LN(Raw!C1187/Raw!C1186)</f>
        <v>2.3542458506026799E-2</v>
      </c>
      <c r="D1185" s="6">
        <f>LN(Raw!D1187/Raw!D1186)</f>
        <v>2.9881026988207406E-2</v>
      </c>
      <c r="X1185" s="3">
        <v>45579</v>
      </c>
      <c r="Y1185" cm="1">
        <f t="array" ref="Y1185">SUMPRODUCT($T$2:$T$4,TRANSPOSE(B1185:D1185))</f>
        <v>1.4126247305628436E-2</v>
      </c>
      <c r="AD1185" s="3">
        <v>45576</v>
      </c>
      <c r="AE1185">
        <v>-4.3234535048303933E-3</v>
      </c>
      <c r="AF1185">
        <f t="shared" si="18"/>
        <v>0</v>
      </c>
    </row>
    <row r="1186" spans="1:32" x14ac:dyDescent="0.35">
      <c r="A1186" s="3">
        <v>45580</v>
      </c>
      <c r="B1186" s="6">
        <f>LN(Raw!B1188/Raw!B1187)</f>
        <v>6.6068125005482219E-3</v>
      </c>
      <c r="C1186" s="6">
        <f>LN(Raw!C1188/Raw!C1187)</f>
        <v>-9.805275127537828E-3</v>
      </c>
      <c r="D1186" s="6">
        <f>LN(Raw!D1188/Raw!D1187)</f>
        <v>-1.271705905754301E-2</v>
      </c>
      <c r="X1186" s="3">
        <v>45580</v>
      </c>
      <c r="Y1186" cm="1">
        <f t="array" ref="Y1186">SUMPRODUCT($T$2:$T$4,TRANSPOSE(B1186:D1186))</f>
        <v>2.3751429663376356E-3</v>
      </c>
      <c r="AD1186" s="3">
        <v>45579</v>
      </c>
      <c r="AE1186">
        <v>1.4126247305628436E-2</v>
      </c>
      <c r="AF1186">
        <f t="shared" si="18"/>
        <v>0</v>
      </c>
    </row>
    <row r="1187" spans="1:32" x14ac:dyDescent="0.35">
      <c r="A1187" s="3">
        <v>45581</v>
      </c>
      <c r="B1187" s="6">
        <f>LN(Raw!B1189/Raw!B1188)</f>
        <v>-1.3209574513250428E-2</v>
      </c>
      <c r="C1187" s="6">
        <f>LN(Raw!C1189/Raw!C1188)</f>
        <v>-2.0232954263647881E-3</v>
      </c>
      <c r="D1187" s="6">
        <f>LN(Raw!D1189/Raw!D1188)</f>
        <v>-6.8679962433207641E-3</v>
      </c>
      <c r="X1187" s="3">
        <v>45581</v>
      </c>
      <c r="Y1187" cm="1">
        <f t="array" ref="Y1187">SUMPRODUCT($T$2:$T$4,TRANSPOSE(B1187:D1187))</f>
        <v>-1.0663304658546553E-2</v>
      </c>
      <c r="AD1187" s="3">
        <v>45580</v>
      </c>
      <c r="AE1187">
        <v>2.3751429663376356E-3</v>
      </c>
      <c r="AF1187">
        <f t="shared" si="18"/>
        <v>0</v>
      </c>
    </row>
    <row r="1188" spans="1:32" x14ac:dyDescent="0.35">
      <c r="A1188" s="3">
        <v>45582</v>
      </c>
      <c r="B1188" s="6">
        <f>LN(Raw!B1190/Raw!B1189)</f>
        <v>-1.7080022399176765E-2</v>
      </c>
      <c r="C1188" s="6">
        <f>LN(Raw!C1190/Raw!C1189)</f>
        <v>-5.4578341335645422E-3</v>
      </c>
      <c r="D1188" s="6">
        <f>LN(Raw!D1190/Raw!D1189)</f>
        <v>-1.5603719445890063E-2</v>
      </c>
      <c r="X1188" s="3">
        <v>45582</v>
      </c>
      <c r="Y1188" cm="1">
        <f t="array" ref="Y1188">SUMPRODUCT($T$2:$T$4,TRANSPOSE(B1188:D1188))</f>
        <v>-1.4687541955738254E-2</v>
      </c>
      <c r="AD1188" s="3">
        <v>45581</v>
      </c>
      <c r="AE1188">
        <v>-1.0663304658546553E-2</v>
      </c>
      <c r="AF1188">
        <f t="shared" si="18"/>
        <v>0</v>
      </c>
    </row>
    <row r="1189" spans="1:32" x14ac:dyDescent="0.35">
      <c r="A1189" s="3">
        <v>45583</v>
      </c>
      <c r="B1189" s="6">
        <f>LN(Raw!B1191/Raw!B1190)</f>
        <v>-9.6026910657518554E-3</v>
      </c>
      <c r="C1189" s="6">
        <f>LN(Raw!C1191/Raw!C1190)</f>
        <v>-1.3325046903183632E-2</v>
      </c>
      <c r="D1189" s="6">
        <f>LN(Raw!D1191/Raw!D1190)</f>
        <v>3.3982924373087316E-3</v>
      </c>
      <c r="X1189" s="3">
        <v>45583</v>
      </c>
      <c r="Y1189" cm="1">
        <f t="array" ref="Y1189">SUMPRODUCT($T$2:$T$4,TRANSPOSE(B1189:D1189))</f>
        <v>-9.7021343346727594E-3</v>
      </c>
      <c r="AD1189" s="3">
        <v>45582</v>
      </c>
      <c r="AE1189">
        <v>-1.4687541955738254E-2</v>
      </c>
      <c r="AF1189">
        <f t="shared" si="18"/>
        <v>0</v>
      </c>
    </row>
    <row r="1190" spans="1:32" x14ac:dyDescent="0.35">
      <c r="A1190" s="3">
        <v>45586</v>
      </c>
      <c r="B1190" s="6">
        <f>LN(Raw!B1192/Raw!B1191)</f>
        <v>1.6809496457665975E-3</v>
      </c>
      <c r="C1190" s="6">
        <f>LN(Raw!C1192/Raw!C1191)</f>
        <v>-1.4028030903216276E-2</v>
      </c>
      <c r="D1190" s="6">
        <f>LN(Raw!D1192/Raw!D1191)</f>
        <v>-8.6862703908265337E-3</v>
      </c>
      <c r="X1190" s="3">
        <v>45586</v>
      </c>
      <c r="Y1190" cm="1">
        <f t="array" ref="Y1190">SUMPRODUCT($T$2:$T$4,TRANSPOSE(B1190:D1190))</f>
        <v>-1.9671364498498396E-3</v>
      </c>
      <c r="AD1190" s="3">
        <v>45583</v>
      </c>
      <c r="AE1190">
        <v>-9.7021343346727594E-3</v>
      </c>
      <c r="AF1190">
        <f t="shared" si="18"/>
        <v>0</v>
      </c>
    </row>
    <row r="1191" spans="1:32" x14ac:dyDescent="0.35">
      <c r="A1191" s="3">
        <v>45587</v>
      </c>
      <c r="B1191" s="6">
        <f>LN(Raw!B1193/Raw!B1192)</f>
        <v>-1.9000174201111043E-2</v>
      </c>
      <c r="C1191" s="6">
        <f>LN(Raw!C1193/Raw!C1192)</f>
        <v>-5.3464197032780131E-2</v>
      </c>
      <c r="D1191" s="6">
        <f>LN(Raw!D1193/Raw!D1192)</f>
        <v>-6.5737810025117763E-2</v>
      </c>
      <c r="X1191" s="3">
        <v>45587</v>
      </c>
      <c r="Y1191" cm="1">
        <f t="array" ref="Y1191">SUMPRODUCT($T$2:$T$4,TRANSPOSE(B1191:D1191))</f>
        <v>-2.8191143915600222E-2</v>
      </c>
      <c r="AD1191" s="3">
        <v>45586</v>
      </c>
      <c r="AE1191">
        <v>-1.9671364498498396E-3</v>
      </c>
      <c r="AF1191">
        <f t="shared" si="18"/>
        <v>0</v>
      </c>
    </row>
    <row r="1192" spans="1:32" x14ac:dyDescent="0.35">
      <c r="A1192" s="3">
        <v>45588</v>
      </c>
      <c r="B1192" s="6">
        <f>LN(Raw!B1194/Raw!B1193)</f>
        <v>-1.3839885800526301E-2</v>
      </c>
      <c r="C1192" s="6">
        <f>LN(Raw!C1194/Raw!C1193)</f>
        <v>-2.9020667981188445E-3</v>
      </c>
      <c r="D1192" s="6">
        <f>LN(Raw!D1194/Raw!D1193)</f>
        <v>1.815909279123477E-2</v>
      </c>
      <c r="X1192" s="3">
        <v>45588</v>
      </c>
      <c r="Y1192" cm="1">
        <f t="array" ref="Y1192">SUMPRODUCT($T$2:$T$4,TRANSPOSE(B1192:D1192))</f>
        <v>-1.0073413104925639E-2</v>
      </c>
      <c r="AD1192" s="3">
        <v>45587</v>
      </c>
      <c r="AE1192">
        <v>-2.8191143915600222E-2</v>
      </c>
      <c r="AF1192">
        <f t="shared" si="18"/>
        <v>0</v>
      </c>
    </row>
    <row r="1193" spans="1:32" x14ac:dyDescent="0.35">
      <c r="A1193" s="3">
        <v>45589</v>
      </c>
      <c r="B1193" s="6">
        <f>LN(Raw!B1195/Raw!B1194)</f>
        <v>-1.634809601347762E-3</v>
      </c>
      <c r="C1193" s="6">
        <f>LN(Raw!C1195/Raw!C1194)</f>
        <v>-3.7433979096014869E-3</v>
      </c>
      <c r="D1193" s="6">
        <f>LN(Raw!D1195/Raw!D1194)</f>
        <v>1.6162602232268797E-3</v>
      </c>
      <c r="X1193" s="3">
        <v>45589</v>
      </c>
      <c r="Y1193" cm="1">
        <f t="array" ref="Y1193">SUMPRODUCT($T$2:$T$4,TRANSPOSE(B1193:D1193))</f>
        <v>-1.8947207268823027E-3</v>
      </c>
      <c r="AD1193" s="3">
        <v>45588</v>
      </c>
      <c r="AE1193">
        <v>-1.0073413104925639E-2</v>
      </c>
      <c r="AF1193">
        <f t="shared" si="18"/>
        <v>0</v>
      </c>
    </row>
    <row r="1194" spans="1:32" x14ac:dyDescent="0.35">
      <c r="A1194" s="3">
        <v>45590</v>
      </c>
      <c r="B1194" s="6">
        <f>LN(Raw!B1196/Raw!B1195)</f>
        <v>-1.3694277739068072E-2</v>
      </c>
      <c r="C1194" s="6">
        <f>LN(Raw!C1196/Raw!C1195)</f>
        <v>-3.1609869751858678E-2</v>
      </c>
      <c r="D1194" s="6">
        <f>LN(Raw!D1196/Raw!D1195)</f>
        <v>-4.0264884268458402E-2</v>
      </c>
      <c r="X1194" s="3">
        <v>45590</v>
      </c>
      <c r="Y1194" cm="1">
        <f t="array" ref="Y1194">SUMPRODUCT($T$2:$T$4,TRANSPOSE(B1194:D1194))</f>
        <v>-1.8584640302076964E-2</v>
      </c>
      <c r="AD1194" s="3">
        <v>45589</v>
      </c>
      <c r="AE1194">
        <v>-1.8947207268823027E-3</v>
      </c>
      <c r="AF1194">
        <f t="shared" si="18"/>
        <v>0</v>
      </c>
    </row>
    <row r="1195" spans="1:32" x14ac:dyDescent="0.35">
      <c r="A1195" s="3">
        <v>45593</v>
      </c>
      <c r="B1195" s="6">
        <f>LN(Raw!B1197/Raw!B1196)</f>
        <v>-1.4477991356617478E-2</v>
      </c>
      <c r="C1195" s="6">
        <f>LN(Raw!C1197/Raw!C1196)</f>
        <v>3.2581675109910259E-2</v>
      </c>
      <c r="D1195" s="6">
        <f>LN(Raw!D1197/Raw!D1196)</f>
        <v>1.7912484214993096E-2</v>
      </c>
      <c r="X1195" s="3">
        <v>45593</v>
      </c>
      <c r="Y1195" cm="1">
        <f t="array" ref="Y1195">SUMPRODUCT($T$2:$T$4,TRANSPOSE(B1195:D1195))</f>
        <v>-3.4833753511375929E-3</v>
      </c>
      <c r="AD1195" s="3">
        <v>45590</v>
      </c>
      <c r="AE1195">
        <v>-1.8584640302076964E-2</v>
      </c>
      <c r="AF1195">
        <f t="shared" si="18"/>
        <v>0</v>
      </c>
    </row>
    <row r="1196" spans="1:32" x14ac:dyDescent="0.35">
      <c r="A1196" s="3">
        <v>45594</v>
      </c>
      <c r="B1196" s="6">
        <f>LN(Raw!B1198/Raw!B1197)</f>
        <v>9.0831006472050363E-3</v>
      </c>
      <c r="C1196" s="6">
        <f>LN(Raw!C1198/Raw!C1197)</f>
        <v>1.1863863444822553E-2</v>
      </c>
      <c r="D1196" s="6">
        <f>LN(Raw!D1198/Raw!D1197)</f>
        <v>1.4041383791851162E-2</v>
      </c>
      <c r="X1196" s="3">
        <v>45594</v>
      </c>
      <c r="Y1196" cm="1">
        <f t="array" ref="Y1196">SUMPRODUCT($T$2:$T$4,TRANSPOSE(B1196:D1196))</f>
        <v>9.8834380616282958E-3</v>
      </c>
      <c r="AD1196" s="3">
        <v>45593</v>
      </c>
      <c r="AE1196">
        <v>-3.4833753511375929E-3</v>
      </c>
      <c r="AF1196">
        <f t="shared" si="18"/>
        <v>0</v>
      </c>
    </row>
    <row r="1197" spans="1:32" x14ac:dyDescent="0.35">
      <c r="A1197" s="3">
        <v>45595</v>
      </c>
      <c r="B1197" s="6">
        <f>LN(Raw!B1199/Raw!B1198)</f>
        <v>7.6018046033979741E-3</v>
      </c>
      <c r="C1197" s="6">
        <f>LN(Raw!C1199/Raw!C1198)</f>
        <v>2.0227392037949692E-2</v>
      </c>
      <c r="D1197" s="6">
        <f>LN(Raw!D1199/Raw!D1198)</f>
        <v>1.7954023621414201E-2</v>
      </c>
      <c r="X1197" s="3">
        <v>45595</v>
      </c>
      <c r="Y1197" cm="1">
        <f t="array" ref="Y1197">SUMPRODUCT($T$2:$T$4,TRANSPOSE(B1197:D1197))</f>
        <v>1.0633801346123718E-2</v>
      </c>
      <c r="AD1197" s="3">
        <v>45594</v>
      </c>
      <c r="AE1197">
        <v>9.8834380616282958E-3</v>
      </c>
      <c r="AF1197">
        <f t="shared" si="18"/>
        <v>0</v>
      </c>
    </row>
    <row r="1198" spans="1:32" x14ac:dyDescent="0.35">
      <c r="A1198" s="3">
        <v>45596</v>
      </c>
      <c r="B1198" s="6">
        <f>LN(Raw!B1200/Raw!B1199)</f>
        <v>-5.4873347009793726E-3</v>
      </c>
      <c r="C1198" s="6">
        <f>LN(Raw!C1200/Raw!C1199)</f>
        <v>-7.6896903841203231E-3</v>
      </c>
      <c r="D1198" s="6">
        <f>LN(Raw!D1200/Raw!D1199)</f>
        <v>-2.0858827776019322E-2</v>
      </c>
      <c r="X1198" s="3">
        <v>45596</v>
      </c>
      <c r="Y1198" cm="1">
        <f t="array" ref="Y1198">SUMPRODUCT($T$2:$T$4,TRANSPOSE(B1198:D1198))</f>
        <v>-6.6875914383236002E-3</v>
      </c>
      <c r="AD1198" s="3">
        <v>45595</v>
      </c>
      <c r="AE1198">
        <v>1.0633801346123718E-2</v>
      </c>
      <c r="AF1198">
        <f t="shared" si="18"/>
        <v>0</v>
      </c>
    </row>
    <row r="1199" spans="1:32" x14ac:dyDescent="0.35">
      <c r="A1199" s="3">
        <v>45597</v>
      </c>
      <c r="B1199" s="6">
        <f>LN(Raw!B1201/Raw!B1200)</f>
        <v>-5.4766694933658952E-4</v>
      </c>
      <c r="C1199" s="6">
        <f>LN(Raw!C1201/Raw!C1200)</f>
        <v>4.9982881254994295E-3</v>
      </c>
      <c r="D1199" s="6">
        <f>LN(Raw!D1201/Raw!D1200)</f>
        <v>1.8306432009307032E-2</v>
      </c>
      <c r="X1199" s="3">
        <v>45597</v>
      </c>
      <c r="Y1199" cm="1">
        <f t="array" ref="Y1199">SUMPRODUCT($T$2:$T$4,TRANSPOSE(B1199:D1199))</f>
        <v>1.4922201257879684E-3</v>
      </c>
      <c r="AD1199" s="3">
        <v>45596</v>
      </c>
      <c r="AE1199">
        <v>-6.6875914383236002E-3</v>
      </c>
      <c r="AF1199">
        <f t="shared" si="18"/>
        <v>0</v>
      </c>
    </row>
    <row r="1200" spans="1:32" x14ac:dyDescent="0.35">
      <c r="A1200" s="3">
        <v>45600</v>
      </c>
      <c r="B1200" s="6">
        <f>LN(Raw!B1202/Raw!B1201)</f>
        <v>-2.4003442701994906E-2</v>
      </c>
      <c r="C1200" s="6">
        <f>LN(Raw!C1202/Raw!C1201)</f>
        <v>-2.1245529376117275E-2</v>
      </c>
      <c r="D1200" s="6">
        <f>LN(Raw!D1202/Raw!D1201)</f>
        <v>-5.0723777409804618E-2</v>
      </c>
      <c r="X1200" s="3">
        <v>45600</v>
      </c>
      <c r="Y1200" cm="1">
        <f t="array" ref="Y1200">SUMPRODUCT($T$2:$T$4,TRANSPOSE(B1200:D1200))</f>
        <v>-2.4775443284187307E-2</v>
      </c>
      <c r="AD1200" s="3">
        <v>45597</v>
      </c>
      <c r="AE1200">
        <v>1.4922201257879684E-3</v>
      </c>
      <c r="AF1200">
        <f t="shared" si="18"/>
        <v>0</v>
      </c>
    </row>
    <row r="1201" spans="1:32" x14ac:dyDescent="0.35">
      <c r="A1201" s="3">
        <v>45601</v>
      </c>
      <c r="B1201" s="6">
        <f>LN(Raw!B1203/Raw!B1202)</f>
        <v>2.387289466274491E-2</v>
      </c>
      <c r="C1201" s="6">
        <f>LN(Raw!C1203/Raw!C1202)</f>
        <v>2.0841210453348576E-2</v>
      </c>
      <c r="D1201" s="6">
        <f>LN(Raw!D1203/Raw!D1202)</f>
        <v>3.1627400434909044E-4</v>
      </c>
      <c r="X1201" s="3">
        <v>45601</v>
      </c>
      <c r="Y1201" cm="1">
        <f t="array" ref="Y1201">SUMPRODUCT($T$2:$T$4,TRANSPOSE(B1201:D1201))</f>
        <v>2.2102047310215388E-2</v>
      </c>
      <c r="AD1201" s="3">
        <v>45600</v>
      </c>
      <c r="AE1201">
        <v>-2.4775443284187307E-2</v>
      </c>
      <c r="AF1201">
        <f t="shared" si="18"/>
        <v>0</v>
      </c>
    </row>
    <row r="1202" spans="1:32" x14ac:dyDescent="0.35">
      <c r="A1202" s="3">
        <v>45602</v>
      </c>
      <c r="B1202" s="6">
        <f>LN(Raw!B1204/Raw!B1203)</f>
        <v>9.1694790564378383E-3</v>
      </c>
      <c r="C1202" s="6">
        <f>LN(Raw!C1204/Raw!C1203)</f>
        <v>3.1449498627704062E-2</v>
      </c>
      <c r="D1202" s="6">
        <f>LN(Raw!D1204/Raw!D1203)</f>
        <v>2.0551521794054409E-2</v>
      </c>
      <c r="X1202" s="3">
        <v>45602</v>
      </c>
      <c r="Y1202" cm="1">
        <f t="array" ref="Y1202">SUMPRODUCT($T$2:$T$4,TRANSPOSE(B1202:D1202))</f>
        <v>1.4179158447729422E-2</v>
      </c>
      <c r="AD1202" s="3">
        <v>45601</v>
      </c>
      <c r="AE1202">
        <v>2.2102047310215388E-2</v>
      </c>
      <c r="AF1202">
        <f t="shared" si="18"/>
        <v>0</v>
      </c>
    </row>
    <row r="1203" spans="1:32" x14ac:dyDescent="0.35">
      <c r="A1203" s="3">
        <v>45603</v>
      </c>
      <c r="B1203" s="6">
        <f>LN(Raw!B1205/Raw!B1204)</f>
        <v>-8.9346972766835373E-3</v>
      </c>
      <c r="C1203" s="6">
        <f>LN(Raw!C1205/Raw!C1204)</f>
        <v>-1.9123535786586397E-2</v>
      </c>
      <c r="D1203" s="6">
        <f>LN(Raw!D1205/Raw!D1204)</f>
        <v>-2.8954154236590429E-3</v>
      </c>
      <c r="X1203" s="3">
        <v>45603</v>
      </c>
      <c r="Y1203" cm="1">
        <f t="array" ref="Y1203">SUMPRODUCT($T$2:$T$4,TRANSPOSE(B1203:D1203))</f>
        <v>-1.0669179515793638E-2</v>
      </c>
      <c r="AD1203" s="3">
        <v>45602</v>
      </c>
      <c r="AE1203">
        <v>1.4179158447729422E-2</v>
      </c>
      <c r="AF1203">
        <f t="shared" si="18"/>
        <v>0</v>
      </c>
    </row>
    <row r="1204" spans="1:32" x14ac:dyDescent="0.35">
      <c r="A1204" s="3">
        <v>45604</v>
      </c>
      <c r="B1204" s="6">
        <f>LN(Raw!B1206/Raw!B1205)</f>
        <v>-3.3188068287527579E-3</v>
      </c>
      <c r="C1204" s="6">
        <f>LN(Raw!C1206/Raw!C1205)</f>
        <v>-2.9320456294958722E-2</v>
      </c>
      <c r="D1204" s="6">
        <f>LN(Raw!D1206/Raw!D1205)</f>
        <v>-4.1441433101915885E-2</v>
      </c>
      <c r="X1204" s="3">
        <v>45604</v>
      </c>
      <c r="Y1204" cm="1">
        <f t="array" ref="Y1204">SUMPRODUCT($T$2:$T$4,TRANSPOSE(B1204:D1204))</f>
        <v>-1.039459923170305E-2</v>
      </c>
      <c r="AD1204" s="3">
        <v>45603</v>
      </c>
      <c r="AE1204">
        <v>-1.0669179515793638E-2</v>
      </c>
      <c r="AF1204">
        <f t="shared" si="18"/>
        <v>0</v>
      </c>
    </row>
    <row r="1205" spans="1:32" x14ac:dyDescent="0.35">
      <c r="A1205" s="3">
        <v>45607</v>
      </c>
      <c r="B1205" s="6">
        <f>LN(Raw!B1207/Raw!B1206)</f>
        <v>5.7161964878931762E-3</v>
      </c>
      <c r="C1205" s="6">
        <f>LN(Raw!C1207/Raw!C1206)</f>
        <v>8.8731684261320019E-3</v>
      </c>
      <c r="D1205" s="6">
        <f>LN(Raw!D1207/Raw!D1206)</f>
        <v>-2.5397272238567863E-3</v>
      </c>
      <c r="X1205" s="3">
        <v>45607</v>
      </c>
      <c r="Y1205" cm="1">
        <f t="array" ref="Y1205">SUMPRODUCT($T$2:$T$4,TRANSPOSE(B1205:D1205))</f>
        <v>5.9376407319019029E-3</v>
      </c>
      <c r="AD1205" s="3">
        <v>45604</v>
      </c>
      <c r="AE1205">
        <v>-1.039459923170305E-2</v>
      </c>
      <c r="AF1205">
        <f t="shared" si="18"/>
        <v>0</v>
      </c>
    </row>
    <row r="1206" spans="1:32" x14ac:dyDescent="0.35">
      <c r="A1206" s="3">
        <v>45608</v>
      </c>
      <c r="B1206" s="6">
        <f>LN(Raw!B1208/Raw!B1207)</f>
        <v>-1.5131376308646282E-2</v>
      </c>
      <c r="C1206" s="6">
        <f>LN(Raw!C1208/Raw!C1207)</f>
        <v>-4.3585508274464778E-3</v>
      </c>
      <c r="D1206" s="6">
        <f>LN(Raw!D1208/Raw!D1207)</f>
        <v>-2.049865809791071E-2</v>
      </c>
      <c r="X1206" s="3">
        <v>45608</v>
      </c>
      <c r="Y1206" cm="1">
        <f t="array" ref="Y1206">SUMPRODUCT($T$2:$T$4,TRANSPOSE(B1206:D1206))</f>
        <v>-1.3247091344853742E-2</v>
      </c>
      <c r="AD1206" s="3">
        <v>45607</v>
      </c>
      <c r="AE1206">
        <v>5.9376407319019029E-3</v>
      </c>
      <c r="AF1206">
        <f t="shared" si="18"/>
        <v>0</v>
      </c>
    </row>
    <row r="1207" spans="1:32" x14ac:dyDescent="0.35">
      <c r="A1207" s="3">
        <v>45609</v>
      </c>
      <c r="B1207" s="6">
        <f>LN(Raw!B1209/Raw!B1208)</f>
        <v>-1.2791174522036888E-2</v>
      </c>
      <c r="C1207" s="6">
        <f>LN(Raw!C1209/Raw!C1208)</f>
        <v>-4.9240675593053639E-2</v>
      </c>
      <c r="D1207" s="6">
        <f>LN(Raw!D1209/Raw!D1208)</f>
        <v>-3.8450072547353505E-2</v>
      </c>
      <c r="X1207" s="3">
        <v>45609</v>
      </c>
      <c r="Y1207" cm="1">
        <f t="array" ref="Y1207">SUMPRODUCT($T$2:$T$4,TRANSPOSE(B1207:D1207))</f>
        <v>-2.133519335529805E-2</v>
      </c>
      <c r="AD1207" s="3">
        <v>45608</v>
      </c>
      <c r="AE1207">
        <v>-1.3247091344853742E-2</v>
      </c>
      <c r="AF1207">
        <f t="shared" si="18"/>
        <v>0</v>
      </c>
    </row>
    <row r="1208" spans="1:32" x14ac:dyDescent="0.35">
      <c r="A1208" s="3">
        <v>45610</v>
      </c>
      <c r="B1208" s="6">
        <f>LN(Raw!B1210/Raw!B1209)</f>
        <v>-2.5726166257253455E-3</v>
      </c>
      <c r="C1208" s="6">
        <f>LN(Raw!C1210/Raw!C1209)</f>
        <v>1.5649791776244652E-2</v>
      </c>
      <c r="D1208" s="6">
        <f>LN(Raw!D1210/Raw!D1209)</f>
        <v>1.0334418466055938E-2</v>
      </c>
      <c r="X1208" s="3">
        <v>45610</v>
      </c>
      <c r="Y1208" cm="1">
        <f t="array" ref="Y1208">SUMPRODUCT($T$2:$T$4,TRANSPOSE(B1208:D1208))</f>
        <v>1.7027651954299289E-3</v>
      </c>
      <c r="AD1208" s="3">
        <v>45609</v>
      </c>
      <c r="AE1208">
        <v>-2.133519335529805E-2</v>
      </c>
      <c r="AF1208">
        <f t="shared" si="18"/>
        <v>0</v>
      </c>
    </row>
    <row r="1209" spans="1:32" x14ac:dyDescent="0.35">
      <c r="A1209" s="3">
        <v>45614</v>
      </c>
      <c r="B1209" s="6">
        <f>LN(Raw!B1211/Raw!B1210)</f>
        <v>-1.293617275025896E-2</v>
      </c>
      <c r="C1209" s="6">
        <f>LN(Raw!C1211/Raw!C1210)</f>
        <v>1.1090091029164561E-2</v>
      </c>
      <c r="D1209" s="6">
        <f>LN(Raw!D1211/Raw!D1210)</f>
        <v>-4.8969692679977986E-3</v>
      </c>
      <c r="X1209" s="3">
        <v>45614</v>
      </c>
      <c r="Y1209" cm="1">
        <f t="array" ref="Y1209">SUMPRODUCT($T$2:$T$4,TRANSPOSE(B1209:D1209))</f>
        <v>-7.7434360307415909E-3</v>
      </c>
      <c r="AD1209" s="3">
        <v>45610</v>
      </c>
      <c r="AE1209">
        <v>1.7027651954299289E-3</v>
      </c>
      <c r="AF1209">
        <f t="shared" si="18"/>
        <v>0</v>
      </c>
    </row>
    <row r="1210" spans="1:32" x14ac:dyDescent="0.35">
      <c r="A1210" s="3">
        <v>45615</v>
      </c>
      <c r="B1210" s="6">
        <f>LN(Raw!B1212/Raw!B1211)</f>
        <v>7.8798288818426442E-4</v>
      </c>
      <c r="C1210" s="6">
        <f>LN(Raw!C1212/Raw!C1211)</f>
        <v>3.6058517526614299E-2</v>
      </c>
      <c r="D1210" s="6">
        <f>LN(Raw!D1212/Raw!D1211)</f>
        <v>7.2231502190118081E-3</v>
      </c>
      <c r="X1210" s="3">
        <v>45615</v>
      </c>
      <c r="Y1210" cm="1">
        <f t="array" ref="Y1210">SUMPRODUCT($T$2:$T$4,TRANSPOSE(B1210:D1210))</f>
        <v>8.1453332167641165E-3</v>
      </c>
      <c r="AD1210" s="3">
        <v>45614</v>
      </c>
      <c r="AE1210">
        <v>-7.7434360307415909E-3</v>
      </c>
      <c r="AF1210">
        <f t="shared" si="18"/>
        <v>0</v>
      </c>
    </row>
    <row r="1211" spans="1:32" x14ac:dyDescent="0.35">
      <c r="A1211" s="3">
        <v>45617</v>
      </c>
      <c r="B1211" s="6">
        <f>LN(Raw!B1213/Raw!B1212)</f>
        <v>-1.9860216655933072E-2</v>
      </c>
      <c r="C1211" s="6">
        <f>LN(Raw!C1213/Raw!C1212)</f>
        <v>-1.3011844465250657E-2</v>
      </c>
      <c r="D1211" s="6">
        <f>LN(Raw!D1213/Raw!D1212)</f>
        <v>-3.4007114059650095E-2</v>
      </c>
      <c r="X1211" s="3">
        <v>45617</v>
      </c>
      <c r="Y1211" cm="1">
        <f t="array" ref="Y1211">SUMPRODUCT($T$2:$T$4,TRANSPOSE(B1211:D1211))</f>
        <v>-1.9193631430453727E-2</v>
      </c>
      <c r="AD1211" s="3">
        <v>45615</v>
      </c>
      <c r="AE1211">
        <v>8.1453332167641165E-3</v>
      </c>
      <c r="AF1211">
        <f t="shared" si="18"/>
        <v>0</v>
      </c>
    </row>
    <row r="1212" spans="1:32" x14ac:dyDescent="0.35">
      <c r="A1212" s="3">
        <v>45618</v>
      </c>
      <c r="B1212" s="6">
        <f>LN(Raw!B1214/Raw!B1213)</f>
        <v>1.8011591912188814E-2</v>
      </c>
      <c r="C1212" s="6">
        <f>LN(Raw!C1214/Raw!C1213)</f>
        <v>3.3141845570673033E-2</v>
      </c>
      <c r="D1212" s="6">
        <f>LN(Raw!D1214/Raw!D1213)</f>
        <v>2.5355971146391314E-2</v>
      </c>
      <c r="X1212" s="3">
        <v>45618</v>
      </c>
      <c r="Y1212" cm="1">
        <f t="array" ref="Y1212">SUMPRODUCT($T$2:$T$4,TRANSPOSE(B1212:D1212))</f>
        <v>2.1394581700007725E-2</v>
      </c>
      <c r="AD1212" s="3">
        <v>45617</v>
      </c>
      <c r="AE1212">
        <v>-1.9193631430453727E-2</v>
      </c>
      <c r="AF1212">
        <f t="shared" si="18"/>
        <v>0</v>
      </c>
    </row>
    <row r="1213" spans="1:32" x14ac:dyDescent="0.35">
      <c r="A1213" s="3">
        <v>45621</v>
      </c>
      <c r="B1213" s="6">
        <f>LN(Raw!B1215/Raw!B1214)</f>
        <v>-3.2658294073372016E-4</v>
      </c>
      <c r="C1213" s="6">
        <f>LN(Raw!C1215/Raw!C1214)</f>
        <v>4.0098491498102962E-2</v>
      </c>
      <c r="D1213" s="6">
        <f>LN(Raw!D1215/Raw!D1214)</f>
        <v>3.0733438056721213E-2</v>
      </c>
      <c r="X1213" s="3">
        <v>45621</v>
      </c>
      <c r="Y1213" cm="1">
        <f t="array" ref="Y1213">SUMPRODUCT($T$2:$T$4,TRANSPOSE(B1213:D1213))</f>
        <v>9.2781357491808908E-3</v>
      </c>
      <c r="AD1213" s="3">
        <v>45618</v>
      </c>
      <c r="AE1213">
        <v>2.1394581700007725E-2</v>
      </c>
      <c r="AF1213">
        <f t="shared" si="18"/>
        <v>0</v>
      </c>
    </row>
    <row r="1214" spans="1:32" x14ac:dyDescent="0.35">
      <c r="A1214" s="3">
        <v>45622</v>
      </c>
      <c r="B1214" s="6">
        <f>LN(Raw!B1216/Raw!B1215)</f>
        <v>9.5088088683174081E-3</v>
      </c>
      <c r="C1214" s="6">
        <f>LN(Raw!C1216/Raw!C1215)</f>
        <v>9.8410728842708833E-3</v>
      </c>
      <c r="D1214" s="6">
        <f>LN(Raw!D1216/Raw!D1215)</f>
        <v>4.7786601110316601E-2</v>
      </c>
      <c r="X1214" s="3">
        <v>45622</v>
      </c>
      <c r="Y1214" cm="1">
        <f t="array" ref="Y1214">SUMPRODUCT($T$2:$T$4,TRANSPOSE(B1214:D1214))</f>
        <v>1.1469490194590811E-2</v>
      </c>
      <c r="AD1214" s="3">
        <v>45621</v>
      </c>
      <c r="AE1214">
        <v>9.2781357491808908E-3</v>
      </c>
      <c r="AF1214">
        <f t="shared" si="18"/>
        <v>0</v>
      </c>
    </row>
    <row r="1215" spans="1:32" x14ac:dyDescent="0.35">
      <c r="A1215" s="3">
        <v>45623</v>
      </c>
      <c r="B1215" s="6">
        <f>LN(Raw!B1217/Raw!B1216)</f>
        <v>5.0024486378952892E-3</v>
      </c>
      <c r="C1215" s="6">
        <f>LN(Raw!C1217/Raw!C1216)</f>
        <v>-5.9182506921216186E-3</v>
      </c>
      <c r="D1215" s="6">
        <f>LN(Raw!D1217/Raw!D1216)</f>
        <v>9.2579192743470918E-3</v>
      </c>
      <c r="X1215" s="3">
        <v>45623</v>
      </c>
      <c r="Y1215" cm="1">
        <f t="array" ref="Y1215">SUMPRODUCT($T$2:$T$4,TRANSPOSE(B1215:D1215))</f>
        <v>3.0336292034346089E-3</v>
      </c>
      <c r="AD1215" s="3">
        <v>45622</v>
      </c>
      <c r="AE1215">
        <v>1.1469490194590811E-2</v>
      </c>
      <c r="AF1215">
        <f t="shared" si="18"/>
        <v>0</v>
      </c>
    </row>
    <row r="1216" spans="1:32" x14ac:dyDescent="0.35">
      <c r="A1216" s="3">
        <v>45624</v>
      </c>
      <c r="B1216" s="6">
        <f>LN(Raw!B1218/Raw!B1217)</f>
        <v>3.9358118879887528E-3</v>
      </c>
      <c r="C1216" s="6">
        <f>LN(Raw!C1218/Raw!C1217)</f>
        <v>4.4105227407477332E-3</v>
      </c>
      <c r="D1216" s="6">
        <f>LN(Raw!D1218/Raw!D1217)</f>
        <v>1.3883023487245915E-2</v>
      </c>
      <c r="X1216" s="3">
        <v>45624</v>
      </c>
      <c r="Y1216" cm="1">
        <f t="array" ref="Y1216">SUMPRODUCT($T$2:$T$4,TRANSPOSE(B1216:D1216))</f>
        <v>4.5228375791635496E-3</v>
      </c>
      <c r="AD1216" s="3">
        <v>45623</v>
      </c>
      <c r="AE1216">
        <v>3.0336292034346089E-3</v>
      </c>
      <c r="AF1216">
        <f t="shared" si="18"/>
        <v>0</v>
      </c>
    </row>
    <row r="1217" spans="1:32" x14ac:dyDescent="0.35">
      <c r="A1217" s="3">
        <v>45625</v>
      </c>
      <c r="B1217" s="6">
        <f>LN(Raw!B1219/Raw!B1218)</f>
        <v>-4.9558117791143157E-3</v>
      </c>
      <c r="C1217" s="6">
        <f>LN(Raw!C1219/Raw!C1218)</f>
        <v>4.8918860570404286E-3</v>
      </c>
      <c r="D1217" s="6">
        <f>LN(Raw!D1219/Raw!D1218)</f>
        <v>3.865234783645716E-3</v>
      </c>
      <c r="X1217" s="3">
        <v>45625</v>
      </c>
      <c r="Y1217" cm="1">
        <f t="array" ref="Y1217">SUMPRODUCT($T$2:$T$4,TRANSPOSE(B1217:D1217))</f>
        <v>-2.5539709407001324E-3</v>
      </c>
      <c r="AD1217" s="3">
        <v>45624</v>
      </c>
      <c r="AE1217">
        <v>4.5228375791635496E-3</v>
      </c>
      <c r="AF1217">
        <f t="shared" si="18"/>
        <v>0</v>
      </c>
    </row>
    <row r="1218" spans="1:32" x14ac:dyDescent="0.35">
      <c r="A1218" s="3">
        <v>45628</v>
      </c>
      <c r="B1218" s="6">
        <f>LN(Raw!B1220/Raw!B1219)</f>
        <v>-1.5016790183848622E-2</v>
      </c>
      <c r="C1218" s="6">
        <f>LN(Raw!C1220/Raw!C1219)</f>
        <v>8.7206131083484139E-3</v>
      </c>
      <c r="D1218" s="6">
        <f>LN(Raw!D1220/Raw!D1219)</f>
        <v>5.1306468655405906E-3</v>
      </c>
      <c r="X1218" s="3">
        <v>45628</v>
      </c>
      <c r="Y1218" cm="1">
        <f t="array" ref="Y1218">SUMPRODUCT($T$2:$T$4,TRANSPOSE(B1218:D1218))</f>
        <v>-9.2824629825180079E-3</v>
      </c>
      <c r="AD1218" s="3">
        <v>45625</v>
      </c>
      <c r="AE1218">
        <v>-2.5539709407001324E-3</v>
      </c>
      <c r="AF1218">
        <f t="shared" si="18"/>
        <v>0</v>
      </c>
    </row>
    <row r="1219" spans="1:32" x14ac:dyDescent="0.35">
      <c r="A1219" s="3">
        <v>45629</v>
      </c>
      <c r="B1219" s="6">
        <f>LN(Raw!B1221/Raw!B1220)</f>
        <v>3.3377135923667166E-2</v>
      </c>
      <c r="C1219" s="6">
        <f>LN(Raw!C1221/Raw!C1220)</f>
        <v>8.7681523347890172E-3</v>
      </c>
      <c r="D1219" s="6">
        <f>LN(Raw!D1221/Raw!D1220)</f>
        <v>1.0588025583476679E-2</v>
      </c>
      <c r="X1219" s="3">
        <v>45629</v>
      </c>
      <c r="Y1219" cm="1">
        <f t="array" ref="Y1219">SUMPRODUCT($T$2:$T$4,TRANSPOSE(B1219:D1219))</f>
        <v>2.7338132252878306E-2</v>
      </c>
      <c r="AD1219" s="3">
        <v>45628</v>
      </c>
      <c r="AE1219">
        <v>-9.2824629825180079E-3</v>
      </c>
      <c r="AF1219">
        <f t="shared" ref="AF1219:AF1282" si="19">IF(AE1219&lt;$AB$2,1,0)</f>
        <v>0</v>
      </c>
    </row>
    <row r="1220" spans="1:32" x14ac:dyDescent="0.35">
      <c r="A1220" s="3">
        <v>45630</v>
      </c>
      <c r="B1220" s="6">
        <f>LN(Raw!B1222/Raw!B1221)</f>
        <v>2.8334135929077749E-2</v>
      </c>
      <c r="C1220" s="6">
        <f>LN(Raw!C1222/Raw!C1221)</f>
        <v>1.2584940907933254E-2</v>
      </c>
      <c r="D1220" s="6">
        <f>LN(Raw!D1222/Raw!D1221)</f>
        <v>3.3607829038128187E-2</v>
      </c>
      <c r="X1220" s="3">
        <v>45630</v>
      </c>
      <c r="Y1220" cm="1">
        <f t="array" ref="Y1220">SUMPRODUCT($T$2:$T$4,TRANSPOSE(B1220:D1220))</f>
        <v>2.5452094579065228E-2</v>
      </c>
      <c r="AD1220" s="3">
        <v>45629</v>
      </c>
      <c r="AE1220">
        <v>2.7338132252878306E-2</v>
      </c>
      <c r="AF1220">
        <f t="shared" si="19"/>
        <v>0</v>
      </c>
    </row>
    <row r="1221" spans="1:32" x14ac:dyDescent="0.35">
      <c r="A1221" s="3">
        <v>45631</v>
      </c>
      <c r="B1221" s="6">
        <f>LN(Raw!B1223/Raw!B1222)</f>
        <v>-9.3471421662430169E-3</v>
      </c>
      <c r="C1221" s="6">
        <f>LN(Raw!C1223/Raw!C1222)</f>
        <v>2.3042953558991262E-3</v>
      </c>
      <c r="D1221" s="6">
        <f>LN(Raw!D1223/Raw!D1222)</f>
        <v>2.2008067861526573E-3</v>
      </c>
      <c r="X1221" s="3">
        <v>45631</v>
      </c>
      <c r="Y1221" cm="1">
        <f t="array" ref="Y1221">SUMPRODUCT($T$2:$T$4,TRANSPOSE(B1221:D1221))</f>
        <v>-6.4503777114061295E-3</v>
      </c>
      <c r="AD1221" s="3">
        <v>45630</v>
      </c>
      <c r="AE1221">
        <v>2.5452094579065228E-2</v>
      </c>
      <c r="AF1221">
        <f t="shared" si="19"/>
        <v>0</v>
      </c>
    </row>
    <row r="1222" spans="1:32" x14ac:dyDescent="0.35">
      <c r="A1222" s="3">
        <v>45632</v>
      </c>
      <c r="B1222" s="6">
        <f>LN(Raw!B1224/Raw!B1223)</f>
        <v>8.8601365926091434E-3</v>
      </c>
      <c r="C1222" s="6">
        <f>LN(Raw!C1224/Raw!C1223)</f>
        <v>3.1445946575564552E-3</v>
      </c>
      <c r="D1222" s="6">
        <f>LN(Raw!D1224/Raw!D1223)</f>
        <v>6.1853594407242684E-3</v>
      </c>
      <c r="X1222" s="3">
        <v>45632</v>
      </c>
      <c r="Y1222" cm="1">
        <f t="array" ref="Y1222">SUMPRODUCT($T$2:$T$4,TRANSPOSE(B1222:D1222))</f>
        <v>7.5871217218406364E-3</v>
      </c>
      <c r="AD1222" s="3">
        <v>45631</v>
      </c>
      <c r="AE1222">
        <v>-6.4503777114061295E-3</v>
      </c>
      <c r="AF1222">
        <f t="shared" si="19"/>
        <v>0</v>
      </c>
    </row>
    <row r="1223" spans="1:32" x14ac:dyDescent="0.35">
      <c r="A1223" s="3">
        <v>45635</v>
      </c>
      <c r="B1223" s="6">
        <f>LN(Raw!B1225/Raw!B1224)</f>
        <v>6.2881530483852041E-3</v>
      </c>
      <c r="C1223" s="6">
        <f>LN(Raw!C1225/Raw!C1224)</f>
        <v>-3.6232193226172461E-4</v>
      </c>
      <c r="D1223" s="6">
        <f>LN(Raw!D1225/Raw!D1224)</f>
        <v>1.1153358858978111E-2</v>
      </c>
      <c r="X1223" s="3">
        <v>45635</v>
      </c>
      <c r="Y1223" cm="1">
        <f t="array" ref="Y1223">SUMPRODUCT($T$2:$T$4,TRANSPOSE(B1223:D1223))</f>
        <v>5.2017099770646511E-3</v>
      </c>
      <c r="AD1223" s="3">
        <v>45632</v>
      </c>
      <c r="AE1223">
        <v>7.5871217218406364E-3</v>
      </c>
      <c r="AF1223">
        <f t="shared" si="19"/>
        <v>0</v>
      </c>
    </row>
    <row r="1224" spans="1:32" x14ac:dyDescent="0.35">
      <c r="A1224" s="3">
        <v>45636</v>
      </c>
      <c r="B1224" s="6">
        <f>LN(Raw!B1226/Raw!B1225)</f>
        <v>-8.3930638434037072E-3</v>
      </c>
      <c r="C1224" s="6">
        <f>LN(Raw!C1226/Raw!C1225)</f>
        <v>2.8697623754722491E-2</v>
      </c>
      <c r="D1224" s="6">
        <f>LN(Raw!D1226/Raw!D1225)</f>
        <v>-9.0677414754887775E-3</v>
      </c>
      <c r="X1224" s="3">
        <v>45636</v>
      </c>
      <c r="Y1224" cm="1">
        <f t="array" ref="Y1224">SUMPRODUCT($T$2:$T$4,TRANSPOSE(B1224:D1224))</f>
        <v>-1.0243359912405609E-3</v>
      </c>
      <c r="AD1224" s="3">
        <v>45635</v>
      </c>
      <c r="AE1224">
        <v>5.2017099770646511E-3</v>
      </c>
      <c r="AF1224">
        <f t="shared" si="19"/>
        <v>0</v>
      </c>
    </row>
    <row r="1225" spans="1:32" x14ac:dyDescent="0.35">
      <c r="A1225" s="3">
        <v>45637</v>
      </c>
      <c r="B1225" s="6">
        <f>LN(Raw!B1227/Raw!B1226)</f>
        <v>1.4636329040744642E-3</v>
      </c>
      <c r="C1225" s="6">
        <f>LN(Raw!C1227/Raw!C1226)</f>
        <v>-1.4096095429439537E-3</v>
      </c>
      <c r="D1225" s="6">
        <f>LN(Raw!D1227/Raw!D1226)</f>
        <v>1.7482780215790219E-2</v>
      </c>
      <c r="X1225" s="3">
        <v>45637</v>
      </c>
      <c r="Y1225" cm="1">
        <f t="array" ref="Y1225">SUMPRODUCT($T$2:$T$4,TRANSPOSE(B1225:D1225))</f>
        <v>1.6830147340658875E-3</v>
      </c>
      <c r="AD1225" s="3">
        <v>45636</v>
      </c>
      <c r="AE1225">
        <v>-1.0243359912405609E-3</v>
      </c>
      <c r="AF1225">
        <f t="shared" si="19"/>
        <v>0</v>
      </c>
    </row>
    <row r="1226" spans="1:32" x14ac:dyDescent="0.35">
      <c r="A1226" s="3">
        <v>45638</v>
      </c>
      <c r="B1226" s="6">
        <f>LN(Raw!B1228/Raw!B1227)</f>
        <v>6.4961981563442586E-3</v>
      </c>
      <c r="C1226" s="6">
        <f>LN(Raw!C1228/Raw!C1227)</f>
        <v>1.1918854112017195E-2</v>
      </c>
      <c r="D1226" s="6">
        <f>LN(Raw!D1228/Raw!D1227)</f>
        <v>-1.787049367384105E-2</v>
      </c>
      <c r="X1226" s="3">
        <v>45638</v>
      </c>
      <c r="Y1226" cm="1">
        <f t="array" ref="Y1226">SUMPRODUCT($T$2:$T$4,TRANSPOSE(B1226:D1226))</f>
        <v>6.372476952741399E-3</v>
      </c>
      <c r="AD1226" s="3">
        <v>45637</v>
      </c>
      <c r="AE1226">
        <v>1.6830147340658875E-3</v>
      </c>
      <c r="AF1226">
        <f t="shared" si="19"/>
        <v>0</v>
      </c>
    </row>
    <row r="1227" spans="1:32" x14ac:dyDescent="0.35">
      <c r="A1227" s="3">
        <v>45639</v>
      </c>
      <c r="B1227" s="6">
        <f>LN(Raw!B1229/Raw!B1228)</f>
        <v>1.1154288668854834E-2</v>
      </c>
      <c r="C1227" s="6">
        <f>LN(Raw!C1229/Raw!C1228)</f>
        <v>-9.29740996806574E-4</v>
      </c>
      <c r="D1227" s="6">
        <f>LN(Raw!D1229/Raw!D1228)</f>
        <v>-2.0716198629908311E-2</v>
      </c>
      <c r="X1227" s="3">
        <v>45639</v>
      </c>
      <c r="Y1227" cm="1">
        <f t="array" ref="Y1227">SUMPRODUCT($T$2:$T$4,TRANSPOSE(B1227:D1227))</f>
        <v>7.1654279722833539E-3</v>
      </c>
      <c r="AD1227" s="3">
        <v>45638</v>
      </c>
      <c r="AE1227">
        <v>6.372476952741399E-3</v>
      </c>
      <c r="AF1227">
        <f t="shared" si="19"/>
        <v>0</v>
      </c>
    </row>
    <row r="1228" spans="1:32" x14ac:dyDescent="0.35">
      <c r="A1228" s="3">
        <v>45642</v>
      </c>
      <c r="B1228" s="6">
        <f>LN(Raw!B1230/Raw!B1229)</f>
        <v>-9.905916734337954E-3</v>
      </c>
      <c r="C1228" s="6">
        <f>LN(Raw!C1230/Raw!C1229)</f>
        <v>2.8426039674417404E-2</v>
      </c>
      <c r="D1228" s="6">
        <f>LN(Raw!D1230/Raw!D1229)</f>
        <v>5.4692108523103529E-2</v>
      </c>
      <c r="X1228" s="3">
        <v>45642</v>
      </c>
      <c r="Y1228" cm="1">
        <f t="array" ref="Y1228">SUMPRODUCT($T$2:$T$4,TRANSPOSE(B1228:D1228))</f>
        <v>9.4088195930250957E-4</v>
      </c>
      <c r="AD1228" s="3">
        <v>45639</v>
      </c>
      <c r="AE1228">
        <v>7.1654279722833539E-3</v>
      </c>
      <c r="AF1228">
        <f t="shared" si="19"/>
        <v>0</v>
      </c>
    </row>
    <row r="1229" spans="1:32" x14ac:dyDescent="0.35">
      <c r="A1229" s="3">
        <v>45643</v>
      </c>
      <c r="B1229" s="6">
        <f>LN(Raw!B1231/Raw!B1230)</f>
        <v>-2.3963447193449287E-2</v>
      </c>
      <c r="C1229" s="6">
        <f>LN(Raw!C1231/Raw!C1230)</f>
        <v>-4.0766265162340502E-3</v>
      </c>
      <c r="D1229" s="6">
        <f>LN(Raw!D1231/Raw!D1230)</f>
        <v>-2.6875968658102527E-2</v>
      </c>
      <c r="X1229" s="3">
        <v>45643</v>
      </c>
      <c r="Y1229" cm="1">
        <f t="array" ref="Y1229">SUMPRODUCT($T$2:$T$4,TRANSPOSE(B1229:D1229))</f>
        <v>-2.013881319242684E-2</v>
      </c>
      <c r="AD1229" s="3">
        <v>45642</v>
      </c>
      <c r="AE1229">
        <v>9.4088195930250957E-4</v>
      </c>
      <c r="AF1229">
        <f t="shared" si="19"/>
        <v>0</v>
      </c>
    </row>
    <row r="1230" spans="1:32" x14ac:dyDescent="0.35">
      <c r="A1230" s="3">
        <v>45644</v>
      </c>
      <c r="B1230" s="6">
        <f>LN(Raw!B1232/Raw!B1231)</f>
        <v>-2.2469361659847066E-2</v>
      </c>
      <c r="C1230" s="6">
        <f>LN(Raw!C1232/Raw!C1231)</f>
        <v>2.0329832189532146E-2</v>
      </c>
      <c r="D1230" s="6">
        <f>LN(Raw!D1232/Raw!D1231)</f>
        <v>-9.6300219144715936E-4</v>
      </c>
      <c r="X1230" s="3">
        <v>45644</v>
      </c>
      <c r="Y1230" cm="1">
        <f t="array" ref="Y1230">SUMPRODUCT($T$2:$T$4,TRANSPOSE(B1230:D1230))</f>
        <v>-1.2863656058615182E-2</v>
      </c>
      <c r="AD1230" s="3">
        <v>45643</v>
      </c>
      <c r="AE1230">
        <v>-2.013881319242684E-2</v>
      </c>
      <c r="AF1230">
        <f t="shared" si="19"/>
        <v>0</v>
      </c>
    </row>
    <row r="1231" spans="1:32" x14ac:dyDescent="0.35">
      <c r="A1231" s="3">
        <v>45645</v>
      </c>
      <c r="B1231" s="6">
        <f>LN(Raw!B1233/Raw!B1232)</f>
        <v>1.2352049324328342E-2</v>
      </c>
      <c r="C1231" s="6">
        <f>LN(Raw!C1233/Raw!C1232)</f>
        <v>-1.6253205673298007E-2</v>
      </c>
      <c r="D1231" s="6">
        <f>LN(Raw!D1233/Raw!D1232)</f>
        <v>-1.0752302217849201E-2</v>
      </c>
      <c r="X1231" s="3">
        <v>45645</v>
      </c>
      <c r="Y1231" cm="1">
        <f t="array" ref="Y1231">SUMPRODUCT($T$2:$T$4,TRANSPOSE(B1231:D1231))</f>
        <v>5.4999162616319935E-3</v>
      </c>
      <c r="AD1231" s="3">
        <v>45644</v>
      </c>
      <c r="AE1231">
        <v>-1.2863656058615182E-2</v>
      </c>
      <c r="AF1231">
        <f t="shared" si="19"/>
        <v>0</v>
      </c>
    </row>
    <row r="1232" spans="1:32" x14ac:dyDescent="0.35">
      <c r="A1232" s="3">
        <v>45646</v>
      </c>
      <c r="B1232" s="6">
        <f>LN(Raw!B1234/Raw!B1233)</f>
        <v>2.1842317719122728E-3</v>
      </c>
      <c r="C1232" s="6">
        <f>LN(Raw!C1234/Raw!C1233)</f>
        <v>0.12427855122294365</v>
      </c>
      <c r="D1232" s="6">
        <f>LN(Raw!D1234/Raw!D1233)</f>
        <v>4.1678670092005307E-2</v>
      </c>
      <c r="X1232" s="3">
        <v>45646</v>
      </c>
      <c r="Y1232" cm="1">
        <f t="array" ref="Y1232">SUMPRODUCT($T$2:$T$4,TRANSPOSE(B1232:D1232))</f>
        <v>2.8504945845823523E-2</v>
      </c>
      <c r="AD1232" s="3">
        <v>45645</v>
      </c>
      <c r="AE1232">
        <v>5.4999162616319935E-3</v>
      </c>
      <c r="AF1232">
        <f t="shared" si="19"/>
        <v>0</v>
      </c>
    </row>
    <row r="1233" spans="1:32" x14ac:dyDescent="0.35">
      <c r="A1233" s="3">
        <v>45649</v>
      </c>
      <c r="B1233" s="6">
        <f>LN(Raw!B1235/Raw!B1234)</f>
        <v>-2.1306826596014461E-2</v>
      </c>
      <c r="C1233" s="6">
        <f>LN(Raw!C1235/Raw!C1234)</f>
        <v>-4.1674808607189875E-2</v>
      </c>
      <c r="D1233" s="6">
        <f>LN(Raw!D1235/Raw!D1234)</f>
        <v>-5.6938673348527279E-2</v>
      </c>
      <c r="X1233" s="3">
        <v>45649</v>
      </c>
      <c r="Y1233" cm="1">
        <f t="array" ref="Y1233">SUMPRODUCT($T$2:$T$4,TRANSPOSE(B1233:D1233))</f>
        <v>-2.7135049647083388E-2</v>
      </c>
      <c r="AD1233" s="3">
        <v>45646</v>
      </c>
      <c r="AE1233">
        <v>2.8504945845823523E-2</v>
      </c>
      <c r="AF1233">
        <f t="shared" si="19"/>
        <v>0</v>
      </c>
    </row>
    <row r="1234" spans="1:32" x14ac:dyDescent="0.35">
      <c r="A1234" s="3">
        <v>45650</v>
      </c>
      <c r="B1234" s="6">
        <f>LN(Raw!B1236/Raw!B1235)</f>
        <v>3.6987003423964156E-3</v>
      </c>
      <c r="C1234" s="6">
        <f>LN(Raw!C1236/Raw!C1235)</f>
        <v>-2.4541758653033787E-2</v>
      </c>
      <c r="D1234" s="6">
        <f>LN(Raw!D1236/Raw!D1235)</f>
        <v>-2.1187028466382297E-2</v>
      </c>
      <c r="X1234" s="3">
        <v>45650</v>
      </c>
      <c r="Y1234" cm="1">
        <f t="array" ref="Y1234">SUMPRODUCT($T$2:$T$4,TRANSPOSE(B1234:D1234))</f>
        <v>-3.1687915609305921E-3</v>
      </c>
      <c r="AD1234" s="3">
        <v>45649</v>
      </c>
      <c r="AE1234">
        <v>-2.7135049647083388E-2</v>
      </c>
      <c r="AF1234">
        <f t="shared" si="19"/>
        <v>0</v>
      </c>
    </row>
    <row r="1235" spans="1:32" x14ac:dyDescent="0.35">
      <c r="A1235" s="3">
        <v>45652</v>
      </c>
      <c r="B1235" s="6">
        <f>LN(Raw!B1237/Raw!B1236)</f>
        <v>-4.1821869917489339E-3</v>
      </c>
      <c r="C1235" s="6">
        <f>LN(Raw!C1237/Raw!C1236)</f>
        <v>-7.3847987286428871E-3</v>
      </c>
      <c r="D1235" s="6">
        <f>LN(Raw!D1237/Raw!D1236)</f>
        <v>4.2515471395132821E-2</v>
      </c>
      <c r="X1235" s="3">
        <v>45652</v>
      </c>
      <c r="Y1235" cm="1">
        <f t="array" ref="Y1235">SUMPRODUCT($T$2:$T$4,TRANSPOSE(B1235:D1235))</f>
        <v>-2.5102538550768666E-3</v>
      </c>
      <c r="AD1235" s="3">
        <v>45650</v>
      </c>
      <c r="AE1235">
        <v>-3.1687915609305921E-3</v>
      </c>
      <c r="AF1235">
        <f t="shared" si="19"/>
        <v>0</v>
      </c>
    </row>
    <row r="1236" spans="1:32" x14ac:dyDescent="0.35">
      <c r="A1236" s="3">
        <v>45653</v>
      </c>
      <c r="B1236" s="6">
        <f>LN(Raw!B1238/Raw!B1237)</f>
        <v>-1.554069317725925E-2</v>
      </c>
      <c r="C1236" s="6">
        <f>LN(Raw!C1238/Raw!C1237)</f>
        <v>1.6513419125026452E-2</v>
      </c>
      <c r="D1236" s="6">
        <f>LN(Raw!D1238/Raw!D1237)</f>
        <v>5.2136322164771228E-3</v>
      </c>
      <c r="X1236" s="3">
        <v>45653</v>
      </c>
      <c r="Y1236" cm="1">
        <f t="array" ref="Y1236">SUMPRODUCT($T$2:$T$4,TRANSPOSE(B1236:D1236))</f>
        <v>-8.1165812756902513E-3</v>
      </c>
      <c r="AD1236" s="3">
        <v>45652</v>
      </c>
      <c r="AE1236">
        <v>-2.5102538550768666E-3</v>
      </c>
      <c r="AF1236">
        <f t="shared" si="19"/>
        <v>0</v>
      </c>
    </row>
    <row r="1237" spans="1:32" x14ac:dyDescent="0.35">
      <c r="A1237" s="3">
        <v>45656</v>
      </c>
      <c r="B1237" s="6">
        <f>LN(Raw!B1239/Raw!B1238)</f>
        <v>-1.4096518394389843E-2</v>
      </c>
      <c r="C1237" s="6">
        <f>LN(Raw!C1239/Raw!C1238)</f>
        <v>-6.1893435235748397E-2</v>
      </c>
      <c r="D1237" s="6">
        <f>LN(Raw!D1239/Raw!D1238)</f>
        <v>-4.0834032466252217E-2</v>
      </c>
      <c r="X1237" s="3">
        <v>45656</v>
      </c>
      <c r="Y1237" cm="1">
        <f t="array" ref="Y1237">SUMPRODUCT($T$2:$T$4,TRANSPOSE(B1237:D1237))</f>
        <v>-2.4958500124808887E-2</v>
      </c>
      <c r="AD1237" s="3">
        <v>45653</v>
      </c>
      <c r="AE1237">
        <v>-8.1165812756902513E-3</v>
      </c>
      <c r="AF1237">
        <f t="shared" si="19"/>
        <v>0</v>
      </c>
    </row>
    <row r="1238" spans="1:32" x14ac:dyDescent="0.35">
      <c r="A1238" s="3">
        <v>45657</v>
      </c>
      <c r="B1238" s="6">
        <f>LN(Raw!B1240/Raw!B1239)</f>
        <v>-1.0599463418293752E-2</v>
      </c>
      <c r="C1238" s="6">
        <f>LN(Raw!C1240/Raw!C1239)</f>
        <v>-1.2372352189416787E-3</v>
      </c>
      <c r="D1238" s="6">
        <f>LN(Raw!D1240/Raw!D1239)</f>
        <v>1.5626088368723302E-2</v>
      </c>
      <c r="X1238" s="3">
        <v>45657</v>
      </c>
      <c r="Y1238" cm="1">
        <f t="array" ref="Y1238">SUMPRODUCT($T$2:$T$4,TRANSPOSE(B1238:D1238))</f>
        <v>-7.4331559182549359E-3</v>
      </c>
      <c r="AD1238" s="3">
        <v>45656</v>
      </c>
      <c r="AE1238">
        <v>-2.4958500124808887E-2</v>
      </c>
      <c r="AF1238">
        <f t="shared" si="19"/>
        <v>0</v>
      </c>
    </row>
    <row r="1239" spans="1:32" x14ac:dyDescent="0.35">
      <c r="A1239" s="3">
        <v>45658</v>
      </c>
      <c r="B1239" s="6">
        <f>LN(Raw!B1241/Raw!B1240)</f>
        <v>1.2065014882219298E-2</v>
      </c>
      <c r="C1239" s="6">
        <f>LN(Raw!C1241/Raw!C1240)</f>
        <v>3.1681869762372368E-2</v>
      </c>
      <c r="D1239" s="6">
        <f>LN(Raw!D1241/Raw!D1240)</f>
        <v>2.0429808521925743E-2</v>
      </c>
      <c r="X1239" s="3">
        <v>45658</v>
      </c>
      <c r="Y1239" cm="1">
        <f t="array" ref="Y1239">SUMPRODUCT($T$2:$T$4,TRANSPOSE(B1239:D1239))</f>
        <v>1.6393887573459536E-2</v>
      </c>
      <c r="AD1239" s="3">
        <v>45657</v>
      </c>
      <c r="AE1239">
        <v>-7.4331559182549359E-3</v>
      </c>
      <c r="AF1239">
        <f t="shared" si="19"/>
        <v>0</v>
      </c>
    </row>
    <row r="1240" spans="1:32" x14ac:dyDescent="0.35">
      <c r="A1240" s="3">
        <v>45659</v>
      </c>
      <c r="B1240" s="6">
        <f>LN(Raw!B1242/Raw!B1241)</f>
        <v>1.2876525670559427E-2</v>
      </c>
      <c r="C1240" s="6">
        <f>LN(Raw!C1242/Raw!C1241)</f>
        <v>-1.4719018145511856E-2</v>
      </c>
      <c r="D1240" s="6">
        <f>LN(Raw!D1242/Raw!D1241)</f>
        <v>-8.4048443626298271E-3</v>
      </c>
      <c r="X1240" s="3">
        <v>45659</v>
      </c>
      <c r="Y1240" cm="1">
        <f t="array" ref="Y1240">SUMPRODUCT($T$2:$T$4,TRANSPOSE(B1240:D1240))</f>
        <v>6.3161182882170751E-3</v>
      </c>
      <c r="AD1240" s="3">
        <v>45658</v>
      </c>
      <c r="AE1240">
        <v>1.6393887573459536E-2</v>
      </c>
      <c r="AF1240">
        <f t="shared" si="19"/>
        <v>0</v>
      </c>
    </row>
    <row r="1241" spans="1:32" x14ac:dyDescent="0.35">
      <c r="A1241" s="3">
        <v>45660</v>
      </c>
      <c r="B1241" s="6">
        <f>LN(Raw!B1243/Raw!B1242)</f>
        <v>2.8873777116333764E-3</v>
      </c>
      <c r="C1241" s="6">
        <f>LN(Raw!C1243/Raw!C1242)</f>
        <v>1.2863633842986935E-2</v>
      </c>
      <c r="D1241" s="6">
        <f>LN(Raw!D1243/Raw!D1242)</f>
        <v>-1.5135369244247642E-3</v>
      </c>
      <c r="X1241" s="3">
        <v>45660</v>
      </c>
      <c r="Y1241" cm="1">
        <f t="array" ref="Y1241">SUMPRODUCT($T$2:$T$4,TRANSPOSE(B1241:D1241))</f>
        <v>4.6605183152225223E-3</v>
      </c>
      <c r="AD1241" s="3">
        <v>45659</v>
      </c>
      <c r="AE1241">
        <v>6.3161182882170751E-3</v>
      </c>
      <c r="AF1241">
        <f t="shared" si="19"/>
        <v>0</v>
      </c>
    </row>
    <row r="1242" spans="1:32" x14ac:dyDescent="0.35">
      <c r="A1242" s="3">
        <v>45663</v>
      </c>
      <c r="B1242" s="6">
        <f>LN(Raw!B1244/Raw!B1243)</f>
        <v>-1.3941777376729244E-2</v>
      </c>
      <c r="C1242" s="6">
        <f>LN(Raw!C1244/Raw!C1243)</f>
        <v>-5.0753017098226556E-2</v>
      </c>
      <c r="D1242" s="6">
        <f>LN(Raw!D1244/Raw!D1243)</f>
        <v>-5.1226413740403758E-2</v>
      </c>
      <c r="X1242" s="3">
        <v>45663</v>
      </c>
      <c r="Y1242" cm="1">
        <f t="array" ref="Y1242">SUMPRODUCT($T$2:$T$4,TRANSPOSE(B1242:D1242))</f>
        <v>-2.3133346749626631E-2</v>
      </c>
      <c r="AD1242" s="3">
        <v>45660</v>
      </c>
      <c r="AE1242">
        <v>4.6605183152225223E-3</v>
      </c>
      <c r="AF1242">
        <f t="shared" si="19"/>
        <v>0</v>
      </c>
    </row>
    <row r="1243" spans="1:32" x14ac:dyDescent="0.35">
      <c r="A1243" s="3">
        <v>45664</v>
      </c>
      <c r="B1243" s="6">
        <f>LN(Raw!B1245/Raw!B1244)</f>
        <v>3.8392833181928911E-2</v>
      </c>
      <c r="C1243" s="6">
        <f>LN(Raw!C1245/Raw!C1244)</f>
        <v>3.965827118402529E-2</v>
      </c>
      <c r="D1243" s="6">
        <f>LN(Raw!D1245/Raw!D1244)</f>
        <v>1.7890748361226096E-2</v>
      </c>
      <c r="X1243" s="3">
        <v>45664</v>
      </c>
      <c r="Y1243" cm="1">
        <f t="array" ref="Y1243">SUMPRODUCT($T$2:$T$4,TRANSPOSE(B1243:D1243))</f>
        <v>3.7630723486595484E-2</v>
      </c>
      <c r="AD1243" s="3">
        <v>45663</v>
      </c>
      <c r="AE1243">
        <v>-2.3133346749626631E-2</v>
      </c>
      <c r="AF1243">
        <f t="shared" si="19"/>
        <v>0</v>
      </c>
    </row>
    <row r="1244" spans="1:32" x14ac:dyDescent="0.35">
      <c r="A1244" s="3">
        <v>45665</v>
      </c>
      <c r="B1244" s="6">
        <f>LN(Raw!B1246/Raw!B1245)</f>
        <v>-1.3091567944557776E-2</v>
      </c>
      <c r="C1244" s="6">
        <f>LN(Raw!C1246/Raw!C1245)</f>
        <v>-1.323193530282909E-2</v>
      </c>
      <c r="D1244" s="6">
        <f>LN(Raw!D1246/Raw!D1245)</f>
        <v>-1.7479450156197639E-2</v>
      </c>
      <c r="X1244" s="3">
        <v>45665</v>
      </c>
      <c r="Y1244" cm="1">
        <f t="array" ref="Y1244">SUMPRODUCT($T$2:$T$4,TRANSPOSE(B1244:D1244))</f>
        <v>-1.3336737448058062E-2</v>
      </c>
      <c r="AD1244" s="3">
        <v>45664</v>
      </c>
      <c r="AE1244">
        <v>3.7630723486595484E-2</v>
      </c>
      <c r="AF1244">
        <f t="shared" si="19"/>
        <v>0</v>
      </c>
    </row>
    <row r="1245" spans="1:32" x14ac:dyDescent="0.35">
      <c r="A1245" s="3">
        <v>45666</v>
      </c>
      <c r="B1245" s="6">
        <f>LN(Raw!B1247/Raw!B1246)</f>
        <v>1.550415602029488E-2</v>
      </c>
      <c r="C1245" s="6">
        <f>LN(Raw!C1247/Raw!C1246)</f>
        <v>3.9935067736374057E-2</v>
      </c>
      <c r="D1245" s="6">
        <f>LN(Raw!D1247/Raw!D1246)</f>
        <v>5.0253716857623747E-3</v>
      </c>
      <c r="X1245" s="3">
        <v>45666</v>
      </c>
      <c r="Y1245" cm="1">
        <f t="array" ref="Y1245">SUMPRODUCT($T$2:$T$4,TRANSPOSE(B1245:D1245))</f>
        <v>1.9861190077495035E-2</v>
      </c>
      <c r="AD1245" s="3">
        <v>45665</v>
      </c>
      <c r="AE1245">
        <v>-1.3336737448058062E-2</v>
      </c>
      <c r="AF1245">
        <f t="shared" si="19"/>
        <v>0</v>
      </c>
    </row>
    <row r="1246" spans="1:32" x14ac:dyDescent="0.35">
      <c r="A1246" s="3">
        <v>45667</v>
      </c>
      <c r="B1246" s="6">
        <f>LN(Raw!B1248/Raw!B1247)</f>
        <v>-5.6560424766156966E-3</v>
      </c>
      <c r="C1246" s="6">
        <f>LN(Raw!C1248/Raw!C1247)</f>
        <v>-7.9084238712407273E-2</v>
      </c>
      <c r="D1246" s="6">
        <f>LN(Raw!D1248/Raw!D1247)</f>
        <v>-3.5136919422302584E-2</v>
      </c>
      <c r="X1246" s="3">
        <v>45667</v>
      </c>
      <c r="Y1246" cm="1">
        <f t="array" ref="Y1246">SUMPRODUCT($T$2:$T$4,TRANSPOSE(B1246:D1246))</f>
        <v>-2.1768979058572963E-2</v>
      </c>
      <c r="AD1246" s="3">
        <v>45666</v>
      </c>
      <c r="AE1246">
        <v>1.9861190077495035E-2</v>
      </c>
      <c r="AF1246">
        <f t="shared" si="19"/>
        <v>0</v>
      </c>
    </row>
    <row r="1247" spans="1:32" x14ac:dyDescent="0.35">
      <c r="A1247" s="3">
        <v>45670</v>
      </c>
      <c r="B1247" s="6">
        <f>LN(Raw!B1249/Raw!B1248)</f>
        <v>-2.188786045611878E-2</v>
      </c>
      <c r="C1247" s="6">
        <f>LN(Raw!C1249/Raw!C1248)</f>
        <v>-5.2451799160795183E-2</v>
      </c>
      <c r="D1247" s="6">
        <f>LN(Raw!D1249/Raw!D1248)</f>
        <v>-8.0965839818992802E-2</v>
      </c>
      <c r="X1247" s="3">
        <v>45670</v>
      </c>
      <c r="Y1247" cm="1">
        <f t="array" ref="Y1247">SUMPRODUCT($T$2:$T$4,TRANSPOSE(B1247:D1247))</f>
        <v>-3.0911222756655511E-2</v>
      </c>
      <c r="AD1247" s="3">
        <v>45667</v>
      </c>
      <c r="AE1247">
        <v>-2.1768979058572963E-2</v>
      </c>
      <c r="AF1247">
        <f t="shared" si="19"/>
        <v>0</v>
      </c>
    </row>
    <row r="1248" spans="1:32" x14ac:dyDescent="0.35">
      <c r="A1248" s="3">
        <v>45671</v>
      </c>
      <c r="B1248" s="6">
        <f>LN(Raw!B1250/Raw!B1249)</f>
        <v>-3.1350717305357496E-3</v>
      </c>
      <c r="C1248" s="6">
        <f>LN(Raw!C1250/Raw!C1249)</f>
        <v>3.7794797758828304E-2</v>
      </c>
      <c r="D1248" s="6">
        <f>LN(Raw!D1250/Raw!D1249)</f>
        <v>9.1558474038606716E-2</v>
      </c>
      <c r="X1248" s="3">
        <v>45671</v>
      </c>
      <c r="Y1248" cm="1">
        <f t="array" ref="Y1248">SUMPRODUCT($T$2:$T$4,TRANSPOSE(B1248:D1248))</f>
        <v>9.7196180470126466E-3</v>
      </c>
      <c r="AD1248" s="3">
        <v>45670</v>
      </c>
      <c r="AE1248">
        <v>-3.0911222756655511E-2</v>
      </c>
      <c r="AF1248">
        <f t="shared" si="19"/>
        <v>0</v>
      </c>
    </row>
    <row r="1249" spans="1:32" x14ac:dyDescent="0.35">
      <c r="A1249" s="3">
        <v>45672</v>
      </c>
      <c r="B1249" s="6">
        <f>LN(Raw!B1251/Raw!B1250)</f>
        <v>3.4009931081275604E-2</v>
      </c>
      <c r="C1249" s="6">
        <f>LN(Raw!C1251/Raw!C1250)</f>
        <v>-1.9441185575012974E-2</v>
      </c>
      <c r="D1249" s="6">
        <f>LN(Raw!D1251/Raw!D1250)</f>
        <v>-1.6810595944984595E-2</v>
      </c>
      <c r="X1249" s="3">
        <v>45672</v>
      </c>
      <c r="Y1249" cm="1">
        <f t="array" ref="Y1249">SUMPRODUCT($T$2:$T$4,TRANSPOSE(B1249:D1249))</f>
        <v>2.0827680152244704E-2</v>
      </c>
      <c r="AD1249" s="3">
        <v>45671</v>
      </c>
      <c r="AE1249">
        <v>9.7196180470126466E-3</v>
      </c>
      <c r="AF1249">
        <f t="shared" si="19"/>
        <v>0</v>
      </c>
    </row>
    <row r="1250" spans="1:32" x14ac:dyDescent="0.35">
      <c r="A1250" s="3">
        <v>45673</v>
      </c>
      <c r="B1250" s="6">
        <f>LN(Raw!B1252/Raw!B1251)</f>
        <v>7.0217796488209871E-3</v>
      </c>
      <c r="C1250" s="6">
        <f>LN(Raw!C1252/Raw!C1251)</f>
        <v>3.6075114334883536E-2</v>
      </c>
      <c r="D1250" s="6">
        <f>LN(Raw!D1252/Raw!D1251)</f>
        <v>2.2039076208323103E-2</v>
      </c>
      <c r="X1250" s="3">
        <v>45673</v>
      </c>
      <c r="Y1250" cm="1">
        <f t="array" ref="Y1250">SUMPRODUCT($T$2:$T$4,TRANSPOSE(B1250:D1250))</f>
        <v>1.3563105721314996E-2</v>
      </c>
      <c r="AD1250" s="3">
        <v>45672</v>
      </c>
      <c r="AE1250">
        <v>2.0827680152244704E-2</v>
      </c>
      <c r="AF1250">
        <f t="shared" si="19"/>
        <v>0</v>
      </c>
    </row>
    <row r="1251" spans="1:32" x14ac:dyDescent="0.35">
      <c r="A1251" s="3">
        <v>45674</v>
      </c>
      <c r="B1251" s="6">
        <f>LN(Raw!B1253/Raw!B1252)</f>
        <v>2.11849322557611E-2</v>
      </c>
      <c r="C1251" s="6">
        <f>LN(Raw!C1253/Raw!C1252)</f>
        <v>1.6818752961133162E-2</v>
      </c>
      <c r="D1251" s="6">
        <f>LN(Raw!D1253/Raw!D1252)</f>
        <v>7.895386004741661E-3</v>
      </c>
      <c r="X1251" s="3">
        <v>45674</v>
      </c>
      <c r="Y1251" cm="1">
        <f t="array" ref="Y1251">SUMPRODUCT($T$2:$T$4,TRANSPOSE(B1251:D1251))</f>
        <v>1.9655880923897764E-2</v>
      </c>
      <c r="AD1251" s="3">
        <v>45673</v>
      </c>
      <c r="AE1251">
        <v>1.3563105721314996E-2</v>
      </c>
      <c r="AF1251">
        <f t="shared" si="19"/>
        <v>0</v>
      </c>
    </row>
    <row r="1252" spans="1:32" x14ac:dyDescent="0.35">
      <c r="A1252" s="3">
        <v>45677</v>
      </c>
      <c r="B1252" s="6">
        <f>LN(Raw!B1254/Raw!B1253)</f>
        <v>-1.3457668368241081E-2</v>
      </c>
      <c r="C1252" s="6">
        <f>LN(Raw!C1254/Raw!C1253)</f>
        <v>3.1152345452014576E-2</v>
      </c>
      <c r="D1252" s="6">
        <f>LN(Raw!D1254/Raw!D1253)</f>
        <v>1.2085237769593788E-2</v>
      </c>
      <c r="X1252" s="3">
        <v>45677</v>
      </c>
      <c r="Y1252" cm="1">
        <f t="array" ref="Y1252">SUMPRODUCT($T$2:$T$4,TRANSPOSE(B1252:D1252))</f>
        <v>-3.2908118272037632E-3</v>
      </c>
      <c r="AD1252" s="3">
        <v>45674</v>
      </c>
      <c r="AE1252">
        <v>1.9655880923897764E-2</v>
      </c>
      <c r="AF1252">
        <f t="shared" si="19"/>
        <v>0</v>
      </c>
    </row>
    <row r="1253" spans="1:32" x14ac:dyDescent="0.35">
      <c r="A1253" s="3">
        <v>45678</v>
      </c>
      <c r="B1253" s="6">
        <f>LN(Raw!B1255/Raw!B1254)</f>
        <v>-1.0561669810863419E-2</v>
      </c>
      <c r="C1253" s="6">
        <f>LN(Raw!C1255/Raw!C1254)</f>
        <v>-3.7684965755024176E-2</v>
      </c>
      <c r="D1253" s="6">
        <f>LN(Raw!D1255/Raw!D1254)</f>
        <v>-2.5838320695024581E-2</v>
      </c>
      <c r="X1253" s="3">
        <v>45678</v>
      </c>
      <c r="Y1253" cm="1">
        <f t="array" ref="Y1253">SUMPRODUCT($T$2:$T$4,TRANSPOSE(B1253:D1253))</f>
        <v>-1.6730657183346306E-2</v>
      </c>
      <c r="AD1253" s="3">
        <v>45677</v>
      </c>
      <c r="AE1253">
        <v>-3.2908118272037632E-3</v>
      </c>
      <c r="AF1253">
        <f t="shared" si="19"/>
        <v>0</v>
      </c>
    </row>
    <row r="1254" spans="1:32" x14ac:dyDescent="0.35">
      <c r="A1254" s="3">
        <v>45679</v>
      </c>
      <c r="B1254" s="6">
        <f>LN(Raw!B1256/Raw!B1255)</f>
        <v>-2.8037141749187242E-2</v>
      </c>
      <c r="C1254" s="6">
        <f>LN(Raw!C1256/Raw!C1255)</f>
        <v>-2.7392601999271224E-2</v>
      </c>
      <c r="D1254" s="6">
        <f>LN(Raw!D1256/Raw!D1255)</f>
        <v>-2.3135958918478843E-2</v>
      </c>
      <c r="X1254" s="3">
        <v>45679</v>
      </c>
      <c r="Y1254" cm="1">
        <f t="array" ref="Y1254">SUMPRODUCT($T$2:$T$4,TRANSPOSE(B1254:D1254))</f>
        <v>-2.7665951872149139E-2</v>
      </c>
      <c r="AD1254" s="3">
        <v>45678</v>
      </c>
      <c r="AE1254">
        <v>-1.6730657183346306E-2</v>
      </c>
      <c r="AF1254">
        <f t="shared" si="19"/>
        <v>0</v>
      </c>
    </row>
    <row r="1255" spans="1:32" x14ac:dyDescent="0.35">
      <c r="A1255" s="3">
        <v>45680</v>
      </c>
      <c r="B1255" s="6">
        <f>LN(Raw!B1257/Raw!B1256)</f>
        <v>-8.577793026307394E-3</v>
      </c>
      <c r="C1255" s="6">
        <f>LN(Raw!C1257/Raw!C1256)</f>
        <v>3.7915454133597599E-2</v>
      </c>
      <c r="D1255" s="6">
        <f>LN(Raw!D1257/Raw!D1256)</f>
        <v>2.2033775131251095E-2</v>
      </c>
      <c r="X1255" s="3">
        <v>45680</v>
      </c>
      <c r="Y1255" cm="1">
        <f t="array" ref="Y1255">SUMPRODUCT($T$2:$T$4,TRANSPOSE(B1255:D1255))</f>
        <v>2.2157453884811759E-3</v>
      </c>
      <c r="AD1255" s="3">
        <v>45679</v>
      </c>
      <c r="AE1255">
        <v>-2.7665951872149139E-2</v>
      </c>
      <c r="AF1255">
        <f t="shared" si="19"/>
        <v>0</v>
      </c>
    </row>
    <row r="1256" spans="1:32" x14ac:dyDescent="0.35">
      <c r="A1256" s="3">
        <v>45681</v>
      </c>
      <c r="B1256" s="6">
        <f>LN(Raw!B1258/Raw!B1257)</f>
        <v>-1.0110286564004816E-2</v>
      </c>
      <c r="C1256" s="6">
        <f>LN(Raw!C1258/Raw!C1257)</f>
        <v>-4.4436322838899416E-2</v>
      </c>
      <c r="D1256" s="6">
        <f>LN(Raw!D1258/Raw!D1257)</f>
        <v>-2.9523620911555085E-2</v>
      </c>
      <c r="X1256" s="3">
        <v>45681</v>
      </c>
      <c r="Y1256" cm="1">
        <f t="array" ref="Y1256">SUMPRODUCT($T$2:$T$4,TRANSPOSE(B1256:D1256))</f>
        <v>-1.7921435980722496E-2</v>
      </c>
      <c r="AD1256" s="3">
        <v>45680</v>
      </c>
      <c r="AE1256">
        <v>2.2157453884811759E-3</v>
      </c>
      <c r="AF1256">
        <f t="shared" si="19"/>
        <v>0</v>
      </c>
    </row>
    <row r="1257" spans="1:32" x14ac:dyDescent="0.35">
      <c r="A1257" s="3">
        <v>45684</v>
      </c>
      <c r="B1257" s="6">
        <f>LN(Raw!B1259/Raw!B1258)</f>
        <v>-2.0560827227686183E-2</v>
      </c>
      <c r="C1257" s="6">
        <f>LN(Raw!C1259/Raw!C1258)</f>
        <v>-5.2126228272900033E-2</v>
      </c>
      <c r="D1257" s="6">
        <f>LN(Raw!D1259/Raw!D1258)</f>
        <v>-5.9786566979329686E-2</v>
      </c>
      <c r="X1257" s="3">
        <v>45684</v>
      </c>
      <c r="Y1257" cm="1">
        <f t="array" ref="Y1257">SUMPRODUCT($T$2:$T$4,TRANSPOSE(B1257:D1257))</f>
        <v>-2.8801559961949202E-2</v>
      </c>
      <c r="AD1257" s="3">
        <v>45681</v>
      </c>
      <c r="AE1257">
        <v>-1.7921435980722496E-2</v>
      </c>
      <c r="AF1257">
        <f t="shared" si="19"/>
        <v>0</v>
      </c>
    </row>
    <row r="1258" spans="1:32" x14ac:dyDescent="0.35">
      <c r="A1258" s="3">
        <v>45685</v>
      </c>
      <c r="B1258" s="6">
        <f>LN(Raw!B1260/Raw!B1259)</f>
        <v>-2.2513590650789306E-3</v>
      </c>
      <c r="C1258" s="6">
        <f>LN(Raw!C1260/Raw!C1259)</f>
        <v>-1.8848275090923086E-2</v>
      </c>
      <c r="D1258" s="6">
        <f>LN(Raw!D1260/Raw!D1259)</f>
        <v>-2.2119267255786643E-2</v>
      </c>
      <c r="X1258" s="3">
        <v>45685</v>
      </c>
      <c r="Y1258" cm="1">
        <f t="array" ref="Y1258">SUMPRODUCT($T$2:$T$4,TRANSPOSE(B1258:D1258))</f>
        <v>-6.5468388065429853E-3</v>
      </c>
      <c r="AD1258" s="3">
        <v>45684</v>
      </c>
      <c r="AE1258">
        <v>-2.8801559961949202E-2</v>
      </c>
      <c r="AF1258">
        <f t="shared" si="19"/>
        <v>0</v>
      </c>
    </row>
    <row r="1259" spans="1:32" x14ac:dyDescent="0.35">
      <c r="A1259" s="3">
        <v>45686</v>
      </c>
      <c r="B1259" s="6">
        <f>LN(Raw!B1261/Raw!B1260)</f>
        <v>3.6949086552688949E-2</v>
      </c>
      <c r="C1259" s="6">
        <f>LN(Raw!C1261/Raw!C1260)</f>
        <v>3.3650420341806007E-2</v>
      </c>
      <c r="D1259" s="6">
        <f>LN(Raw!D1261/Raw!D1260)</f>
        <v>2.0797648325961017E-2</v>
      </c>
      <c r="X1259" s="3">
        <v>45686</v>
      </c>
      <c r="Y1259" cm="1">
        <f t="array" ref="Y1259">SUMPRODUCT($T$2:$T$4,TRANSPOSE(B1259:D1259))</f>
        <v>3.549144128735586E-2</v>
      </c>
      <c r="AD1259" s="3">
        <v>45685</v>
      </c>
      <c r="AE1259">
        <v>-6.5468388065429853E-3</v>
      </c>
      <c r="AF1259">
        <f t="shared" si="19"/>
        <v>0</v>
      </c>
    </row>
    <row r="1260" spans="1:32" x14ac:dyDescent="0.35">
      <c r="A1260" s="3">
        <v>45687</v>
      </c>
      <c r="B1260" s="6">
        <f>LN(Raw!B1262/Raw!B1261)</f>
        <v>2.1697800018895515E-3</v>
      </c>
      <c r="C1260" s="6">
        <f>LN(Raw!C1262/Raw!C1261)</f>
        <v>-1.0550556208472665E-2</v>
      </c>
      <c r="D1260" s="6">
        <f>LN(Raw!D1262/Raw!D1261)</f>
        <v>2.1781410320871955E-2</v>
      </c>
      <c r="X1260" s="3">
        <v>45687</v>
      </c>
      <c r="Y1260" cm="1">
        <f t="array" ref="Y1260">SUMPRODUCT($T$2:$T$4,TRANSPOSE(B1260:D1260))</f>
        <v>6.0178851530023436E-4</v>
      </c>
      <c r="AD1260" s="3">
        <v>45686</v>
      </c>
      <c r="AE1260">
        <v>3.549144128735586E-2</v>
      </c>
      <c r="AF1260">
        <f t="shared" si="19"/>
        <v>0</v>
      </c>
    </row>
    <row r="1261" spans="1:32" x14ac:dyDescent="0.35">
      <c r="A1261" s="3">
        <v>45688</v>
      </c>
      <c r="B1261" s="6">
        <f>LN(Raw!B1263/Raw!B1262)</f>
        <v>7.019512210251465E-3</v>
      </c>
      <c r="C1261" s="6">
        <f>LN(Raw!C1263/Raw!C1262)</f>
        <v>2.6474528686456673E-2</v>
      </c>
      <c r="D1261" s="6">
        <f>LN(Raw!D1263/Raw!D1262)</f>
        <v>2.2747932817802654E-2</v>
      </c>
      <c r="X1261" s="3">
        <v>45688</v>
      </c>
      <c r="Y1261" cm="1">
        <f t="array" ref="Y1261">SUMPRODUCT($T$2:$T$4,TRANSPOSE(B1261:D1261))</f>
        <v>1.1680513864921638E-2</v>
      </c>
      <c r="AD1261" s="3">
        <v>45687</v>
      </c>
      <c r="AE1261">
        <v>6.0178851530023436E-4</v>
      </c>
      <c r="AF1261">
        <f t="shared" si="19"/>
        <v>0</v>
      </c>
    </row>
    <row r="1262" spans="1:32" x14ac:dyDescent="0.35">
      <c r="A1262" s="3">
        <v>45689</v>
      </c>
      <c r="B1262" s="6">
        <f>LN(Raw!B1264/Raw!B1263)</f>
        <v>1.1475451242858517E-2</v>
      </c>
      <c r="C1262" s="6">
        <f>LN(Raw!C1264/Raw!C1263)</f>
        <v>-1.7654090259435103E-2</v>
      </c>
      <c r="D1262" s="6">
        <f>LN(Raw!D1264/Raw!D1263)</f>
        <v>-1.6131663221375964E-2</v>
      </c>
      <c r="X1262" s="3">
        <v>45689</v>
      </c>
      <c r="Y1262" cm="1">
        <f t="array" ref="Y1262">SUMPRODUCT($T$2:$T$4,TRANSPOSE(B1262:D1262))</f>
        <v>4.2958451036460453E-3</v>
      </c>
      <c r="AD1262" s="3">
        <v>45688</v>
      </c>
      <c r="AE1262">
        <v>1.1680513864921638E-2</v>
      </c>
      <c r="AF1262">
        <f t="shared" si="19"/>
        <v>0</v>
      </c>
    </row>
    <row r="1263" spans="1:32" x14ac:dyDescent="0.35">
      <c r="A1263" s="3">
        <v>45691</v>
      </c>
      <c r="B1263" s="6">
        <f>LN(Raw!B1265/Raw!B1264)</f>
        <v>2.8682905578707846E-3</v>
      </c>
      <c r="C1263" s="6">
        <f>LN(Raw!C1265/Raw!C1264)</f>
        <v>-4.0126478302732013E-2</v>
      </c>
      <c r="D1263" s="6">
        <f>LN(Raw!D1265/Raw!D1264)</f>
        <v>-2.8742637418608798E-2</v>
      </c>
      <c r="X1263" s="3">
        <v>45691</v>
      </c>
      <c r="Y1263" cm="1">
        <f t="array" ref="Y1263">SUMPRODUCT($T$2:$T$4,TRANSPOSE(B1263:D1263))</f>
        <v>-7.2765216056265621E-3</v>
      </c>
      <c r="AD1263" s="3">
        <v>45689</v>
      </c>
      <c r="AE1263">
        <v>4.2958451036460453E-3</v>
      </c>
      <c r="AF1263">
        <f t="shared" si="19"/>
        <v>0</v>
      </c>
    </row>
    <row r="1264" spans="1:32" x14ac:dyDescent="0.35">
      <c r="A1264" s="3">
        <v>45692</v>
      </c>
      <c r="B1264" s="6">
        <f>LN(Raw!B1266/Raw!B1265)</f>
        <v>-5.824903224547459E-3</v>
      </c>
      <c r="C1264" s="6">
        <f>LN(Raw!C1266/Raw!C1265)</f>
        <v>3.305139406020989E-2</v>
      </c>
      <c r="D1264" s="6">
        <f>LN(Raw!D1266/Raw!D1265)</f>
        <v>1.6032219854151774E-2</v>
      </c>
      <c r="X1264" s="3">
        <v>45692</v>
      </c>
      <c r="Y1264" cm="1">
        <f t="array" ref="Y1264">SUMPRODUCT($T$2:$T$4,TRANSPOSE(B1264:D1264))</f>
        <v>3.0152765932576278E-3</v>
      </c>
      <c r="AD1264" s="3">
        <v>45691</v>
      </c>
      <c r="AE1264">
        <v>-7.2765216056265621E-3</v>
      </c>
      <c r="AF1264">
        <f t="shared" si="19"/>
        <v>0</v>
      </c>
    </row>
    <row r="1265" spans="1:32" x14ac:dyDescent="0.35">
      <c r="A1265" s="3">
        <v>45693</v>
      </c>
      <c r="B1265" s="6">
        <f>LN(Raw!B1267/Raw!B1266)</f>
        <v>-1.0592626784217128E-2</v>
      </c>
      <c r="C1265" s="6">
        <f>LN(Raw!C1267/Raw!C1266)</f>
        <v>1.6553902112273609E-2</v>
      </c>
      <c r="D1265" s="6">
        <f>LN(Raw!D1267/Raw!D1266)</f>
        <v>7.6680716927724438E-3</v>
      </c>
      <c r="X1265" s="3">
        <v>45693</v>
      </c>
      <c r="Y1265" cm="1">
        <f t="array" ref="Y1265">SUMPRODUCT($T$2:$T$4,TRANSPOSE(B1265:D1265))</f>
        <v>-4.271321835494819E-3</v>
      </c>
      <c r="AD1265" s="3">
        <v>45692</v>
      </c>
      <c r="AE1265">
        <v>3.0152765932576278E-3</v>
      </c>
      <c r="AF1265">
        <f t="shared" si="19"/>
        <v>0</v>
      </c>
    </row>
    <row r="1266" spans="1:32" x14ac:dyDescent="0.35">
      <c r="A1266" s="3">
        <v>45694</v>
      </c>
      <c r="B1266" s="6">
        <f>LN(Raw!B1268/Raw!B1267)</f>
        <v>-1.4528171368809763E-2</v>
      </c>
      <c r="C1266" s="6">
        <f>LN(Raw!C1268/Raw!C1267)</f>
        <v>1.821098440114325E-2</v>
      </c>
      <c r="D1266" s="6">
        <f>LN(Raw!D1268/Raw!D1267)</f>
        <v>-1.180145553245754E-3</v>
      </c>
      <c r="X1266" s="3">
        <v>45694</v>
      </c>
      <c r="Y1266" cm="1">
        <f t="array" ref="Y1266">SUMPRODUCT($T$2:$T$4,TRANSPOSE(B1266:D1266))</f>
        <v>-7.3338852337585742E-3</v>
      </c>
      <c r="AD1266" s="3">
        <v>45693</v>
      </c>
      <c r="AE1266">
        <v>-4.271321835494819E-3</v>
      </c>
      <c r="AF1266">
        <f t="shared" si="19"/>
        <v>0</v>
      </c>
    </row>
    <row r="1267" spans="1:32" x14ac:dyDescent="0.35">
      <c r="A1267" s="3">
        <v>45695</v>
      </c>
      <c r="B1267" s="6">
        <f>LN(Raw!B1269/Raw!B1268)</f>
        <v>-5.1990605999931866E-4</v>
      </c>
      <c r="C1267" s="6">
        <f>LN(Raw!C1269/Raw!C1268)</f>
        <v>7.1925531301756272E-3</v>
      </c>
      <c r="D1267" s="6">
        <f>LN(Raw!D1269/Raw!D1268)</f>
        <v>-9.8896125750366666E-3</v>
      </c>
      <c r="X1267" s="3">
        <v>45695</v>
      </c>
      <c r="Y1267" cm="1">
        <f t="array" ref="Y1267">SUMPRODUCT($T$2:$T$4,TRANSPOSE(B1267:D1267))</f>
        <v>5.5554689072478795E-4</v>
      </c>
      <c r="AD1267" s="3">
        <v>45694</v>
      </c>
      <c r="AE1267">
        <v>-7.3338852337585742E-3</v>
      </c>
      <c r="AF1267">
        <f t="shared" si="19"/>
        <v>0</v>
      </c>
    </row>
    <row r="1268" spans="1:32" x14ac:dyDescent="0.35">
      <c r="A1268" s="3">
        <v>45698</v>
      </c>
      <c r="B1268" s="6">
        <f>LN(Raw!B1270/Raw!B1269)</f>
        <v>8.2073480713377523E-4</v>
      </c>
      <c r="C1268" s="6">
        <f>LN(Raw!C1270/Raw!C1269)</f>
        <v>-4.2081978920698961E-2</v>
      </c>
      <c r="D1268" s="6">
        <f>LN(Raw!D1270/Raw!D1269)</f>
        <v>-2.5539163115055968E-2</v>
      </c>
      <c r="X1268" s="3">
        <v>45698</v>
      </c>
      <c r="Y1268" cm="1">
        <f t="array" ref="Y1268">SUMPRODUCT($T$2:$T$4,TRANSPOSE(B1268:D1268))</f>
        <v>-9.0458320220300637E-3</v>
      </c>
      <c r="AD1268" s="3">
        <v>45695</v>
      </c>
      <c r="AE1268">
        <v>5.5554689072478795E-4</v>
      </c>
      <c r="AF1268">
        <f t="shared" si="19"/>
        <v>0</v>
      </c>
    </row>
    <row r="1269" spans="1:32" x14ac:dyDescent="0.35">
      <c r="A1269" s="3">
        <v>45699</v>
      </c>
      <c r="B1269" s="6">
        <f>LN(Raw!B1271/Raw!B1270)</f>
        <v>-1.840794603965586E-2</v>
      </c>
      <c r="C1269" s="6">
        <f>LN(Raw!C1271/Raw!C1270)</f>
        <v>-5.2428218417989982E-2</v>
      </c>
      <c r="D1269" s="6">
        <f>LN(Raw!D1271/Raw!D1270)</f>
        <v>-4.3461872043148067E-2</v>
      </c>
      <c r="X1269" s="3">
        <v>45699</v>
      </c>
      <c r="Y1269" cm="1">
        <f t="array" ref="Y1269">SUMPRODUCT($T$2:$T$4,TRANSPOSE(B1269:D1269))</f>
        <v>-2.6437228165518037E-2</v>
      </c>
      <c r="AD1269" s="3">
        <v>45698</v>
      </c>
      <c r="AE1269">
        <v>-9.0458320220300637E-3</v>
      </c>
      <c r="AF1269">
        <f t="shared" si="19"/>
        <v>0</v>
      </c>
    </row>
    <row r="1270" spans="1:32" x14ac:dyDescent="0.35">
      <c r="A1270" s="3">
        <v>45700</v>
      </c>
      <c r="B1270" s="6">
        <f>LN(Raw!B1272/Raw!B1271)</f>
        <v>-1.7023275207505673E-2</v>
      </c>
      <c r="C1270" s="6">
        <f>LN(Raw!C1272/Raw!C1271)</f>
        <v>-8.1730120359910594E-3</v>
      </c>
      <c r="D1270" s="6">
        <f>LN(Raw!D1272/Raw!D1271)</f>
        <v>-1.3477231541471802E-2</v>
      </c>
      <c r="X1270" s="3">
        <v>45700</v>
      </c>
      <c r="Y1270" cm="1">
        <f t="array" ref="Y1270">SUMPRODUCT($T$2:$T$4,TRANSPOSE(B1270:D1270))</f>
        <v>-1.5081550865363896E-2</v>
      </c>
      <c r="AD1270" s="3">
        <v>45699</v>
      </c>
      <c r="AE1270">
        <v>-2.6437228165518037E-2</v>
      </c>
      <c r="AF1270">
        <f t="shared" si="19"/>
        <v>0</v>
      </c>
    </row>
    <row r="1271" spans="1:32" x14ac:dyDescent="0.35">
      <c r="A1271" s="3">
        <v>45701</v>
      </c>
      <c r="B1271" s="6">
        <f>LN(Raw!B1273/Raw!B1272)</f>
        <v>6.8047606734360751E-3</v>
      </c>
      <c r="C1271" s="6">
        <f>LN(Raw!C1273/Raw!C1272)</f>
        <v>2.3287283868933688E-2</v>
      </c>
      <c r="D1271" s="6">
        <f>LN(Raw!D1273/Raw!D1272)</f>
        <v>1.2334978724997902E-4</v>
      </c>
      <c r="X1271" s="3">
        <v>45701</v>
      </c>
      <c r="Y1271" cm="1">
        <f t="array" ref="Y1271">SUMPRODUCT($T$2:$T$4,TRANSPOSE(B1271:D1271))</f>
        <v>9.7634825213860407E-3</v>
      </c>
      <c r="AD1271" s="3">
        <v>45700</v>
      </c>
      <c r="AE1271">
        <v>-1.5081550865363896E-2</v>
      </c>
      <c r="AF1271">
        <f t="shared" si="19"/>
        <v>0</v>
      </c>
    </row>
    <row r="1272" spans="1:32" x14ac:dyDescent="0.35">
      <c r="A1272" s="3">
        <v>45702</v>
      </c>
      <c r="B1272" s="6">
        <f>LN(Raw!B1274/Raw!B1273)</f>
        <v>-2.2135913524955385E-2</v>
      </c>
      <c r="C1272" s="6">
        <f>LN(Raw!C1274/Raw!C1273)</f>
        <v>-4.6452275525627688E-2</v>
      </c>
      <c r="D1272" s="6">
        <f>LN(Raw!D1274/Raw!D1273)</f>
        <v>-4.2130702521469478E-2</v>
      </c>
      <c r="X1272" s="3">
        <v>45702</v>
      </c>
      <c r="Y1272" cm="1">
        <f t="array" ref="Y1272">SUMPRODUCT($T$2:$T$4,TRANSPOSE(B1272:D1272))</f>
        <v>-2.7978227525314231E-2</v>
      </c>
      <c r="AD1272" s="3">
        <v>45701</v>
      </c>
      <c r="AE1272">
        <v>9.7634825213860407E-3</v>
      </c>
      <c r="AF1272">
        <f t="shared" si="19"/>
        <v>0</v>
      </c>
    </row>
    <row r="1273" spans="1:32" x14ac:dyDescent="0.35">
      <c r="A1273" s="3">
        <v>45705</v>
      </c>
      <c r="B1273" s="6">
        <f>LN(Raw!B1275/Raw!B1274)</f>
        <v>-7.4501639183171368E-3</v>
      </c>
      <c r="C1273" s="6">
        <f>LN(Raw!C1275/Raw!C1274)</f>
        <v>-2.0805633116300345E-2</v>
      </c>
      <c r="D1273" s="6">
        <f>LN(Raw!D1275/Raw!D1274)</f>
        <v>-1.4839104880820582E-2</v>
      </c>
      <c r="X1273" s="3">
        <v>45705</v>
      </c>
      <c r="Y1273" cm="1">
        <f t="array" ref="Y1273">SUMPRODUCT($T$2:$T$4,TRANSPOSE(B1273:D1273))</f>
        <v>-1.0481168817078623E-2</v>
      </c>
      <c r="AD1273" s="3">
        <v>45702</v>
      </c>
      <c r="AE1273">
        <v>-2.7978227525314231E-2</v>
      </c>
      <c r="AF1273">
        <f t="shared" si="19"/>
        <v>0</v>
      </c>
    </row>
    <row r="1274" spans="1:32" x14ac:dyDescent="0.35">
      <c r="A1274" s="3">
        <v>45706</v>
      </c>
      <c r="B1274" s="6">
        <f>LN(Raw!B1276/Raw!B1275)</f>
        <v>7.7090730438987894E-3</v>
      </c>
      <c r="C1274" s="6">
        <f>LN(Raw!C1276/Raw!C1275)</f>
        <v>4.4499963187875934E-2</v>
      </c>
      <c r="D1274" s="6">
        <f>LN(Raw!D1276/Raw!D1275)</f>
        <v>4.5594429471150213E-3</v>
      </c>
      <c r="X1274" s="3">
        <v>45706</v>
      </c>
      <c r="Y1274" cm="1">
        <f t="array" ref="Y1274">SUMPRODUCT($T$2:$T$4,TRANSPOSE(B1274:D1274))</f>
        <v>1.4895485086948941E-2</v>
      </c>
      <c r="AD1274" s="3">
        <v>45705</v>
      </c>
      <c r="AE1274">
        <v>-1.0481168817078623E-2</v>
      </c>
      <c r="AF1274">
        <f t="shared" si="19"/>
        <v>0</v>
      </c>
    </row>
    <row r="1275" spans="1:32" x14ac:dyDescent="0.35">
      <c r="A1275" s="3">
        <v>45707</v>
      </c>
      <c r="B1275" s="6">
        <f>LN(Raw!B1277/Raw!B1276)</f>
        <v>-5.4508632824337927E-3</v>
      </c>
      <c r="C1275" s="6">
        <f>LN(Raw!C1277/Raw!C1276)</f>
        <v>1.4968730432971479E-2</v>
      </c>
      <c r="D1275" s="6">
        <f>LN(Raw!D1277/Raw!D1276)</f>
        <v>2.7939743146875067E-2</v>
      </c>
      <c r="X1275" s="3">
        <v>45707</v>
      </c>
      <c r="Y1275" cm="1">
        <f t="array" ref="Y1275">SUMPRODUCT($T$2:$T$4,TRANSPOSE(B1275:D1275))</f>
        <v>2.7674081694932019E-4</v>
      </c>
      <c r="AD1275" s="3">
        <v>45706</v>
      </c>
      <c r="AE1275">
        <v>1.4895485086948941E-2</v>
      </c>
      <c r="AF1275">
        <f t="shared" si="19"/>
        <v>0</v>
      </c>
    </row>
    <row r="1276" spans="1:32" x14ac:dyDescent="0.35">
      <c r="A1276" s="3">
        <v>45708</v>
      </c>
      <c r="B1276" s="6">
        <f>LN(Raw!B1278/Raw!B1277)</f>
        <v>-9.5480700403963083E-4</v>
      </c>
      <c r="C1276" s="6">
        <f>LN(Raw!C1278/Raw!C1277)</f>
        <v>9.3398037761412908E-3</v>
      </c>
      <c r="D1276" s="6">
        <f>LN(Raw!D1278/Raw!D1277)</f>
        <v>1.7539876817142905E-2</v>
      </c>
      <c r="X1276" s="3">
        <v>45708</v>
      </c>
      <c r="Y1276" cm="1">
        <f t="array" ref="Y1276">SUMPRODUCT($T$2:$T$4,TRANSPOSE(B1276:D1276))</f>
        <v>2.0149727255058961E-3</v>
      </c>
      <c r="AD1276" s="3">
        <v>45707</v>
      </c>
      <c r="AE1276">
        <v>2.7674081694932019E-4</v>
      </c>
      <c r="AF1276">
        <f t="shared" si="19"/>
        <v>0</v>
      </c>
    </row>
    <row r="1277" spans="1:32" x14ac:dyDescent="0.35">
      <c r="A1277" s="3">
        <v>45709</v>
      </c>
      <c r="B1277" s="6">
        <f>LN(Raw!B1279/Raw!B1278)</f>
        <v>3.3522066340834801E-3</v>
      </c>
      <c r="C1277" s="6">
        <f>LN(Raw!C1279/Raw!C1278)</f>
        <v>-5.1780339468054009E-3</v>
      </c>
      <c r="D1277" s="6">
        <f>LN(Raw!D1279/Raw!D1278)</f>
        <v>-3.9197331706235594E-3</v>
      </c>
      <c r="X1277" s="3">
        <v>45709</v>
      </c>
      <c r="Y1277" cm="1">
        <f t="array" ref="Y1277">SUMPRODUCT($T$2:$T$4,TRANSPOSE(B1277:D1277))</f>
        <v>1.2899536986816598E-3</v>
      </c>
      <c r="AD1277" s="3">
        <v>45708</v>
      </c>
      <c r="AE1277">
        <v>2.0149727255058961E-3</v>
      </c>
      <c r="AF1277">
        <f t="shared" si="19"/>
        <v>0</v>
      </c>
    </row>
    <row r="1278" spans="1:32" x14ac:dyDescent="0.35">
      <c r="A1278" s="3">
        <v>45712</v>
      </c>
      <c r="B1278" s="6">
        <f>LN(Raw!B1280/Raw!B1279)</f>
        <v>-1.2921368195723485E-2</v>
      </c>
      <c r="C1278" s="6">
        <f>LN(Raw!C1280/Raw!C1279)</f>
        <v>1.1741323773934532E-2</v>
      </c>
      <c r="D1278" s="6">
        <f>LN(Raw!D1280/Raw!D1279)</f>
        <v>-2.4549167130705988E-2</v>
      </c>
      <c r="X1278" s="3">
        <v>45712</v>
      </c>
      <c r="Y1278" cm="1">
        <f t="array" ref="Y1278">SUMPRODUCT($T$2:$T$4,TRANSPOSE(B1278:D1278))</f>
        <v>-8.5749428128022668E-3</v>
      </c>
      <c r="AD1278" s="3">
        <v>45709</v>
      </c>
      <c r="AE1278">
        <v>1.2899536986816598E-3</v>
      </c>
      <c r="AF1278">
        <f t="shared" si="19"/>
        <v>0</v>
      </c>
    </row>
    <row r="1279" spans="1:32" x14ac:dyDescent="0.35">
      <c r="A1279" s="3">
        <v>45713</v>
      </c>
      <c r="B1279" s="6">
        <f>LN(Raw!B1281/Raw!B1280)</f>
        <v>-1.3594036964736525E-2</v>
      </c>
      <c r="C1279" s="6">
        <f>LN(Raw!C1281/Raw!C1280)</f>
        <v>3.9685212357569739E-3</v>
      </c>
      <c r="D1279" s="6">
        <f>LN(Raw!D1281/Raw!D1280)</f>
        <v>-2.4948015772307138E-3</v>
      </c>
      <c r="X1279" s="3">
        <v>45713</v>
      </c>
      <c r="Y1279" cm="1">
        <f t="array" ref="Y1279">SUMPRODUCT($T$2:$T$4,TRANSPOSE(B1279:D1279))</f>
        <v>-9.5398082983906771E-3</v>
      </c>
      <c r="AD1279" s="3">
        <v>45712</v>
      </c>
      <c r="AE1279">
        <v>-8.5749428128022668E-3</v>
      </c>
      <c r="AF1279">
        <f t="shared" si="19"/>
        <v>0</v>
      </c>
    </row>
    <row r="1280" spans="1:32" x14ac:dyDescent="0.35">
      <c r="A1280" s="3">
        <v>45715</v>
      </c>
      <c r="B1280" s="6">
        <f>LN(Raw!B1282/Raw!B1281)</f>
        <v>7.9375252228053462E-3</v>
      </c>
      <c r="C1280" s="6">
        <f>LN(Raw!C1282/Raw!C1281)</f>
        <v>-3.7119988263458145E-3</v>
      </c>
      <c r="D1280" s="6">
        <f>LN(Raw!D1282/Raw!D1281)</f>
        <v>-3.0697694202615845E-2</v>
      </c>
      <c r="X1280" s="3">
        <v>45715</v>
      </c>
      <c r="Y1280" cm="1">
        <f t="array" ref="Y1280">SUMPRODUCT($T$2:$T$4,TRANSPOSE(B1280:D1280))</f>
        <v>3.7005906785286301E-3</v>
      </c>
      <c r="AD1280" s="3">
        <v>45713</v>
      </c>
      <c r="AE1280">
        <v>-9.5398082983906771E-3</v>
      </c>
      <c r="AF1280">
        <f t="shared" si="19"/>
        <v>0</v>
      </c>
    </row>
    <row r="1281" spans="1:32" x14ac:dyDescent="0.35">
      <c r="A1281" s="3">
        <v>45716</v>
      </c>
      <c r="B1281" s="6">
        <f>LN(Raw!B1283/Raw!B1282)</f>
        <v>-6.0433834366260116E-3</v>
      </c>
      <c r="C1281" s="6">
        <f>LN(Raw!C1283/Raw!C1282)</f>
        <v>-5.5364710463115321E-2</v>
      </c>
      <c r="D1281" s="6">
        <f>LN(Raw!D1283/Raw!D1282)</f>
        <v>-6.3389906196707327E-2</v>
      </c>
      <c r="X1281" s="3">
        <v>45716</v>
      </c>
      <c r="Y1281" cm="1">
        <f t="array" ref="Y1281">SUMPRODUCT($T$2:$T$4,TRANSPOSE(B1281:D1281))</f>
        <v>-1.8724432041046995E-2</v>
      </c>
      <c r="AD1281" s="3">
        <v>45715</v>
      </c>
      <c r="AE1281">
        <v>3.7005906785286301E-3</v>
      </c>
      <c r="AF1281">
        <f t="shared" si="19"/>
        <v>0</v>
      </c>
    </row>
    <row r="1282" spans="1:32" x14ac:dyDescent="0.35">
      <c r="A1282" s="3">
        <v>45719</v>
      </c>
      <c r="B1282" s="6">
        <f>LN(Raw!B1284/Raw!B1283)</f>
        <v>-1.636658039548779E-2</v>
      </c>
      <c r="C1282" s="6">
        <f>LN(Raw!C1284/Raw!C1283)</f>
        <v>-1.6122761696472691E-2</v>
      </c>
      <c r="D1282" s="6">
        <f>LN(Raw!D1284/Raw!D1283)</f>
        <v>5.6136592788932826E-3</v>
      </c>
      <c r="X1282" s="3">
        <v>45719</v>
      </c>
      <c r="Y1282" cm="1">
        <f t="array" ref="Y1282">SUMPRODUCT($T$2:$T$4,TRANSPOSE(B1282:D1282))</f>
        <v>-1.5230117366285406E-2</v>
      </c>
      <c r="AD1282" s="3">
        <v>45716</v>
      </c>
      <c r="AE1282">
        <v>-1.8724432041046995E-2</v>
      </c>
      <c r="AF1282">
        <f t="shared" si="19"/>
        <v>0</v>
      </c>
    </row>
    <row r="1283" spans="1:32" x14ac:dyDescent="0.35">
      <c r="A1283" s="3">
        <v>45720</v>
      </c>
      <c r="B1283" s="6">
        <f>LN(Raw!B1285/Raw!B1284)</f>
        <v>-1.4410548658655341E-2</v>
      </c>
      <c r="C1283" s="6">
        <f>LN(Raw!C1285/Raw!C1284)</f>
        <v>5.1541214900623078E-2</v>
      </c>
      <c r="D1283" s="6">
        <f>LN(Raw!D1285/Raw!D1284)</f>
        <v>5.9300439662477115E-3</v>
      </c>
      <c r="X1283" s="3">
        <v>45720</v>
      </c>
      <c r="Y1283" cm="1">
        <f t="array" ref="Y1283">SUMPRODUCT($T$2:$T$4,TRANSPOSE(B1283:D1283))</f>
        <v>-2.4202295731656662E-4</v>
      </c>
      <c r="AD1283" s="3">
        <v>45719</v>
      </c>
      <c r="AE1283">
        <v>-1.5230117366285406E-2</v>
      </c>
      <c r="AF1283">
        <f t="shared" ref="AF1283:AF1346" si="20">IF(AE1283&lt;$AB$2,1,0)</f>
        <v>0</v>
      </c>
    </row>
    <row r="1284" spans="1:32" x14ac:dyDescent="0.35">
      <c r="A1284" s="3">
        <v>45721</v>
      </c>
      <c r="B1284" s="6">
        <f>LN(Raw!B1286/Raw!B1285)</f>
        <v>2.2433558447661376E-2</v>
      </c>
      <c r="C1284" s="6">
        <f>LN(Raw!C1286/Raw!C1285)</f>
        <v>2.429686003487614E-2</v>
      </c>
      <c r="D1284" s="6">
        <f>LN(Raw!D1286/Raw!D1285)</f>
        <v>3.5801156629600393E-2</v>
      </c>
      <c r="X1284" s="3">
        <v>45721</v>
      </c>
      <c r="Y1284" cm="1">
        <f t="array" ref="Y1284">SUMPRODUCT($T$2:$T$4,TRANSPOSE(B1284:D1284))</f>
        <v>2.3466977686327432E-2</v>
      </c>
      <c r="AD1284" s="3">
        <v>45720</v>
      </c>
      <c r="AE1284">
        <v>-2.4202295731656662E-4</v>
      </c>
      <c r="AF1284">
        <f t="shared" si="20"/>
        <v>0</v>
      </c>
    </row>
    <row r="1285" spans="1:32" x14ac:dyDescent="0.35">
      <c r="A1285" s="3">
        <v>45722</v>
      </c>
      <c r="B1285" s="6">
        <f>LN(Raw!B1287/Raw!B1286)</f>
        <v>1.5033453886700176E-2</v>
      </c>
      <c r="C1285" s="6">
        <f>LN(Raw!C1287/Raw!C1286)</f>
        <v>-3.9659827008935306E-3</v>
      </c>
      <c r="D1285" s="6">
        <f>LN(Raw!D1287/Raw!D1286)</f>
        <v>4.3528218388283694E-3</v>
      </c>
      <c r="X1285" s="3">
        <v>45722</v>
      </c>
      <c r="Y1285" cm="1">
        <f t="array" ref="Y1285">SUMPRODUCT($T$2:$T$4,TRANSPOSE(B1285:D1285))</f>
        <v>1.0713186858958756E-2</v>
      </c>
      <c r="AD1285" s="3">
        <v>45721</v>
      </c>
      <c r="AE1285">
        <v>2.3466977686327432E-2</v>
      </c>
      <c r="AF1285">
        <f t="shared" si="20"/>
        <v>0</v>
      </c>
    </row>
    <row r="1286" spans="1:32" x14ac:dyDescent="0.35">
      <c r="A1286" s="3">
        <v>45723</v>
      </c>
      <c r="B1286" s="6">
        <f>LN(Raw!B1288/Raw!B1287)</f>
        <v>-9.0581398509771219E-3</v>
      </c>
      <c r="C1286" s="6">
        <f>LN(Raw!C1288/Raw!C1287)</f>
        <v>-1.9807782462530073E-2</v>
      </c>
      <c r="D1286" s="6">
        <f>LN(Raw!D1288/Raw!D1287)</f>
        <v>1.5449734539133151E-2</v>
      </c>
      <c r="X1286" s="3">
        <v>45723</v>
      </c>
      <c r="Y1286" cm="1">
        <f t="array" ref="Y1286">SUMPRODUCT($T$2:$T$4,TRANSPOSE(B1286:D1286))</f>
        <v>-9.9905280333683795E-3</v>
      </c>
      <c r="AD1286" s="3">
        <v>45722</v>
      </c>
      <c r="AE1286">
        <v>1.0713186858958756E-2</v>
      </c>
      <c r="AF1286">
        <f t="shared" si="20"/>
        <v>0</v>
      </c>
    </row>
    <row r="1287" spans="1:32" x14ac:dyDescent="0.35">
      <c r="A1287" s="3">
        <v>45726</v>
      </c>
      <c r="B1287" s="6">
        <f>LN(Raw!B1289/Raw!B1288)</f>
        <v>7.4707599835211773E-3</v>
      </c>
      <c r="C1287" s="6">
        <f>LN(Raw!C1289/Raw!C1288)</f>
        <v>-1.2366859355762098E-2</v>
      </c>
      <c r="D1287" s="6">
        <f>LN(Raw!D1289/Raw!D1288)</f>
        <v>-3.3044248975602958E-2</v>
      </c>
      <c r="X1287" s="3">
        <v>45726</v>
      </c>
      <c r="Y1287" cm="1">
        <f t="array" ref="Y1287">SUMPRODUCT($T$2:$T$4,TRANSPOSE(B1287:D1287))</f>
        <v>1.5067119230796648E-3</v>
      </c>
      <c r="AD1287" s="3">
        <v>45723</v>
      </c>
      <c r="AE1287">
        <v>-9.9905280333683795E-3</v>
      </c>
      <c r="AF1287">
        <f t="shared" si="20"/>
        <v>0</v>
      </c>
    </row>
    <row r="1288" spans="1:32" x14ac:dyDescent="0.35">
      <c r="A1288" s="3">
        <v>45727</v>
      </c>
      <c r="B1288" s="6">
        <f>LN(Raw!B1290/Raw!B1289)</f>
        <v>4.9993692175842185E-4</v>
      </c>
      <c r="C1288" s="6">
        <f>LN(Raw!C1290/Raw!C1289)</f>
        <v>-6.1081769598183341E-3</v>
      </c>
      <c r="D1288" s="6">
        <f>LN(Raw!D1290/Raw!D1289)</f>
        <v>-2.0422549211506495E-3</v>
      </c>
      <c r="X1288" s="3">
        <v>45727</v>
      </c>
      <c r="Y1288" cm="1">
        <f t="array" ref="Y1288">SUMPRODUCT($T$2:$T$4,TRANSPOSE(B1288:D1288))</f>
        <v>-9.4464509447601916E-4</v>
      </c>
      <c r="AD1288" s="3">
        <v>45726</v>
      </c>
      <c r="AE1288">
        <v>1.5067119230796648E-3</v>
      </c>
      <c r="AF1288">
        <f t="shared" si="20"/>
        <v>0</v>
      </c>
    </row>
    <row r="1289" spans="1:32" x14ac:dyDescent="0.35">
      <c r="A1289" s="3">
        <v>45728</v>
      </c>
      <c r="B1289" s="6">
        <f>LN(Raw!B1291/Raw!B1290)</f>
        <v>-2.0647385755825549E-2</v>
      </c>
      <c r="C1289" s="6">
        <f>LN(Raw!C1291/Raw!C1290)</f>
        <v>9.4121839773738548E-3</v>
      </c>
      <c r="D1289" s="6">
        <f>LN(Raw!D1291/Raw!D1290)</f>
        <v>-1.4898464374459788E-2</v>
      </c>
      <c r="X1289" s="3">
        <v>45728</v>
      </c>
      <c r="Y1289" cm="1">
        <f t="array" ref="Y1289">SUMPRODUCT($T$2:$T$4,TRANSPOSE(B1289:D1289))</f>
        <v>-1.436393994111909E-2</v>
      </c>
      <c r="AD1289" s="3">
        <v>45727</v>
      </c>
      <c r="AE1289">
        <v>-9.4464509447601916E-4</v>
      </c>
      <c r="AF1289">
        <f t="shared" si="20"/>
        <v>0</v>
      </c>
    </row>
    <row r="1290" spans="1:32" x14ac:dyDescent="0.35">
      <c r="A1290" s="3">
        <v>45729</v>
      </c>
      <c r="B1290" s="6">
        <f>LN(Raw!B1292/Raw!B1291)</f>
        <v>7.8040078527834081E-3</v>
      </c>
      <c r="C1290" s="6">
        <f>LN(Raw!C1292/Raw!C1291)</f>
        <v>1.4669499599375154E-2</v>
      </c>
      <c r="D1290" s="6">
        <f>LN(Raw!D1292/Raw!D1291)</f>
        <v>-2.978890367599487E-3</v>
      </c>
      <c r="X1290" s="3">
        <v>45729</v>
      </c>
      <c r="Y1290" cm="1">
        <f t="array" ref="Y1290">SUMPRODUCT($T$2:$T$4,TRANSPOSE(B1290:D1290))</f>
        <v>8.6404940469307669E-3</v>
      </c>
      <c r="AD1290" s="3">
        <v>45728</v>
      </c>
      <c r="AE1290">
        <v>-1.436393994111909E-2</v>
      </c>
      <c r="AF1290">
        <f t="shared" si="20"/>
        <v>0</v>
      </c>
    </row>
    <row r="1291" spans="1:32" x14ac:dyDescent="0.35">
      <c r="A1291" s="3">
        <v>45733</v>
      </c>
      <c r="B1291" s="6">
        <f>LN(Raw!B1293/Raw!B1292)</f>
        <v>2.7380448274552886E-2</v>
      </c>
      <c r="C1291" s="6">
        <f>LN(Raw!C1293/Raw!C1292)</f>
        <v>1.8167117902255052E-2</v>
      </c>
      <c r="D1291" s="6">
        <f>LN(Raw!D1293/Raw!D1292)</f>
        <v>-1.3831813005228509E-2</v>
      </c>
      <c r="X1291" s="3">
        <v>45733</v>
      </c>
      <c r="Y1291" cm="1">
        <f t="array" ref="Y1291">SUMPRODUCT($T$2:$T$4,TRANSPOSE(B1291:D1291))</f>
        <v>2.3502161999819707E-2</v>
      </c>
      <c r="AD1291" s="3">
        <v>45729</v>
      </c>
      <c r="AE1291">
        <v>8.6404940469307669E-3</v>
      </c>
      <c r="AF1291">
        <f t="shared" si="20"/>
        <v>0</v>
      </c>
    </row>
    <row r="1292" spans="1:32" x14ac:dyDescent="0.35">
      <c r="A1292" s="3">
        <v>45734</v>
      </c>
      <c r="B1292" s="6">
        <f>LN(Raw!B1294/Raw!B1293)</f>
        <v>0</v>
      </c>
      <c r="C1292" s="6">
        <f>LN(Raw!C1294/Raw!C1293)</f>
        <v>0</v>
      </c>
      <c r="D1292" s="6">
        <f>LN(Raw!D1294/Raw!D1293)</f>
        <v>0</v>
      </c>
      <c r="X1292" s="3">
        <v>45734</v>
      </c>
      <c r="Y1292" cm="1">
        <f t="array" ref="Y1292">SUMPRODUCT($T$2:$T$4,TRANSPOSE(B1292:D1292))</f>
        <v>0</v>
      </c>
      <c r="AD1292" s="3">
        <v>45733</v>
      </c>
      <c r="AE1292">
        <v>2.3502161999819707E-2</v>
      </c>
      <c r="AF1292">
        <f t="shared" si="20"/>
        <v>0</v>
      </c>
    </row>
    <row r="1293" spans="1:32" x14ac:dyDescent="0.35">
      <c r="A1293" s="3">
        <v>45735</v>
      </c>
      <c r="B1293" s="6">
        <f>LN(Raw!B1295/Raw!B1294)</f>
        <v>1.7893262743677387E-2</v>
      </c>
      <c r="C1293" s="6">
        <f>LN(Raw!C1295/Raw!C1294)</f>
        <v>6.6316538824325144E-2</v>
      </c>
      <c r="D1293" s="6">
        <f>LN(Raw!D1295/Raw!D1294)</f>
        <v>7.263461322108801E-2</v>
      </c>
      <c r="X1293" s="3">
        <v>45735</v>
      </c>
      <c r="Y1293" cm="1">
        <f t="array" ref="Y1293">SUMPRODUCT($T$2:$T$4,TRANSPOSE(B1293:D1293))</f>
        <v>3.0266158675902016E-2</v>
      </c>
      <c r="AD1293" s="3">
        <v>45734</v>
      </c>
      <c r="AE1293">
        <v>0</v>
      </c>
      <c r="AF1293">
        <f t="shared" si="20"/>
        <v>0</v>
      </c>
    </row>
    <row r="1294" spans="1:32" x14ac:dyDescent="0.35">
      <c r="A1294" s="3">
        <v>45736</v>
      </c>
      <c r="B1294" s="6">
        <f>LN(Raw!B1296/Raw!B1295)</f>
        <v>-1.8241077692958334E-2</v>
      </c>
      <c r="C1294" s="6">
        <f>LN(Raw!C1296/Raw!C1295)</f>
        <v>-2.1620543782214265E-2</v>
      </c>
      <c r="D1294" s="6">
        <f>LN(Raw!D1296/Raw!D1295)</f>
        <v>3.3307595443022417E-3</v>
      </c>
      <c r="X1294" s="3">
        <v>45736</v>
      </c>
      <c r="Y1294" cm="1">
        <f t="array" ref="Y1294">SUMPRODUCT($T$2:$T$4,TRANSPOSE(B1294:D1294))</f>
        <v>-1.7847918550761489E-2</v>
      </c>
      <c r="AD1294" s="3">
        <v>45735</v>
      </c>
      <c r="AE1294">
        <v>3.0266158675902016E-2</v>
      </c>
      <c r="AF1294">
        <f t="shared" si="20"/>
        <v>0</v>
      </c>
    </row>
    <row r="1295" spans="1:32" x14ac:dyDescent="0.35">
      <c r="A1295" s="3">
        <v>45737</v>
      </c>
      <c r="B1295" s="6">
        <f>LN(Raw!B1297/Raw!B1296)</f>
        <v>-8.9913578507710382E-4</v>
      </c>
      <c r="C1295" s="6">
        <f>LN(Raw!C1297/Raw!C1296)</f>
        <v>8.3923631929094508E-2</v>
      </c>
      <c r="D1295" s="6">
        <f>LN(Raw!D1297/Raw!D1296)</f>
        <v>7.3269288788158263E-2</v>
      </c>
      <c r="X1295" s="3">
        <v>45737</v>
      </c>
      <c r="Y1295" cm="1">
        <f t="array" ref="Y1295">SUMPRODUCT($T$2:$T$4,TRANSPOSE(B1295:D1295))</f>
        <v>1.9699385314766237E-2</v>
      </c>
      <c r="AD1295" s="3">
        <v>45736</v>
      </c>
      <c r="AE1295">
        <v>-1.7847918550761489E-2</v>
      </c>
      <c r="AF1295">
        <f t="shared" si="20"/>
        <v>0</v>
      </c>
    </row>
    <row r="1296" spans="1:32" x14ac:dyDescent="0.35">
      <c r="A1296" s="3">
        <v>45740</v>
      </c>
      <c r="B1296" s="6">
        <f>LN(Raw!B1298/Raw!B1297)</f>
        <v>3.5263449756093065E-2</v>
      </c>
      <c r="C1296" s="6">
        <f>LN(Raw!C1298/Raw!C1297)</f>
        <v>-7.7769687838785901E-3</v>
      </c>
      <c r="D1296" s="6">
        <f>LN(Raw!D1298/Raw!D1297)</f>
        <v>3.2665974326609344E-3</v>
      </c>
      <c r="X1296" s="3">
        <v>45740</v>
      </c>
      <c r="Y1296" cm="1">
        <f t="array" ref="Y1296">SUMPRODUCT($T$2:$T$4,TRANSPOSE(B1296:D1296))</f>
        <v>2.5090427660323204E-2</v>
      </c>
      <c r="AD1296" s="3">
        <v>45737</v>
      </c>
      <c r="AE1296">
        <v>1.9699385314766237E-2</v>
      </c>
      <c r="AF1296">
        <f t="shared" si="20"/>
        <v>0</v>
      </c>
    </row>
    <row r="1297" spans="1:32" x14ac:dyDescent="0.35">
      <c r="A1297" s="3">
        <v>45741</v>
      </c>
      <c r="B1297" s="6">
        <f>LN(Raw!B1299/Raw!B1298)</f>
        <v>-3.1139733021959596E-3</v>
      </c>
      <c r="C1297" s="6">
        <f>LN(Raw!C1299/Raw!C1298)</f>
        <v>-3.3480184087023107E-2</v>
      </c>
      <c r="D1297" s="6">
        <f>LN(Raw!D1299/Raw!D1298)</f>
        <v>-2.9915237690252963E-2</v>
      </c>
      <c r="X1297" s="3">
        <v>45741</v>
      </c>
      <c r="Y1297" cm="1">
        <f t="array" ref="Y1297">SUMPRODUCT($T$2:$T$4,TRANSPOSE(B1297:D1297))</f>
        <v>-1.0500497435093263E-2</v>
      </c>
      <c r="AD1297" s="3">
        <v>45740</v>
      </c>
      <c r="AE1297">
        <v>2.5090427660323204E-2</v>
      </c>
      <c r="AF1297">
        <f t="shared" si="20"/>
        <v>0</v>
      </c>
    </row>
    <row r="1298" spans="1:32" x14ac:dyDescent="0.35">
      <c r="A1298" s="3">
        <v>45742</v>
      </c>
      <c r="B1298" s="6">
        <f>LN(Raw!B1300/Raw!B1299)</f>
        <v>-3.9697301512214992E-3</v>
      </c>
      <c r="C1298" s="6">
        <f>LN(Raw!C1300/Raw!C1299)</f>
        <v>-1.6991639220915525E-2</v>
      </c>
      <c r="D1298" s="6">
        <f>LN(Raw!D1300/Raw!D1299)</f>
        <v>-1.4731443395684411E-2</v>
      </c>
      <c r="X1298" s="3">
        <v>45742</v>
      </c>
      <c r="Y1298" cm="1">
        <f t="array" ref="Y1298">SUMPRODUCT($T$2:$T$4,TRANSPOSE(B1298:D1298))</f>
        <v>-7.1010859901264435E-3</v>
      </c>
      <c r="AD1298" s="3">
        <v>45741</v>
      </c>
      <c r="AE1298">
        <v>-1.0500497435093263E-2</v>
      </c>
      <c r="AF1298">
        <f t="shared" si="20"/>
        <v>0</v>
      </c>
    </row>
    <row r="1299" spans="1:32" x14ac:dyDescent="0.35">
      <c r="A1299" s="3">
        <v>45743</v>
      </c>
      <c r="B1299" s="6">
        <f>LN(Raw!B1301/Raw!B1300)</f>
        <v>1.2224369113084754E-2</v>
      </c>
      <c r="C1299" s="6">
        <f>LN(Raw!C1301/Raw!C1300)</f>
        <v>-7.8853110049353376E-3</v>
      </c>
      <c r="D1299" s="6">
        <f>LN(Raw!D1301/Raw!D1300)</f>
        <v>-8.2130270923306528E-4</v>
      </c>
      <c r="X1299" s="3">
        <v>45743</v>
      </c>
      <c r="Y1299" cm="1">
        <f t="array" ref="Y1299">SUMPRODUCT($T$2:$T$4,TRANSPOSE(B1299:D1299))</f>
        <v>7.5654868529473496E-3</v>
      </c>
      <c r="AD1299" s="3">
        <v>45742</v>
      </c>
      <c r="AE1299">
        <v>-7.1010859901264435E-3</v>
      </c>
      <c r="AF1299">
        <f t="shared" si="20"/>
        <v>0</v>
      </c>
    </row>
    <row r="1300" spans="1:32" x14ac:dyDescent="0.35">
      <c r="A1300" s="3">
        <v>45744</v>
      </c>
      <c r="B1300" s="6">
        <f>LN(Raw!B1302/Raw!B1301)</f>
        <v>-7.8057250993369921E-4</v>
      </c>
      <c r="C1300" s="6">
        <f>LN(Raw!C1302/Raw!C1301)</f>
        <v>1.0143937358764956E-2</v>
      </c>
      <c r="D1300" s="6">
        <f>LN(Raw!D1302/Raw!D1301)</f>
        <v>-2.3662934893767727E-2</v>
      </c>
      <c r="X1300" s="3">
        <v>45744</v>
      </c>
      <c r="Y1300" cm="1">
        <f t="array" ref="Y1300">SUMPRODUCT($T$2:$T$4,TRANSPOSE(B1300:D1300))</f>
        <v>2.6716044679043127E-4</v>
      </c>
      <c r="AD1300" s="3">
        <v>45743</v>
      </c>
      <c r="AE1300">
        <v>7.5654868529473496E-3</v>
      </c>
      <c r="AF1300">
        <f t="shared" si="20"/>
        <v>0</v>
      </c>
    </row>
    <row r="1301" spans="1:32" x14ac:dyDescent="0.35">
      <c r="A1301" s="3">
        <v>45748</v>
      </c>
      <c r="B1301" s="6">
        <f>LN(Raw!B1303/Raw!B1302)</f>
        <v>-5.3000426794034812E-4</v>
      </c>
      <c r="C1301" s="6">
        <f>LN(Raw!C1303/Raw!C1302)</f>
        <v>-1.6159294006815934E-2</v>
      </c>
      <c r="D1301" s="6">
        <f>LN(Raw!D1303/Raw!D1302)</f>
        <v>2.2208266368962493E-2</v>
      </c>
      <c r="X1301" s="3">
        <v>45748</v>
      </c>
      <c r="Y1301" cm="1">
        <f t="array" ref="Y1301">SUMPRODUCT($T$2:$T$4,TRANSPOSE(B1301:D1301))</f>
        <v>-2.5237922585349877E-3</v>
      </c>
      <c r="AD1301" s="3">
        <v>45744</v>
      </c>
      <c r="AE1301">
        <v>2.6716044679043127E-4</v>
      </c>
      <c r="AF1301">
        <f t="shared" si="20"/>
        <v>0</v>
      </c>
    </row>
    <row r="1302" spans="1:32" x14ac:dyDescent="0.35">
      <c r="A1302" s="3">
        <v>45749</v>
      </c>
      <c r="B1302" s="6">
        <f>LN(Raw!B1304/Raw!B1303)</f>
        <v>2.1012087969973742E-2</v>
      </c>
      <c r="C1302" s="6">
        <f>LN(Raw!C1304/Raw!C1303)</f>
        <v>1.36626165535854E-2</v>
      </c>
      <c r="D1302" s="6">
        <f>LN(Raw!D1304/Raw!D1303)</f>
        <v>6.3095467655269995E-3</v>
      </c>
      <c r="X1302" s="3">
        <v>45749</v>
      </c>
      <c r="Y1302" cm="1">
        <f t="array" ref="Y1302">SUMPRODUCT($T$2:$T$4,TRANSPOSE(B1302:D1302))</f>
        <v>1.8817737457026876E-2</v>
      </c>
      <c r="AD1302" s="3">
        <v>45748</v>
      </c>
      <c r="AE1302">
        <v>-2.5237922585349877E-3</v>
      </c>
      <c r="AF1302">
        <f t="shared" si="20"/>
        <v>0</v>
      </c>
    </row>
    <row r="1303" spans="1:32" x14ac:dyDescent="0.35">
      <c r="A1303" s="3">
        <v>45750</v>
      </c>
      <c r="B1303" s="6">
        <f>LN(Raw!B1305/Raw!B1304)</f>
        <v>8.4670695496577217E-4</v>
      </c>
      <c r="C1303" s="6">
        <f>LN(Raw!C1305/Raw!C1304)</f>
        <v>2.0616872292032504E-2</v>
      </c>
      <c r="D1303" s="6">
        <f>LN(Raw!D1305/Raw!D1304)</f>
        <v>3.0415094666837273E-2</v>
      </c>
      <c r="X1303" s="3">
        <v>45750</v>
      </c>
      <c r="Y1303" cm="1">
        <f t="array" ref="Y1303">SUMPRODUCT($T$2:$T$4,TRANSPOSE(B1303:D1303))</f>
        <v>6.2555437992314541E-3</v>
      </c>
      <c r="AD1303" s="3">
        <v>45749</v>
      </c>
      <c r="AE1303">
        <v>1.8817737457026876E-2</v>
      </c>
      <c r="AF1303">
        <f t="shared" si="20"/>
        <v>0</v>
      </c>
    </row>
    <row r="1304" spans="1:32" x14ac:dyDescent="0.35">
      <c r="A1304" s="3">
        <v>45751</v>
      </c>
      <c r="B1304" s="6">
        <f>LN(Raw!B1306/Raw!B1305)</f>
        <v>-1.0652482094270388E-3</v>
      </c>
      <c r="C1304" s="6">
        <f>LN(Raw!C1306/Raw!C1305)</f>
        <v>-5.6980045380748835E-2</v>
      </c>
      <c r="D1304" s="6">
        <f>LN(Raw!D1306/Raw!D1305)</f>
        <v>-5.6024875275467206E-2</v>
      </c>
      <c r="X1304" s="3">
        <v>45751</v>
      </c>
      <c r="Y1304" cm="1">
        <f t="array" ref="Y1304">SUMPRODUCT($T$2:$T$4,TRANSPOSE(B1304:D1304))</f>
        <v>-1.4944015365816934E-2</v>
      </c>
      <c r="AD1304" s="3">
        <v>45750</v>
      </c>
      <c r="AE1304">
        <v>6.2555437992314541E-3</v>
      </c>
      <c r="AF1304">
        <f t="shared" si="20"/>
        <v>0</v>
      </c>
    </row>
    <row r="1305" spans="1:32" x14ac:dyDescent="0.35">
      <c r="A1305" s="3">
        <v>45754</v>
      </c>
      <c r="B1305" s="6">
        <f>LN(Raw!B1307/Raw!B1306)</f>
        <v>-4.7659421730405736E-2</v>
      </c>
      <c r="C1305" s="6">
        <f>LN(Raw!C1307/Raw!C1306)</f>
        <v>-5.0507472811938563E-2</v>
      </c>
      <c r="D1305" s="6">
        <f>LN(Raw!D1307/Raw!D1306)</f>
        <v>-3.186323467321521E-2</v>
      </c>
      <c r="X1305" s="3">
        <v>45754</v>
      </c>
      <c r="Y1305" cm="1">
        <f t="array" ref="Y1305">SUMPRODUCT($T$2:$T$4,TRANSPOSE(B1305:D1305))</f>
        <v>-4.7446046418088729E-2</v>
      </c>
      <c r="AD1305" s="3">
        <v>45751</v>
      </c>
      <c r="AE1305">
        <v>-1.4944015365816934E-2</v>
      </c>
      <c r="AF1305">
        <f t="shared" si="20"/>
        <v>0</v>
      </c>
    </row>
    <row r="1306" spans="1:32" x14ac:dyDescent="0.35">
      <c r="A1306" s="3">
        <v>45755</v>
      </c>
      <c r="B1306" s="6">
        <f>LN(Raw!B1308/Raw!B1307)</f>
        <v>1.8431507831377175E-2</v>
      </c>
      <c r="C1306" s="6">
        <f>LN(Raw!C1308/Raw!C1307)</f>
        <v>3.5082409993604305E-2</v>
      </c>
      <c r="D1306" s="6">
        <f>LN(Raw!D1308/Raw!D1307)</f>
        <v>4.5959642336208778E-2</v>
      </c>
      <c r="X1306" s="3">
        <v>45755</v>
      </c>
      <c r="Y1306" cm="1">
        <f t="array" ref="Y1306">SUMPRODUCT($T$2:$T$4,TRANSPOSE(B1306:D1306))</f>
        <v>2.3116866781209829E-2</v>
      </c>
      <c r="AD1306" s="3">
        <v>45754</v>
      </c>
      <c r="AE1306">
        <v>-4.7446046418088729E-2</v>
      </c>
      <c r="AF1306">
        <f t="shared" si="20"/>
        <v>1</v>
      </c>
    </row>
    <row r="1307" spans="1:32" x14ac:dyDescent="0.35">
      <c r="A1307" s="3">
        <v>45756</v>
      </c>
      <c r="B1307" s="6">
        <f>LN(Raw!B1309/Raw!B1308)</f>
        <v>5.4162654679835841E-3</v>
      </c>
      <c r="C1307" s="6">
        <f>LN(Raw!C1309/Raw!C1308)</f>
        <v>-9.699717104873367E-3</v>
      </c>
      <c r="D1307" s="6">
        <f>LN(Raw!D1309/Raw!D1308)</f>
        <v>-1.3644832621001662E-2</v>
      </c>
      <c r="X1307" s="3">
        <v>45756</v>
      </c>
      <c r="Y1307" cm="1">
        <f t="array" ref="Y1307">SUMPRODUCT($T$2:$T$4,TRANSPOSE(B1307:D1307))</f>
        <v>1.456261840774538E-3</v>
      </c>
      <c r="AD1307" s="3">
        <v>45755</v>
      </c>
      <c r="AE1307">
        <v>2.3116866781209829E-2</v>
      </c>
      <c r="AF1307">
        <f t="shared" si="20"/>
        <v>0</v>
      </c>
    </row>
    <row r="1308" spans="1:32" x14ac:dyDescent="0.35">
      <c r="A1308" s="3">
        <v>45758</v>
      </c>
      <c r="B1308" s="6">
        <f>LN(Raw!B1310/Raw!B1309)</f>
        <v>-3.8777490563651991E-2</v>
      </c>
      <c r="C1308" s="6">
        <f>LN(Raw!C1310/Raw!C1309)</f>
        <v>5.9317745601613269E-3</v>
      </c>
      <c r="D1308" s="6">
        <f>LN(Raw!D1310/Raw!D1309)</f>
        <v>7.9660927616864649E-3</v>
      </c>
      <c r="X1308" s="3">
        <v>45758</v>
      </c>
      <c r="Y1308" cm="1">
        <f t="array" ref="Y1308">SUMPRODUCT($T$2:$T$4,TRANSPOSE(B1308:D1308))</f>
        <v>-2.7541602588772248E-2</v>
      </c>
      <c r="AD1308" s="3">
        <v>45756</v>
      </c>
      <c r="AE1308">
        <v>1.456261840774538E-3</v>
      </c>
      <c r="AF1308">
        <f t="shared" si="20"/>
        <v>0</v>
      </c>
    </row>
    <row r="1309" spans="1:32" x14ac:dyDescent="0.35">
      <c r="A1309" s="3">
        <v>45762</v>
      </c>
      <c r="B1309" s="6">
        <f>LN(Raw!B1311/Raw!B1310)</f>
        <v>5.8783050792065923E-2</v>
      </c>
      <c r="C1309" s="6">
        <f>LN(Raw!C1311/Raw!C1310)</f>
        <v>3.5720270247155725E-2</v>
      </c>
      <c r="D1309" s="6">
        <f>LN(Raw!D1311/Raw!D1310)</f>
        <v>3.1802749680275071E-2</v>
      </c>
      <c r="X1309" s="3">
        <v>45762</v>
      </c>
      <c r="Y1309" cm="1">
        <f t="array" ref="Y1309">SUMPRODUCT($T$2:$T$4,TRANSPOSE(B1309:D1309))</f>
        <v>5.2845197204273067E-2</v>
      </c>
      <c r="AD1309" s="3">
        <v>45758</v>
      </c>
      <c r="AE1309">
        <v>-2.7541602588772248E-2</v>
      </c>
      <c r="AF1309">
        <f t="shared" si="20"/>
        <v>0</v>
      </c>
    </row>
    <row r="1310" spans="1:32" x14ac:dyDescent="0.35">
      <c r="A1310" s="3">
        <v>45763</v>
      </c>
      <c r="B1310" s="6">
        <f>LN(Raw!B1312/Raw!B1311)</f>
        <v>-5.9431412902873565E-3</v>
      </c>
      <c r="C1310" s="6">
        <f>LN(Raw!C1312/Raw!C1311)</f>
        <v>1.3387389644063512E-2</v>
      </c>
      <c r="D1310" s="6">
        <f>LN(Raw!D1312/Raw!D1311)</f>
        <v>3.3343554783564648E-2</v>
      </c>
      <c r="X1310" s="3">
        <v>45763</v>
      </c>
      <c r="Y1310" cm="1">
        <f t="array" ref="Y1310">SUMPRODUCT($T$2:$T$4,TRANSPOSE(B1310:D1310))</f>
        <v>-1.4108124547111125E-4</v>
      </c>
      <c r="AD1310" s="3">
        <v>45762</v>
      </c>
      <c r="AE1310">
        <v>5.2845197204273067E-2</v>
      </c>
      <c r="AF1310">
        <f t="shared" si="20"/>
        <v>0</v>
      </c>
    </row>
    <row r="1311" spans="1:32" x14ac:dyDescent="0.35">
      <c r="A1311" s="3">
        <v>45764</v>
      </c>
      <c r="B1311" s="6">
        <f>LN(Raw!B1313/Raw!B1312)</f>
        <v>-1.0207603935881951E-2</v>
      </c>
      <c r="C1311" s="6">
        <f>LN(Raw!C1313/Raw!C1312)</f>
        <v>2.799784092594837E-2</v>
      </c>
      <c r="D1311" s="6">
        <f>LN(Raw!D1313/Raw!D1312)</f>
        <v>3.3543779139303176E-2</v>
      </c>
      <c r="X1311" s="3">
        <v>45764</v>
      </c>
      <c r="Y1311" cm="1">
        <f t="array" ref="Y1311">SUMPRODUCT($T$2:$T$4,TRANSPOSE(B1311:D1311))</f>
        <v>-4.177555022684418E-4</v>
      </c>
      <c r="AD1311" s="3">
        <v>45763</v>
      </c>
      <c r="AE1311">
        <v>-1.4108124547111125E-4</v>
      </c>
      <c r="AF1311">
        <f t="shared" si="20"/>
        <v>0</v>
      </c>
    </row>
    <row r="1312" spans="1:32" x14ac:dyDescent="0.35">
      <c r="A1312" s="3">
        <v>45768</v>
      </c>
      <c r="B1312" s="6">
        <f>LN(Raw!B1314/Raw!B1313)</f>
        <v>2.6249914791694157E-2</v>
      </c>
      <c r="C1312" s="6">
        <f>LN(Raw!C1314/Raw!C1313)</f>
        <v>-2.5661862729933482E-3</v>
      </c>
      <c r="D1312" s="6">
        <f>LN(Raw!D1314/Raw!D1313)</f>
        <v>1.3324663911792023E-3</v>
      </c>
      <c r="X1312" s="3">
        <v>45768</v>
      </c>
      <c r="Y1312" cm="1">
        <f t="array" ref="Y1312">SUMPRODUCT($T$2:$T$4,TRANSPOSE(B1312:D1312))</f>
        <v>1.926597310307997E-2</v>
      </c>
      <c r="AD1312" s="3">
        <v>45764</v>
      </c>
      <c r="AE1312">
        <v>-4.177555022684418E-4</v>
      </c>
      <c r="AF1312">
        <f t="shared" si="20"/>
        <v>0</v>
      </c>
    </row>
    <row r="1313" spans="1:32" x14ac:dyDescent="0.35">
      <c r="A1313" s="3">
        <v>45769</v>
      </c>
      <c r="B1313" s="6">
        <f>LN(Raw!B1315/Raw!B1314)</f>
        <v>2.2244803281452666E-3</v>
      </c>
      <c r="C1313" s="6">
        <f>LN(Raw!C1315/Raw!C1314)</f>
        <v>-1.8704955813254004E-3</v>
      </c>
      <c r="D1313" s="6">
        <f>LN(Raw!D1315/Raw!D1314)</f>
        <v>-3.7704123070899914E-3</v>
      </c>
      <c r="X1313" s="3">
        <v>45769</v>
      </c>
      <c r="Y1313" cm="1">
        <f t="array" ref="Y1313">SUMPRODUCT($T$2:$T$4,TRANSPOSE(B1313:D1313))</f>
        <v>1.1105659014973429E-3</v>
      </c>
      <c r="AD1313" s="3">
        <v>45768</v>
      </c>
      <c r="AE1313">
        <v>1.926597310307997E-2</v>
      </c>
      <c r="AF1313">
        <f t="shared" si="20"/>
        <v>0</v>
      </c>
    </row>
    <row r="1314" spans="1:32" x14ac:dyDescent="0.35">
      <c r="A1314" s="3">
        <v>45770</v>
      </c>
      <c r="B1314" s="6">
        <f>LN(Raw!B1316/Raw!B1315)</f>
        <v>1.8684114033949827E-2</v>
      </c>
      <c r="C1314" s="6">
        <f>LN(Raw!C1316/Raw!C1315)</f>
        <v>-5.985565769905255E-3</v>
      </c>
      <c r="D1314" s="6">
        <f>LN(Raw!D1316/Raw!D1315)</f>
        <v>1.3794167931184535E-2</v>
      </c>
      <c r="X1314" s="3">
        <v>45770</v>
      </c>
      <c r="Y1314" cm="1">
        <f t="array" ref="Y1314">SUMPRODUCT($T$2:$T$4,TRANSPOSE(B1314:D1314))</f>
        <v>1.3518829050231686E-2</v>
      </c>
      <c r="AD1314" s="3">
        <v>45769</v>
      </c>
      <c r="AE1314">
        <v>1.1105659014973429E-3</v>
      </c>
      <c r="AF1314">
        <f t="shared" si="20"/>
        <v>0</v>
      </c>
    </row>
    <row r="1315" spans="1:32" x14ac:dyDescent="0.35">
      <c r="A1315" s="3">
        <v>45771</v>
      </c>
      <c r="B1315" s="6">
        <f>LN(Raw!B1317/Raw!B1316)</f>
        <v>1.5959394522314951E-4</v>
      </c>
      <c r="C1315" s="6">
        <f>LN(Raw!C1317/Raw!C1316)</f>
        <v>3.0558894168813103E-3</v>
      </c>
      <c r="D1315" s="6">
        <f>LN(Raw!D1317/Raw!D1316)</f>
        <v>-1.7211641714491189E-4</v>
      </c>
      <c r="X1315" s="3">
        <v>45771</v>
      </c>
      <c r="Y1315" cm="1">
        <f t="array" ref="Y1315">SUMPRODUCT($T$2:$T$4,TRANSPOSE(B1315:D1315))</f>
        <v>7.2118571485546166E-4</v>
      </c>
      <c r="AD1315" s="3">
        <v>45770</v>
      </c>
      <c r="AE1315">
        <v>1.3518829050231686E-2</v>
      </c>
      <c r="AF1315">
        <f t="shared" si="20"/>
        <v>0</v>
      </c>
    </row>
    <row r="1316" spans="1:32" x14ac:dyDescent="0.35">
      <c r="A1316" s="3">
        <v>45772</v>
      </c>
      <c r="B1316" s="6">
        <f>LN(Raw!B1318/Raw!B1317)</f>
        <v>-1.403195879966161E-2</v>
      </c>
      <c r="C1316" s="6">
        <f>LN(Raw!C1318/Raw!C1317)</f>
        <v>4.5665420766072906E-3</v>
      </c>
      <c r="D1316" s="6">
        <f>LN(Raw!D1318/Raw!D1317)</f>
        <v>-3.4409685519580527E-2</v>
      </c>
      <c r="X1316" s="3">
        <v>45772</v>
      </c>
      <c r="Y1316" cm="1">
        <f t="array" ref="Y1316">SUMPRODUCT($T$2:$T$4,TRANSPOSE(B1316:D1316))</f>
        <v>-1.1328787316520992E-2</v>
      </c>
      <c r="AD1316" s="3">
        <v>45771</v>
      </c>
      <c r="AE1316">
        <v>7.2118571485546166E-4</v>
      </c>
      <c r="AF1316">
        <f t="shared" si="20"/>
        <v>0</v>
      </c>
    </row>
    <row r="1317" spans="1:32" x14ac:dyDescent="0.35">
      <c r="A1317" s="3">
        <v>45775</v>
      </c>
      <c r="B1317" s="6">
        <f>LN(Raw!B1319/Raw!B1318)</f>
        <v>-2.1056886273861132E-3</v>
      </c>
      <c r="C1317" s="6">
        <f>LN(Raw!C1319/Raw!C1318)</f>
        <v>1.1678512115142938E-4</v>
      </c>
      <c r="D1317" s="6">
        <f>LN(Raw!D1319/Raw!D1318)</f>
        <v>1.302823599513458E-2</v>
      </c>
      <c r="X1317" s="3">
        <v>45775</v>
      </c>
      <c r="Y1317" cm="1">
        <f t="array" ref="Y1317">SUMPRODUCT($T$2:$T$4,TRANSPOSE(B1317:D1317))</f>
        <v>-9.1317419034401084E-4</v>
      </c>
      <c r="AD1317" s="3">
        <v>45772</v>
      </c>
      <c r="AE1317">
        <v>-1.1328787316520992E-2</v>
      </c>
      <c r="AF1317">
        <f t="shared" si="20"/>
        <v>0</v>
      </c>
    </row>
    <row r="1318" spans="1:32" x14ac:dyDescent="0.35">
      <c r="A1318" s="3">
        <v>45776</v>
      </c>
      <c r="B1318" s="6">
        <f>LN(Raw!B1320/Raw!B1319)</f>
        <v>3.1837944781474862E-3</v>
      </c>
      <c r="C1318" s="6">
        <f>LN(Raw!C1320/Raw!C1319)</f>
        <v>1.3228361115717705E-2</v>
      </c>
      <c r="D1318" s="6">
        <f>LN(Raw!D1320/Raw!D1319)</f>
        <v>3.2159676573231669E-3</v>
      </c>
      <c r="X1318" s="3">
        <v>45776</v>
      </c>
      <c r="Y1318" cm="1">
        <f t="array" ref="Y1318">SUMPRODUCT($T$2:$T$4,TRANSPOSE(B1318:D1318))</f>
        <v>5.1899616758178113E-3</v>
      </c>
      <c r="AD1318" s="3">
        <v>45775</v>
      </c>
      <c r="AE1318">
        <v>-9.1317419034401084E-4</v>
      </c>
      <c r="AF1318">
        <f t="shared" si="20"/>
        <v>0</v>
      </c>
    </row>
    <row r="1319" spans="1:32" x14ac:dyDescent="0.35">
      <c r="A1319" s="3">
        <v>45777</v>
      </c>
      <c r="B1319" s="6">
        <f>LN(Raw!B1321/Raw!B1320)</f>
        <v>1.0930860118594104E-2</v>
      </c>
      <c r="C1319" s="6">
        <f>LN(Raw!C1321/Raw!C1320)</f>
        <v>-3.9022525216354652E-2</v>
      </c>
      <c r="D1319" s="6">
        <f>LN(Raw!D1321/Raw!D1320)</f>
        <v>4.5434303530831905E-3</v>
      </c>
      <c r="X1319" s="3">
        <v>45777</v>
      </c>
      <c r="Y1319" cm="1">
        <f t="array" ref="Y1319">SUMPRODUCT($T$2:$T$4,TRANSPOSE(B1319:D1319))</f>
        <v>6.4564377056739548E-4</v>
      </c>
      <c r="AD1319" s="3">
        <v>45776</v>
      </c>
      <c r="AE1319">
        <v>5.1899616758178113E-3</v>
      </c>
      <c r="AF1319">
        <f t="shared" si="20"/>
        <v>0</v>
      </c>
    </row>
    <row r="1320" spans="1:32" x14ac:dyDescent="0.35">
      <c r="A1320" s="3">
        <v>45779</v>
      </c>
      <c r="B1320" s="6">
        <f>LN(Raw!B1322/Raw!B1321)</f>
        <v>-1.238654461914954E-2</v>
      </c>
      <c r="C1320" s="6">
        <f>LN(Raw!C1322/Raw!C1321)</f>
        <v>1.4399060063607678E-2</v>
      </c>
      <c r="D1320" s="6">
        <f>LN(Raw!D1322/Raw!D1321)</f>
        <v>-7.349613246258044E-3</v>
      </c>
      <c r="X1320" s="3">
        <v>45779</v>
      </c>
      <c r="Y1320" cm="1">
        <f t="array" ref="Y1320">SUMPRODUCT($T$2:$T$4,TRANSPOSE(B1320:D1320))</f>
        <v>-6.7917142868976921E-3</v>
      </c>
      <c r="AD1320" s="3">
        <v>45777</v>
      </c>
      <c r="AE1320">
        <v>6.4564377056739548E-4</v>
      </c>
      <c r="AF1320">
        <f t="shared" si="20"/>
        <v>0</v>
      </c>
    </row>
    <row r="1321" spans="1:32" x14ac:dyDescent="0.35">
      <c r="A1321" s="3">
        <v>45782</v>
      </c>
      <c r="B1321" s="6">
        <f>LN(Raw!B1323/Raw!B1322)</f>
        <v>-5.9371139389957682E-4</v>
      </c>
      <c r="C1321" s="6">
        <f>LN(Raw!C1323/Raw!C1322)</f>
        <v>1.0109423536886594E-2</v>
      </c>
      <c r="D1321" s="6">
        <f>LN(Raw!D1323/Raw!D1322)</f>
        <v>-1.8751127701268717E-3</v>
      </c>
      <c r="X1321" s="3">
        <v>45782</v>
      </c>
      <c r="Y1321" cm="1">
        <f t="array" ref="Y1321">SUMPRODUCT($T$2:$T$4,TRANSPOSE(B1321:D1321))</f>
        <v>1.4788761037183402E-3</v>
      </c>
      <c r="AD1321" s="3">
        <v>45779</v>
      </c>
      <c r="AE1321">
        <v>-6.7917142868976921E-3</v>
      </c>
      <c r="AF1321">
        <f t="shared" si="20"/>
        <v>0</v>
      </c>
    </row>
    <row r="1322" spans="1:32" x14ac:dyDescent="0.35">
      <c r="A1322" s="3">
        <v>45783</v>
      </c>
      <c r="B1322" s="6">
        <f>LN(Raw!B1324/Raw!B1323)</f>
        <v>-3.1367420191815813E-2</v>
      </c>
      <c r="C1322" s="6">
        <f>LN(Raw!C1324/Raw!C1323)</f>
        <v>-4.5462363841117674E-2</v>
      </c>
      <c r="D1322" s="6">
        <f>LN(Raw!D1324/Raw!D1323)</f>
        <v>-2.7231205419685253E-2</v>
      </c>
      <c r="X1322" s="3">
        <v>45783</v>
      </c>
      <c r="Y1322" cm="1">
        <f t="array" ref="Y1322">SUMPRODUCT($T$2:$T$4,TRANSPOSE(B1322:D1322))</f>
        <v>-3.3975619176700431E-2</v>
      </c>
      <c r="AD1322" s="3">
        <v>45782</v>
      </c>
      <c r="AE1322">
        <v>1.4788761037183402E-3</v>
      </c>
      <c r="AF1322">
        <f t="shared" si="20"/>
        <v>0</v>
      </c>
    </row>
    <row r="1323" spans="1:32" x14ac:dyDescent="0.35">
      <c r="A1323" s="3">
        <v>45784</v>
      </c>
      <c r="B1323" s="6">
        <f>LN(Raw!B1325/Raw!B1324)</f>
        <v>1.7067169368436531E-2</v>
      </c>
      <c r="C1323" s="6">
        <f>LN(Raw!C1325/Raw!C1324)</f>
        <v>5.6144764847988636E-3</v>
      </c>
      <c r="D1323" s="6">
        <f>LN(Raw!D1325/Raw!D1324)</f>
        <v>1.5057484784581675E-3</v>
      </c>
      <c r="X1323" s="3">
        <v>45784</v>
      </c>
      <c r="Y1323" cm="1">
        <f t="array" ref="Y1323">SUMPRODUCT($T$2:$T$4,TRANSPOSE(B1323:D1323))</f>
        <v>1.401144077195669E-2</v>
      </c>
      <c r="AD1323" s="3">
        <v>45783</v>
      </c>
      <c r="AE1323">
        <v>-3.3975619176700431E-2</v>
      </c>
      <c r="AF1323">
        <f t="shared" si="20"/>
        <v>0</v>
      </c>
    </row>
    <row r="1324" spans="1:32" x14ac:dyDescent="0.35">
      <c r="A1324" s="3">
        <v>45785</v>
      </c>
      <c r="B1324" s="6">
        <f>LN(Raw!B1326/Raw!B1325)</f>
        <v>-1.8907090489341697E-2</v>
      </c>
      <c r="C1324" s="6">
        <f>LN(Raw!C1326/Raw!C1325)</f>
        <v>-2.0411298694393284E-2</v>
      </c>
      <c r="D1324" s="6">
        <f>LN(Raw!D1326/Raw!D1325)</f>
        <v>-6.5815189534244155E-3</v>
      </c>
      <c r="X1324" s="3">
        <v>45785</v>
      </c>
      <c r="Y1324" cm="1">
        <f t="array" ref="Y1324">SUMPRODUCT($T$2:$T$4,TRANSPOSE(B1324:D1324))</f>
        <v>-1.8597288406669066E-2</v>
      </c>
      <c r="AD1324" s="3">
        <v>45784</v>
      </c>
      <c r="AE1324">
        <v>1.401144077195669E-2</v>
      </c>
      <c r="AF1324">
        <f t="shared" si="20"/>
        <v>0</v>
      </c>
    </row>
    <row r="1325" spans="1:32" x14ac:dyDescent="0.35">
      <c r="A1325" s="3">
        <v>45786</v>
      </c>
      <c r="B1325" s="6">
        <f>LN(Raw!B1327/Raw!B1326)</f>
        <v>-5.3722663031397231E-3</v>
      </c>
      <c r="C1325" s="6">
        <f>LN(Raw!C1327/Raw!C1326)</f>
        <v>-2.0329520553158956E-2</v>
      </c>
      <c r="D1325" s="6">
        <f>LN(Raw!D1327/Raw!D1326)</f>
        <v>-2.8948371961777009E-2</v>
      </c>
      <c r="X1325" s="3">
        <v>45786</v>
      </c>
      <c r="Y1325" cm="1">
        <f t="array" ref="Y1325">SUMPRODUCT($T$2:$T$4,TRANSPOSE(B1325:D1325))</f>
        <v>-9.5240409476660612E-3</v>
      </c>
      <c r="AD1325" s="3">
        <v>45785</v>
      </c>
      <c r="AE1325">
        <v>-1.8597288406669066E-2</v>
      </c>
      <c r="AF1325">
        <f t="shared" si="20"/>
        <v>0</v>
      </c>
    </row>
    <row r="1326" spans="1:32" x14ac:dyDescent="0.35">
      <c r="A1326" s="3">
        <v>45789</v>
      </c>
      <c r="B1326" s="6">
        <f>LN(Raw!B1328/Raw!B1327)</f>
        <v>3.0122006268140895E-2</v>
      </c>
      <c r="C1326" s="6">
        <f>LN(Raw!C1328/Raw!C1327)</f>
        <v>4.8379594693538981E-2</v>
      </c>
      <c r="D1326" s="6">
        <f>LN(Raw!D1328/Raw!D1327)</f>
        <v>5.0048417000620307E-2</v>
      </c>
      <c r="X1326" s="3">
        <v>45789</v>
      </c>
      <c r="Y1326" cm="1">
        <f t="array" ref="Y1326">SUMPRODUCT($T$2:$T$4,TRANSPOSE(B1326:D1326))</f>
        <v>3.4751798287748693E-2</v>
      </c>
      <c r="AD1326" s="3">
        <v>45786</v>
      </c>
      <c r="AE1326">
        <v>-9.5240409476660612E-3</v>
      </c>
      <c r="AF1326">
        <f t="shared" si="20"/>
        <v>0</v>
      </c>
    </row>
    <row r="1327" spans="1:32" x14ac:dyDescent="0.35">
      <c r="A1327" s="3">
        <v>45790</v>
      </c>
      <c r="B1327" s="6">
        <f>LN(Raw!B1329/Raw!B1328)</f>
        <v>1.6094553460232253E-2</v>
      </c>
      <c r="C1327" s="6">
        <f>LN(Raw!C1329/Raw!C1328)</f>
        <v>5.180430478594001E-3</v>
      </c>
      <c r="D1327" s="6">
        <f>LN(Raw!D1329/Raw!D1328)</f>
        <v>2.7554497420680748E-2</v>
      </c>
      <c r="X1327" s="3">
        <v>45790</v>
      </c>
      <c r="Y1327" cm="1">
        <f t="array" ref="Y1327">SUMPRODUCT($T$2:$T$4,TRANSPOSE(B1327:D1327))</f>
        <v>1.4483596531346489E-2</v>
      </c>
      <c r="AD1327" s="3">
        <v>45789</v>
      </c>
      <c r="AE1327">
        <v>3.4751798287748693E-2</v>
      </c>
      <c r="AF1327">
        <f t="shared" si="20"/>
        <v>0</v>
      </c>
    </row>
    <row r="1328" spans="1:32" x14ac:dyDescent="0.35">
      <c r="A1328" s="3">
        <v>45791</v>
      </c>
      <c r="B1328" s="6">
        <f>LN(Raw!B1330/Raw!B1329)</f>
        <v>-8.3930526945703125E-3</v>
      </c>
      <c r="C1328" s="6">
        <f>LN(Raw!C1330/Raw!C1329)</f>
        <v>3.8379068643017425E-3</v>
      </c>
      <c r="D1328" s="6">
        <f>LN(Raw!D1330/Raw!D1329)</f>
        <v>-3.8157399959843643E-3</v>
      </c>
      <c r="X1328" s="3">
        <v>45791</v>
      </c>
      <c r="Y1328" cm="1">
        <f t="array" ref="Y1328">SUMPRODUCT($T$2:$T$4,TRANSPOSE(B1328:D1328))</f>
        <v>-5.7256116906640574E-3</v>
      </c>
      <c r="AD1328" s="3">
        <v>45790</v>
      </c>
      <c r="AE1328">
        <v>1.4483596531346489E-2</v>
      </c>
      <c r="AF1328">
        <f t="shared" si="20"/>
        <v>0</v>
      </c>
    </row>
    <row r="1329" spans="1:32" x14ac:dyDescent="0.35">
      <c r="A1329" s="3">
        <v>45792</v>
      </c>
      <c r="B1329" s="6">
        <f>LN(Raw!B1331/Raw!B1330)</f>
        <v>1.1922834851092761E-2</v>
      </c>
      <c r="C1329" s="6">
        <f>LN(Raw!C1331/Raw!C1330)</f>
        <v>6.4430574565608337E-3</v>
      </c>
      <c r="D1329" s="6">
        <f>LN(Raw!D1331/Raw!D1330)</f>
        <v>1.2891566818643565E-2</v>
      </c>
      <c r="X1329" s="3">
        <v>45792</v>
      </c>
      <c r="Y1329" cm="1">
        <f t="array" ref="Y1329">SUMPRODUCT($T$2:$T$4,TRANSPOSE(B1329:D1329))</f>
        <v>1.0877188696819367E-2</v>
      </c>
      <c r="AD1329" s="3">
        <v>45791</v>
      </c>
      <c r="AE1329">
        <v>-5.7256116906640574E-3</v>
      </c>
      <c r="AF1329">
        <f t="shared" si="20"/>
        <v>0</v>
      </c>
    </row>
    <row r="1330" spans="1:32" x14ac:dyDescent="0.35">
      <c r="A1330" s="3">
        <v>45793</v>
      </c>
      <c r="B1330" s="6">
        <f>LN(Raw!B1332/Raw!B1331)</f>
        <v>-1.2625407281573521E-2</v>
      </c>
      <c r="C1330" s="6">
        <f>LN(Raw!C1332/Raw!C1331)</f>
        <v>3.700891486194454E-2</v>
      </c>
      <c r="D1330" s="6">
        <f>LN(Raw!D1332/Raw!D1331)</f>
        <v>2.3453299200582596E-2</v>
      </c>
      <c r="X1330" s="3">
        <v>45793</v>
      </c>
      <c r="Y1330" cm="1">
        <f t="array" ref="Y1330">SUMPRODUCT($T$2:$T$4,TRANSPOSE(B1330:D1330))</f>
        <v>-9.3444122809165E-4</v>
      </c>
      <c r="AD1330" s="3">
        <v>45792</v>
      </c>
      <c r="AE1330">
        <v>1.0877188696819367E-2</v>
      </c>
      <c r="AF1330">
        <f t="shared" si="20"/>
        <v>0</v>
      </c>
    </row>
    <row r="1331" spans="1:32" x14ac:dyDescent="0.35">
      <c r="A1331" s="3">
        <v>45796</v>
      </c>
      <c r="B1331" s="6">
        <f>LN(Raw!B1333/Raw!B1332)</f>
        <v>1.879923322000486E-2</v>
      </c>
      <c r="C1331" s="6">
        <f>LN(Raw!C1333/Raw!C1332)</f>
        <v>-6.6697480000698908E-3</v>
      </c>
      <c r="D1331" s="6">
        <f>LN(Raw!D1333/Raw!D1332)</f>
        <v>1.265493938293938E-2</v>
      </c>
      <c r="X1331" s="3">
        <v>45796</v>
      </c>
      <c r="Y1331" cm="1">
        <f t="array" ref="Y1331">SUMPRODUCT($T$2:$T$4,TRANSPOSE(B1331:D1331))</f>
        <v>1.34123553728359E-2</v>
      </c>
      <c r="AD1331" s="3">
        <v>45793</v>
      </c>
      <c r="AE1331">
        <v>-9.3444122809165E-4</v>
      </c>
      <c r="AF1331">
        <f t="shared" si="20"/>
        <v>0</v>
      </c>
    </row>
    <row r="1332" spans="1:32" x14ac:dyDescent="0.35">
      <c r="A1332" s="3">
        <v>45797</v>
      </c>
      <c r="B1332" s="6">
        <f>LN(Raw!B1334/Raw!B1333)</f>
        <v>-5.0533540516278985E-3</v>
      </c>
      <c r="C1332" s="6">
        <f>LN(Raw!C1334/Raw!C1333)</f>
        <v>-2.8887158672930473E-3</v>
      </c>
      <c r="D1332" s="6">
        <f>LN(Raw!D1334/Raw!D1333)</f>
        <v>-3.730980967704732E-2</v>
      </c>
      <c r="X1332" s="3">
        <v>45797</v>
      </c>
      <c r="Y1332" cm="1">
        <f t="array" ref="Y1332">SUMPRODUCT($T$2:$T$4,TRANSPOSE(B1332:D1332))</f>
        <v>-6.2177368089508652E-3</v>
      </c>
      <c r="AD1332" s="3">
        <v>45796</v>
      </c>
      <c r="AE1332">
        <v>1.34123553728359E-2</v>
      </c>
      <c r="AF1332">
        <f t="shared" si="20"/>
        <v>0</v>
      </c>
    </row>
    <row r="1333" spans="1:32" x14ac:dyDescent="0.35">
      <c r="A1333" s="3">
        <v>45798</v>
      </c>
      <c r="B1333" s="6">
        <f>LN(Raw!B1335/Raw!B1334)</f>
        <v>1.5452697220459991E-3</v>
      </c>
      <c r="C1333" s="6">
        <f>LN(Raw!C1335/Raw!C1334)</f>
        <v>1.0016835627959736E-2</v>
      </c>
      <c r="D1333" s="6">
        <f>LN(Raw!D1335/Raw!D1334)</f>
        <v>2.543660220659183E-2</v>
      </c>
      <c r="X1333" s="3">
        <v>45798</v>
      </c>
      <c r="Y1333" cm="1">
        <f t="array" ref="Y1333">SUMPRODUCT($T$2:$T$4,TRANSPOSE(B1333:D1333))</f>
        <v>4.4183085791647328E-3</v>
      </c>
      <c r="AD1333" s="3">
        <v>45797</v>
      </c>
      <c r="AE1333">
        <v>-6.2177368089508652E-3</v>
      </c>
      <c r="AF1333">
        <f t="shared" si="20"/>
        <v>0</v>
      </c>
    </row>
    <row r="1334" spans="1:32" x14ac:dyDescent="0.35">
      <c r="A1334" s="3">
        <v>45799</v>
      </c>
      <c r="B1334" s="6">
        <f>LN(Raw!B1336/Raw!B1335)</f>
        <v>-5.0710920951641545E-3</v>
      </c>
      <c r="C1334" s="6">
        <f>LN(Raw!C1336/Raw!C1335)</f>
        <v>-3.7110491149223365E-2</v>
      </c>
      <c r="D1334" s="6">
        <f>LN(Raw!D1336/Raw!D1335)</f>
        <v>-1.4334558664911274E-2</v>
      </c>
      <c r="X1334" s="3">
        <v>45799</v>
      </c>
      <c r="Y1334" cm="1">
        <f t="array" ref="Y1334">SUMPRODUCT($T$2:$T$4,TRANSPOSE(B1334:D1334))</f>
        <v>-1.192358367067646E-2</v>
      </c>
      <c r="AD1334" s="3">
        <v>45798</v>
      </c>
      <c r="AE1334">
        <v>4.4183085791647328E-3</v>
      </c>
      <c r="AF1334">
        <f t="shared" si="20"/>
        <v>0</v>
      </c>
    </row>
    <row r="1335" spans="1:32" x14ac:dyDescent="0.35">
      <c r="A1335" s="3">
        <v>45800</v>
      </c>
      <c r="B1335" s="6">
        <f>LN(Raw!B1337/Raw!B1336)</f>
        <v>1.4082110331106545E-2</v>
      </c>
      <c r="C1335" s="6">
        <f>LN(Raw!C1337/Raw!C1336)</f>
        <v>1.5454835273716007E-2</v>
      </c>
      <c r="D1335" s="6">
        <f>LN(Raw!D1337/Raw!D1336)</f>
        <v>3.2475598421852089E-2</v>
      </c>
      <c r="X1335" s="3">
        <v>45800</v>
      </c>
      <c r="Y1335" cm="1">
        <f t="array" ref="Y1335">SUMPRODUCT($T$2:$T$4,TRANSPOSE(B1335:D1335))</f>
        <v>1.5266358036753792E-2</v>
      </c>
      <c r="AD1335" s="3">
        <v>45799</v>
      </c>
      <c r="AE1335">
        <v>-1.192358367067646E-2</v>
      </c>
      <c r="AF1335">
        <f t="shared" si="20"/>
        <v>0</v>
      </c>
    </row>
    <row r="1336" spans="1:32" x14ac:dyDescent="0.35">
      <c r="A1336" s="3">
        <v>45803</v>
      </c>
      <c r="B1336" s="6">
        <f>LN(Raw!B1338/Raw!B1337)</f>
        <v>-2.7714145997314324E-2</v>
      </c>
      <c r="C1336" s="6">
        <f>LN(Raw!C1338/Raw!C1337)</f>
        <v>1.0249287345388373E-2</v>
      </c>
      <c r="D1336" s="6">
        <f>LN(Raw!D1338/Raw!D1337)</f>
        <v>1.0522751418820992E-2</v>
      </c>
      <c r="X1336" s="3">
        <v>45803</v>
      </c>
      <c r="Y1336" cm="1">
        <f t="array" ref="Y1336">SUMPRODUCT($T$2:$T$4,TRANSPOSE(B1336:D1336))</f>
        <v>-1.8245507688152654E-2</v>
      </c>
      <c r="AD1336" s="3">
        <v>45800</v>
      </c>
      <c r="AE1336">
        <v>1.5266358036753792E-2</v>
      </c>
      <c r="AF1336">
        <f t="shared" si="20"/>
        <v>0</v>
      </c>
    </row>
    <row r="1337" spans="1:32" x14ac:dyDescent="0.35">
      <c r="A1337" s="3">
        <v>45804</v>
      </c>
      <c r="B1337" s="6">
        <f>LN(Raw!B1339/Raw!B1338)</f>
        <v>-1.2485708637117641E-3</v>
      </c>
      <c r="C1337" s="6">
        <f>LN(Raw!C1339/Raw!C1338)</f>
        <v>-3.5621199072457588E-2</v>
      </c>
      <c r="D1337" s="6">
        <f>LN(Raw!D1339/Raw!D1338)</f>
        <v>-9.4818934352698201E-3</v>
      </c>
      <c r="X1337" s="3">
        <v>45804</v>
      </c>
      <c r="Y1337" cm="1">
        <f t="array" ref="Y1337">SUMPRODUCT($T$2:$T$4,TRANSPOSE(B1337:D1337))</f>
        <v>-8.5157186168943293E-3</v>
      </c>
      <c r="AD1337" s="3">
        <v>45803</v>
      </c>
      <c r="AE1337">
        <v>-1.8245507688152654E-2</v>
      </c>
      <c r="AF1337">
        <f t="shared" si="20"/>
        <v>0</v>
      </c>
    </row>
    <row r="1338" spans="1:32" x14ac:dyDescent="0.35">
      <c r="A1338" s="3">
        <v>45805</v>
      </c>
      <c r="B1338" s="6">
        <f>LN(Raw!B1340/Raw!B1339)</f>
        <v>3.9032785155392684E-3</v>
      </c>
      <c r="C1338" s="6">
        <f>LN(Raw!C1340/Raw!C1339)</f>
        <v>-1.0622940669306816E-2</v>
      </c>
      <c r="D1338" s="6">
        <f>LN(Raw!D1340/Raw!D1339)</f>
        <v>1.8982099715888327E-2</v>
      </c>
      <c r="X1338" s="3">
        <v>45805</v>
      </c>
      <c r="Y1338" cm="1">
        <f t="array" ref="Y1338">SUMPRODUCT($T$2:$T$4,TRANSPOSE(B1338:D1338))</f>
        <v>1.750561182146742E-3</v>
      </c>
      <c r="AD1338" s="3">
        <v>45804</v>
      </c>
      <c r="AE1338">
        <v>-8.5157186168943293E-3</v>
      </c>
      <c r="AF1338">
        <f t="shared" si="20"/>
        <v>0</v>
      </c>
    </row>
    <row r="1339" spans="1:32" x14ac:dyDescent="0.35">
      <c r="A1339" s="3">
        <v>45806</v>
      </c>
      <c r="B1339" s="6">
        <f>LN(Raw!B1341/Raw!B1340)</f>
        <v>3.7803694541547988E-3</v>
      </c>
      <c r="C1339" s="6">
        <f>LN(Raw!C1341/Raw!C1340)</f>
        <v>-7.9196233672209522E-3</v>
      </c>
      <c r="D1339" s="6">
        <f>LN(Raw!D1341/Raw!D1340)</f>
        <v>5.0373006241615711E-3</v>
      </c>
      <c r="X1339" s="3">
        <v>45806</v>
      </c>
      <c r="Y1339" cm="1">
        <f t="array" ref="Y1339">SUMPRODUCT($T$2:$T$4,TRANSPOSE(B1339:D1339))</f>
        <v>1.5076298719001687E-3</v>
      </c>
      <c r="AD1339" s="3">
        <v>45805</v>
      </c>
      <c r="AE1339">
        <v>1.750561182146742E-3</v>
      </c>
      <c r="AF1339">
        <f t="shared" si="20"/>
        <v>0</v>
      </c>
    </row>
    <row r="1340" spans="1:32" x14ac:dyDescent="0.35">
      <c r="A1340" s="3">
        <v>45807</v>
      </c>
      <c r="B1340" s="6">
        <f>LN(Raw!B1342/Raw!B1341)</f>
        <v>1.0829495760749144E-2</v>
      </c>
      <c r="C1340" s="6">
        <f>LN(Raw!C1342/Raw!C1341)</f>
        <v>6.9483030534254475E-3</v>
      </c>
      <c r="D1340" s="6">
        <f>LN(Raw!D1342/Raw!D1341)</f>
        <v>-3.3196228655805763E-3</v>
      </c>
      <c r="X1340" s="3">
        <v>45807</v>
      </c>
      <c r="Y1340" cm="1">
        <f t="array" ref="Y1340">SUMPRODUCT($T$2:$T$4,TRANSPOSE(B1340:D1340))</f>
        <v>9.3546920327026786E-3</v>
      </c>
      <c r="AD1340" s="3">
        <v>45806</v>
      </c>
      <c r="AE1340">
        <v>1.5076298719001687E-3</v>
      </c>
      <c r="AF1340">
        <f t="shared" si="20"/>
        <v>0</v>
      </c>
    </row>
    <row r="1341" spans="1:32" x14ac:dyDescent="0.35">
      <c r="A1341" s="3">
        <v>45810</v>
      </c>
      <c r="B1341" s="6">
        <f>LN(Raw!B1343/Raw!B1342)</f>
        <v>-6.2582904954360426E-3</v>
      </c>
      <c r="C1341" s="6">
        <f>LN(Raw!C1343/Raw!C1342)</f>
        <v>-7.804945652655112E-3</v>
      </c>
      <c r="D1341" s="6">
        <f>LN(Raw!D1343/Raw!D1342)</f>
        <v>7.7463857655218869E-3</v>
      </c>
      <c r="X1341" s="3">
        <v>45810</v>
      </c>
      <c r="Y1341" cm="1">
        <f t="array" ref="Y1341">SUMPRODUCT($T$2:$T$4,TRANSPOSE(B1341:D1341))</f>
        <v>-5.8738605013163867E-3</v>
      </c>
      <c r="AD1341" s="3">
        <v>45807</v>
      </c>
      <c r="AE1341">
        <v>9.3546920327026786E-3</v>
      </c>
      <c r="AF1341">
        <f t="shared" si="20"/>
        <v>0</v>
      </c>
    </row>
    <row r="1342" spans="1:32" x14ac:dyDescent="0.35">
      <c r="A1342" s="3">
        <v>45811</v>
      </c>
      <c r="B1342" s="6">
        <f>LN(Raw!B1344/Raw!B1343)</f>
        <v>-1.3960441441331227E-3</v>
      </c>
      <c r="C1342" s="6">
        <f>LN(Raw!C1344/Raw!C1343)</f>
        <v>-1.1451235003428373E-2</v>
      </c>
      <c r="D1342" s="6">
        <f>LN(Raw!D1344/Raw!D1343)</f>
        <v>-1.8313697183137329E-2</v>
      </c>
      <c r="X1342" s="3">
        <v>45811</v>
      </c>
      <c r="Y1342" cm="1">
        <f t="array" ref="Y1342">SUMPRODUCT($T$2:$T$4,TRANSPOSE(B1342:D1342))</f>
        <v>-4.239995852216614E-3</v>
      </c>
      <c r="AD1342" s="3">
        <v>45810</v>
      </c>
      <c r="AE1342">
        <v>-5.8738605013163867E-3</v>
      </c>
      <c r="AF1342">
        <f t="shared" si="20"/>
        <v>0</v>
      </c>
    </row>
    <row r="1343" spans="1:32" x14ac:dyDescent="0.35">
      <c r="A1343" s="3">
        <v>45812</v>
      </c>
      <c r="B1343" s="6">
        <f>LN(Raw!B1345/Raw!B1344)</f>
        <v>6.5873297179279968E-3</v>
      </c>
      <c r="C1343" s="6">
        <f>LN(Raw!C1345/Raw!C1344)</f>
        <v>-1.221040703263178E-2</v>
      </c>
      <c r="D1343" s="6">
        <f>LN(Raw!D1345/Raw!D1344)</f>
        <v>6.4291543678529116E-3</v>
      </c>
      <c r="X1343" s="3">
        <v>45812</v>
      </c>
      <c r="Y1343" cm="1">
        <f t="array" ref="Y1343">SUMPRODUCT($T$2:$T$4,TRANSPOSE(B1343:D1343))</f>
        <v>2.8280731423826334E-3</v>
      </c>
      <c r="AD1343" s="3">
        <v>45811</v>
      </c>
      <c r="AE1343">
        <v>-4.239995852216614E-3</v>
      </c>
      <c r="AF1343">
        <f t="shared" si="20"/>
        <v>0</v>
      </c>
    </row>
    <row r="1344" spans="1:32" x14ac:dyDescent="0.35">
      <c r="A1344" s="3">
        <v>45813</v>
      </c>
      <c r="B1344" s="6">
        <f>LN(Raw!B1346/Raw!B1345)</f>
        <v>2.1861033922321582E-3</v>
      </c>
      <c r="C1344" s="6">
        <f>LN(Raw!C1346/Raw!C1345)</f>
        <v>-1.2541417655053064E-4</v>
      </c>
      <c r="D1344" s="6">
        <f>LN(Raw!D1346/Raw!D1345)</f>
        <v>1.5920865583175407E-2</v>
      </c>
      <c r="X1344" s="3">
        <v>45813</v>
      </c>
      <c r="Y1344" cm="1">
        <f t="array" ref="Y1344">SUMPRODUCT($T$2:$T$4,TRANSPOSE(B1344:D1344))</f>
        <v>2.4045331079509775E-3</v>
      </c>
      <c r="AD1344" s="3">
        <v>45812</v>
      </c>
      <c r="AE1344">
        <v>2.8280731423826334E-3</v>
      </c>
      <c r="AF1344">
        <f t="shared" si="20"/>
        <v>0</v>
      </c>
    </row>
    <row r="1345" spans="1:32" x14ac:dyDescent="0.35">
      <c r="A1345" s="3">
        <v>45814</v>
      </c>
      <c r="B1345" s="6">
        <f>LN(Raw!B1347/Raw!B1346)</f>
        <v>7.0036605299212212E-2</v>
      </c>
      <c r="C1345" s="6">
        <f>LN(Raw!C1347/Raw!C1346)</f>
        <v>2.3793209734695726E-3</v>
      </c>
      <c r="D1345" s="6">
        <f>LN(Raw!D1347/Raw!D1346)</f>
        <v>1.8016653245529923E-2</v>
      </c>
      <c r="X1345" s="3">
        <v>45814</v>
      </c>
      <c r="Y1345" cm="1">
        <f t="array" ref="Y1345">SUMPRODUCT($T$2:$T$4,TRANSPOSE(B1345:D1345))</f>
        <v>5.3959896652548446E-2</v>
      </c>
      <c r="AD1345" s="3">
        <v>45813</v>
      </c>
      <c r="AE1345">
        <v>2.4045331079509775E-3</v>
      </c>
      <c r="AF1345">
        <f t="shared" si="20"/>
        <v>0</v>
      </c>
    </row>
    <row r="1346" spans="1:32" x14ac:dyDescent="0.35">
      <c r="A1346" s="3">
        <v>45817</v>
      </c>
      <c r="B1346" s="6">
        <f>LN(Raw!B1348/Raw!B1347)</f>
        <v>7.5480083897147849E-3</v>
      </c>
      <c r="C1346" s="6">
        <f>LN(Raw!C1348/Raw!C1347)</f>
        <v>2.0060076209156237E-2</v>
      </c>
      <c r="D1346" s="6">
        <f>LN(Raw!D1348/Raw!D1347)</f>
        <v>3.122266489488933E-4</v>
      </c>
      <c r="X1346" s="3">
        <v>45817</v>
      </c>
      <c r="Y1346" cm="1">
        <f t="array" ref="Y1346">SUMPRODUCT($T$2:$T$4,TRANSPOSE(B1346:D1346))</f>
        <v>9.6869181647162954E-3</v>
      </c>
      <c r="AD1346" s="3">
        <v>45814</v>
      </c>
      <c r="AE1346">
        <v>5.3959896652548446E-2</v>
      </c>
      <c r="AF1346">
        <f t="shared" si="20"/>
        <v>0</v>
      </c>
    </row>
    <row r="1347" spans="1:32" x14ac:dyDescent="0.35">
      <c r="A1347" s="3">
        <v>45818</v>
      </c>
      <c r="B1347" s="6">
        <f>LN(Raw!B1349/Raw!B1348)</f>
        <v>-2.185584957654596E-2</v>
      </c>
      <c r="C1347" s="6">
        <f>LN(Raw!C1349/Raw!C1348)</f>
        <v>4.0374641630993198E-3</v>
      </c>
      <c r="D1347" s="6">
        <f>LN(Raw!D1349/Raw!D1348)</f>
        <v>1.2566400381812158E-2</v>
      </c>
      <c r="X1347" s="3">
        <v>45818</v>
      </c>
      <c r="Y1347" cm="1">
        <f t="array" ref="Y1347">SUMPRODUCT($T$2:$T$4,TRANSPOSE(B1347:D1347))</f>
        <v>-1.4984809341193171E-2</v>
      </c>
      <c r="AD1347" s="3">
        <v>45817</v>
      </c>
      <c r="AE1347">
        <v>9.6869181647162954E-3</v>
      </c>
      <c r="AF1347">
        <f t="shared" ref="AF1347:AF1410" si="21">IF(AE1347&lt;$AB$2,1,0)</f>
        <v>0</v>
      </c>
    </row>
    <row r="1348" spans="1:32" x14ac:dyDescent="0.35">
      <c r="A1348" s="3">
        <v>45819</v>
      </c>
      <c r="B1348" s="6">
        <f>LN(Raw!B1350/Raw!B1349)</f>
        <v>-1.8216169319025095E-2</v>
      </c>
      <c r="C1348" s="6">
        <f>LN(Raw!C1350/Raw!C1349)</f>
        <v>-1.1543853878497079E-2</v>
      </c>
      <c r="D1348" s="6">
        <f>LN(Raw!D1350/Raw!D1349)</f>
        <v>2.2007947693348698E-2</v>
      </c>
      <c r="X1348" s="3">
        <v>45819</v>
      </c>
      <c r="Y1348" cm="1">
        <f t="array" ref="Y1348">SUMPRODUCT($T$2:$T$4,TRANSPOSE(B1348:D1348))</f>
        <v>-1.4893891984152811E-2</v>
      </c>
      <c r="AD1348" s="3">
        <v>45818</v>
      </c>
      <c r="AE1348">
        <v>-1.4984809341193171E-2</v>
      </c>
      <c r="AF1348">
        <f t="shared" si="21"/>
        <v>0</v>
      </c>
    </row>
    <row r="1349" spans="1:32" x14ac:dyDescent="0.35">
      <c r="A1349" s="3">
        <v>45820</v>
      </c>
      <c r="B1349" s="6">
        <f>LN(Raw!B1351/Raw!B1350)</f>
        <v>-2.086496466281592E-2</v>
      </c>
      <c r="C1349" s="6">
        <f>LN(Raw!C1351/Raw!C1350)</f>
        <v>-2.69152780220837E-2</v>
      </c>
      <c r="D1349" s="6">
        <f>LN(Raw!D1351/Raw!D1350)</f>
        <v>-3.8641722764858777E-2</v>
      </c>
      <c r="X1349" s="3">
        <v>45820</v>
      </c>
      <c r="Y1349" cm="1">
        <f t="array" ref="Y1349">SUMPRODUCT($T$2:$T$4,TRANSPOSE(B1349:D1349))</f>
        <v>-2.2952187658800065E-2</v>
      </c>
      <c r="AD1349" s="3">
        <v>45819</v>
      </c>
      <c r="AE1349">
        <v>-1.4893891984152811E-2</v>
      </c>
      <c r="AF1349">
        <f t="shared" si="21"/>
        <v>0</v>
      </c>
    </row>
    <row r="1350" spans="1:32" x14ac:dyDescent="0.35">
      <c r="A1350" s="3">
        <v>45821</v>
      </c>
      <c r="B1350" s="6">
        <f>LN(Raw!B1352/Raw!B1351)</f>
        <v>2.019533441845156E-2</v>
      </c>
      <c r="C1350" s="6">
        <f>LN(Raw!C1352/Raw!C1351)</f>
        <v>-6.4922718057892452E-3</v>
      </c>
      <c r="D1350" s="6">
        <f>LN(Raw!D1352/Raw!D1351)</f>
        <v>-2.5990622526248348E-2</v>
      </c>
      <c r="X1350" s="3">
        <v>45821</v>
      </c>
      <c r="Y1350" cm="1">
        <f t="array" ref="Y1350">SUMPRODUCT($T$2:$T$4,TRANSPOSE(B1350:D1350))</f>
        <v>1.2583591622212785E-2</v>
      </c>
      <c r="AD1350" s="3">
        <v>45820</v>
      </c>
      <c r="AE1350">
        <v>-2.2952187658800065E-2</v>
      </c>
      <c r="AF1350">
        <f t="shared" si="21"/>
        <v>0</v>
      </c>
    </row>
    <row r="1351" spans="1:32" x14ac:dyDescent="0.35">
      <c r="A1351" s="3">
        <v>45824</v>
      </c>
      <c r="B1351" s="6">
        <f>LN(Raw!B1353/Raw!B1352)</f>
        <v>2.0589986909927706E-3</v>
      </c>
      <c r="C1351" s="6">
        <f>LN(Raw!C1353/Raw!C1352)</f>
        <v>-1.168995966375796E-2</v>
      </c>
      <c r="D1351" s="6">
        <f>LN(Raw!D1353/Raw!D1352)</f>
        <v>2.356904489309843E-3</v>
      </c>
      <c r="X1351" s="3">
        <v>45824</v>
      </c>
      <c r="Y1351" cm="1">
        <f t="array" ref="Y1351">SUMPRODUCT($T$2:$T$4,TRANSPOSE(B1351:D1351))</f>
        <v>-6.7011128317755859E-4</v>
      </c>
      <c r="AD1351" s="3">
        <v>45821</v>
      </c>
      <c r="AE1351">
        <v>1.2583591622212785E-2</v>
      </c>
      <c r="AF1351">
        <f t="shared" si="21"/>
        <v>0</v>
      </c>
    </row>
    <row r="1352" spans="1:32" x14ac:dyDescent="0.35">
      <c r="A1352" s="3">
        <v>45825</v>
      </c>
      <c r="B1352" s="6">
        <f>LN(Raw!B1354/Raw!B1353)</f>
        <v>-1.4554961639845139E-2</v>
      </c>
      <c r="C1352" s="6">
        <f>LN(Raw!C1354/Raw!C1353)</f>
        <v>-1.9704523537824561E-2</v>
      </c>
      <c r="D1352" s="6">
        <f>LN(Raw!D1354/Raw!D1353)</f>
        <v>-2.1086487324563665E-2</v>
      </c>
      <c r="X1352" s="3">
        <v>45825</v>
      </c>
      <c r="Y1352" cm="1">
        <f t="array" ref="Y1352">SUMPRODUCT($T$2:$T$4,TRANSPOSE(B1352:D1352))</f>
        <v>-1.590589566281337E-2</v>
      </c>
      <c r="AD1352" s="3">
        <v>45824</v>
      </c>
      <c r="AE1352">
        <v>-6.7011128317755859E-4</v>
      </c>
      <c r="AF1352">
        <f t="shared" si="21"/>
        <v>0</v>
      </c>
    </row>
    <row r="1353" spans="1:32" x14ac:dyDescent="0.35">
      <c r="A1353" s="3">
        <v>45826</v>
      </c>
      <c r="B1353" s="6">
        <f>LN(Raw!B1355/Raw!B1354)</f>
        <v>8.1582928137018847E-3</v>
      </c>
      <c r="C1353" s="6">
        <f>LN(Raw!C1355/Raw!C1354)</f>
        <v>-2.1311360600361436E-2</v>
      </c>
      <c r="D1353" s="6">
        <f>LN(Raw!D1355/Raw!D1354)</f>
        <v>-3.3934899465595234E-3</v>
      </c>
      <c r="X1353" s="3">
        <v>45826</v>
      </c>
      <c r="Y1353" cm="1">
        <f t="array" ref="Y1353">SUMPRODUCT($T$2:$T$4,TRANSPOSE(B1353:D1353))</f>
        <v>1.7053913351545436E-3</v>
      </c>
      <c r="AD1353" s="3">
        <v>45825</v>
      </c>
      <c r="AE1353">
        <v>-1.590589566281337E-2</v>
      </c>
      <c r="AF1353">
        <f t="shared" si="21"/>
        <v>0</v>
      </c>
    </row>
    <row r="1354" spans="1:32" x14ac:dyDescent="0.35">
      <c r="A1354" s="3">
        <v>45827</v>
      </c>
      <c r="B1354" s="6">
        <f>LN(Raw!B1356/Raw!B1355)</f>
        <v>-2.4872243200692208E-3</v>
      </c>
      <c r="C1354" s="6">
        <f>LN(Raw!C1356/Raw!C1355)</f>
        <v>-1.2123032891457608E-3</v>
      </c>
      <c r="D1354" s="6">
        <f>LN(Raw!D1356/Raw!D1355)</f>
        <v>-2.7796549310686203E-2</v>
      </c>
      <c r="X1354" s="3">
        <v>45827</v>
      </c>
      <c r="Y1354" cm="1">
        <f t="array" ref="Y1354">SUMPRODUCT($T$2:$T$4,TRANSPOSE(B1354:D1354))</f>
        <v>-3.4853519987000569E-3</v>
      </c>
      <c r="AD1354" s="3">
        <v>45826</v>
      </c>
      <c r="AE1354">
        <v>1.7053913351545436E-3</v>
      </c>
      <c r="AF1354">
        <f t="shared" si="21"/>
        <v>0</v>
      </c>
    </row>
    <row r="1355" spans="1:32" x14ac:dyDescent="0.35">
      <c r="A1355" s="3">
        <v>45828</v>
      </c>
      <c r="B1355" s="6">
        <f>LN(Raw!B1357/Raw!B1356)</f>
        <v>2.2317208533098137E-2</v>
      </c>
      <c r="C1355" s="6">
        <f>LN(Raw!C1357/Raw!C1356)</f>
        <v>1.6708265748091974E-2</v>
      </c>
      <c r="D1355" s="6">
        <f>LN(Raw!D1357/Raw!D1356)</f>
        <v>4.3625392201109614E-2</v>
      </c>
      <c r="X1355" s="3">
        <v>45828</v>
      </c>
      <c r="Y1355" cm="1">
        <f t="array" ref="Y1355">SUMPRODUCT($T$2:$T$4,TRANSPOSE(B1355:D1355))</f>
        <v>2.2252386683085764E-2</v>
      </c>
      <c r="AD1355" s="3">
        <v>45827</v>
      </c>
      <c r="AE1355">
        <v>-3.4853519987000569E-3</v>
      </c>
      <c r="AF1355">
        <f t="shared" si="21"/>
        <v>0</v>
      </c>
    </row>
    <row r="1356" spans="1:32" x14ac:dyDescent="0.35">
      <c r="A1356" s="3">
        <v>45831</v>
      </c>
      <c r="B1356" s="6">
        <f>LN(Raw!B1358/Raw!B1357)</f>
        <v>8.1139479943027383E-4</v>
      </c>
      <c r="C1356" s="6">
        <f>LN(Raw!C1358/Raw!C1357)</f>
        <v>-1.9903774925890435E-3</v>
      </c>
      <c r="D1356" s="6">
        <f>LN(Raw!D1358/Raw!D1357)</f>
        <v>3.34036953923078E-3</v>
      </c>
      <c r="X1356" s="3">
        <v>45831</v>
      </c>
      <c r="Y1356" cm="1">
        <f t="array" ref="Y1356">SUMPRODUCT($T$2:$T$4,TRANSPOSE(B1356:D1356))</f>
        <v>3.7740968554919829E-4</v>
      </c>
      <c r="AD1356" s="3">
        <v>45828</v>
      </c>
      <c r="AE1356">
        <v>2.2252386683085764E-2</v>
      </c>
      <c r="AF1356">
        <f t="shared" si="21"/>
        <v>0</v>
      </c>
    </row>
    <row r="1357" spans="1:32" x14ac:dyDescent="0.35">
      <c r="A1357" s="3">
        <v>45832</v>
      </c>
      <c r="B1357" s="6">
        <f>LN(Raw!B1359/Raw!B1358)</f>
        <v>7.1729178336466066E-3</v>
      </c>
      <c r="C1357" s="6">
        <f>LN(Raw!C1359/Raw!C1358)</f>
        <v>1.2145340489822597E-2</v>
      </c>
      <c r="D1357" s="6">
        <f>LN(Raw!D1359/Raw!D1358)</f>
        <v>2.5784137306254706E-3</v>
      </c>
      <c r="X1357" s="3">
        <v>45832</v>
      </c>
      <c r="Y1357" cm="1">
        <f t="array" ref="Y1357">SUMPRODUCT($T$2:$T$4,TRANSPOSE(B1357:D1357))</f>
        <v>7.9378721517889585E-3</v>
      </c>
      <c r="AD1357" s="3">
        <v>45831</v>
      </c>
      <c r="AE1357">
        <v>3.7740968554919829E-4</v>
      </c>
      <c r="AF1357">
        <f t="shared" si="21"/>
        <v>0</v>
      </c>
    </row>
    <row r="1358" spans="1:32" x14ac:dyDescent="0.35">
      <c r="A1358" s="3">
        <v>45833</v>
      </c>
      <c r="B1358" s="6">
        <f>LN(Raw!B1360/Raw!B1359)</f>
        <v>1.2007332853277541E-2</v>
      </c>
      <c r="C1358" s="6">
        <f>LN(Raw!C1360/Raw!C1359)</f>
        <v>9.533260646152248E-3</v>
      </c>
      <c r="D1358" s="6">
        <f>LN(Raw!D1360/Raw!D1359)</f>
        <v>2.044410280496289E-2</v>
      </c>
      <c r="X1358" s="3">
        <v>45833</v>
      </c>
      <c r="Y1358" cm="1">
        <f t="array" ref="Y1358">SUMPRODUCT($T$2:$T$4,TRANSPOSE(B1358:D1358))</f>
        <v>1.1931123553408241E-2</v>
      </c>
      <c r="AD1358" s="3">
        <v>45832</v>
      </c>
      <c r="AE1358">
        <v>7.9378721517889585E-3</v>
      </c>
      <c r="AF1358">
        <f t="shared" si="21"/>
        <v>0</v>
      </c>
    </row>
    <row r="1359" spans="1:32" x14ac:dyDescent="0.35">
      <c r="A1359" s="3">
        <v>45834</v>
      </c>
      <c r="B1359" s="6">
        <f>LN(Raw!B1361/Raw!B1360)</f>
        <v>3.078551028765324E-3</v>
      </c>
      <c r="C1359" s="6">
        <f>LN(Raw!C1361/Raw!C1360)</f>
        <v>-8.2219702445828612E-3</v>
      </c>
      <c r="D1359" s="6">
        <f>LN(Raw!D1361/Raw!D1360)</f>
        <v>-2.4583511771744618E-2</v>
      </c>
      <c r="X1359" s="3">
        <v>45834</v>
      </c>
      <c r="Y1359" cm="1">
        <f t="array" ref="Y1359">SUMPRODUCT($T$2:$T$4,TRANSPOSE(B1359:D1359))</f>
        <v>-5.4567093920067692E-4</v>
      </c>
      <c r="AD1359" s="3">
        <v>45833</v>
      </c>
      <c r="AE1359">
        <v>1.1931123553408241E-2</v>
      </c>
      <c r="AF1359">
        <f t="shared" si="21"/>
        <v>0</v>
      </c>
    </row>
    <row r="1360" spans="1:32" x14ac:dyDescent="0.35">
      <c r="A1360" s="3">
        <v>45835</v>
      </c>
      <c r="B1360" s="6">
        <f>LN(Raw!B1362/Raw!B1361)</f>
        <v>4.9604865682974762E-5</v>
      </c>
      <c r="C1360" s="6">
        <f>LN(Raw!C1362/Raw!C1361)</f>
        <v>1.3278032840941518E-2</v>
      </c>
      <c r="D1360" s="6">
        <f>LN(Raw!D1362/Raw!D1361)</f>
        <v>-1.0505920585951112E-2</v>
      </c>
      <c r="X1360" s="3">
        <v>45835</v>
      </c>
      <c r="Y1360" cm="1">
        <f t="array" ref="Y1360">SUMPRODUCT($T$2:$T$4,TRANSPOSE(B1360:D1360))</f>
        <v>2.1671828535302163E-3</v>
      </c>
      <c r="AD1360" s="3">
        <v>45834</v>
      </c>
      <c r="AE1360">
        <v>-5.4567093920067692E-4</v>
      </c>
      <c r="AF1360">
        <f t="shared" si="21"/>
        <v>0</v>
      </c>
    </row>
    <row r="1361" spans="1:32" x14ac:dyDescent="0.35">
      <c r="A1361" s="3">
        <v>45838</v>
      </c>
      <c r="B1361" s="6">
        <f>LN(Raw!B1363/Raw!B1362)</f>
        <v>1.1386986255535759E-2</v>
      </c>
      <c r="C1361" s="6">
        <f>LN(Raw!C1363/Raw!C1362)</f>
        <v>-3.8870642565691873E-3</v>
      </c>
      <c r="D1361" s="6">
        <f>LN(Raw!D1363/Raw!D1362)</f>
        <v>4.6742684402817605E-2</v>
      </c>
      <c r="X1361" s="3">
        <v>45838</v>
      </c>
      <c r="Y1361" cm="1">
        <f t="array" ref="Y1361">SUMPRODUCT($T$2:$T$4,TRANSPOSE(B1361:D1361))</f>
        <v>1.0088530440886673E-2</v>
      </c>
      <c r="AD1361" s="3">
        <v>45835</v>
      </c>
      <c r="AE1361">
        <v>2.1671828535302163E-3</v>
      </c>
      <c r="AF1361">
        <f t="shared" si="21"/>
        <v>0</v>
      </c>
    </row>
    <row r="1362" spans="1:32" x14ac:dyDescent="0.35">
      <c r="A1362" s="3">
        <v>45839</v>
      </c>
      <c r="B1362" s="6">
        <f>LN(Raw!B1364/Raw!B1363)</f>
        <v>1.1404249556887043E-2</v>
      </c>
      <c r="C1362" s="6">
        <f>LN(Raw!C1364/Raw!C1363)</f>
        <v>-8.474070900450768E-3</v>
      </c>
      <c r="D1362" s="6">
        <f>LN(Raw!D1364/Raw!D1363)</f>
        <v>-8.0329968030520057E-3</v>
      </c>
      <c r="X1362" s="3">
        <v>45839</v>
      </c>
      <c r="Y1362" cm="1">
        <f t="array" ref="Y1362">SUMPRODUCT($T$2:$T$4,TRANSPOSE(B1362:D1362))</f>
        <v>6.4752195882451773E-3</v>
      </c>
      <c r="AD1362" s="3">
        <v>45838</v>
      </c>
      <c r="AE1362">
        <v>1.0088530440886673E-2</v>
      </c>
      <c r="AF1362">
        <f t="shared" si="21"/>
        <v>0</v>
      </c>
    </row>
    <row r="1363" spans="1:32" x14ac:dyDescent="0.35">
      <c r="A1363" s="3">
        <v>45840</v>
      </c>
      <c r="B1363" s="6">
        <f>LN(Raw!B1365/Raw!B1364)</f>
        <v>-9.3476820931913535E-3</v>
      </c>
      <c r="C1363" s="6">
        <f>LN(Raw!C1365/Raw!C1364)</f>
        <v>-6.0407159659533671E-3</v>
      </c>
      <c r="D1363" s="6">
        <f>LN(Raw!D1365/Raw!D1364)</f>
        <v>-8.890342774241819E-3</v>
      </c>
      <c r="X1363" s="3">
        <v>45840</v>
      </c>
      <c r="Y1363" cm="1">
        <f t="array" ref="Y1363">SUMPRODUCT($T$2:$T$4,TRANSPOSE(B1363:D1363))</f>
        <v>-8.6650833300683586E-3</v>
      </c>
      <c r="AD1363" s="3">
        <v>45839</v>
      </c>
      <c r="AE1363">
        <v>6.4752195882451773E-3</v>
      </c>
      <c r="AF1363">
        <f t="shared" si="21"/>
        <v>0</v>
      </c>
    </row>
    <row r="1364" spans="1:32" x14ac:dyDescent="0.35">
      <c r="A1364" s="3">
        <v>45841</v>
      </c>
      <c r="B1364" s="6">
        <f>LN(Raw!B1366/Raw!B1365)</f>
        <v>-5.0509275286818945E-3</v>
      </c>
      <c r="C1364" s="6">
        <f>LN(Raw!C1366/Raw!C1365)</f>
        <v>-5.6798830304198916E-3</v>
      </c>
      <c r="D1364" s="6">
        <f>LN(Raw!D1366/Raw!D1365)</f>
        <v>-1.3030349101E-2</v>
      </c>
      <c r="X1364" s="3">
        <v>45841</v>
      </c>
      <c r="Y1364" cm="1">
        <f t="array" ref="Y1364">SUMPRODUCT($T$2:$T$4,TRANSPOSE(B1364:D1364))</f>
        <v>-5.5713493772361804E-3</v>
      </c>
      <c r="AD1364" s="3">
        <v>45840</v>
      </c>
      <c r="AE1364">
        <v>-8.6650833300683586E-3</v>
      </c>
      <c r="AF1364">
        <f t="shared" si="21"/>
        <v>0</v>
      </c>
    </row>
    <row r="1365" spans="1:32" x14ac:dyDescent="0.35">
      <c r="A1365" s="3">
        <v>45842</v>
      </c>
      <c r="B1365" s="6">
        <f>LN(Raw!B1367/Raw!B1366)</f>
        <v>6.3889256786056842E-4</v>
      </c>
      <c r="C1365" s="6">
        <f>LN(Raw!C1367/Raw!C1366)</f>
        <v>6.6014886181826257E-3</v>
      </c>
      <c r="D1365" s="6">
        <f>LN(Raw!D1367/Raw!D1366)</f>
        <v>-3.6469465773972397E-3</v>
      </c>
      <c r="X1365" s="3">
        <v>45842</v>
      </c>
      <c r="Y1365" cm="1">
        <f t="array" ref="Y1365">SUMPRODUCT($T$2:$T$4,TRANSPOSE(B1365:D1365))</f>
        <v>1.6167298161150932E-3</v>
      </c>
      <c r="AD1365" s="3">
        <v>45841</v>
      </c>
      <c r="AE1365">
        <v>-5.5713493772361804E-3</v>
      </c>
      <c r="AF1365">
        <f t="shared" si="21"/>
        <v>0</v>
      </c>
    </row>
    <row r="1366" spans="1:32" x14ac:dyDescent="0.35">
      <c r="A1366" s="3">
        <v>45845</v>
      </c>
      <c r="B1366" s="6">
        <f>LN(Raw!B1368/Raw!B1367)</f>
        <v>-4.875767640106869E-3</v>
      </c>
      <c r="C1366" s="6">
        <f>LN(Raw!C1368/Raw!C1367)</f>
        <v>-4.0878362810698454E-3</v>
      </c>
      <c r="D1366" s="6">
        <f>LN(Raw!D1368/Raw!D1367)</f>
        <v>5.7859450216704439E-3</v>
      </c>
      <c r="X1366" s="3">
        <v>45845</v>
      </c>
      <c r="Y1366" cm="1">
        <f t="array" ref="Y1366">SUMPRODUCT($T$2:$T$4,TRANSPOSE(B1366:D1366))</f>
        <v>-4.1908723207072091E-3</v>
      </c>
      <c r="AD1366" s="3">
        <v>45842</v>
      </c>
      <c r="AE1366">
        <v>1.6167298161150932E-3</v>
      </c>
      <c r="AF1366">
        <f t="shared" si="21"/>
        <v>0</v>
      </c>
    </row>
    <row r="1367" spans="1:32" x14ac:dyDescent="0.35">
      <c r="A1367" s="3">
        <v>45846</v>
      </c>
      <c r="B1367" s="6">
        <f>LN(Raw!B1369/Raw!B1368)</f>
        <v>5.6124398938000543E-3</v>
      </c>
      <c r="C1367" s="6">
        <f>LN(Raw!C1369/Raw!C1368)</f>
        <v>-9.8260651807905823E-3</v>
      </c>
      <c r="D1367" s="6">
        <f>LN(Raw!D1369/Raw!D1368)</f>
        <v>6.7613048643627906E-3</v>
      </c>
      <c r="X1367" s="3">
        <v>45846</v>
      </c>
      <c r="Y1367" cm="1">
        <f t="array" ref="Y1367">SUMPRODUCT($T$2:$T$4,TRANSPOSE(B1367:D1367))</f>
        <v>2.5882643412317068E-3</v>
      </c>
      <c r="AD1367" s="3">
        <v>45845</v>
      </c>
      <c r="AE1367">
        <v>-4.1908723207072091E-3</v>
      </c>
      <c r="AF1367">
        <f t="shared" si="21"/>
        <v>0</v>
      </c>
    </row>
    <row r="1368" spans="1:32" x14ac:dyDescent="0.35">
      <c r="A1368" s="3">
        <v>45847</v>
      </c>
      <c r="B1368" s="6">
        <f>LN(Raw!B1370/Raw!B1369)</f>
        <v>-8.2325080812325133E-3</v>
      </c>
      <c r="C1368" s="6">
        <f>LN(Raw!C1370/Raw!C1369)</f>
        <v>-5.8887258343192812E-3</v>
      </c>
      <c r="D1368" s="6">
        <f>LN(Raw!D1370/Raw!D1369)</f>
        <v>4.3413150859633537E-3</v>
      </c>
      <c r="X1368" s="3">
        <v>45847</v>
      </c>
      <c r="Y1368" cm="1">
        <f t="array" ref="Y1368">SUMPRODUCT($T$2:$T$4,TRANSPOSE(B1368:D1368))</f>
        <v>-7.1424839871634671E-3</v>
      </c>
      <c r="AD1368" s="3">
        <v>45846</v>
      </c>
      <c r="AE1368">
        <v>2.5882643412317068E-3</v>
      </c>
      <c r="AF1368">
        <f t="shared" si="21"/>
        <v>0</v>
      </c>
    </row>
    <row r="1369" spans="1:32" x14ac:dyDescent="0.35">
      <c r="A1369" s="3">
        <v>45848</v>
      </c>
      <c r="B1369" s="6">
        <f>LN(Raw!B1371/Raw!B1370)</f>
        <v>-1.2752987403002106E-2</v>
      </c>
      <c r="C1369" s="6">
        <f>LN(Raw!C1371/Raw!C1370)</f>
        <v>1.1610175715236372E-2</v>
      </c>
      <c r="D1369" s="6">
        <f>LN(Raw!D1371/Raw!D1370)</f>
        <v>-1.3670000654648583E-2</v>
      </c>
      <c r="X1369" s="3">
        <v>45848</v>
      </c>
      <c r="Y1369" cm="1">
        <f t="array" ref="Y1369">SUMPRODUCT($T$2:$T$4,TRANSPOSE(B1369:D1369))</f>
        <v>-7.9362604705734592E-3</v>
      </c>
      <c r="AD1369" s="3">
        <v>45847</v>
      </c>
      <c r="AE1369">
        <v>-7.1424839871634671E-3</v>
      </c>
      <c r="AF1369">
        <f t="shared" si="21"/>
        <v>0</v>
      </c>
    </row>
    <row r="1370" spans="1:32" x14ac:dyDescent="0.35">
      <c r="A1370" s="3">
        <v>45849</v>
      </c>
      <c r="B1370" s="6">
        <f>LN(Raw!B1372/Raw!B1371)</f>
        <v>8.7851066578472775E-3</v>
      </c>
      <c r="C1370" s="6">
        <f>LN(Raw!C1372/Raw!C1371)</f>
        <v>-4.2547334865079434E-3</v>
      </c>
      <c r="D1370" s="6">
        <f>LN(Raw!D1372/Raw!D1371)</f>
        <v>-1.7286526372631464E-2</v>
      </c>
      <c r="X1370" s="3">
        <v>45849</v>
      </c>
      <c r="Y1370" cm="1">
        <f t="array" ref="Y1370">SUMPRODUCT($T$2:$T$4,TRANSPOSE(B1370:D1370))</f>
        <v>4.8924826406273854E-3</v>
      </c>
      <c r="AD1370" s="3">
        <v>45848</v>
      </c>
      <c r="AE1370">
        <v>-7.9362604705734592E-3</v>
      </c>
      <c r="AF1370">
        <f t="shared" si="21"/>
        <v>0</v>
      </c>
    </row>
    <row r="1371" spans="1:32" x14ac:dyDescent="0.35">
      <c r="A1371" s="3">
        <v>45852</v>
      </c>
      <c r="B1371" s="6">
        <f>LN(Raw!B1373/Raw!B1372)</f>
        <v>3.7203337583909795E-3</v>
      </c>
      <c r="C1371" s="6">
        <f>LN(Raw!C1373/Raw!C1372)</f>
        <v>2.0050776516089143E-2</v>
      </c>
      <c r="D1371" s="6">
        <f>LN(Raw!D1373/Raw!D1372)</f>
        <v>-8.7218683638473204E-4</v>
      </c>
      <c r="X1371" s="3">
        <v>45852</v>
      </c>
      <c r="Y1371" cm="1">
        <f t="array" ref="Y1371">SUMPRODUCT($T$2:$T$4,TRANSPOSE(B1371:D1371))</f>
        <v>6.7520846384614436E-3</v>
      </c>
      <c r="AD1371" s="3">
        <v>45849</v>
      </c>
      <c r="AE1371">
        <v>4.8924826406273854E-3</v>
      </c>
      <c r="AF1371">
        <f t="shared" si="21"/>
        <v>0</v>
      </c>
    </row>
    <row r="1372" spans="1:32" x14ac:dyDescent="0.35">
      <c r="A1372" s="3">
        <v>45853</v>
      </c>
      <c r="B1372" s="6">
        <f>LN(Raw!B1374/Raw!B1373)</f>
        <v>-8.4527174345671151E-3</v>
      </c>
      <c r="C1372" s="6">
        <f>LN(Raw!C1374/Raw!C1373)</f>
        <v>6.3789524610029617E-3</v>
      </c>
      <c r="D1372" s="6">
        <f>LN(Raw!D1374/Raw!D1373)</f>
        <v>9.3906813220342635E-3</v>
      </c>
      <c r="X1372" s="3">
        <v>45853</v>
      </c>
      <c r="Y1372" cm="1">
        <f t="array" ref="Y1372">SUMPRODUCT($T$2:$T$4,TRANSPOSE(B1372:D1372))</f>
        <v>-4.6097175920702142E-3</v>
      </c>
      <c r="AD1372" s="3">
        <v>45852</v>
      </c>
      <c r="AE1372">
        <v>6.7520846384614436E-3</v>
      </c>
      <c r="AF1372">
        <f t="shared" si="21"/>
        <v>0</v>
      </c>
    </row>
    <row r="1373" spans="1:32" x14ac:dyDescent="0.35">
      <c r="A1373" s="3">
        <v>45854</v>
      </c>
      <c r="B1373" s="6">
        <f>LN(Raw!B1375/Raw!B1374)</f>
        <v>-1.6056690546971005E-2</v>
      </c>
      <c r="C1373" s="6">
        <f>LN(Raw!C1375/Raw!C1374)</f>
        <v>2.0550462385400762E-2</v>
      </c>
      <c r="D1373" s="6">
        <f>LN(Raw!D1375/Raw!D1374)</f>
        <v>3.5595321899619518E-3</v>
      </c>
      <c r="X1373" s="3">
        <v>45854</v>
      </c>
      <c r="Y1373" cm="1">
        <f t="array" ref="Y1373">SUMPRODUCT($T$2:$T$4,TRANSPOSE(B1373:D1373))</f>
        <v>-7.7802618470896338E-3</v>
      </c>
      <c r="AD1373" s="3">
        <v>45853</v>
      </c>
      <c r="AE1373">
        <v>-4.6097175920702142E-3</v>
      </c>
      <c r="AF1373">
        <f t="shared" si="21"/>
        <v>0</v>
      </c>
    </row>
    <row r="1374" spans="1:32" x14ac:dyDescent="0.35">
      <c r="A1374" s="3">
        <v>45855</v>
      </c>
      <c r="B1374" s="6">
        <f>LN(Raw!B1376/Raw!B1375)</f>
        <v>-1.1174455438794183E-2</v>
      </c>
      <c r="C1374" s="6">
        <f>LN(Raw!C1376/Raw!C1375)</f>
        <v>-1.6535603627003431E-2</v>
      </c>
      <c r="D1374" s="6">
        <f>LN(Raw!D1376/Raw!D1375)</f>
        <v>1.3450272165938619E-3</v>
      </c>
      <c r="X1374" s="3">
        <v>45855</v>
      </c>
      <c r="Y1374" cm="1">
        <f t="array" ref="Y1374">SUMPRODUCT($T$2:$T$4,TRANSPOSE(B1374:D1374))</f>
        <v>-1.1624778881847601E-2</v>
      </c>
      <c r="AD1374" s="3">
        <v>45854</v>
      </c>
      <c r="AE1374">
        <v>-7.7802618470896338E-3</v>
      </c>
      <c r="AF1374">
        <f t="shared" si="21"/>
        <v>0</v>
      </c>
    </row>
    <row r="1375" spans="1:32" x14ac:dyDescent="0.35">
      <c r="A1375" s="3">
        <v>45856</v>
      </c>
      <c r="B1375" s="6">
        <f>LN(Raw!B1377/Raw!B1376)</f>
        <v>-1.8696946728925082E-2</v>
      </c>
      <c r="C1375" s="6">
        <f>LN(Raw!C1377/Raw!C1376)</f>
        <v>-1.1308432675097737E-2</v>
      </c>
      <c r="D1375" s="6">
        <f>LN(Raw!D1377/Raw!D1376)</f>
        <v>-2.7457374229092201E-3</v>
      </c>
      <c r="X1375" s="3">
        <v>45856</v>
      </c>
      <c r="Y1375" cm="1">
        <f t="array" ref="Y1375">SUMPRODUCT($T$2:$T$4,TRANSPOSE(B1375:D1375))</f>
        <v>-1.6433007850566124E-2</v>
      </c>
      <c r="AD1375" s="3">
        <v>45855</v>
      </c>
      <c r="AE1375">
        <v>-1.1624778881847601E-2</v>
      </c>
      <c r="AF1375">
        <f t="shared" si="21"/>
        <v>0</v>
      </c>
    </row>
    <row r="1376" spans="1:32" x14ac:dyDescent="0.35">
      <c r="A1376" s="3">
        <v>45859</v>
      </c>
      <c r="B1376" s="6">
        <f>LN(Raw!B1378/Raw!B1377)</f>
        <v>2.0388774706191076E-2</v>
      </c>
      <c r="C1376" s="6">
        <f>LN(Raw!C1378/Raw!C1377)</f>
        <v>-4.0604463895556131E-3</v>
      </c>
      <c r="D1376" s="6">
        <f>LN(Raw!D1378/Raw!D1377)</f>
        <v>-8.9352216140966539E-3</v>
      </c>
      <c r="X1376" s="3">
        <v>45859</v>
      </c>
      <c r="Y1376" cm="1">
        <f t="array" ref="Y1376">SUMPRODUCT($T$2:$T$4,TRANSPOSE(B1376:D1376))</f>
        <v>1.4058242421347809E-2</v>
      </c>
      <c r="AD1376" s="3">
        <v>45856</v>
      </c>
      <c r="AE1376">
        <v>-1.6433007850566124E-2</v>
      </c>
      <c r="AF1376">
        <f t="shared" si="21"/>
        <v>0</v>
      </c>
    </row>
    <row r="1377" spans="1:32" x14ac:dyDescent="0.35">
      <c r="A1377" s="3">
        <v>45860</v>
      </c>
      <c r="B1377" s="6">
        <f>LN(Raw!B1379/Raw!B1378)</f>
        <v>5.1603607072601551E-3</v>
      </c>
      <c r="C1377" s="6">
        <f>LN(Raw!C1379/Raw!C1378)</f>
        <v>7.4533915641749066E-3</v>
      </c>
      <c r="D1377" s="6">
        <f>LN(Raw!D1379/Raw!D1378)</f>
        <v>2.1191612996266642E-3</v>
      </c>
      <c r="X1377" s="3">
        <v>45860</v>
      </c>
      <c r="Y1377" cm="1">
        <f t="array" ref="Y1377">SUMPRODUCT($T$2:$T$4,TRANSPOSE(B1377:D1377))</f>
        <v>5.4674671596906923E-3</v>
      </c>
      <c r="AD1377" s="3">
        <v>45859</v>
      </c>
      <c r="AE1377">
        <v>1.4058242421347809E-2</v>
      </c>
      <c r="AF1377">
        <f t="shared" si="21"/>
        <v>0</v>
      </c>
    </row>
    <row r="1378" spans="1:32" x14ac:dyDescent="0.35">
      <c r="A1378" s="3">
        <v>45861</v>
      </c>
      <c r="B1378" s="6">
        <f>LN(Raw!B1380/Raw!B1379)</f>
        <v>-1.3080162039128901E-2</v>
      </c>
      <c r="C1378" s="6">
        <f>LN(Raw!C1380/Raw!C1379)</f>
        <v>-8.3725767586339973E-3</v>
      </c>
      <c r="D1378" s="6">
        <f>LN(Raw!D1380/Raw!D1379)</f>
        <v>5.7912030362075768E-3</v>
      </c>
      <c r="X1378" s="3">
        <v>45861</v>
      </c>
      <c r="Y1378" cm="1">
        <f t="array" ref="Y1378">SUMPRODUCT($T$2:$T$4,TRANSPOSE(B1378:D1378))</f>
        <v>-1.1206732213516073E-2</v>
      </c>
      <c r="AD1378" s="3">
        <v>45860</v>
      </c>
      <c r="AE1378">
        <v>5.4674671596906923E-3</v>
      </c>
      <c r="AF1378">
        <f t="shared" si="21"/>
        <v>0</v>
      </c>
    </row>
    <row r="1379" spans="1:32" x14ac:dyDescent="0.35">
      <c r="A1379" s="3">
        <v>45862</v>
      </c>
      <c r="B1379" s="6">
        <f>LN(Raw!B1381/Raw!B1380)</f>
        <v>-1.5558206544322306E-2</v>
      </c>
      <c r="C1379" s="6">
        <f>LN(Raw!C1381/Raw!C1380)</f>
        <v>1.5752173935184614E-3</v>
      </c>
      <c r="D1379" s="6">
        <f>LN(Raw!D1381/Raw!D1380)</f>
        <v>-9.8704555735600451E-3</v>
      </c>
      <c r="X1379" s="3">
        <v>45862</v>
      </c>
      <c r="Y1379" cm="1">
        <f t="array" ref="Y1379">SUMPRODUCT($T$2:$T$4,TRANSPOSE(B1379:D1379))</f>
        <v>-1.1857434320008001E-2</v>
      </c>
      <c r="AD1379" s="3">
        <v>45861</v>
      </c>
      <c r="AE1379">
        <v>-1.1206732213516073E-2</v>
      </c>
      <c r="AF1379">
        <f t="shared" si="21"/>
        <v>0</v>
      </c>
    </row>
    <row r="1380" spans="1:32" x14ac:dyDescent="0.35">
      <c r="A1380" s="3">
        <v>45863</v>
      </c>
      <c r="B1380" s="6">
        <f>LN(Raw!B1382/Raw!B1381)</f>
        <v>7.5231690241376187E-3</v>
      </c>
      <c r="C1380" s="6">
        <f>LN(Raw!C1382/Raw!C1381)</f>
        <v>-2.0004738419940576E-2</v>
      </c>
      <c r="D1380" s="6">
        <f>LN(Raw!D1382/Raw!D1381)</f>
        <v>-1.9482158827208981E-2</v>
      </c>
      <c r="X1380" s="3">
        <v>45863</v>
      </c>
      <c r="Y1380" cm="1">
        <f t="array" ref="Y1380">SUMPRODUCT($T$2:$T$4,TRANSPOSE(B1380:D1380))</f>
        <v>6.9298045213994988E-4</v>
      </c>
      <c r="AD1380" s="3">
        <v>45862</v>
      </c>
      <c r="AE1380">
        <v>-1.1857434320008001E-2</v>
      </c>
      <c r="AF1380">
        <f t="shared" si="21"/>
        <v>0</v>
      </c>
    </row>
    <row r="1381" spans="1:32" x14ac:dyDescent="0.35">
      <c r="A1381" s="3">
        <v>45866</v>
      </c>
      <c r="B1381" s="6">
        <f>LN(Raw!B1383/Raw!B1382)</f>
        <v>-8.9926440419609947E-3</v>
      </c>
      <c r="C1381" s="6">
        <f>LN(Raw!C1383/Raw!C1382)</f>
        <v>-8.6009945224060809E-3</v>
      </c>
      <c r="D1381" s="6">
        <f>LN(Raw!D1383/Raw!D1382)</f>
        <v>-3.2304653666746945E-2</v>
      </c>
      <c r="X1381" s="3">
        <v>45866</v>
      </c>
      <c r="Y1381" cm="1">
        <f t="array" ref="Y1381">SUMPRODUCT($T$2:$T$4,TRANSPOSE(B1381:D1381))</f>
        <v>-1.0068197117867805E-2</v>
      </c>
      <c r="AD1381" s="3">
        <v>45863</v>
      </c>
      <c r="AE1381">
        <v>6.9298045213994988E-4</v>
      </c>
      <c r="AF1381">
        <f t="shared" si="21"/>
        <v>0</v>
      </c>
    </row>
    <row r="1382" spans="1:32" x14ac:dyDescent="0.35">
      <c r="A1382" s="3">
        <v>45867</v>
      </c>
      <c r="B1382" s="6">
        <f>LN(Raw!B1384/Raw!B1383)</f>
        <v>5.9692072005545346E-3</v>
      </c>
      <c r="C1382" s="6">
        <f>LN(Raw!C1384/Raw!C1383)</f>
        <v>2.6958399486579437E-3</v>
      </c>
      <c r="D1382" s="6">
        <f>LN(Raw!D1384/Raw!D1383)</f>
        <v>-4.0259713327424366E-3</v>
      </c>
      <c r="X1382" s="3">
        <v>45867</v>
      </c>
      <c r="Y1382" cm="1">
        <f t="array" ref="Y1382">SUMPRODUCT($T$2:$T$4,TRANSPOSE(B1382:D1382))</f>
        <v>4.8212850266479076E-3</v>
      </c>
      <c r="AD1382" s="3">
        <v>45866</v>
      </c>
      <c r="AE1382">
        <v>-1.0068197117867805E-2</v>
      </c>
      <c r="AF1382">
        <f t="shared" si="21"/>
        <v>0</v>
      </c>
    </row>
    <row r="1383" spans="1:32" x14ac:dyDescent="0.35">
      <c r="A1383" s="3">
        <v>45868</v>
      </c>
      <c r="B1383" s="6">
        <f>LN(Raw!B1385/Raw!B1384)</f>
        <v>2.5548255334076758E-3</v>
      </c>
      <c r="C1383" s="6">
        <f>LN(Raw!C1385/Raw!C1384)</f>
        <v>2.7875411267429168E-2</v>
      </c>
      <c r="D1383" s="6">
        <f>LN(Raw!D1385/Raw!D1384)</f>
        <v>0.16354137434820698</v>
      </c>
      <c r="X1383" s="3">
        <v>45868</v>
      </c>
      <c r="Y1383" cm="1">
        <f t="array" ref="Y1383">SUMPRODUCT($T$2:$T$4,TRANSPOSE(B1383:D1383))</f>
        <v>1.5575248279987124E-2</v>
      </c>
      <c r="AD1383" s="3">
        <v>45867</v>
      </c>
      <c r="AE1383">
        <v>4.8212850266479076E-3</v>
      </c>
      <c r="AF1383">
        <f t="shared" si="21"/>
        <v>0</v>
      </c>
    </row>
    <row r="1384" spans="1:32" x14ac:dyDescent="0.35">
      <c r="A1384" s="3">
        <v>45869</v>
      </c>
      <c r="B1384" s="6">
        <f>LN(Raw!B1386/Raw!B1385)</f>
        <v>3.4308858404255163E-3</v>
      </c>
      <c r="C1384" s="6">
        <f>LN(Raw!C1386/Raw!C1385)</f>
        <v>2.6354638067566799E-2</v>
      </c>
      <c r="D1384" s="6">
        <f>LN(Raw!D1386/Raw!D1385)</f>
        <v>-2.2617512151358203E-2</v>
      </c>
      <c r="X1384" s="3">
        <v>45869</v>
      </c>
      <c r="Y1384" cm="1">
        <f t="array" ref="Y1384">SUMPRODUCT($T$2:$T$4,TRANSPOSE(B1384:D1384))</f>
        <v>6.7165971830506731E-3</v>
      </c>
      <c r="AD1384" s="3">
        <v>45868</v>
      </c>
      <c r="AE1384">
        <v>1.5575248279987124E-2</v>
      </c>
      <c r="AF1384">
        <f t="shared" si="21"/>
        <v>0</v>
      </c>
    </row>
    <row r="1385" spans="1:32" x14ac:dyDescent="0.35">
      <c r="A1385" s="3">
        <v>45870</v>
      </c>
      <c r="B1385" s="6">
        <f>LN(Raw!B1387/Raw!B1386)</f>
        <v>-3.1470820993044143E-2</v>
      </c>
      <c r="C1385" s="6">
        <f>LN(Raw!C1387/Raw!C1386)</f>
        <v>-2.1522796976191701E-2</v>
      </c>
      <c r="D1385" s="6">
        <f>LN(Raw!D1387/Raw!D1386)</f>
        <v>-5.6846345347491493E-2</v>
      </c>
      <c r="X1385" s="3">
        <v>45870</v>
      </c>
      <c r="Y1385" cm="1">
        <f t="array" ref="Y1385">SUMPRODUCT($T$2:$T$4,TRANSPOSE(B1385:D1385))</f>
        <v>-3.0741350049189597E-2</v>
      </c>
      <c r="AD1385" s="3">
        <v>45869</v>
      </c>
      <c r="AE1385">
        <v>6.7165971830506731E-3</v>
      </c>
      <c r="AF1385">
        <f t="shared" si="21"/>
        <v>0</v>
      </c>
    </row>
    <row r="1386" spans="1:32" x14ac:dyDescent="0.35">
      <c r="A1386" s="3">
        <v>45873</v>
      </c>
      <c r="B1386" s="6">
        <f>LN(Raw!B1388/Raw!B1387)</f>
        <v>1.5041824205618729E-2</v>
      </c>
      <c r="C1386" s="6">
        <f>LN(Raw!C1388/Raw!C1387)</f>
        <v>-1.5645380312789149E-3</v>
      </c>
      <c r="D1386" s="6">
        <f>LN(Raw!D1388/Raw!D1387)</f>
        <v>-6.538242910963386E-3</v>
      </c>
      <c r="X1386" s="3">
        <v>45873</v>
      </c>
      <c r="Y1386" cm="1">
        <f t="array" ref="Y1386">SUMPRODUCT($T$2:$T$4,TRANSPOSE(B1386:D1386))</f>
        <v>1.0659724223127338E-2</v>
      </c>
      <c r="AD1386" s="3">
        <v>45870</v>
      </c>
      <c r="AE1386">
        <v>-3.0741350049189597E-2</v>
      </c>
      <c r="AF1386">
        <f t="shared" si="21"/>
        <v>0</v>
      </c>
    </row>
    <row r="1387" spans="1:32" x14ac:dyDescent="0.35">
      <c r="A1387" s="3">
        <v>45874</v>
      </c>
      <c r="B1387" s="6">
        <f>LN(Raw!B1389/Raw!B1388)</f>
        <v>2.4237226969548446E-3</v>
      </c>
      <c r="C1387" s="6">
        <f>LN(Raw!C1389/Raw!C1388)</f>
        <v>-2.6100812551312422E-4</v>
      </c>
      <c r="D1387" s="6">
        <f>LN(Raw!D1389/Raw!D1388)</f>
        <v>5.7259177388377498E-2</v>
      </c>
      <c r="X1387" s="3">
        <v>45874</v>
      </c>
      <c r="Y1387" cm="1">
        <f t="array" ref="Y1387">SUMPRODUCT($T$2:$T$4,TRANSPOSE(B1387:D1387))</f>
        <v>4.6017487086038329E-3</v>
      </c>
      <c r="AD1387" s="3">
        <v>45873</v>
      </c>
      <c r="AE1387">
        <v>1.0659724223127338E-2</v>
      </c>
      <c r="AF1387">
        <f t="shared" si="21"/>
        <v>0</v>
      </c>
    </row>
    <row r="1388" spans="1:32" x14ac:dyDescent="0.35">
      <c r="A1388" s="3">
        <v>45875</v>
      </c>
      <c r="B1388" s="6">
        <f>LN(Raw!B1390/Raw!B1389)</f>
        <v>-8.5619294387208663E-3</v>
      </c>
      <c r="C1388" s="6">
        <f>LN(Raw!C1390/Raw!C1389)</f>
        <v>-7.335611997873295E-3</v>
      </c>
      <c r="D1388" s="6">
        <f>LN(Raw!D1390/Raw!D1389)</f>
        <v>-4.175412043522099E-2</v>
      </c>
      <c r="X1388" s="3">
        <v>45875</v>
      </c>
      <c r="Y1388" cm="1">
        <f t="array" ref="Y1388">SUMPRODUCT($T$2:$T$4,TRANSPOSE(B1388:D1388))</f>
        <v>-9.9598806896387601E-3</v>
      </c>
      <c r="AD1388" s="3">
        <v>45874</v>
      </c>
      <c r="AE1388">
        <v>4.6017487086038329E-3</v>
      </c>
      <c r="AF1388">
        <f t="shared" si="21"/>
        <v>0</v>
      </c>
    </row>
    <row r="1389" spans="1:32" x14ac:dyDescent="0.35">
      <c r="A1389" s="3">
        <v>45876</v>
      </c>
      <c r="B1389" s="6">
        <f>LN(Raw!B1391/Raw!B1390)</f>
        <v>1.0244578552768856E-2</v>
      </c>
      <c r="C1389" s="6">
        <f>LN(Raw!C1391/Raw!C1390)</f>
        <v>-7.1249415949429847E-3</v>
      </c>
      <c r="D1389" s="6">
        <f>LN(Raw!D1391/Raw!D1390)</f>
        <v>1.8675531368589088E-2</v>
      </c>
      <c r="X1389" s="3">
        <v>45876</v>
      </c>
      <c r="Y1389" cm="1">
        <f t="array" ref="Y1389">SUMPRODUCT($T$2:$T$4,TRANSPOSE(B1389:D1389))</f>
        <v>7.1954252941197989E-3</v>
      </c>
      <c r="AD1389" s="3">
        <v>45875</v>
      </c>
      <c r="AE1389">
        <v>-9.9598806896387601E-3</v>
      </c>
      <c r="AF1389">
        <f t="shared" si="21"/>
        <v>0</v>
      </c>
    </row>
    <row r="1390" spans="1:32" x14ac:dyDescent="0.35">
      <c r="A1390" s="3">
        <v>45877</v>
      </c>
      <c r="B1390" s="6">
        <f>LN(Raw!B1392/Raw!B1391)</f>
        <v>-4.5812733331151833E-3</v>
      </c>
      <c r="C1390" s="6">
        <f>LN(Raw!C1392/Raw!C1391)</f>
        <v>4.0610086558880688E-2</v>
      </c>
      <c r="D1390" s="6">
        <f>LN(Raw!D1392/Raw!D1391)</f>
        <v>-1.6629738064712928E-2</v>
      </c>
      <c r="X1390" s="3">
        <v>45877</v>
      </c>
      <c r="Y1390" cm="1">
        <f t="array" ref="Y1390">SUMPRODUCT($T$2:$T$4,TRANSPOSE(B1390:D1390))</f>
        <v>3.8412002136360779E-3</v>
      </c>
      <c r="AD1390" s="3">
        <v>45876</v>
      </c>
      <c r="AE1390">
        <v>7.1954252941197989E-3</v>
      </c>
      <c r="AF1390">
        <f t="shared" si="21"/>
        <v>0</v>
      </c>
    </row>
    <row r="1391" spans="1:32" x14ac:dyDescent="0.35">
      <c r="A1391" s="3">
        <v>45880</v>
      </c>
      <c r="B1391" s="6">
        <f>LN(Raw!B1393/Raw!B1392)</f>
        <v>3.6877547588745284E-3</v>
      </c>
      <c r="C1391" s="6">
        <f>LN(Raw!C1393/Raw!C1392)</f>
        <v>1.5768221820767848E-2</v>
      </c>
      <c r="D1391" s="6">
        <f>LN(Raw!D1393/Raw!D1392)</f>
        <v>-1.2444132044885543E-2</v>
      </c>
      <c r="X1391" s="3">
        <v>45880</v>
      </c>
      <c r="Y1391" cm="1">
        <f t="array" ref="Y1391">SUMPRODUCT($T$2:$T$4,TRANSPOSE(B1391:D1391))</f>
        <v>5.3002616184876063E-3</v>
      </c>
      <c r="AD1391" s="3">
        <v>45877</v>
      </c>
      <c r="AE1391">
        <v>3.8412002136360779E-3</v>
      </c>
      <c r="AF1391">
        <f t="shared" si="21"/>
        <v>0</v>
      </c>
    </row>
    <row r="1392" spans="1:32" x14ac:dyDescent="0.35">
      <c r="A1392" s="3">
        <v>45881</v>
      </c>
      <c r="B1392" s="6">
        <f>LN(Raw!B1394/Raw!B1393)</f>
        <v>6.3084350320685093E-4</v>
      </c>
      <c r="C1392" s="6">
        <f>LN(Raw!C1394/Raw!C1393)</f>
        <v>-1.3482255290814319E-2</v>
      </c>
      <c r="D1392" s="6">
        <f>LN(Raw!D1394/Raw!D1393)</f>
        <v>-1.9827036903190595E-2</v>
      </c>
      <c r="X1392" s="3">
        <v>45881</v>
      </c>
      <c r="Y1392" cm="1">
        <f t="array" ref="Y1392">SUMPRODUCT($T$2:$T$4,TRANSPOSE(B1392:D1392))</f>
        <v>-3.1981433931730033E-3</v>
      </c>
      <c r="AD1392" s="3">
        <v>45880</v>
      </c>
      <c r="AE1392">
        <v>5.3002616184876063E-3</v>
      </c>
      <c r="AF1392">
        <f t="shared" si="21"/>
        <v>0</v>
      </c>
    </row>
    <row r="1393" spans="1:32" x14ac:dyDescent="0.35">
      <c r="A1393" s="3">
        <v>45882</v>
      </c>
      <c r="B1393" s="6">
        <f>LN(Raw!B1395/Raw!B1394)</f>
        <v>5.1367799016936696E-3</v>
      </c>
      <c r="C1393" s="6">
        <f>LN(Raw!C1395/Raw!C1394)</f>
        <v>-7.6138182294671012E-4</v>
      </c>
      <c r="D1393" s="6">
        <f>LN(Raw!D1395/Raw!D1394)</f>
        <v>7.064836256021936E-3</v>
      </c>
      <c r="X1393" s="3">
        <v>45882</v>
      </c>
      <c r="Y1393" cm="1">
        <f t="array" ref="Y1393">SUMPRODUCT($T$2:$T$4,TRANSPOSE(B1393:D1393))</f>
        <v>4.0551147122315535E-3</v>
      </c>
      <c r="AD1393" s="3">
        <v>45881</v>
      </c>
      <c r="AE1393">
        <v>-3.1981433931730033E-3</v>
      </c>
      <c r="AF1393">
        <f t="shared" si="21"/>
        <v>0</v>
      </c>
    </row>
    <row r="1394" spans="1:32" x14ac:dyDescent="0.35">
      <c r="A1394" s="3">
        <v>45883</v>
      </c>
      <c r="B1394" s="6">
        <f>LN(Raw!B1396/Raw!B1395)</f>
        <v>-7.5570592524317201E-3</v>
      </c>
      <c r="C1394" s="6">
        <f>LN(Raw!C1396/Raw!C1395)</f>
        <v>-1.9485358461018461E-2</v>
      </c>
      <c r="D1394" s="6">
        <f>LN(Raw!D1396/Raw!D1395)</f>
        <v>-9.1777974628695948E-3</v>
      </c>
      <c r="X1394" s="3">
        <v>45883</v>
      </c>
      <c r="Y1394" cm="1">
        <f t="array" ref="Y1394">SUMPRODUCT($T$2:$T$4,TRANSPOSE(B1394:D1394))</f>
        <v>-1.0017777579342965E-2</v>
      </c>
      <c r="AD1394" s="3">
        <v>45882</v>
      </c>
      <c r="AE1394">
        <v>4.0551147122315535E-3</v>
      </c>
      <c r="AF1394">
        <f t="shared" si="21"/>
        <v>0</v>
      </c>
    </row>
    <row r="1395" spans="1:32" x14ac:dyDescent="0.35">
      <c r="A1395" s="3">
        <v>45887</v>
      </c>
      <c r="B1395" s="6">
        <f>LN(Raw!B1397/Raw!B1396)</f>
        <v>2.5022759652292361E-2</v>
      </c>
      <c r="C1395" s="6">
        <f>LN(Raw!C1397/Raw!C1396)</f>
        <v>7.0945248507706905E-3</v>
      </c>
      <c r="D1395" s="6">
        <f>LN(Raw!D1397/Raw!D1396)</f>
        <v>5.6308317818954137E-2</v>
      </c>
      <c r="X1395" s="3">
        <v>45887</v>
      </c>
      <c r="Y1395" cm="1">
        <f t="array" ref="Y1395">SUMPRODUCT($T$2:$T$4,TRANSPOSE(B1395:D1395))</f>
        <v>2.299318156343216E-2</v>
      </c>
      <c r="AD1395" s="3">
        <v>45883</v>
      </c>
      <c r="AE1395">
        <v>-1.0017777579342965E-2</v>
      </c>
      <c r="AF1395">
        <f t="shared" si="21"/>
        <v>0</v>
      </c>
    </row>
    <row r="1396" spans="1:32" x14ac:dyDescent="0.35">
      <c r="A1396" s="3">
        <v>45888</v>
      </c>
      <c r="B1396" s="6">
        <f>LN(Raw!B1398/Raw!B1397)</f>
        <v>3.3339003938414207E-3</v>
      </c>
      <c r="C1396" s="6">
        <f>LN(Raw!C1398/Raw!C1397)</f>
        <v>2.4392701953068001E-3</v>
      </c>
      <c r="D1396" s="6">
        <f>LN(Raw!D1398/Raw!D1397)</f>
        <v>-6.9966458047744677E-3</v>
      </c>
      <c r="X1396" s="3">
        <v>45888</v>
      </c>
      <c r="Y1396" cm="1">
        <f t="array" ref="Y1396">SUMPRODUCT($T$2:$T$4,TRANSPOSE(B1396:D1396))</f>
        <v>2.644100868387803E-3</v>
      </c>
      <c r="AD1396" s="3">
        <v>45887</v>
      </c>
      <c r="AE1396">
        <v>2.299318156343216E-2</v>
      </c>
      <c r="AF1396">
        <f t="shared" si="21"/>
        <v>0</v>
      </c>
    </row>
    <row r="1397" spans="1:32" x14ac:dyDescent="0.35">
      <c r="A1397" s="3">
        <v>45889</v>
      </c>
      <c r="B1397" s="6">
        <f>LN(Raw!B1399/Raw!B1398)</f>
        <v>7.9563646145640217E-3</v>
      </c>
      <c r="C1397" s="6">
        <f>LN(Raw!C1399/Raw!C1398)</f>
        <v>-7.4647118029755018E-3</v>
      </c>
      <c r="D1397" s="6">
        <f>LN(Raw!D1399/Raw!D1398)</f>
        <v>-5.0721896268517098E-3</v>
      </c>
      <c r="X1397" s="3">
        <v>45889</v>
      </c>
      <c r="Y1397" cm="1">
        <f t="array" ref="Y1397">SUMPRODUCT($T$2:$T$4,TRANSPOSE(B1397:D1397))</f>
        <v>4.2340252230488864E-3</v>
      </c>
      <c r="AD1397" s="3">
        <v>45888</v>
      </c>
      <c r="AE1397">
        <v>2.644100868387803E-3</v>
      </c>
      <c r="AF1397">
        <f t="shared" si="21"/>
        <v>0</v>
      </c>
    </row>
    <row r="1398" spans="1:32" x14ac:dyDescent="0.35">
      <c r="A1398" s="3">
        <v>45890</v>
      </c>
      <c r="B1398" s="6">
        <f>LN(Raw!B1400/Raw!B1399)</f>
        <v>-7.1147585754014787E-4</v>
      </c>
      <c r="C1398" s="6">
        <f>LN(Raw!C1400/Raw!C1399)</f>
        <v>-1.0780063170854547E-2</v>
      </c>
      <c r="D1398" s="6">
        <f>LN(Raw!D1400/Raw!D1399)</f>
        <v>3.1463297737188783E-2</v>
      </c>
      <c r="X1398" s="3">
        <v>45890</v>
      </c>
      <c r="Y1398" cm="1">
        <f t="array" ref="Y1398">SUMPRODUCT($T$2:$T$4,TRANSPOSE(B1398:D1398))</f>
        <v>-1.1285115285748905E-3</v>
      </c>
      <c r="AD1398" s="3">
        <v>45889</v>
      </c>
      <c r="AE1398">
        <v>4.2340252230488864E-3</v>
      </c>
      <c r="AF1398">
        <f t="shared" si="21"/>
        <v>0</v>
      </c>
    </row>
    <row r="1399" spans="1:32" x14ac:dyDescent="0.35">
      <c r="A1399" s="3">
        <v>45891</v>
      </c>
      <c r="B1399" s="6">
        <f>LN(Raw!B1401/Raw!B1400)</f>
        <v>-2.9090682912978109E-2</v>
      </c>
      <c r="C1399" s="6">
        <f>LN(Raw!C1401/Raw!C1400)</f>
        <v>-5.4995165732910157E-3</v>
      </c>
      <c r="D1399" s="6">
        <f>LN(Raw!D1401/Raw!D1400)</f>
        <v>-1.39239172705147E-2</v>
      </c>
      <c r="X1399" s="3">
        <v>45891</v>
      </c>
      <c r="Y1399" cm="1">
        <f t="array" ref="Y1399">SUMPRODUCT($T$2:$T$4,TRANSPOSE(B1399:D1399))</f>
        <v>-2.3632033792434042E-2</v>
      </c>
      <c r="AD1399" s="3">
        <v>45890</v>
      </c>
      <c r="AE1399">
        <v>-1.1285115285748905E-3</v>
      </c>
      <c r="AF1399">
        <f t="shared" si="21"/>
        <v>0</v>
      </c>
    </row>
    <row r="1400" spans="1:32" x14ac:dyDescent="0.35">
      <c r="A1400" s="3">
        <v>45894</v>
      </c>
      <c r="B1400" s="6">
        <f>LN(Raw!B1402/Raw!B1401)</f>
        <v>4.3345888904119485E-3</v>
      </c>
      <c r="C1400" s="6">
        <f>LN(Raw!C1402/Raw!C1401)</f>
        <v>-3.9468969721756031E-3</v>
      </c>
      <c r="D1400" s="6">
        <f>LN(Raw!D1402/Raw!D1401)</f>
        <v>-1.3241810180126665E-2</v>
      </c>
      <c r="X1400" s="3">
        <v>45894</v>
      </c>
      <c r="Y1400" cm="1">
        <f t="array" ref="Y1400">SUMPRODUCT($T$2:$T$4,TRANSPOSE(B1400:D1400))</f>
        <v>1.8120106377203231E-3</v>
      </c>
      <c r="AD1400" s="3">
        <v>45891</v>
      </c>
      <c r="AE1400">
        <v>-2.3632033792434042E-2</v>
      </c>
      <c r="AF1400">
        <f t="shared" si="21"/>
        <v>0</v>
      </c>
    </row>
    <row r="1401" spans="1:32" x14ac:dyDescent="0.35">
      <c r="A1401" s="3">
        <v>45895</v>
      </c>
      <c r="B1401" s="6">
        <f>LN(Raw!B1403/Raw!B1402)</f>
        <v>-2.4423028614010696E-2</v>
      </c>
      <c r="C1401" s="6">
        <f>LN(Raw!C1403/Raw!C1402)</f>
        <v>-1.6480919074182265E-2</v>
      </c>
      <c r="D1401" s="6">
        <f>LN(Raw!D1403/Raw!D1402)</f>
        <v>-1.5778699704718832E-2</v>
      </c>
      <c r="X1401" s="3">
        <v>45895</v>
      </c>
      <c r="Y1401" cm="1">
        <f t="array" ref="Y1401">SUMPRODUCT($T$2:$T$4,TRANSPOSE(B1401:D1401))</f>
        <v>-2.2410228001368417E-2</v>
      </c>
      <c r="AD1401" s="3">
        <v>45894</v>
      </c>
      <c r="AE1401">
        <v>1.8120106377203231E-3</v>
      </c>
      <c r="AF1401">
        <f t="shared" si="21"/>
        <v>0</v>
      </c>
    </row>
    <row r="1402" spans="1:32" x14ac:dyDescent="0.35">
      <c r="A1402" s="3">
        <v>45897</v>
      </c>
      <c r="B1402" s="6">
        <f>LN(Raw!B1404/Raw!B1403)</f>
        <v>-6.6434213971942107E-3</v>
      </c>
      <c r="C1402" s="6">
        <f>LN(Raw!C1404/Raw!C1403)</f>
        <v>-1.7711584462652412E-2</v>
      </c>
      <c r="D1402" s="6">
        <f>LN(Raw!D1404/Raw!D1403)</f>
        <v>6.904435270449252E-3</v>
      </c>
      <c r="X1402" s="3">
        <v>45897</v>
      </c>
      <c r="Y1402" cm="1">
        <f t="array" ref="Y1402">SUMPRODUCT($T$2:$T$4,TRANSPOSE(B1402:D1402))</f>
        <v>-8.1817885906992748E-3</v>
      </c>
      <c r="AD1402" s="3">
        <v>45895</v>
      </c>
      <c r="AE1402">
        <v>-2.2410228001368417E-2</v>
      </c>
      <c r="AF1402">
        <f t="shared" si="21"/>
        <v>0</v>
      </c>
    </row>
    <row r="1403" spans="1:32" x14ac:dyDescent="0.35">
      <c r="A1403" s="3">
        <v>45898</v>
      </c>
      <c r="B1403" s="6">
        <f>LN(Raw!B1405/Raw!B1404)</f>
        <v>-1.1189661049398553E-2</v>
      </c>
      <c r="C1403" s="6">
        <f>LN(Raw!C1405/Raw!C1404)</f>
        <v>-7.9430598235288499E-3</v>
      </c>
      <c r="D1403" s="6">
        <f>LN(Raw!D1405/Raw!D1404)</f>
        <v>-1.8837671258126451E-2</v>
      </c>
      <c r="X1403" s="3">
        <v>45898</v>
      </c>
      <c r="Y1403" cm="1">
        <f t="array" ref="Y1403">SUMPRODUCT($T$2:$T$4,TRANSPOSE(B1403:D1403))</f>
        <v>-1.0920243810666613E-2</v>
      </c>
      <c r="AD1403" s="3">
        <v>45897</v>
      </c>
      <c r="AE1403">
        <v>-8.1817885906992748E-3</v>
      </c>
      <c r="AF1403">
        <f t="shared" si="21"/>
        <v>0</v>
      </c>
    </row>
    <row r="1404" spans="1:32" x14ac:dyDescent="0.35">
      <c r="A1404" s="3">
        <v>45901</v>
      </c>
      <c r="B1404" s="6">
        <f>LN(Raw!B1406/Raw!B1405)</f>
        <v>3.8052311837589325E-4</v>
      </c>
      <c r="C1404" s="6">
        <f>LN(Raw!C1406/Raw!C1405)</f>
        <v>1.9471009673866869E-2</v>
      </c>
      <c r="D1404" s="6">
        <f>LN(Raw!D1406/Raw!D1405)</f>
        <v>1.3978171083608272E-2</v>
      </c>
      <c r="X1404" s="3">
        <v>45901</v>
      </c>
      <c r="Y1404" cm="1">
        <f t="array" ref="Y1404">SUMPRODUCT($T$2:$T$4,TRANSPOSE(B1404:D1404))</f>
        <v>4.8633241192436441E-3</v>
      </c>
      <c r="AD1404" s="3">
        <v>45898</v>
      </c>
      <c r="AE1404">
        <v>-1.0920243810666613E-2</v>
      </c>
      <c r="AF1404">
        <f t="shared" si="21"/>
        <v>0</v>
      </c>
    </row>
    <row r="1405" spans="1:32" x14ac:dyDescent="0.35">
      <c r="A1405" s="3">
        <v>45902</v>
      </c>
      <c r="B1405" s="6">
        <f>LN(Raw!B1407/Raw!B1406)</f>
        <v>-9.6098005902846562E-3</v>
      </c>
      <c r="C1405" s="6">
        <f>LN(Raw!C1407/Raw!C1406)</f>
        <v>4.0451248426929057E-4</v>
      </c>
      <c r="D1405" s="6">
        <f>LN(Raw!D1407/Raw!D1406)</f>
        <v>1.0214228342613138E-2</v>
      </c>
      <c r="X1405" s="3">
        <v>45902</v>
      </c>
      <c r="Y1405" cm="1">
        <f t="array" ref="Y1405">SUMPRODUCT($T$2:$T$4,TRANSPOSE(B1405:D1405))</f>
        <v>-6.6301698302467472E-3</v>
      </c>
      <c r="AD1405" s="3">
        <v>45901</v>
      </c>
      <c r="AE1405">
        <v>4.8633241192436441E-3</v>
      </c>
      <c r="AF1405">
        <f t="shared" si="21"/>
        <v>0</v>
      </c>
    </row>
    <row r="1406" spans="1:32" x14ac:dyDescent="0.35">
      <c r="A1406" s="3">
        <v>45903</v>
      </c>
      <c r="B1406" s="6">
        <f>LN(Raw!B1408/Raw!B1407)</f>
        <v>-3.8406377099964875E-4</v>
      </c>
      <c r="C1406" s="6">
        <f>LN(Raw!C1408/Raw!C1407)</f>
        <v>4.1696791564462352E-3</v>
      </c>
      <c r="D1406" s="6">
        <f>LN(Raw!D1408/Raw!D1407)</f>
        <v>3.6350984631176884E-2</v>
      </c>
      <c r="X1406" s="3">
        <v>45903</v>
      </c>
      <c r="Y1406" cm="1">
        <f t="array" ref="Y1406">SUMPRODUCT($T$2:$T$4,TRANSPOSE(B1406:D1406))</f>
        <v>2.3427395582781064E-3</v>
      </c>
      <c r="AD1406" s="3">
        <v>45902</v>
      </c>
      <c r="AE1406">
        <v>-6.6301698302467472E-3</v>
      </c>
      <c r="AF1406">
        <f t="shared" si="21"/>
        <v>0</v>
      </c>
    </row>
    <row r="1407" spans="1:32" x14ac:dyDescent="0.35">
      <c r="A1407" s="3">
        <v>45904</v>
      </c>
      <c r="B1407" s="6">
        <f>LN(Raw!B1409/Raw!B1408)</f>
        <v>2.6805469062556209E-2</v>
      </c>
      <c r="C1407" s="6">
        <f>LN(Raw!C1409/Raw!C1408)</f>
        <v>1.0701141847178842E-2</v>
      </c>
      <c r="D1407" s="6">
        <f>LN(Raw!D1409/Raw!D1408)</f>
        <v>1.1536984836253183E-2</v>
      </c>
      <c r="X1407" s="3">
        <v>45904</v>
      </c>
      <c r="Y1407" cm="1">
        <f t="array" ref="Y1407">SUMPRODUCT($T$2:$T$4,TRANSPOSE(B1407:D1407))</f>
        <v>2.283592007567491E-2</v>
      </c>
      <c r="AD1407" s="3">
        <v>45903</v>
      </c>
      <c r="AE1407">
        <v>2.3427395582781064E-3</v>
      </c>
      <c r="AF1407">
        <f t="shared" si="21"/>
        <v>0</v>
      </c>
    </row>
    <row r="1408" spans="1:32" x14ac:dyDescent="0.35">
      <c r="A1408" s="3">
        <v>45905</v>
      </c>
      <c r="B1408" s="6">
        <f>LN(Raw!B1410/Raw!B1409)</f>
        <v>-1.675730360527487E-2</v>
      </c>
      <c r="C1408" s="6">
        <f>LN(Raw!C1410/Raw!C1409)</f>
        <v>2.5894725393652237E-3</v>
      </c>
      <c r="D1408" s="6">
        <f>LN(Raw!D1410/Raw!D1409)</f>
        <v>-2.8942072697353622E-2</v>
      </c>
      <c r="X1408" s="3">
        <v>45905</v>
      </c>
      <c r="Y1408" cm="1">
        <f t="array" ref="Y1408">SUMPRODUCT($T$2:$T$4,TRANSPOSE(B1408:D1408))</f>
        <v>-1.3499329867071468E-2</v>
      </c>
      <c r="AD1408" s="3">
        <v>45904</v>
      </c>
      <c r="AE1408">
        <v>2.283592007567491E-2</v>
      </c>
      <c r="AF1408">
        <f t="shared" si="21"/>
        <v>0</v>
      </c>
    </row>
    <row r="1409" spans="1:32" x14ac:dyDescent="0.35">
      <c r="A1409" s="3">
        <v>45908</v>
      </c>
      <c r="B1409" s="6">
        <f>LN(Raw!B1411/Raw!B1410)</f>
        <v>-4.0290058516913524E-3</v>
      </c>
      <c r="C1409" s="6">
        <f>LN(Raw!C1411/Raw!C1410)</f>
        <v>-2.5894725393653555E-3</v>
      </c>
      <c r="D1409" s="6">
        <f>LN(Raw!D1411/Raw!D1410)</f>
        <v>-7.989052608451383E-3</v>
      </c>
      <c r="X1409" s="3">
        <v>45908</v>
      </c>
      <c r="Y1409" cm="1">
        <f t="array" ref="Y1409">SUMPRODUCT($T$2:$T$4,TRANSPOSE(B1409:D1409))</f>
        <v>-3.9377040508657259E-3</v>
      </c>
      <c r="AD1409" s="3">
        <v>45905</v>
      </c>
      <c r="AE1409">
        <v>-1.3499329867071468E-2</v>
      </c>
      <c r="AF1409">
        <f t="shared" si="21"/>
        <v>0</v>
      </c>
    </row>
    <row r="1410" spans="1:32" x14ac:dyDescent="0.35">
      <c r="A1410" s="3">
        <v>45909</v>
      </c>
      <c r="B1410" s="6">
        <f>LN(Raw!B1412/Raw!B1411)</f>
        <v>1.03605593792286E-3</v>
      </c>
      <c r="C1410" s="6">
        <f>LN(Raw!C1412/Raw!C1411)</f>
        <v>-1.2288707375712855E-3</v>
      </c>
      <c r="D1410" s="6">
        <f>LN(Raw!D1412/Raw!D1411)</f>
        <v>-1.1188466023884043E-2</v>
      </c>
      <c r="X1410" s="3">
        <v>45909</v>
      </c>
      <c r="Y1410" cm="1">
        <f t="array" ref="Y1410">SUMPRODUCT($T$2:$T$4,TRANSPOSE(B1410:D1410))</f>
        <v>-2.0944084606559343E-5</v>
      </c>
      <c r="AD1410" s="3">
        <v>45908</v>
      </c>
      <c r="AE1410">
        <v>-3.9377040508657259E-3</v>
      </c>
      <c r="AF1410">
        <f t="shared" si="21"/>
        <v>0</v>
      </c>
    </row>
    <row r="1411" spans="1:32" x14ac:dyDescent="0.35">
      <c r="A1411" s="3">
        <v>45910</v>
      </c>
      <c r="B1411" s="6">
        <f>LN(Raw!B1413/Raw!B1412)</f>
        <v>1.1002455520884913E-2</v>
      </c>
      <c r="C1411" s="6">
        <f>LN(Raw!C1413/Raw!C1412)</f>
        <v>4.63463663646441E-3</v>
      </c>
      <c r="D1411" s="6">
        <f>LN(Raw!D1413/Raw!D1412)</f>
        <v>7.4555645382423054E-3</v>
      </c>
      <c r="X1411" s="3">
        <v>45910</v>
      </c>
      <c r="Y1411" cm="1">
        <f t="array" ref="Y1411">SUMPRODUCT($T$2:$T$4,TRANSPOSE(B1411:D1411))</f>
        <v>9.5561059589401205E-3</v>
      </c>
      <c r="AD1411" s="3">
        <v>45909</v>
      </c>
      <c r="AE1411">
        <v>-2.0944084606559343E-5</v>
      </c>
      <c r="AF1411">
        <f t="shared" ref="AF1411:AF1474" si="22">IF(AE1411&lt;$AB$2,1,0)</f>
        <v>0</v>
      </c>
    </row>
    <row r="1412" spans="1:32" x14ac:dyDescent="0.35">
      <c r="A1412" s="3">
        <v>45911</v>
      </c>
      <c r="B1412" s="6">
        <f>LN(Raw!B1414/Raw!B1413)</f>
        <v>8.4271665602643694E-3</v>
      </c>
      <c r="C1412" s="6">
        <f>LN(Raw!C1414/Raw!C1413)</f>
        <v>6.7769303590025278E-3</v>
      </c>
      <c r="D1412" s="6">
        <f>LN(Raw!D1414/Raw!D1413)</f>
        <v>5.1912773712734045E-5</v>
      </c>
      <c r="X1412" s="3">
        <v>45911</v>
      </c>
      <c r="Y1412" cm="1">
        <f t="array" ref="Y1412">SUMPRODUCT($T$2:$T$4,TRANSPOSE(B1412:D1412))</f>
        <v>7.683339780133757E-3</v>
      </c>
      <c r="AD1412" s="3">
        <v>45910</v>
      </c>
      <c r="AE1412">
        <v>9.5561059589401205E-3</v>
      </c>
      <c r="AF1412">
        <f t="shared" si="22"/>
        <v>0</v>
      </c>
    </row>
    <row r="1413" spans="1:32" x14ac:dyDescent="0.35">
      <c r="A1413" s="3">
        <v>45912</v>
      </c>
      <c r="B1413" s="6">
        <f>LN(Raw!B1415/Raw!B1414)</f>
        <v>1.2060106534852155E-2</v>
      </c>
      <c r="C1413" s="6">
        <f>LN(Raw!C1415/Raw!C1414)</f>
        <v>-2.0282611574463545E-3</v>
      </c>
      <c r="D1413" s="6">
        <f>LN(Raw!D1415/Raw!D1414)</f>
        <v>-1.5582567307856243E-4</v>
      </c>
      <c r="X1413" s="3">
        <v>45912</v>
      </c>
      <c r="Y1413" cm="1">
        <f t="array" ref="Y1413">SUMPRODUCT($T$2:$T$4,TRANSPOSE(B1413:D1413))</f>
        <v>8.643949995293122E-3</v>
      </c>
      <c r="AD1413" s="3">
        <v>45911</v>
      </c>
      <c r="AE1413">
        <v>7.683339780133757E-3</v>
      </c>
      <c r="AF1413">
        <f t="shared" si="22"/>
        <v>0</v>
      </c>
    </row>
    <row r="1414" spans="1:32" x14ac:dyDescent="0.35">
      <c r="A1414" s="3">
        <v>45915</v>
      </c>
      <c r="B1414" s="6">
        <f>LN(Raw!B1416/Raw!B1415)</f>
        <v>3.4793586711299421E-3</v>
      </c>
      <c r="C1414" s="6">
        <f>LN(Raw!C1416/Raw!C1415)</f>
        <v>1.3043972057380056E-2</v>
      </c>
      <c r="D1414" s="6">
        <f>LN(Raw!D1416/Raw!D1415)</f>
        <v>3.2155783375561026E-3</v>
      </c>
      <c r="X1414" s="3">
        <v>45915</v>
      </c>
      <c r="Y1414" cm="1">
        <f t="array" ref="Y1414">SUMPRODUCT($T$2:$T$4,TRANSPOSE(B1414:D1414))</f>
        <v>5.3750957414080746E-3</v>
      </c>
      <c r="AD1414" s="3">
        <v>45912</v>
      </c>
      <c r="AE1414">
        <v>8.643949995293122E-3</v>
      </c>
      <c r="AF1414">
        <f t="shared" si="22"/>
        <v>0</v>
      </c>
    </row>
    <row r="1415" spans="1:32" x14ac:dyDescent="0.35">
      <c r="A1415" s="3">
        <v>45916</v>
      </c>
      <c r="B1415" s="6">
        <f>LN(Raw!B1417/Raw!B1416)</f>
        <v>6.4521902516692835E-3</v>
      </c>
      <c r="C1415" s="6">
        <f>LN(Raw!C1417/Raw!C1416)</f>
        <v>-1.223212433840355E-2</v>
      </c>
      <c r="D1415" s="6">
        <f>LN(Raw!D1417/Raw!D1416)</f>
        <v>-1.658334060330441E-3</v>
      </c>
      <c r="X1415" s="3">
        <v>45916</v>
      </c>
      <c r="Y1415" cm="1">
        <f t="array" ref="Y1415">SUMPRODUCT($T$2:$T$4,TRANSPOSE(B1415:D1415))</f>
        <v>2.3220065037881945E-3</v>
      </c>
      <c r="AD1415" s="3">
        <v>45915</v>
      </c>
      <c r="AE1415">
        <v>5.3750957414080746E-3</v>
      </c>
      <c r="AF1415">
        <f t="shared" si="22"/>
        <v>0</v>
      </c>
    </row>
    <row r="1416" spans="1:32" x14ac:dyDescent="0.35">
      <c r="A1416" s="3">
        <v>45917</v>
      </c>
      <c r="B1416" s="6">
        <f>LN(Raw!B1418/Raw!B1417)</f>
        <v>-2.1350495353431666E-2</v>
      </c>
      <c r="C1416" s="6">
        <f>LN(Raw!C1418/Raw!C1417)</f>
        <v>-1.046846894818578E-2</v>
      </c>
      <c r="D1416" s="6">
        <f>LN(Raw!D1418/Raw!D1417)</f>
        <v>-1.037619813468735E-4</v>
      </c>
      <c r="X1416" s="3">
        <v>45917</v>
      </c>
      <c r="Y1416" cm="1">
        <f t="array" ref="Y1416">SUMPRODUCT($T$2:$T$4,TRANSPOSE(B1416:D1416))</f>
        <v>-1.8127286804531108E-2</v>
      </c>
      <c r="AD1416" s="3">
        <v>45916</v>
      </c>
      <c r="AE1416">
        <v>2.3220065037881945E-3</v>
      </c>
      <c r="AF1416">
        <f t="shared" si="22"/>
        <v>0</v>
      </c>
    </row>
    <row r="1417" spans="1:32" x14ac:dyDescent="0.35">
      <c r="A1417" s="3">
        <v>45918</v>
      </c>
      <c r="B1417" s="6">
        <f>LN(Raw!B1419/Raw!B1418)</f>
        <v>7.1852883926809942E-3</v>
      </c>
      <c r="C1417" s="6">
        <f>LN(Raw!C1419/Raw!C1418)</f>
        <v>-3.9712813768393411E-3</v>
      </c>
      <c r="D1417" s="6">
        <f>LN(Raw!D1419/Raw!D1418)</f>
        <v>1.630987304775678E-2</v>
      </c>
      <c r="X1417" s="3">
        <v>45918</v>
      </c>
      <c r="Y1417" cm="1">
        <f t="array" ref="Y1417">SUMPRODUCT($T$2:$T$4,TRANSPOSE(B1417:D1417))</f>
        <v>5.4103697105396193E-3</v>
      </c>
      <c r="AD1417" s="3">
        <v>45917</v>
      </c>
      <c r="AE1417">
        <v>-1.8127286804531108E-2</v>
      </c>
      <c r="AF1417">
        <f t="shared" si="22"/>
        <v>0</v>
      </c>
    </row>
    <row r="1418" spans="1:32" x14ac:dyDescent="0.35">
      <c r="A1418" s="3">
        <v>45919</v>
      </c>
      <c r="B1418" s="6">
        <f>LN(Raw!B1420/Raw!B1419)</f>
        <v>-1.0448957823594767E-2</v>
      </c>
      <c r="C1418" s="6">
        <f>LN(Raw!C1420/Raw!C1419)</f>
        <v>-9.6096132678362694E-4</v>
      </c>
      <c r="D1418" s="6">
        <f>LN(Raw!D1420/Raw!D1419)</f>
        <v>2.6887111887264139E-2</v>
      </c>
      <c r="X1418" s="3">
        <v>45919</v>
      </c>
      <c r="Y1418" cm="1">
        <f t="array" ref="Y1418">SUMPRODUCT($T$2:$T$4,TRANSPOSE(B1418:D1418))</f>
        <v>-6.7076902423862791E-3</v>
      </c>
      <c r="AD1418" s="3">
        <v>45918</v>
      </c>
      <c r="AE1418">
        <v>5.4103697105396193E-3</v>
      </c>
      <c r="AF1418">
        <f t="shared" si="22"/>
        <v>0</v>
      </c>
    </row>
    <row r="1419" spans="1:32" x14ac:dyDescent="0.35">
      <c r="A1419" s="3">
        <v>45922</v>
      </c>
      <c r="B1419" s="6">
        <f>LN(Raw!B1421/Raw!B1420)</f>
        <v>1.0820134709225044E-2</v>
      </c>
      <c r="C1419" s="6">
        <f>LN(Raw!C1421/Raw!C1420)</f>
        <v>-2.6128920797735761E-3</v>
      </c>
      <c r="D1419" s="6">
        <f>LN(Raw!D1421/Raw!D1420)</f>
        <v>-1.1994715952373182E-2</v>
      </c>
      <c r="X1419" s="3">
        <v>45922</v>
      </c>
      <c r="Y1419" cm="1">
        <f t="array" ref="Y1419">SUMPRODUCT($T$2:$T$4,TRANSPOSE(B1419:D1419))</f>
        <v>7.0102216819523493E-3</v>
      </c>
      <c r="AD1419" s="3">
        <v>45919</v>
      </c>
      <c r="AE1419">
        <v>-6.7076902423862791E-3</v>
      </c>
      <c r="AF1419">
        <f t="shared" si="22"/>
        <v>0</v>
      </c>
    </row>
    <row r="1420" spans="1:32" x14ac:dyDescent="0.35">
      <c r="A1420" s="3">
        <v>45923</v>
      </c>
      <c r="B1420" s="6">
        <f>LN(Raw!B1422/Raw!B1421)</f>
        <v>4.4432156043841481E-3</v>
      </c>
      <c r="C1420" s="6">
        <f>LN(Raw!C1422/Raw!C1421)</f>
        <v>1.3760838599182752E-3</v>
      </c>
      <c r="D1420" s="6">
        <f>LN(Raw!D1422/Raw!D1421)</f>
        <v>-1.3923218154007107E-2</v>
      </c>
      <c r="X1420" s="3">
        <v>45923</v>
      </c>
      <c r="Y1420" cm="1">
        <f t="array" ref="Y1420">SUMPRODUCT($T$2:$T$4,TRANSPOSE(B1420:D1420))</f>
        <v>2.9221571356022784E-3</v>
      </c>
      <c r="AD1420" s="3">
        <v>45922</v>
      </c>
      <c r="AE1420">
        <v>7.0102216819523493E-3</v>
      </c>
      <c r="AF1420">
        <f t="shared" si="22"/>
        <v>0</v>
      </c>
    </row>
    <row r="1421" spans="1:32" x14ac:dyDescent="0.35">
      <c r="A1421" s="3">
        <v>45924</v>
      </c>
      <c r="B1421" s="6">
        <f>LN(Raw!B1423/Raw!B1422)</f>
        <v>-8.6400899979854028E-3</v>
      </c>
      <c r="C1421" s="6">
        <f>LN(Raw!C1423/Raw!C1422)</f>
        <v>-1.9270816893716305E-3</v>
      </c>
      <c r="D1421" s="6">
        <f>LN(Raw!D1423/Raw!D1422)</f>
        <v>-1.5817415733876679E-3</v>
      </c>
      <c r="X1421" s="3">
        <v>45924</v>
      </c>
      <c r="Y1421" cm="1">
        <f t="array" ref="Y1421">SUMPRODUCT($T$2:$T$4,TRANSPOSE(B1421:D1421))</f>
        <v>-6.9510692505758446E-3</v>
      </c>
      <c r="AD1421" s="3">
        <v>45923</v>
      </c>
      <c r="AE1421">
        <v>2.9221571356022784E-3</v>
      </c>
      <c r="AF1421">
        <f t="shared" si="22"/>
        <v>0</v>
      </c>
    </row>
    <row r="1422" spans="1:32" x14ac:dyDescent="0.35">
      <c r="A1422" s="3">
        <v>45925</v>
      </c>
      <c r="B1422" s="6">
        <f>LN(Raw!B1424/Raw!B1423)</f>
        <v>1.8083762389290955E-3</v>
      </c>
      <c r="C1422" s="6">
        <f>LN(Raw!C1424/Raw!C1423)</f>
        <v>-7.7455097959673426E-3</v>
      </c>
      <c r="D1422" s="6">
        <f>LN(Raw!D1424/Raw!D1423)</f>
        <v>-6.3007441626491524E-3</v>
      </c>
      <c r="X1422" s="3">
        <v>45925</v>
      </c>
      <c r="Y1422" cm="1">
        <f t="array" ref="Y1422">SUMPRODUCT($T$2:$T$4,TRANSPOSE(B1422:D1422))</f>
        <v>-4.9959580966045156E-4</v>
      </c>
      <c r="AD1422" s="3">
        <v>45924</v>
      </c>
      <c r="AE1422">
        <v>-6.9510692505758446E-3</v>
      </c>
      <c r="AF1422">
        <f t="shared" si="22"/>
        <v>0</v>
      </c>
    </row>
    <row r="1423" spans="1:32" x14ac:dyDescent="0.35">
      <c r="A1423" s="3">
        <v>45926</v>
      </c>
      <c r="B1423" s="6">
        <f>LN(Raw!B1425/Raw!B1424)</f>
        <v>6.4622473984174422E-3</v>
      </c>
      <c r="C1423" s="6">
        <f>LN(Raw!C1425/Raw!C1424)</f>
        <v>-1.1114029660527051E-3</v>
      </c>
      <c r="D1423" s="6">
        <f>LN(Raw!D1425/Raw!D1424)</f>
        <v>-3.5089519159341991E-2</v>
      </c>
      <c r="X1423" s="3">
        <v>45926</v>
      </c>
      <c r="Y1423" cm="1">
        <f t="array" ref="Y1423">SUMPRODUCT($T$2:$T$4,TRANSPOSE(B1423:D1423))</f>
        <v>2.8943869540469201E-3</v>
      </c>
      <c r="AD1423" s="3">
        <v>45925</v>
      </c>
      <c r="AE1423">
        <v>-4.9959580966045156E-4</v>
      </c>
      <c r="AF1423">
        <f t="shared" si="22"/>
        <v>0</v>
      </c>
    </row>
    <row r="1424" spans="1:32" x14ac:dyDescent="0.35">
      <c r="A1424" s="3">
        <v>45929</v>
      </c>
      <c r="B1424" s="6">
        <f>LN(Raw!B1426/Raw!B1425)</f>
        <v>5.0033050318537319E-3</v>
      </c>
      <c r="C1424" s="6">
        <f>LN(Raw!C1426/Raw!C1425)</f>
        <v>1.0921465178232457E-2</v>
      </c>
      <c r="D1424" s="6">
        <f>LN(Raw!D1426/Raw!D1425)</f>
        <v>9.5759094111674728E-4</v>
      </c>
      <c r="X1424" s="3">
        <v>45929</v>
      </c>
      <c r="Y1424" cm="1">
        <f t="array" ref="Y1424">SUMPRODUCT($T$2:$T$4,TRANSPOSE(B1424:D1424))</f>
        <v>5.9841580697551529E-3</v>
      </c>
      <c r="AD1424" s="3">
        <v>45926</v>
      </c>
      <c r="AE1424">
        <v>2.8943869540469201E-3</v>
      </c>
      <c r="AF1424">
        <f t="shared" si="22"/>
        <v>0</v>
      </c>
    </row>
    <row r="1425" spans="1:32" x14ac:dyDescent="0.35">
      <c r="A1425" s="3">
        <v>45930</v>
      </c>
      <c r="B1425" s="6">
        <f>LN(Raw!B1427/Raw!B1426)</f>
        <v>-7.223298427537354E-3</v>
      </c>
      <c r="C1425" s="6">
        <f>LN(Raw!C1427/Raw!C1426)</f>
        <v>1.3655818062751877E-2</v>
      </c>
      <c r="D1425" s="6">
        <f>LN(Raw!D1427/Raw!D1426)</f>
        <v>5.4617350429707594E-3</v>
      </c>
      <c r="X1425" s="3">
        <v>45930</v>
      </c>
      <c r="Y1425" cm="1">
        <f t="array" ref="Y1425">SUMPRODUCT($T$2:$T$4,TRANSPOSE(B1425:D1425))</f>
        <v>-2.4287092946449298E-3</v>
      </c>
      <c r="AD1425" s="3">
        <v>45929</v>
      </c>
      <c r="AE1425">
        <v>5.9841580697551529E-3</v>
      </c>
      <c r="AF1425">
        <f t="shared" si="22"/>
        <v>0</v>
      </c>
    </row>
    <row r="1426" spans="1:32" x14ac:dyDescent="0.35">
      <c r="A1426" s="3">
        <v>45931</v>
      </c>
      <c r="B1426" s="6">
        <f>LN(Raw!B1428/Raw!B1427)</f>
        <v>7.275796668279242E-3</v>
      </c>
      <c r="C1426" s="6">
        <f>LN(Raw!C1428/Raw!C1427)</f>
        <v>-6.3950314197231571E-3</v>
      </c>
      <c r="D1426" s="6">
        <f>LN(Raw!D1428/Raw!D1427)</f>
        <v>7.3237206465601697E-3</v>
      </c>
      <c r="X1426" s="3">
        <v>45931</v>
      </c>
      <c r="Y1426" cm="1">
        <f t="array" ref="Y1426">SUMPRODUCT($T$2:$T$4,TRANSPOSE(B1426:D1426))</f>
        <v>4.5499073303367455E-3</v>
      </c>
      <c r="AD1426" s="3">
        <v>45930</v>
      </c>
      <c r="AE1426">
        <v>-2.4287092946449298E-3</v>
      </c>
      <c r="AF1426">
        <f t="shared" si="22"/>
        <v>0</v>
      </c>
    </row>
    <row r="1427" spans="1:32" x14ac:dyDescent="0.35">
      <c r="A1427" s="3">
        <v>45933</v>
      </c>
      <c r="B1427" s="6">
        <f>LN(Raw!B1429/Raw!B1428)</f>
        <v>4.1937735574725547E-3</v>
      </c>
      <c r="C1427" s="6">
        <f>LN(Raw!C1429/Raw!C1428)</f>
        <v>-1.0925811152084231E-3</v>
      </c>
      <c r="D1427" s="6">
        <f>LN(Raw!D1429/Raw!D1428)</f>
        <v>9.9686333794877548E-4</v>
      </c>
      <c r="X1427" s="3">
        <v>45933</v>
      </c>
      <c r="Y1427" cm="1">
        <f t="array" ref="Y1427">SUMPRODUCT($T$2:$T$4,TRANSPOSE(B1427:D1427))</f>
        <v>2.9805703857109889E-3</v>
      </c>
      <c r="AD1427" s="3">
        <v>45931</v>
      </c>
      <c r="AE1427">
        <v>4.5499073303367455E-3</v>
      </c>
      <c r="AF1427">
        <f t="shared" si="22"/>
        <v>0</v>
      </c>
    </row>
    <row r="1428" spans="1:32" x14ac:dyDescent="0.35">
      <c r="A1428" s="3">
        <v>45936</v>
      </c>
      <c r="B1428" s="6">
        <f>LN(Raw!B1430/Raw!B1429)</f>
        <v>7.4008999917169176E-3</v>
      </c>
      <c r="C1428" s="6">
        <f>LN(Raw!C1430/Raw!C1429)</f>
        <v>4.0570512732546977E-2</v>
      </c>
      <c r="D1428" s="6">
        <f>LN(Raw!D1430/Raw!D1429)</f>
        <v>1.1575296345279743E-2</v>
      </c>
      <c r="X1428" s="3">
        <v>45936</v>
      </c>
      <c r="Y1428" cm="1">
        <f t="array" ref="Y1428">SUMPRODUCT($T$2:$T$4,TRANSPOSE(B1428:D1428))</f>
        <v>1.422708749333524E-2</v>
      </c>
      <c r="AD1428" s="3">
        <v>45933</v>
      </c>
      <c r="AE1428">
        <v>2.9805703857109889E-3</v>
      </c>
      <c r="AF1428">
        <f t="shared" si="22"/>
        <v>0</v>
      </c>
    </row>
    <row r="1429" spans="1:32" x14ac:dyDescent="0.35">
      <c r="A1429" s="3">
        <v>45937</v>
      </c>
      <c r="B1429" s="6">
        <f>LN(Raw!B1431/Raw!B1430)</f>
        <v>-1.0334706588354888E-2</v>
      </c>
      <c r="C1429" s="6">
        <f>LN(Raw!C1431/Raw!C1430)</f>
        <v>4.4514664609150911E-3</v>
      </c>
      <c r="D1429" s="6">
        <f>LN(Raw!D1431/Raw!D1430)</f>
        <v>3.6285446327880851E-4</v>
      </c>
      <c r="X1429" s="3">
        <v>45937</v>
      </c>
      <c r="Y1429" cm="1">
        <f t="array" ref="Y1429">SUMPRODUCT($T$2:$T$4,TRANSPOSE(B1429:D1429))</f>
        <v>-6.8544347358297439E-3</v>
      </c>
      <c r="AD1429" s="3">
        <v>45936</v>
      </c>
      <c r="AE1429">
        <v>1.422708749333524E-2</v>
      </c>
      <c r="AF1429">
        <f t="shared" si="22"/>
        <v>0</v>
      </c>
    </row>
    <row r="1430" spans="1:32" x14ac:dyDescent="0.35">
      <c r="A1430" s="3">
        <v>45938</v>
      </c>
      <c r="B1430" s="6">
        <f>LN(Raw!B1432/Raw!B1431)</f>
        <v>-1.4746140446541369E-2</v>
      </c>
      <c r="C1430" s="6">
        <f>LN(Raw!C1432/Raw!C1431)</f>
        <v>-2.2725264324443595E-2</v>
      </c>
      <c r="D1430" s="6">
        <f>LN(Raw!D1432/Raw!D1431)</f>
        <v>-1.5142278837065678E-2</v>
      </c>
      <c r="X1430" s="3">
        <v>45938</v>
      </c>
      <c r="Y1430" cm="1">
        <f t="array" ref="Y1430">SUMPRODUCT($T$2:$T$4,TRANSPOSE(B1430:D1430))</f>
        <v>-1.6358123759201565E-2</v>
      </c>
      <c r="AD1430" s="3">
        <v>45937</v>
      </c>
      <c r="AE1430">
        <v>-6.8544347358297439E-3</v>
      </c>
      <c r="AF1430">
        <f t="shared" si="22"/>
        <v>0</v>
      </c>
    </row>
    <row r="1431" spans="1:32" x14ac:dyDescent="0.35">
      <c r="A1431" s="3">
        <v>45939</v>
      </c>
      <c r="B1431" s="6">
        <f>LN(Raw!B1433/Raw!B1432)</f>
        <v>2.446279057530355E-3</v>
      </c>
      <c r="C1431" s="6">
        <f>LN(Raw!C1433/Raw!C1432)</f>
        <v>1.0766418287663147E-2</v>
      </c>
      <c r="D1431" s="6">
        <f>LN(Raw!D1433/Raw!D1432)</f>
        <v>-3.6897164067644398E-3</v>
      </c>
      <c r="X1431" s="3">
        <v>45939</v>
      </c>
      <c r="Y1431" cm="1">
        <f t="array" ref="Y1431">SUMPRODUCT($T$2:$T$4,TRANSPOSE(B1431:D1431))</f>
        <v>3.8030422400218964E-3</v>
      </c>
      <c r="AD1431" s="3">
        <v>45938</v>
      </c>
      <c r="AE1431">
        <v>-1.6358123759201565E-2</v>
      </c>
      <c r="AF1431">
        <f t="shared" si="22"/>
        <v>0</v>
      </c>
    </row>
    <row r="1432" spans="1:32" x14ac:dyDescent="0.35">
      <c r="A1432" s="3">
        <v>45940</v>
      </c>
      <c r="B1432" s="6">
        <f>LN(Raw!B1434/Raw!B1433)</f>
        <v>-1.0626130189488856E-2</v>
      </c>
      <c r="C1432" s="6">
        <f>LN(Raw!C1434/Raw!C1433)</f>
        <v>1.482867867367788E-2</v>
      </c>
      <c r="D1432" s="6">
        <f>LN(Raw!D1434/Raw!D1433)</f>
        <v>1.831361401480127E-2</v>
      </c>
      <c r="X1432" s="3">
        <v>45940</v>
      </c>
      <c r="Y1432" cm="1">
        <f t="array" ref="Y1432">SUMPRODUCT($T$2:$T$4,TRANSPOSE(B1432:D1432))</f>
        <v>-4.1139314373834562E-3</v>
      </c>
      <c r="AD1432" s="3">
        <v>45939</v>
      </c>
      <c r="AE1432">
        <v>3.8030422400218964E-3</v>
      </c>
      <c r="AF1432">
        <f t="shared" si="22"/>
        <v>0</v>
      </c>
    </row>
    <row r="1433" spans="1:32" x14ac:dyDescent="0.35">
      <c r="A1433" s="3">
        <v>45943</v>
      </c>
      <c r="B1433" s="6">
        <f>LN(Raw!B1435/Raw!B1434)</f>
        <v>-1.5908579335971312E-2</v>
      </c>
      <c r="C1433" s="6">
        <f>LN(Raw!C1435/Raw!C1434)</f>
        <v>3.3809857771709287E-3</v>
      </c>
      <c r="D1433" s="6">
        <f>LN(Raw!D1435/Raw!D1434)</f>
        <v>-9.4288594414604649E-3</v>
      </c>
      <c r="X1433" s="3">
        <v>45943</v>
      </c>
      <c r="Y1433" cm="1">
        <f t="array" ref="Y1433">SUMPRODUCT($T$2:$T$4,TRANSPOSE(B1433:D1433))</f>
        <v>-1.1738315505915675E-2</v>
      </c>
      <c r="AD1433" s="3">
        <v>45940</v>
      </c>
      <c r="AE1433">
        <v>-4.1139314373834562E-3</v>
      </c>
      <c r="AF1433">
        <f t="shared" si="22"/>
        <v>0</v>
      </c>
    </row>
    <row r="1434" spans="1:32" x14ac:dyDescent="0.35">
      <c r="A1434" s="3">
        <v>45944</v>
      </c>
      <c r="B1434" s="6">
        <f>LN(Raw!B1436/Raw!B1435)</f>
        <v>1.1604704468689797E-2</v>
      </c>
      <c r="C1434" s="6">
        <f>LN(Raw!C1436/Raw!C1435)</f>
        <v>-2.1520267910462854E-2</v>
      </c>
      <c r="D1434" s="6">
        <f>LN(Raw!D1436/Raw!D1435)</f>
        <v>-1.2535082465788539E-2</v>
      </c>
      <c r="X1434" s="3">
        <v>45944</v>
      </c>
      <c r="Y1434" cm="1">
        <f t="array" ref="Y1434">SUMPRODUCT($T$2:$T$4,TRANSPOSE(B1434:D1434))</f>
        <v>3.7993362403723578E-3</v>
      </c>
      <c r="AD1434" s="3">
        <v>45943</v>
      </c>
      <c r="AE1434">
        <v>-1.1738315505915675E-2</v>
      </c>
      <c r="AF1434">
        <f t="shared" si="22"/>
        <v>0</v>
      </c>
    </row>
    <row r="1435" spans="1:32" x14ac:dyDescent="0.35">
      <c r="A1435" s="3">
        <v>45945</v>
      </c>
      <c r="B1435" s="6">
        <f>LN(Raw!B1437/Raw!B1436)</f>
        <v>8.5469133923923829E-2</v>
      </c>
      <c r="C1435" s="6">
        <f>LN(Raw!C1437/Raw!C1436)</f>
        <v>1.5008132263882831E-2</v>
      </c>
      <c r="D1435" s="6">
        <f>LN(Raw!D1437/Raw!D1436)</f>
        <v>-8.4829487915594334E-4</v>
      </c>
      <c r="X1435" s="3">
        <v>45945</v>
      </c>
      <c r="Y1435" cm="1">
        <f t="array" ref="Y1435">SUMPRODUCT($T$2:$T$4,TRANSPOSE(B1435:D1435))</f>
        <v>6.7135506770809303E-2</v>
      </c>
      <c r="AD1435" s="3">
        <v>45944</v>
      </c>
      <c r="AE1435">
        <v>3.7993362403723578E-3</v>
      </c>
      <c r="AF1435">
        <f t="shared" si="22"/>
        <v>0</v>
      </c>
    </row>
    <row r="1436" spans="1:32" x14ac:dyDescent="0.35">
      <c r="A1436" s="3">
        <v>45946</v>
      </c>
      <c r="B1436" s="6">
        <f>LN(Raw!B1438/Raw!B1437)</f>
        <v>-5.0615563386705639E-3</v>
      </c>
      <c r="C1436" s="6">
        <f>LN(Raw!C1438/Raw!C1437)</f>
        <v>9.752369237233334E-3</v>
      </c>
      <c r="D1436" s="6">
        <f>LN(Raw!D1438/Raw!D1437)</f>
        <v>5.3025851000328107E-4</v>
      </c>
      <c r="X1436" s="3">
        <v>45946</v>
      </c>
      <c r="Y1436" cm="1">
        <f t="array" ref="Y1436">SUMPRODUCT($T$2:$T$4,TRANSPOSE(B1436:D1436))</f>
        <v>-1.8284299485557703E-3</v>
      </c>
      <c r="AD1436" s="3">
        <v>45945</v>
      </c>
      <c r="AE1436">
        <v>6.7135506770809303E-2</v>
      </c>
      <c r="AF1436">
        <f t="shared" si="22"/>
        <v>0</v>
      </c>
    </row>
    <row r="1437" spans="1:32" x14ac:dyDescent="0.35">
      <c r="A1437" s="3">
        <v>45947</v>
      </c>
      <c r="B1437" s="6">
        <f>LN(Raw!B1439/Raw!B1438)</f>
        <v>-4.5374307464419363E-3</v>
      </c>
      <c r="C1437" s="6">
        <f>LN(Raw!C1439/Raw!C1438)</f>
        <v>-7.2727276220858851E-3</v>
      </c>
      <c r="D1437" s="6">
        <f>LN(Raw!D1439/Raw!D1438)</f>
        <v>-8.9466604144273383E-3</v>
      </c>
      <c r="X1437" s="3">
        <v>45947</v>
      </c>
      <c r="Y1437" cm="1">
        <f t="array" ref="Y1437">SUMPRODUCT($T$2:$T$4,TRANSPOSE(B1437:D1437))</f>
        <v>-5.301521935844297E-3</v>
      </c>
      <c r="AD1437" s="3">
        <v>45946</v>
      </c>
      <c r="AE1437">
        <v>-1.8284299485557703E-3</v>
      </c>
      <c r="AF1437">
        <f t="shared" si="22"/>
        <v>0</v>
      </c>
    </row>
    <row r="1438" spans="1:32" x14ac:dyDescent="0.35">
      <c r="A1438" s="3">
        <v>45950</v>
      </c>
      <c r="B1438" s="6">
        <f>LN(Raw!B1440/Raw!B1439)</f>
        <v>5.0347661748350783E-3</v>
      </c>
      <c r="C1438" s="6">
        <f>LN(Raw!C1440/Raw!C1439)</f>
        <v>1.1662695181088575E-2</v>
      </c>
      <c r="D1438" s="6">
        <f>LN(Raw!D1440/Raw!D1439)</f>
        <v>-3.3757828860136998E-3</v>
      </c>
      <c r="X1438" s="3">
        <v>45950</v>
      </c>
      <c r="Y1438" cm="1">
        <f t="array" ref="Y1438">SUMPRODUCT($T$2:$T$4,TRANSPOSE(B1438:D1438))</f>
        <v>5.9412502689452145E-3</v>
      </c>
      <c r="AD1438" s="3">
        <v>45947</v>
      </c>
      <c r="AE1438">
        <v>-5.301521935844297E-3</v>
      </c>
      <c r="AF1438">
        <f t="shared" si="22"/>
        <v>0</v>
      </c>
    </row>
    <row r="1439" spans="1:32" x14ac:dyDescent="0.35">
      <c r="A1439" s="3">
        <v>45951</v>
      </c>
      <c r="B1439" s="6">
        <f>LN(Raw!B1441/Raw!B1440)</f>
        <v>-2.0407405267166673E-3</v>
      </c>
      <c r="C1439" s="6">
        <f>LN(Raw!C1441/Raw!C1440)</f>
        <v>-4.1311860740409793E-3</v>
      </c>
      <c r="D1439" s="6">
        <f>LN(Raw!D1441/Raw!D1440)</f>
        <v>7.2198944482385133E-3</v>
      </c>
      <c r="X1439" s="3">
        <v>45951</v>
      </c>
      <c r="Y1439" cm="1">
        <f t="array" ref="Y1439">SUMPRODUCT($T$2:$T$4,TRANSPOSE(B1439:D1439))</f>
        <v>-1.9996168980442172E-3</v>
      </c>
      <c r="AD1439" s="3">
        <v>45950</v>
      </c>
      <c r="AE1439">
        <v>5.9412502689452145E-3</v>
      </c>
      <c r="AF1439">
        <f t="shared" si="22"/>
        <v>0</v>
      </c>
    </row>
    <row r="1440" spans="1:32" x14ac:dyDescent="0.35">
      <c r="A1440" s="3">
        <v>45953</v>
      </c>
      <c r="B1440" s="6">
        <f>LN(Raw!B1442/Raw!B1441)</f>
        <v>-1.070445132970369E-2</v>
      </c>
      <c r="C1440" s="6">
        <f>LN(Raw!C1442/Raw!C1441)</f>
        <v>4.0022978153039217E-3</v>
      </c>
      <c r="D1440" s="6">
        <f>LN(Raw!D1442/Raw!D1441)</f>
        <v>2.4481967445063968E-3</v>
      </c>
      <c r="X1440" s="3">
        <v>45953</v>
      </c>
      <c r="Y1440" cm="1">
        <f t="array" ref="Y1440">SUMPRODUCT($T$2:$T$4,TRANSPOSE(B1440:D1440))</f>
        <v>-7.1185274263769367E-3</v>
      </c>
      <c r="AD1440" s="3">
        <v>45951</v>
      </c>
      <c r="AE1440">
        <v>-1.9996168980442172E-3</v>
      </c>
      <c r="AF1440">
        <f t="shared" si="22"/>
        <v>0</v>
      </c>
    </row>
    <row r="1441" spans="1:32" x14ac:dyDescent="0.35">
      <c r="A1441" s="3">
        <v>45954</v>
      </c>
      <c r="B1441" s="6">
        <f>LN(Raw!B1443/Raw!B1442)</f>
        <v>7.3998340896443979E-3</v>
      </c>
      <c r="C1441" s="6">
        <f>LN(Raw!C1443/Raw!C1442)</f>
        <v>-5.2967963779496025E-3</v>
      </c>
      <c r="D1441" s="6">
        <f>LN(Raw!D1443/Raw!D1442)</f>
        <v>-5.650623166063207E-3</v>
      </c>
      <c r="X1441" s="3">
        <v>45954</v>
      </c>
      <c r="Y1441" cm="1">
        <f t="array" ref="Y1441">SUMPRODUCT($T$2:$T$4,TRANSPOSE(B1441:D1441))</f>
        <v>4.2201231926051221E-3</v>
      </c>
      <c r="AD1441" s="3">
        <v>45953</v>
      </c>
      <c r="AE1441">
        <v>-7.1185274263769367E-3</v>
      </c>
      <c r="AF1441">
        <f t="shared" si="22"/>
        <v>0</v>
      </c>
    </row>
    <row r="1442" spans="1:32" x14ac:dyDescent="0.35">
      <c r="A1442" s="3">
        <v>45957</v>
      </c>
      <c r="B1442" s="6">
        <f>LN(Raw!B1444/Raw!B1443)</f>
        <v>-3.7685645726660412E-3</v>
      </c>
      <c r="C1442" s="6">
        <f>LN(Raw!C1444/Raw!C1443)</f>
        <v>-1.2951044043810713E-4</v>
      </c>
      <c r="D1442" s="6">
        <f>LN(Raw!D1444/Raw!D1443)</f>
        <v>1.5647265489627287E-2</v>
      </c>
      <c r="X1442" s="3">
        <v>45957</v>
      </c>
      <c r="Y1442" cm="1">
        <f t="array" ref="Y1442">SUMPRODUCT($T$2:$T$4,TRANSPOSE(B1442:D1442))</f>
        <v>-2.0814339140071553E-3</v>
      </c>
      <c r="AD1442" s="3">
        <v>45954</v>
      </c>
      <c r="AE1442">
        <v>4.2201231926051221E-3</v>
      </c>
      <c r="AF1442">
        <f t="shared" si="22"/>
        <v>0</v>
      </c>
    </row>
    <row r="1443" spans="1:32" x14ac:dyDescent="0.35">
      <c r="A1443" s="3">
        <v>45958</v>
      </c>
      <c r="B1443" s="6">
        <f>LN(Raw!B1445/Raw!B1444)</f>
        <v>1.6278371828273061E-2</v>
      </c>
      <c r="C1443" s="6">
        <f>LN(Raw!C1445/Raw!C1444)</f>
        <v>-6.6290443322948407E-3</v>
      </c>
      <c r="D1443" s="6">
        <f>LN(Raw!D1445/Raw!D1444)</f>
        <v>-4.8006655035047014E-3</v>
      </c>
      <c r="X1443" s="3">
        <v>45958</v>
      </c>
      <c r="Y1443" cm="1">
        <f t="array" ref="Y1443">SUMPRODUCT($T$2:$T$4,TRANSPOSE(B1443:D1443))</f>
        <v>1.0663578562575561E-2</v>
      </c>
      <c r="AD1443" s="3">
        <v>45957</v>
      </c>
      <c r="AE1443">
        <v>-2.0814339140071553E-3</v>
      </c>
      <c r="AF1443">
        <f t="shared" si="22"/>
        <v>0</v>
      </c>
    </row>
    <row r="1444" spans="1:32" x14ac:dyDescent="0.35">
      <c r="A1444" s="3">
        <v>45959</v>
      </c>
      <c r="B1444" s="6">
        <f>LN(Raw!B1446/Raw!B1445)</f>
        <v>5.3842034531089719E-3</v>
      </c>
      <c r="C1444" s="6">
        <f>LN(Raw!C1446/Raw!C1445)</f>
        <v>7.5354233802635492E-3</v>
      </c>
      <c r="D1444" s="6">
        <f>LN(Raw!D1446/Raw!D1445)</f>
        <v>9.5784746059379821E-3</v>
      </c>
      <c r="X1444" s="3">
        <v>45959</v>
      </c>
      <c r="Y1444" cm="1">
        <f t="array" ref="Y1444">SUMPRODUCT($T$2:$T$4,TRANSPOSE(B1444:D1444))</f>
        <v>6.0210931944208197E-3</v>
      </c>
      <c r="AD1444" s="3">
        <v>45958</v>
      </c>
      <c r="AE1444">
        <v>1.0663578562575561E-2</v>
      </c>
      <c r="AF1444">
        <f t="shared" si="22"/>
        <v>0</v>
      </c>
    </row>
    <row r="1445" spans="1:32" x14ac:dyDescent="0.35">
      <c r="A1445" s="3">
        <v>45960</v>
      </c>
      <c r="B1445" s="6">
        <f>LN(Raw!B1447/Raw!B1446)</f>
        <v>-7.8141094086849154E-3</v>
      </c>
      <c r="C1445" s="6">
        <f>LN(Raw!C1447/Raw!C1446)</f>
        <v>-9.1016103823589982E-3</v>
      </c>
      <c r="D1445" s="6">
        <f>LN(Raw!D1447/Raw!D1446)</f>
        <v>-6.8324388077064362E-3</v>
      </c>
      <c r="X1445" s="3">
        <v>45960</v>
      </c>
      <c r="Y1445" cm="1">
        <f t="array" ref="Y1445">SUMPRODUCT($T$2:$T$4,TRANSPOSE(B1445:D1445))</f>
        <v>-8.0224704664048196E-3</v>
      </c>
      <c r="AD1445" s="3">
        <v>45959</v>
      </c>
      <c r="AE1445">
        <v>6.0210931944208197E-3</v>
      </c>
      <c r="AF1445">
        <f t="shared" si="22"/>
        <v>0</v>
      </c>
    </row>
    <row r="1446" spans="1:32" x14ac:dyDescent="0.35">
      <c r="A1446" s="3">
        <v>45961</v>
      </c>
      <c r="B1446" s="6">
        <f>LN(Raw!B1448/Raw!B1447)</f>
        <v>-1.0180248999690559E-2</v>
      </c>
      <c r="C1446" s="6">
        <f>LN(Raw!C1448/Raw!C1447)</f>
        <v>-2.2722181228337419E-2</v>
      </c>
      <c r="D1446" s="6">
        <f>LN(Raw!D1448/Raw!D1447)</f>
        <v>-1.353912622619661E-2</v>
      </c>
      <c r="X1446" s="3">
        <v>45961</v>
      </c>
      <c r="Y1446" cm="1">
        <f t="array" ref="Y1446">SUMPRODUCT($T$2:$T$4,TRANSPOSE(B1446:D1446))</f>
        <v>-1.2849449563057721E-2</v>
      </c>
      <c r="AD1446" s="3">
        <v>45960</v>
      </c>
      <c r="AE1446">
        <v>-8.0224704664048196E-3</v>
      </c>
      <c r="AF1446">
        <f t="shared" si="22"/>
        <v>0</v>
      </c>
    </row>
    <row r="1447" spans="1:32" x14ac:dyDescent="0.35">
      <c r="A1447" s="3">
        <v>45964</v>
      </c>
      <c r="B1447" s="6">
        <f>LN(Raw!B1449/Raw!B1448)</f>
        <v>6.9477822623874542E-3</v>
      </c>
      <c r="C1447" s="6">
        <f>LN(Raw!C1449/Raw!C1448)</f>
        <v>1.4195861839258816E-2</v>
      </c>
      <c r="D1447" s="6">
        <f>LN(Raw!D1449/Raw!D1448)</f>
        <v>-2.2051380954576073E-2</v>
      </c>
      <c r="X1447" s="3">
        <v>45964</v>
      </c>
      <c r="Y1447" cm="1">
        <f t="array" ref="Y1447">SUMPRODUCT($T$2:$T$4,TRANSPOSE(B1447:D1447))</f>
        <v>6.9590958448881596E-3</v>
      </c>
      <c r="AD1447" s="3">
        <v>45961</v>
      </c>
      <c r="AE1447">
        <v>-1.2849449563057721E-2</v>
      </c>
      <c r="AF1447">
        <f t="shared" si="22"/>
        <v>0</v>
      </c>
    </row>
    <row r="1448" spans="1:32" x14ac:dyDescent="0.35">
      <c r="A1448" s="3">
        <v>45965</v>
      </c>
      <c r="B1448" s="6">
        <f>LN(Raw!B1450/Raw!B1449)</f>
        <v>1.600984121830341E-2</v>
      </c>
      <c r="C1448" s="6">
        <f>LN(Raw!C1450/Raw!C1449)</f>
        <v>-9.7961644382134998E-3</v>
      </c>
      <c r="D1448" s="6">
        <f>LN(Raw!D1450/Raw!D1449)</f>
        <v>-4.2167815737514276E-3</v>
      </c>
      <c r="X1448" s="3">
        <v>45965</v>
      </c>
      <c r="Y1448" cm="1">
        <f t="array" ref="Y1448">SUMPRODUCT($T$2:$T$4,TRANSPOSE(B1448:D1448))</f>
        <v>9.8587680763736266E-3</v>
      </c>
      <c r="AD1448" s="3">
        <v>45964</v>
      </c>
      <c r="AE1448">
        <v>6.9590958448881596E-3</v>
      </c>
      <c r="AF1448">
        <f t="shared" si="22"/>
        <v>0</v>
      </c>
    </row>
    <row r="1449" spans="1:32" x14ac:dyDescent="0.35">
      <c r="A1449" s="3">
        <v>45966</v>
      </c>
      <c r="B1449" s="6">
        <f>LN(Raw!B1451/Raw!B1450)</f>
        <v>0</v>
      </c>
      <c r="C1449" s="6">
        <f>LN(Raw!C1451/Raw!C1450)</f>
        <v>0</v>
      </c>
      <c r="D1449" s="6">
        <f>LN(Raw!D1451/Raw!D1450)</f>
        <v>0</v>
      </c>
      <c r="X1449" s="3">
        <v>45966</v>
      </c>
      <c r="Y1449" cm="1">
        <f t="array" ref="Y1449">SUMPRODUCT($T$2:$T$4,TRANSPOSE(B1449:D1449))</f>
        <v>0</v>
      </c>
      <c r="AD1449" s="3">
        <v>45965</v>
      </c>
      <c r="AE1449">
        <v>9.8587680763736266E-3</v>
      </c>
      <c r="AF1449">
        <f t="shared" si="22"/>
        <v>0</v>
      </c>
    </row>
    <row r="1450" spans="1:32" x14ac:dyDescent="0.35">
      <c r="A1450" s="3">
        <v>45967</v>
      </c>
      <c r="B1450" s="6">
        <f>LN(Raw!B1452/Raw!B1451)</f>
        <v>-1.930275225452871E-2</v>
      </c>
      <c r="C1450" s="6">
        <f>LN(Raw!C1452/Raw!C1451)</f>
        <v>-5.0680125815491597E-3</v>
      </c>
      <c r="D1450" s="6">
        <f>LN(Raw!D1452/Raw!D1451)</f>
        <v>2.028427107404791E-3</v>
      </c>
      <c r="X1450" s="3">
        <v>45967</v>
      </c>
      <c r="Y1450" cm="1">
        <f t="array" ref="Y1450">SUMPRODUCT($T$2:$T$4,TRANSPOSE(B1450:D1450))</f>
        <v>-1.5406269901337248E-2</v>
      </c>
      <c r="AD1450" s="3">
        <v>45966</v>
      </c>
      <c r="AE1450">
        <v>0</v>
      </c>
      <c r="AF1450">
        <f t="shared" si="22"/>
        <v>0</v>
      </c>
    </row>
    <row r="1451" spans="1:32" x14ac:dyDescent="0.35">
      <c r="A1451" s="3">
        <v>45968</v>
      </c>
      <c r="B1451" s="6">
        <f>LN(Raw!B1453/Raw!B1452)</f>
        <v>9.5494366414040112E-3</v>
      </c>
      <c r="C1451" s="6">
        <f>LN(Raw!C1453/Raw!C1452)</f>
        <v>1.3809757767891504E-2</v>
      </c>
      <c r="D1451" s="6">
        <f>LN(Raw!D1453/Raw!D1452)</f>
        <v>-3.6761621551177903E-3</v>
      </c>
      <c r="X1451" s="3">
        <v>45968</v>
      </c>
      <c r="Y1451" cm="1">
        <f t="array" ref="Y1451">SUMPRODUCT($T$2:$T$4,TRANSPOSE(B1451:D1451))</f>
        <v>9.7451243801940195E-3</v>
      </c>
      <c r="AD1451" s="3">
        <v>45967</v>
      </c>
      <c r="AE1451">
        <v>-1.5406269901337248E-2</v>
      </c>
      <c r="AF1451">
        <f t="shared" si="22"/>
        <v>0</v>
      </c>
    </row>
    <row r="1452" spans="1:32" x14ac:dyDescent="0.35">
      <c r="A1452" s="3">
        <v>45971</v>
      </c>
      <c r="B1452" s="6">
        <f>LN(Raw!B1454/Raw!B1453)</f>
        <v>2.5707317269933641E-3</v>
      </c>
      <c r="C1452" s="6">
        <f>LN(Raw!C1454/Raw!C1453)</f>
        <v>-1.9800680011277678E-3</v>
      </c>
      <c r="D1452" s="6">
        <f>LN(Raw!D1454/Raw!D1453)</f>
        <v>7.8844169180194209E-3</v>
      </c>
      <c r="X1452" s="3">
        <v>45971</v>
      </c>
      <c r="Y1452" cm="1">
        <f t="array" ref="Y1452">SUMPRODUCT($T$2:$T$4,TRANSPOSE(B1452:D1452))</f>
        <v>1.9255121587257E-3</v>
      </c>
      <c r="AD1452" s="3">
        <v>45968</v>
      </c>
      <c r="AE1452">
        <v>9.7451243801940195E-3</v>
      </c>
      <c r="AF1452">
        <f t="shared" si="22"/>
        <v>0</v>
      </c>
    </row>
    <row r="1453" spans="1:32" x14ac:dyDescent="0.35">
      <c r="A1453" s="3">
        <v>45972</v>
      </c>
      <c r="B1453" s="6">
        <f>LN(Raw!B1455/Raw!B1454)</f>
        <v>-1.457195936617532E-2</v>
      </c>
      <c r="C1453" s="6">
        <f>LN(Raw!C1455/Raw!C1454)</f>
        <v>1.6641951671063693E-2</v>
      </c>
      <c r="D1453" s="6">
        <f>LN(Raw!D1455/Raw!D1454)</f>
        <v>-3.2776502167194983E-3</v>
      </c>
      <c r="X1453" s="3">
        <v>45972</v>
      </c>
      <c r="Y1453" cm="1">
        <f t="array" ref="Y1453">SUMPRODUCT($T$2:$T$4,TRANSPOSE(B1453:D1453))</f>
        <v>-7.7837020693610126E-3</v>
      </c>
      <c r="AD1453" s="3">
        <v>45971</v>
      </c>
      <c r="AE1453">
        <v>1.9255121587257E-3</v>
      </c>
      <c r="AF1453">
        <f t="shared" si="22"/>
        <v>0</v>
      </c>
    </row>
    <row r="1454" spans="1:32" x14ac:dyDescent="0.35">
      <c r="A1454" s="3">
        <v>45973</v>
      </c>
      <c r="B1454" s="6">
        <f>LN(Raw!B1456/Raw!B1455)</f>
        <v>1.615062332100814E-2</v>
      </c>
      <c r="C1454" s="6">
        <f>LN(Raw!C1456/Raw!C1455)</f>
        <v>5.5724732120440296E-3</v>
      </c>
      <c r="D1454" s="6">
        <f>LN(Raw!D1456/Raw!D1455)</f>
        <v>1.3586427536412484E-2</v>
      </c>
      <c r="X1454" s="3">
        <v>45973</v>
      </c>
      <c r="Y1454" cm="1">
        <f t="array" ref="Y1454">SUMPRODUCT($T$2:$T$4,TRANSPOSE(B1454:D1454))</f>
        <v>1.3912659650561463E-2</v>
      </c>
      <c r="AD1454" s="3">
        <v>45972</v>
      </c>
      <c r="AE1454">
        <v>-7.7837020693610126E-3</v>
      </c>
      <c r="AF1454">
        <f t="shared" si="22"/>
        <v>0</v>
      </c>
    </row>
    <row r="1455" spans="1:32" x14ac:dyDescent="0.35">
      <c r="A1455" s="3">
        <v>45974</v>
      </c>
      <c r="B1455" s="6">
        <f>LN(Raw!B1457/Raw!B1456)</f>
        <v>2.5601004583948586E-3</v>
      </c>
      <c r="C1455" s="6">
        <f>LN(Raw!C1457/Raw!C1456)</f>
        <v>1.2585228423125497E-2</v>
      </c>
      <c r="D1455" s="6">
        <f>LN(Raw!D1457/Raw!D1456)</f>
        <v>-4.0565813926169191E-3</v>
      </c>
      <c r="X1455" s="3">
        <v>45974</v>
      </c>
      <c r="Y1455" cm="1">
        <f t="array" ref="Y1455">SUMPRODUCT($T$2:$T$4,TRANSPOSE(B1455:D1455))</f>
        <v>4.2333357620684452E-3</v>
      </c>
      <c r="AD1455" s="3">
        <v>45973</v>
      </c>
      <c r="AE1455">
        <v>1.3912659650561463E-2</v>
      </c>
      <c r="AF1455">
        <f t="shared" si="22"/>
        <v>0</v>
      </c>
    </row>
    <row r="1456" spans="1:32" x14ac:dyDescent="0.35">
      <c r="A1456" s="3">
        <v>45975</v>
      </c>
      <c r="B1456" s="6">
        <f>LN(Raw!B1458/Raw!B1457)</f>
        <v>-1.4212065732682714E-2</v>
      </c>
      <c r="C1456" s="6">
        <f>LN(Raw!C1458/Raw!C1457)</f>
        <v>3.1853248284101536E-3</v>
      </c>
      <c r="D1456" s="6">
        <f>LN(Raw!D1458/Raw!D1457)</f>
        <v>-2.4635653219961251E-2</v>
      </c>
      <c r="X1456" s="3">
        <v>45975</v>
      </c>
      <c r="Y1456" cm="1">
        <f t="array" ref="Y1456">SUMPRODUCT($T$2:$T$4,TRANSPOSE(B1456:D1456))</f>
        <v>-1.125596610239951E-2</v>
      </c>
      <c r="AD1456" s="3">
        <v>45974</v>
      </c>
      <c r="AE1456">
        <v>4.2333357620684452E-3</v>
      </c>
      <c r="AF1456">
        <f t="shared" si="22"/>
        <v>0</v>
      </c>
    </row>
    <row r="1457" spans="1:32" x14ac:dyDescent="0.35">
      <c r="A1457" s="3">
        <v>45978</v>
      </c>
      <c r="B1457" s="6">
        <f>LN(Raw!B1459/Raw!B1458)</f>
        <v>1.8676456311621046E-2</v>
      </c>
      <c r="C1457" s="6">
        <f>LN(Raw!C1459/Raw!C1458)</f>
        <v>5.2021136828041045E-3</v>
      </c>
      <c r="D1457" s="6">
        <f>LN(Raw!D1459/Raw!D1458)</f>
        <v>4.8763790993315978E-3</v>
      </c>
      <c r="X1457" s="3">
        <v>45978</v>
      </c>
      <c r="Y1457" cm="1">
        <f t="array" ref="Y1457">SUMPRODUCT($T$2:$T$4,TRANSPOSE(B1457:D1457))</f>
        <v>1.5304440015516944E-2</v>
      </c>
      <c r="AD1457" s="3">
        <v>45975</v>
      </c>
      <c r="AE1457">
        <v>-1.125596610239951E-2</v>
      </c>
      <c r="AF1457">
        <f t="shared" si="22"/>
        <v>0</v>
      </c>
    </row>
    <row r="1458" spans="1:32" x14ac:dyDescent="0.35">
      <c r="A1458" s="3">
        <v>45979</v>
      </c>
      <c r="B1458" s="6">
        <f>LN(Raw!B1460/Raw!B1459)</f>
        <v>-8.4056705884682989E-3</v>
      </c>
      <c r="C1458" s="6">
        <f>LN(Raw!C1460/Raw!C1459)</f>
        <v>-4.1848868587575829E-3</v>
      </c>
      <c r="D1458" s="6">
        <f>LN(Raw!D1460/Raw!D1459)</f>
        <v>5.4577467346131813E-3</v>
      </c>
      <c r="X1458" s="3">
        <v>45979</v>
      </c>
      <c r="Y1458" cm="1">
        <f t="array" ref="Y1458">SUMPRODUCT($T$2:$T$4,TRANSPOSE(B1458:D1458))</f>
        <v>-6.8772347382066801E-3</v>
      </c>
      <c r="AD1458" s="3">
        <v>45978</v>
      </c>
      <c r="AE1458">
        <v>1.5304440015516944E-2</v>
      </c>
      <c r="AF1458">
        <f t="shared" si="22"/>
        <v>0</v>
      </c>
    </row>
    <row r="1459" spans="1:32" x14ac:dyDescent="0.35">
      <c r="A1459" s="3">
        <v>45980</v>
      </c>
      <c r="B1459" s="6">
        <f>LN(Raw!B1461/Raw!B1460)</f>
        <v>7.8180618708992271E-3</v>
      </c>
      <c r="C1459" s="6">
        <f>LN(Raw!C1461/Raw!C1460)</f>
        <v>-1.3819860163834229E-2</v>
      </c>
      <c r="D1459" s="6">
        <f>LN(Raw!D1461/Raw!D1460)</f>
        <v>-1.830945006841261E-2</v>
      </c>
      <c r="X1459" s="3">
        <v>45980</v>
      </c>
      <c r="Y1459" cm="1">
        <f t="array" ref="Y1459">SUMPRODUCT($T$2:$T$4,TRANSPOSE(B1459:D1459))</f>
        <v>2.2067696350791684E-3</v>
      </c>
      <c r="AD1459" s="3">
        <v>45979</v>
      </c>
      <c r="AE1459">
        <v>-6.8772347382066801E-3</v>
      </c>
      <c r="AF1459">
        <f t="shared" si="22"/>
        <v>0</v>
      </c>
    </row>
    <row r="1460" spans="1:32" x14ac:dyDescent="0.35">
      <c r="A1460" s="3">
        <v>45981</v>
      </c>
      <c r="B1460" s="6">
        <f>LN(Raw!B1462/Raw!B1461)</f>
        <v>-2.0101375432542488E-3</v>
      </c>
      <c r="C1460" s="6">
        <f>LN(Raw!C1462/Raw!C1461)</f>
        <v>-7.6311091727467419E-3</v>
      </c>
      <c r="D1460" s="6">
        <f>LN(Raw!D1462/Raw!D1461)</f>
        <v>-5.1085169629589483E-3</v>
      </c>
      <c r="X1460" s="3">
        <v>45981</v>
      </c>
      <c r="Y1460" cm="1">
        <f t="array" ref="Y1460">SUMPRODUCT($T$2:$T$4,TRANSPOSE(B1460:D1460))</f>
        <v>-3.2852432290083021E-3</v>
      </c>
      <c r="AD1460" s="3">
        <v>45980</v>
      </c>
      <c r="AE1460">
        <v>2.2067696350791684E-3</v>
      </c>
      <c r="AF1460">
        <f t="shared" si="22"/>
        <v>0</v>
      </c>
    </row>
    <row r="1461" spans="1:32" x14ac:dyDescent="0.35">
      <c r="A1461" s="3">
        <v>45982</v>
      </c>
      <c r="B1461" s="6">
        <f>LN(Raw!B1463/Raw!B1462)</f>
        <v>-1.6577562706148678E-2</v>
      </c>
      <c r="C1461" s="6">
        <f>LN(Raw!C1463/Raw!C1462)</f>
        <v>-1.3331803949602339E-2</v>
      </c>
      <c r="D1461" s="6">
        <f>LN(Raw!D1463/Raw!D1462)</f>
        <v>-1.8002123251636401E-2</v>
      </c>
      <c r="X1461" s="3">
        <v>45982</v>
      </c>
      <c r="Y1461" cm="1">
        <f t="array" ref="Y1461">SUMPRODUCT($T$2:$T$4,TRANSPOSE(B1461:D1461))</f>
        <v>-1.6000314349181182E-2</v>
      </c>
      <c r="AD1461" s="3">
        <v>45981</v>
      </c>
      <c r="AE1461">
        <v>-3.2852432290083021E-3</v>
      </c>
      <c r="AF1461">
        <f t="shared" si="22"/>
        <v>0</v>
      </c>
    </row>
    <row r="1462" spans="1:32" x14ac:dyDescent="0.35">
      <c r="A1462" s="3">
        <v>45985</v>
      </c>
      <c r="B1462" s="6">
        <f>LN(Raw!B1464/Raw!B1463)</f>
        <v>-3.298671336895011E-3</v>
      </c>
      <c r="C1462" s="6">
        <f>LN(Raw!C1464/Raw!C1463)</f>
        <v>-5.1448230056152728E-3</v>
      </c>
      <c r="D1462" s="6">
        <f>LN(Raw!D1464/Raw!D1463)</f>
        <v>-9.1529659027296973E-3</v>
      </c>
      <c r="X1462" s="3">
        <v>45985</v>
      </c>
      <c r="Y1462" cm="1">
        <f t="array" ref="Y1462">SUMPRODUCT($T$2:$T$4,TRANSPOSE(B1462:D1462))</f>
        <v>-3.9568339462361804E-3</v>
      </c>
      <c r="AD1462" s="3">
        <v>45982</v>
      </c>
      <c r="AE1462">
        <v>-1.6000314349181182E-2</v>
      </c>
      <c r="AF1462">
        <f t="shared" si="22"/>
        <v>0</v>
      </c>
    </row>
    <row r="1463" spans="1:32" x14ac:dyDescent="0.35">
      <c r="A1463" s="3">
        <v>45986</v>
      </c>
      <c r="B1463" s="6">
        <f>LN(Raw!B1465/Raw!B1464)</f>
        <v>7.5065685997040418E-4</v>
      </c>
      <c r="C1463" s="6">
        <f>LN(Raw!C1465/Raw!C1464)</f>
        <v>1.0786756002558772E-2</v>
      </c>
      <c r="D1463" s="6">
        <f>LN(Raw!D1465/Raw!D1464)</f>
        <v>5.7796773765158094E-5</v>
      </c>
      <c r="X1463" s="3">
        <v>45986</v>
      </c>
      <c r="Y1463" cm="1">
        <f t="array" ref="Y1463">SUMPRODUCT($T$2:$T$4,TRANSPOSE(B1463:D1463))</f>
        <v>2.7192522611318025E-3</v>
      </c>
      <c r="AD1463" s="3">
        <v>45985</v>
      </c>
      <c r="AE1463">
        <v>-3.9568339462361804E-3</v>
      </c>
      <c r="AF1463">
        <f t="shared" si="22"/>
        <v>0</v>
      </c>
    </row>
    <row r="1464" spans="1:32" x14ac:dyDescent="0.35">
      <c r="A1464" s="3">
        <v>45987</v>
      </c>
      <c r="B1464" s="6">
        <f>LN(Raw!B1466/Raw!B1465)</f>
        <v>5.636933435808603E-3</v>
      </c>
      <c r="C1464" s="6">
        <f>LN(Raw!C1466/Raw!C1465)</f>
        <v>2.6723351505088106E-2</v>
      </c>
      <c r="D1464" s="6">
        <f>LN(Raw!D1466/Raw!D1465)</f>
        <v>1.5601325243175276E-3</v>
      </c>
      <c r="X1464" s="3">
        <v>45987</v>
      </c>
      <c r="Y1464" cm="1">
        <f t="array" ref="Y1464">SUMPRODUCT($T$2:$T$4,TRANSPOSE(B1464:D1464))</f>
        <v>9.6433482281174723E-3</v>
      </c>
      <c r="AD1464" s="3">
        <v>45986</v>
      </c>
      <c r="AE1464">
        <v>2.7192522611318025E-3</v>
      </c>
      <c r="AF1464">
        <f t="shared" si="22"/>
        <v>0</v>
      </c>
    </row>
    <row r="1465" spans="1:32" x14ac:dyDescent="0.35">
      <c r="A1465" s="3">
        <v>45988</v>
      </c>
      <c r="B1465" s="6">
        <f>LN(Raw!B1467/Raw!B1466)</f>
        <v>-1.4833696024944446E-2</v>
      </c>
      <c r="C1465" s="6">
        <f>LN(Raw!C1467/Raw!C1466)</f>
        <v>-1.994276450347451E-2</v>
      </c>
      <c r="D1465" s="6">
        <f>LN(Raw!D1467/Raw!D1466)</f>
        <v>-1.2841871122339442E-2</v>
      </c>
      <c r="X1465" s="3">
        <v>45988</v>
      </c>
      <c r="Y1465" cm="1">
        <f t="array" ref="Y1465">SUMPRODUCT($T$2:$T$4,TRANSPOSE(B1465:D1465))</f>
        <v>-1.5754727301172073E-2</v>
      </c>
      <c r="AD1465" s="3">
        <v>45987</v>
      </c>
      <c r="AE1465">
        <v>9.6433482281174723E-3</v>
      </c>
      <c r="AF1465">
        <f t="shared" si="22"/>
        <v>0</v>
      </c>
    </row>
    <row r="1466" spans="1:32" x14ac:dyDescent="0.35">
      <c r="A1466" s="3">
        <v>45989</v>
      </c>
      <c r="B1466" s="6">
        <f>LN(Raw!B1468/Raw!B1467)</f>
        <v>-5.1629752762058388E-3</v>
      </c>
      <c r="C1466" s="6">
        <f>LN(Raw!C1468/Raw!C1467)</f>
        <v>6.3476142098567541E-3</v>
      </c>
      <c r="D1466" s="6">
        <f>LN(Raw!D1468/Raw!D1467)</f>
        <v>-1.814691978339496E-3</v>
      </c>
      <c r="X1466" s="3">
        <v>45989</v>
      </c>
      <c r="Y1466" cm="1">
        <f t="array" ref="Y1466">SUMPRODUCT($T$2:$T$4,TRANSPOSE(B1466:D1466))</f>
        <v>-2.7001219777194954E-3</v>
      </c>
      <c r="AD1466" s="3">
        <v>45988</v>
      </c>
      <c r="AE1466">
        <v>-1.5754727301172073E-2</v>
      </c>
      <c r="AF1466">
        <f t="shared" si="22"/>
        <v>0</v>
      </c>
    </row>
    <row r="1467" spans="1:32" x14ac:dyDescent="0.35">
      <c r="A1467" s="3">
        <v>45992</v>
      </c>
      <c r="B1467" s="6">
        <f>LN(Raw!B1469/Raw!B1468)</f>
        <v>1.0550603578673812E-2</v>
      </c>
      <c r="C1467" s="6">
        <f>LN(Raw!C1469/Raw!C1468)</f>
        <v>2.8368183716623754E-3</v>
      </c>
      <c r="D1467" s="6">
        <f>LN(Raw!D1469/Raw!D1468)</f>
        <v>-7.704773334041696E-3</v>
      </c>
      <c r="X1467" s="3">
        <v>45992</v>
      </c>
      <c r="Y1467" cm="1">
        <f t="array" ref="Y1467">SUMPRODUCT($T$2:$T$4,TRANSPOSE(B1467:D1467))</f>
        <v>8.107717520830969E-3</v>
      </c>
      <c r="AD1467" s="3">
        <v>45989</v>
      </c>
      <c r="AE1467">
        <v>-2.7001219777194954E-3</v>
      </c>
      <c r="AF1467">
        <f t="shared" si="22"/>
        <v>0</v>
      </c>
    </row>
    <row r="1468" spans="1:32" x14ac:dyDescent="0.35">
      <c r="A1468" s="3">
        <v>45993</v>
      </c>
      <c r="B1468" s="6">
        <f>LN(Raw!B1470/Raw!B1469)</f>
        <v>-2.3629750172176364E-3</v>
      </c>
      <c r="C1468" s="6">
        <f>LN(Raw!C1470/Raw!C1469)</f>
        <v>-1.4174032438594216E-3</v>
      </c>
      <c r="D1468" s="6">
        <f>LN(Raw!D1470/Raw!D1469)</f>
        <v>-1.062478196217362E-2</v>
      </c>
      <c r="X1468" s="3">
        <v>45993</v>
      </c>
      <c r="Y1468" cm="1">
        <f t="array" ref="Y1468">SUMPRODUCT($T$2:$T$4,TRANSPOSE(B1468:D1468))</f>
        <v>-2.5831467718130455E-3</v>
      </c>
      <c r="AD1468" s="3">
        <v>45992</v>
      </c>
      <c r="AE1468">
        <v>8.107717520830969E-3</v>
      </c>
      <c r="AF1468">
        <f t="shared" si="22"/>
        <v>0</v>
      </c>
    </row>
    <row r="1469" spans="1:32" x14ac:dyDescent="0.35">
      <c r="A1469" s="3">
        <v>45994</v>
      </c>
      <c r="B1469" s="6">
        <f>LN(Raw!B1471/Raw!B1470)</f>
        <v>-7.2238584686979742E-3</v>
      </c>
      <c r="C1469" s="6">
        <f>LN(Raw!C1471/Raw!C1470)</f>
        <v>-3.7465639842867399E-3</v>
      </c>
      <c r="D1469" s="6">
        <f>LN(Raw!D1471/Raw!D1470)</f>
        <v>-1.5333591952970849E-2</v>
      </c>
      <c r="X1469" s="3">
        <v>45994</v>
      </c>
      <c r="Y1469" cm="1">
        <f t="array" ref="Y1469">SUMPRODUCT($T$2:$T$4,TRANSPOSE(B1469:D1469))</f>
        <v>-6.9312529860904937E-3</v>
      </c>
      <c r="AD1469" s="3">
        <v>45993</v>
      </c>
      <c r="AE1469">
        <v>-2.5831467718130455E-3</v>
      </c>
      <c r="AF1469">
        <f t="shared" si="22"/>
        <v>0</v>
      </c>
    </row>
    <row r="1470" spans="1:32" x14ac:dyDescent="0.35">
      <c r="A1470" s="3">
        <v>45995</v>
      </c>
      <c r="B1470" s="6">
        <f>LN(Raw!B1472/Raw!B1471)</f>
        <v>5.3597617919792454E-3</v>
      </c>
      <c r="C1470" s="6">
        <f>LN(Raw!C1472/Raw!C1471)</f>
        <v>-4.9305768542565369E-3</v>
      </c>
      <c r="D1470" s="6">
        <f>LN(Raw!D1472/Raw!D1471)</f>
        <v>-1.0293372648654155E-2</v>
      </c>
      <c r="X1470" s="3">
        <v>45995</v>
      </c>
      <c r="Y1470" cm="1">
        <f t="array" ref="Y1470">SUMPRODUCT($T$2:$T$4,TRANSPOSE(B1470:D1470))</f>
        <v>2.5314631953640299E-3</v>
      </c>
      <c r="AD1470" s="3">
        <v>45994</v>
      </c>
      <c r="AE1470">
        <v>-6.9312529860904937E-3</v>
      </c>
      <c r="AF1470">
        <f t="shared" si="22"/>
        <v>0</v>
      </c>
    </row>
    <row r="1471" spans="1:32" x14ac:dyDescent="0.35">
      <c r="A1471" s="3">
        <v>45996</v>
      </c>
      <c r="B1471" s="6">
        <f>LN(Raw!B1473/Raw!B1472)</f>
        <v>-4.3462824434199847E-3</v>
      </c>
      <c r="C1471" s="6">
        <f>LN(Raw!C1473/Raw!C1472)</f>
        <v>-6.655783899645969E-3</v>
      </c>
      <c r="D1471" s="6">
        <f>LN(Raw!D1473/Raw!D1472)</f>
        <v>-2.473081634404508E-2</v>
      </c>
      <c r="X1471" s="3">
        <v>45996</v>
      </c>
      <c r="Y1471" cm="1">
        <f t="array" ref="Y1471">SUMPRODUCT($T$2:$T$4,TRANSPOSE(B1471:D1471))</f>
        <v>-5.8160180047743416E-3</v>
      </c>
      <c r="AD1471" s="3">
        <v>45995</v>
      </c>
      <c r="AE1471">
        <v>2.5314631953640299E-3</v>
      </c>
      <c r="AF1471">
        <f t="shared" si="22"/>
        <v>0</v>
      </c>
    </row>
    <row r="1472" spans="1:32" x14ac:dyDescent="0.35">
      <c r="A1472" s="3">
        <v>45999</v>
      </c>
      <c r="B1472" s="6">
        <f>LN(Raw!B1474/Raw!B1473)</f>
        <v>-6.7590392387498078E-3</v>
      </c>
      <c r="C1472" s="6">
        <f>LN(Raw!C1474/Raw!C1473)</f>
        <v>-1.5039893538509654E-2</v>
      </c>
      <c r="D1472" s="6">
        <f>LN(Raw!D1474/Raw!D1473)</f>
        <v>-1.9389866269572887E-2</v>
      </c>
      <c r="X1472" s="3">
        <v>45999</v>
      </c>
      <c r="Y1472" cm="1">
        <f t="array" ref="Y1472">SUMPRODUCT($T$2:$T$4,TRANSPOSE(B1472:D1472))</f>
        <v>-9.0367344579349532E-3</v>
      </c>
      <c r="AD1472" s="3">
        <v>45996</v>
      </c>
      <c r="AE1472">
        <v>-5.8160180047743416E-3</v>
      </c>
      <c r="AF1472">
        <f t="shared" si="22"/>
        <v>0</v>
      </c>
    </row>
    <row r="1473" spans="1:32" x14ac:dyDescent="0.35">
      <c r="A1473" s="3">
        <v>46000</v>
      </c>
      <c r="B1473" s="6">
        <f>LN(Raw!B1475/Raw!B1474)</f>
        <v>-8.0892959332922853E-3</v>
      </c>
      <c r="C1473" s="6">
        <f>LN(Raw!C1475/Raw!C1474)</f>
        <v>5.1707432595338824E-3</v>
      </c>
      <c r="D1473" s="6">
        <f>LN(Raw!D1475/Raw!D1474)</f>
        <v>1.8259589041646845E-2</v>
      </c>
      <c r="X1473" s="3">
        <v>46000</v>
      </c>
      <c r="Y1473" cm="1">
        <f t="array" ref="Y1473">SUMPRODUCT($T$2:$T$4,TRANSPOSE(B1473:D1473))</f>
        <v>-4.1390059896694335E-3</v>
      </c>
      <c r="AD1473" s="3">
        <v>45999</v>
      </c>
      <c r="AE1473">
        <v>-9.0367344579349532E-3</v>
      </c>
      <c r="AF1473">
        <f t="shared" si="22"/>
        <v>0</v>
      </c>
    </row>
    <row r="1474" spans="1:32" x14ac:dyDescent="0.35">
      <c r="A1474" s="3">
        <v>46001</v>
      </c>
      <c r="B1474" s="6">
        <f>LN(Raw!B1476/Raw!B1475)</f>
        <v>-5.4122447187245374E-3</v>
      </c>
      <c r="C1474" s="6">
        <f>LN(Raw!C1476/Raw!C1475)</f>
        <v>5.6702040999189055E-3</v>
      </c>
      <c r="D1474" s="6">
        <f>LN(Raw!D1476/Raw!D1475)</f>
        <v>6.6374544172424594E-3</v>
      </c>
      <c r="X1474" s="3">
        <v>46001</v>
      </c>
      <c r="Y1474" cm="1">
        <f t="array" ref="Y1474">SUMPRODUCT($T$2:$T$4,TRANSPOSE(B1474:D1474))</f>
        <v>-2.6042006143120622E-3</v>
      </c>
      <c r="AD1474" s="3">
        <v>46000</v>
      </c>
      <c r="AE1474">
        <v>-4.1390059896694335E-3</v>
      </c>
      <c r="AF1474">
        <f t="shared" si="22"/>
        <v>0</v>
      </c>
    </row>
    <row r="1475" spans="1:32" x14ac:dyDescent="0.35">
      <c r="A1475" s="3">
        <v>46002</v>
      </c>
      <c r="B1475" s="6">
        <f>LN(Raw!B1477/Raw!B1476)</f>
        <v>2.5293095656070005E-3</v>
      </c>
      <c r="C1475" s="6">
        <f>LN(Raw!C1477/Raw!C1476)</f>
        <v>-1.363625777985821E-2</v>
      </c>
      <c r="D1475" s="6">
        <f>LN(Raw!D1477/Raw!D1476)</f>
        <v>1.3513768379819683E-2</v>
      </c>
      <c r="X1475" s="3">
        <v>46002</v>
      </c>
      <c r="Y1475" cm="1">
        <f t="array" ref="Y1475">SUMPRODUCT($T$2:$T$4,TRANSPOSE(B1475:D1475))</f>
        <v>-1.5319977702298341E-4</v>
      </c>
      <c r="AD1475" s="3">
        <v>46001</v>
      </c>
      <c r="AE1475">
        <v>-2.6042006143120622E-3</v>
      </c>
      <c r="AF1475">
        <f t="shared" ref="AF1475:AF1488" si="23">IF(AE1475&lt;$AB$2,1,0)</f>
        <v>0</v>
      </c>
    </row>
    <row r="1476" spans="1:32" x14ac:dyDescent="0.35">
      <c r="A1476" s="3">
        <v>46003</v>
      </c>
      <c r="B1476" s="6">
        <f>LN(Raw!B1478/Raw!B1477)</f>
        <v>-9.2837162080694523E-4</v>
      </c>
      <c r="C1476" s="6">
        <f>LN(Raw!C1478/Raw!C1477)</f>
        <v>1.9143762093853663E-2</v>
      </c>
      <c r="D1476" s="6">
        <f>LN(Raw!D1478/Raw!D1477)</f>
        <v>5.6905216948576941E-2</v>
      </c>
      <c r="X1476" s="3">
        <v>46003</v>
      </c>
      <c r="Y1476" cm="1">
        <f t="array" ref="Y1476">SUMPRODUCT($T$2:$T$4,TRANSPOSE(B1476:D1476))</f>
        <v>5.939576363370289E-3</v>
      </c>
      <c r="AD1476" s="3">
        <v>46002</v>
      </c>
      <c r="AE1476">
        <v>-1.5319977702298341E-4</v>
      </c>
      <c r="AF1476">
        <f t="shared" si="23"/>
        <v>0</v>
      </c>
    </row>
    <row r="1477" spans="1:32" x14ac:dyDescent="0.35">
      <c r="A1477" s="3">
        <v>46006</v>
      </c>
      <c r="B1477" s="6">
        <f>LN(Raw!B1479/Raw!B1478)</f>
        <v>7.1471235939225258E-3</v>
      </c>
      <c r="C1477" s="6">
        <f>LN(Raw!C1479/Raw!C1478)</f>
        <v>-6.5406502693547361E-4</v>
      </c>
      <c r="D1477" s="6">
        <f>LN(Raw!D1479/Raw!D1478)</f>
        <v>-2.7838559285173342E-2</v>
      </c>
      <c r="X1477" s="3">
        <v>46006</v>
      </c>
      <c r="Y1477" cm="1">
        <f t="array" ref="Y1477">SUMPRODUCT($T$2:$T$4,TRANSPOSE(B1477:D1477))</f>
        <v>3.8588099659777218E-3</v>
      </c>
      <c r="AD1477" s="3">
        <v>46003</v>
      </c>
      <c r="AE1477">
        <v>5.939576363370289E-3</v>
      </c>
      <c r="AF1477">
        <f t="shared" si="23"/>
        <v>0</v>
      </c>
    </row>
    <row r="1478" spans="1:32" x14ac:dyDescent="0.35">
      <c r="A1478" s="3">
        <v>46007</v>
      </c>
      <c r="B1478" s="6">
        <f>LN(Raw!B1480/Raw!B1479)</f>
        <v>-3.0750584728607541E-4</v>
      </c>
      <c r="C1478" s="6">
        <f>LN(Raw!C1480/Raw!C1479)</f>
        <v>-1.1846919991145221E-2</v>
      </c>
      <c r="D1478" s="6">
        <f>LN(Raw!D1480/Raw!D1479)</f>
        <v>-4.7360376566619074E-3</v>
      </c>
      <c r="X1478" s="3">
        <v>46007</v>
      </c>
      <c r="Y1478" cm="1">
        <f t="array" ref="Y1478">SUMPRODUCT($T$2:$T$4,TRANSPOSE(B1478:D1478))</f>
        <v>-2.8295731978510174E-3</v>
      </c>
      <c r="AD1478" s="3">
        <v>46006</v>
      </c>
      <c r="AE1478">
        <v>3.8588099659777218E-3</v>
      </c>
      <c r="AF1478">
        <f t="shared" si="23"/>
        <v>0</v>
      </c>
    </row>
    <row r="1479" spans="1:32" x14ac:dyDescent="0.35">
      <c r="A1479" s="3">
        <v>46008</v>
      </c>
      <c r="B1479" s="6">
        <f>LN(Raw!B1481/Raw!B1480)</f>
        <v>-2.1548165048461774E-3</v>
      </c>
      <c r="C1479" s="6">
        <f>LN(Raw!C1481/Raw!C1480)</f>
        <v>-2.5209148483077346E-2</v>
      </c>
      <c r="D1479" s="6">
        <f>LN(Raw!D1481/Raw!D1480)</f>
        <v>-2.543958965531708E-2</v>
      </c>
      <c r="X1479" s="3">
        <v>46008</v>
      </c>
      <c r="Y1479" cm="1">
        <f t="array" ref="Y1479">SUMPRODUCT($T$2:$T$4,TRANSPOSE(B1479:D1479))</f>
        <v>-7.9080914292835765E-3</v>
      </c>
      <c r="AD1479" s="3">
        <v>46007</v>
      </c>
      <c r="AE1479">
        <v>-2.8295731978510174E-3</v>
      </c>
      <c r="AF1479">
        <f t="shared" si="23"/>
        <v>0</v>
      </c>
    </row>
    <row r="1480" spans="1:32" x14ac:dyDescent="0.35">
      <c r="A1480" s="3">
        <v>46009</v>
      </c>
      <c r="B1480" s="6">
        <f>LN(Raw!B1482/Raw!B1481)</f>
        <v>1.4371018656037383E-3</v>
      </c>
      <c r="C1480" s="6">
        <f>LN(Raw!C1482/Raw!C1481)</f>
        <v>-1.6153737744366722E-2</v>
      </c>
      <c r="D1480" s="6">
        <f>LN(Raw!D1482/Raw!D1481)</f>
        <v>-2.0362414606716322E-2</v>
      </c>
      <c r="X1480" s="3">
        <v>46009</v>
      </c>
      <c r="Y1480" cm="1">
        <f t="array" ref="Y1480">SUMPRODUCT($T$2:$T$4,TRANSPOSE(B1480:D1480))</f>
        <v>-3.1523288421453186E-3</v>
      </c>
      <c r="AD1480" s="3">
        <v>46008</v>
      </c>
      <c r="AE1480">
        <v>-7.9080914292835765E-3</v>
      </c>
      <c r="AF1480">
        <f t="shared" si="23"/>
        <v>0</v>
      </c>
    </row>
    <row r="1481" spans="1:32" x14ac:dyDescent="0.35">
      <c r="A1481" s="3">
        <v>46010</v>
      </c>
      <c r="B1481" s="6">
        <f>LN(Raw!B1483/Raw!B1482)</f>
        <v>2.3052697831965094E-3</v>
      </c>
      <c r="C1481" s="6">
        <f>LN(Raw!C1483/Raw!C1482)</f>
        <v>8.6569401212672065E-3</v>
      </c>
      <c r="D1481" s="6">
        <f>LN(Raw!D1483/Raw!D1482)</f>
        <v>-2.0464655059550446E-2</v>
      </c>
      <c r="X1481" s="3">
        <v>46010</v>
      </c>
      <c r="Y1481" cm="1">
        <f t="array" ref="Y1481">SUMPRODUCT($T$2:$T$4,TRANSPOSE(B1481:D1481))</f>
        <v>2.4459744126213521E-3</v>
      </c>
      <c r="AD1481" s="3">
        <v>46009</v>
      </c>
      <c r="AE1481">
        <v>-3.1523288421453186E-3</v>
      </c>
      <c r="AF1481">
        <f t="shared" si="23"/>
        <v>0</v>
      </c>
    </row>
    <row r="1482" spans="1:32" x14ac:dyDescent="0.35">
      <c r="A1482" s="3">
        <v>46013</v>
      </c>
      <c r="B1482" s="6">
        <f>LN(Raw!B1484/Raw!B1483)</f>
        <v>-1.8950929992659377E-3</v>
      </c>
      <c r="C1482" s="6">
        <f>LN(Raw!C1484/Raw!C1483)</f>
        <v>1.7629965127221193E-2</v>
      </c>
      <c r="D1482" s="6">
        <f>LN(Raw!D1484/Raw!D1483)</f>
        <v>-1.4682869279194179E-2</v>
      </c>
      <c r="X1482" s="3">
        <v>46013</v>
      </c>
      <c r="Y1482" cm="1">
        <f t="array" ref="Y1482">SUMPRODUCT($T$2:$T$4,TRANSPOSE(B1482:D1482))</f>
        <v>1.3686171157546358E-3</v>
      </c>
      <c r="AD1482" s="3">
        <v>46010</v>
      </c>
      <c r="AE1482">
        <v>2.4459744126213521E-3</v>
      </c>
      <c r="AF1482">
        <f t="shared" si="23"/>
        <v>0</v>
      </c>
    </row>
    <row r="1483" spans="1:32" x14ac:dyDescent="0.35">
      <c r="A1483" s="3">
        <v>46014</v>
      </c>
      <c r="B1483" s="6">
        <f>LN(Raw!B1485/Raw!B1484)</f>
        <v>4.8584748539768985E-3</v>
      </c>
      <c r="C1483" s="6">
        <f>LN(Raw!C1485/Raw!C1484)</f>
        <v>-9.1831149428417361E-3</v>
      </c>
      <c r="D1483" s="6">
        <f>LN(Raw!D1485/Raw!D1484)</f>
        <v>-4.4407305181964228E-3</v>
      </c>
      <c r="X1483" s="3">
        <v>46014</v>
      </c>
      <c r="Y1483" cm="1">
        <f t="array" ref="Y1483">SUMPRODUCT($T$2:$T$4,TRANSPOSE(B1483:D1483))</f>
        <v>1.596002879931247E-3</v>
      </c>
      <c r="AD1483" s="3">
        <v>46013</v>
      </c>
      <c r="AE1483">
        <v>1.3686171157546358E-3</v>
      </c>
      <c r="AF1483">
        <f t="shared" si="23"/>
        <v>0</v>
      </c>
    </row>
    <row r="1484" spans="1:32" x14ac:dyDescent="0.35">
      <c r="A1484" s="3">
        <v>46015</v>
      </c>
      <c r="B1484" s="6">
        <f>LN(Raw!B1486/Raw!B1485)</f>
        <v>-4.0818837778082559E-4</v>
      </c>
      <c r="C1484" s="6">
        <f>LN(Raw!C1486/Raw!C1485)</f>
        <v>1.066068330609465E-2</v>
      </c>
      <c r="D1484" s="6">
        <f>LN(Raw!D1486/Raw!D1485)</f>
        <v>-1.5167712322343731E-2</v>
      </c>
      <c r="X1484" s="3">
        <v>46015</v>
      </c>
      <c r="Y1484" cm="1">
        <f t="array" ref="Y1484">SUMPRODUCT($T$2:$T$4,TRANSPOSE(B1484:D1484))</f>
        <v>1.0703547475365465E-3</v>
      </c>
      <c r="AD1484" s="3">
        <v>46014</v>
      </c>
      <c r="AE1484">
        <v>1.596002879931247E-3</v>
      </c>
      <c r="AF1484">
        <f t="shared" si="23"/>
        <v>0</v>
      </c>
    </row>
    <row r="1485" spans="1:32" x14ac:dyDescent="0.35">
      <c r="A1485" s="3">
        <v>46017</v>
      </c>
      <c r="B1485" s="6">
        <f>LN(Raw!B1487/Raw!B1486)</f>
        <v>-4.7579189401374834E-3</v>
      </c>
      <c r="C1485" s="6">
        <f>LN(Raw!C1487/Raw!C1486)</f>
        <v>-3.2267095130446978E-3</v>
      </c>
      <c r="D1485" s="6">
        <f>LN(Raw!D1487/Raw!D1486)</f>
        <v>2.1886461943942472E-2</v>
      </c>
      <c r="X1485" s="3">
        <v>46017</v>
      </c>
      <c r="Y1485" cm="1">
        <f t="array" ref="Y1485">SUMPRODUCT($T$2:$T$4,TRANSPOSE(B1485:D1485))</f>
        <v>-3.1337050447454795E-3</v>
      </c>
      <c r="AD1485" s="3">
        <v>46015</v>
      </c>
      <c r="AE1485">
        <v>1.0703547475365465E-3</v>
      </c>
      <c r="AF1485">
        <f t="shared" si="23"/>
        <v>0</v>
      </c>
    </row>
    <row r="1486" spans="1:32" x14ac:dyDescent="0.35">
      <c r="A1486" s="3">
        <v>46020</v>
      </c>
      <c r="B1486" s="6">
        <f>LN(Raw!B1488/Raw!B1487)</f>
        <v>-3.4932989975189378E-3</v>
      </c>
      <c r="C1486" s="6">
        <f>LN(Raw!C1488/Raw!C1487)</f>
        <v>-4.9948820308218069E-3</v>
      </c>
      <c r="D1486" s="6">
        <f>LN(Raw!D1488/Raw!D1487)</f>
        <v>-5.9335982749203148E-3</v>
      </c>
      <c r="X1486" s="3">
        <v>46020</v>
      </c>
      <c r="Y1486" cm="1">
        <f t="array" ref="Y1486">SUMPRODUCT($T$2:$T$4,TRANSPOSE(B1486:D1486))</f>
        <v>-3.913737701927056E-3</v>
      </c>
      <c r="AD1486" s="3">
        <v>46017</v>
      </c>
      <c r="AE1486">
        <v>-3.1337050447454795E-3</v>
      </c>
      <c r="AF1486">
        <f t="shared" si="23"/>
        <v>0</v>
      </c>
    </row>
    <row r="1487" spans="1:32" x14ac:dyDescent="0.35">
      <c r="A1487" s="3">
        <v>46021</v>
      </c>
      <c r="B1487" s="6">
        <f>LN(Raw!B1489/Raw!B1488)</f>
        <v>6.054119859192653E-3</v>
      </c>
      <c r="C1487" s="6">
        <f>LN(Raw!C1489/Raw!C1488)</f>
        <v>3.9668214942357269E-2</v>
      </c>
      <c r="D1487" s="6">
        <f>LN(Raw!D1489/Raw!D1488)</f>
        <v>1.0458439829308832E-3</v>
      </c>
      <c r="X1487" s="3">
        <v>46021</v>
      </c>
      <c r="Y1487" cm="1">
        <f t="array" ref="Y1487">SUMPRODUCT($T$2:$T$4,TRANSPOSE(B1487:D1487))</f>
        <v>1.251456041396222E-2</v>
      </c>
      <c r="AD1487" s="3">
        <v>46020</v>
      </c>
      <c r="AE1487">
        <v>-3.913737701927056E-3</v>
      </c>
      <c r="AF1487">
        <f t="shared" si="23"/>
        <v>0</v>
      </c>
    </row>
    <row r="1488" spans="1:32" x14ac:dyDescent="0.35">
      <c r="AD1488" s="3">
        <v>46021</v>
      </c>
      <c r="AE1488">
        <v>1.251456041396222E-2</v>
      </c>
      <c r="AF1488">
        <f t="shared" si="23"/>
        <v>0</v>
      </c>
    </row>
  </sheetData>
  <mergeCells count="7">
    <mergeCell ref="AD1:AH1"/>
    <mergeCell ref="N22:P22"/>
    <mergeCell ref="N1:Q1"/>
    <mergeCell ref="N10:Q10"/>
    <mergeCell ref="S1:T1"/>
    <mergeCell ref="N16:Q16"/>
    <mergeCell ref="S9:V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4A65-FBD6-4DF3-BD19-ECC9FA1B8DC7}">
  <dimension ref="A1:AC1002"/>
  <sheetViews>
    <sheetView showGridLines="0" topLeftCell="L1" zoomScaleNormal="100" zoomScalePageLayoutView="65" workbookViewId="0">
      <selection activeCell="AC2" sqref="AC2"/>
    </sheetView>
  </sheetViews>
  <sheetFormatPr defaultRowHeight="14.5" x14ac:dyDescent="0.35"/>
  <cols>
    <col min="1" max="1" width="8.90625" customWidth="1"/>
    <col min="2" max="4" width="16.1796875" customWidth="1"/>
    <col min="5" max="8" width="8.81640625" customWidth="1"/>
    <col min="9" max="9" width="9.08984375" customWidth="1"/>
    <col min="10" max="10" width="1.7265625" customWidth="1"/>
    <col min="11" max="11" width="15.90625" customWidth="1"/>
    <col min="12" max="13" width="16.1796875" customWidth="1"/>
    <col min="14" max="14" width="1.7265625" customWidth="1"/>
    <col min="15" max="16" width="9.36328125" customWidth="1"/>
    <col min="17" max="17" width="10.1796875" customWidth="1"/>
    <col min="18" max="18" width="9.36328125" customWidth="1"/>
    <col min="19" max="19" width="1.7265625" customWidth="1"/>
    <col min="20" max="22" width="9.36328125" customWidth="1"/>
    <col min="23" max="23" width="1.7265625" customWidth="1"/>
    <col min="24" max="24" width="9.36328125" customWidth="1"/>
    <col min="25" max="25" width="14.1796875" bestFit="1" customWidth="1"/>
    <col min="26" max="26" width="14.1796875" customWidth="1"/>
    <col min="27" max="27" width="1.7265625" customWidth="1"/>
    <col min="28" max="28" width="9.36328125" customWidth="1"/>
    <col min="29" max="29" width="12.36328125" bestFit="1" customWidth="1"/>
    <col min="30" max="30" width="9.36328125" customWidth="1"/>
    <col min="31" max="31" width="19.6328125" bestFit="1" customWidth="1"/>
    <col min="32" max="32" width="12.453125" customWidth="1"/>
    <col min="33" max="33" width="14.90625" bestFit="1" customWidth="1"/>
  </cols>
  <sheetData>
    <row r="1" spans="1:29" x14ac:dyDescent="0.35">
      <c r="A1" s="32"/>
      <c r="B1" s="26" t="s">
        <v>36</v>
      </c>
      <c r="C1" s="26"/>
      <c r="D1" s="26"/>
      <c r="K1" s="30" t="s">
        <v>48</v>
      </c>
      <c r="L1" s="30"/>
      <c r="M1" s="30"/>
      <c r="N1" s="10"/>
      <c r="O1" s="31" t="s">
        <v>45</v>
      </c>
      <c r="P1" s="31"/>
      <c r="Q1" s="31"/>
      <c r="R1" s="31"/>
      <c r="S1" s="10"/>
      <c r="T1" s="31" t="s">
        <v>46</v>
      </c>
      <c r="U1" s="31"/>
      <c r="V1" s="31"/>
      <c r="W1" s="10"/>
      <c r="X1" s="30" t="s">
        <v>58</v>
      </c>
      <c r="Y1" s="30"/>
      <c r="Z1" s="27"/>
      <c r="AA1" s="10"/>
      <c r="AB1" s="30" t="s">
        <v>59</v>
      </c>
      <c r="AC1" s="30"/>
    </row>
    <row r="2" spans="1:29" ht="15" thickBot="1" x14ac:dyDescent="0.4">
      <c r="A2" s="16" t="s">
        <v>40</v>
      </c>
      <c r="B2" s="16" t="s">
        <v>37</v>
      </c>
      <c r="C2" s="16" t="s">
        <v>38</v>
      </c>
      <c r="D2" s="16" t="s">
        <v>39</v>
      </c>
      <c r="F2" s="28" t="s">
        <v>21</v>
      </c>
      <c r="G2" s="28"/>
      <c r="H2" s="28"/>
      <c r="I2" s="28"/>
      <c r="J2" s="10"/>
      <c r="K2" s="16" t="s">
        <v>37</v>
      </c>
      <c r="L2" s="16" t="s">
        <v>38</v>
      </c>
      <c r="M2" s="16" t="s">
        <v>39</v>
      </c>
      <c r="O2" s="16" t="s">
        <v>40</v>
      </c>
      <c r="P2" s="16" t="s">
        <v>1</v>
      </c>
      <c r="Q2" s="16" t="s">
        <v>2</v>
      </c>
      <c r="R2" s="16" t="s">
        <v>3</v>
      </c>
      <c r="T2" s="16" t="s">
        <v>1</v>
      </c>
      <c r="U2" s="16" t="s">
        <v>2</v>
      </c>
      <c r="V2" s="16" t="s">
        <v>3</v>
      </c>
      <c r="X2" s="16" t="s">
        <v>40</v>
      </c>
      <c r="Y2" s="16" t="s">
        <v>30</v>
      </c>
      <c r="Z2" s="16" t="s">
        <v>61</v>
      </c>
      <c r="AB2" t="s">
        <v>47</v>
      </c>
      <c r="AC2">
        <f ca="1">_xlfn.PERCENTILE.INC(Y4:Y1002,0.01)</f>
        <v>-4.8031128706973777E-2</v>
      </c>
    </row>
    <row r="3" spans="1:29" x14ac:dyDescent="0.35">
      <c r="A3">
        <v>1</v>
      </c>
      <c r="C3">
        <f ca="1">_xlfn.NORM.INV(RAND(),Hitorical_Sim!$AB$4,Hitorical_Sim!$AB$5)</f>
        <v>-3.5616354825184068E-3</v>
      </c>
      <c r="D3">
        <f ca="1">_xlfn.NORM.INV(RAND(),Hitorical_Sim!$AB$4,Hitorical_Sim!$AB$5)</f>
        <v>6.9019478352876024E-3</v>
      </c>
      <c r="F3" s="8"/>
      <c r="G3" s="8" t="s">
        <v>1</v>
      </c>
      <c r="H3" s="8" t="s">
        <v>2</v>
      </c>
      <c r="I3" s="8" t="s">
        <v>3</v>
      </c>
      <c r="J3" s="9"/>
      <c r="K3">
        <f t="shared" ref="K3:K23" ca="1" si="0">_xlfn.NORM.S.INV(RAND())</f>
        <v>-1.0037040658631255</v>
      </c>
      <c r="L3">
        <f t="shared" ref="L3:M22" ca="1" si="1">_xlfn.NORM.S.INV(RAND())</f>
        <v>-1.3559949434357419</v>
      </c>
      <c r="M3">
        <f t="shared" ca="1" si="1"/>
        <v>-1.4089498757737271</v>
      </c>
      <c r="O3">
        <v>1</v>
      </c>
      <c r="P3" s="6">
        <f t="shared" ref="P3:P66" ca="1" si="2">$G$17*EXP(($G$15-0.5*$G$16)+($G$16*K3))</f>
        <v>1902.876882961574</v>
      </c>
      <c r="Q3" s="6">
        <f t="shared" ref="Q3:Q66" ca="1" si="3">$H$17*EXP(($H$15-0.5*$H$16^2)+($H$16*L3))</f>
        <v>369.81887683259538</v>
      </c>
      <c r="R3" s="6">
        <f t="shared" ref="R3:R66" ca="1" si="4">$I$17*EXP(($I$15-0.5*$I$16)+($I$16*M3))</f>
        <v>144.4264948201461</v>
      </c>
      <c r="S3" s="6"/>
      <c r="T3" s="6"/>
      <c r="U3" s="6"/>
      <c r="V3" s="6"/>
      <c r="W3" s="6"/>
      <c r="X3">
        <v>1</v>
      </c>
      <c r="Y3" s="6"/>
      <c r="Z3" s="6"/>
      <c r="AA3" s="6"/>
    </row>
    <row r="4" spans="1:29" x14ac:dyDescent="0.35">
      <c r="A4">
        <v>2</v>
      </c>
      <c r="B4">
        <f ca="1">_xlfn.NORM.INV(RAND(),Hitorical_Sim!$AB$4,Hitorical_Sim!$AB$5)</f>
        <v>1.4296088931790974E-2</v>
      </c>
      <c r="C4">
        <f ca="1">_xlfn.NORM.INV(RAND(),Hitorical_Sim!$AB$4,Hitorical_Sim!$AB$5)</f>
        <v>-2.3077917563099907E-2</v>
      </c>
      <c r="D4">
        <f ca="1">_xlfn.NORM.INV(RAND(),Hitorical_Sim!$AB$4,Hitorical_Sim!$AB$5)</f>
        <v>-5.4030752839780817E-3</v>
      </c>
      <c r="F4" t="s">
        <v>1</v>
      </c>
      <c r="G4">
        <v>1</v>
      </c>
      <c r="H4">
        <v>0.21886258880239953</v>
      </c>
      <c r="I4">
        <v>0.26857890901513509</v>
      </c>
      <c r="K4">
        <f t="shared" ca="1" si="0"/>
        <v>0.10922819509195243</v>
      </c>
      <c r="L4">
        <f t="shared" ca="1" si="1"/>
        <v>0.34193417829373346</v>
      </c>
      <c r="M4">
        <f t="shared" ca="1" si="1"/>
        <v>0.94466615514505148</v>
      </c>
      <c r="O4">
        <v>2</v>
      </c>
      <c r="P4" s="6">
        <f t="shared" ca="1" si="2"/>
        <v>1941.6886097598888</v>
      </c>
      <c r="Q4" s="6">
        <f t="shared" ca="1" si="3"/>
        <v>388.17448927363802</v>
      </c>
      <c r="R4" s="6">
        <f t="shared" ca="1" si="4"/>
        <v>155.1772736017324</v>
      </c>
      <c r="S4" s="6"/>
      <c r="T4" s="4">
        <f t="shared" ref="T4:T67" ca="1" si="5">LN(P4/P3)</f>
        <v>2.0191121951812101E-2</v>
      </c>
      <c r="U4" s="4">
        <f t="shared" ref="U4:U67" ca="1" si="6">LN(Q4/Q3)</f>
        <v>4.8441589445580892E-2</v>
      </c>
      <c r="V4" s="4">
        <f t="shared" ref="V4:V67" ca="1" si="7">LN(R4/R3)</f>
        <v>7.1797472286321065E-2</v>
      </c>
      <c r="W4" s="4"/>
      <c r="X4">
        <v>2</v>
      </c>
      <c r="Y4" s="4">
        <f ca="1">($G$18*T4)+($H$18*U4)+($I$18*V4)</f>
        <v>2.8383017502417715E-2</v>
      </c>
      <c r="Z4" s="4" cm="1">
        <f t="array" aca="1" ref="Z4:Z1002" ca="1">_xlfn._xlws.SORT(Y4:Y1002,1,1)</f>
        <v>-7.6343362629662667E-2</v>
      </c>
      <c r="AA4" s="4"/>
    </row>
    <row r="5" spans="1:29" x14ac:dyDescent="0.35">
      <c r="A5">
        <v>3</v>
      </c>
      <c r="B5">
        <f ca="1">_xlfn.NORM.INV(RAND(),Hitorical_Sim!$AB$4,Hitorical_Sim!$AB$5)</f>
        <v>3.8143474082718023E-3</v>
      </c>
      <c r="C5">
        <f ca="1">_xlfn.NORM.INV(RAND(),Hitorical_Sim!$AB$4,Hitorical_Sim!$AB$5)</f>
        <v>-2.129443353093937E-2</v>
      </c>
      <c r="D5">
        <f ca="1">_xlfn.NORM.INV(RAND(),Hitorical_Sim!$AB$4,Hitorical_Sim!$AB$5)</f>
        <v>1.1152604438773575E-2</v>
      </c>
      <c r="F5" t="s">
        <v>2</v>
      </c>
      <c r="G5">
        <v>0.21886258880239953</v>
      </c>
      <c r="H5">
        <v>1</v>
      </c>
      <c r="I5">
        <v>0.68777289640709083</v>
      </c>
      <c r="K5">
        <f t="shared" ca="1" si="0"/>
        <v>-1.0273620727647608</v>
      </c>
      <c r="L5">
        <f t="shared" ca="1" si="1"/>
        <v>-1.6480340688081292</v>
      </c>
      <c r="M5">
        <f t="shared" ca="1" si="1"/>
        <v>0.14788741455546614</v>
      </c>
      <c r="O5">
        <v>3</v>
      </c>
      <c r="P5" s="6">
        <f t="shared" ca="1" si="2"/>
        <v>1902.0603243447974</v>
      </c>
      <c r="Q5" s="6">
        <f t="shared" ca="1" si="3"/>
        <v>366.75041329910812</v>
      </c>
      <c r="R5" s="6">
        <f t="shared" ca="1" si="4"/>
        <v>151.45102236859378</v>
      </c>
      <c r="S5" s="6"/>
      <c r="T5" s="4">
        <f t="shared" ca="1" si="5"/>
        <v>-2.0620331993830152E-2</v>
      </c>
      <c r="U5" s="4">
        <f t="shared" ca="1" si="6"/>
        <v>-5.6773409209014893E-2</v>
      </c>
      <c r="V5" s="4">
        <f t="shared" ca="1" si="7"/>
        <v>-2.4305876062323838E-2</v>
      </c>
      <c r="W5" s="4"/>
      <c r="X5">
        <v>3</v>
      </c>
      <c r="Y5" s="4">
        <f ca="1">($G$18*T5)+($H$18*U5)+($I$18*V5)</f>
        <v>-2.8017730334641104E-2</v>
      </c>
      <c r="Z5" s="4">
        <f ca="1"/>
        <v>-6.4524749163667586E-2</v>
      </c>
      <c r="AA5" s="4"/>
    </row>
    <row r="6" spans="1:29" ht="15" thickBot="1" x14ac:dyDescent="0.4">
      <c r="A6">
        <v>4</v>
      </c>
      <c r="B6">
        <f ca="1">_xlfn.NORM.INV(RAND(),Hitorical_Sim!$AB$4,Hitorical_Sim!$AB$5)</f>
        <v>1.8433308604772668E-2</v>
      </c>
      <c r="C6">
        <f ca="1">_xlfn.NORM.INV(RAND(),Hitorical_Sim!$AB$4,Hitorical_Sim!$AB$5)</f>
        <v>2.2805632806592292E-2</v>
      </c>
      <c r="D6">
        <f ca="1">_xlfn.NORM.INV(RAND(),Hitorical_Sim!$AB$4,Hitorical_Sim!$AB$5)</f>
        <v>2.1238336653235573E-2</v>
      </c>
      <c r="F6" s="7" t="s">
        <v>3</v>
      </c>
      <c r="G6" s="7">
        <v>0.26857890901513498</v>
      </c>
      <c r="H6" s="7">
        <v>0.68777289640709083</v>
      </c>
      <c r="I6" s="7">
        <v>1</v>
      </c>
      <c r="K6">
        <f t="shared" ca="1" si="0"/>
        <v>1.7496546922780265</v>
      </c>
      <c r="L6">
        <f t="shared" ca="1" si="1"/>
        <v>-1.0874141312148429</v>
      </c>
      <c r="M6">
        <f t="shared" ca="1" si="1"/>
        <v>-0.22728526493498535</v>
      </c>
      <c r="O6">
        <v>4</v>
      </c>
      <c r="P6" s="6">
        <f t="shared" ca="1" si="2"/>
        <v>2000.3438259698075</v>
      </c>
      <c r="Q6" s="6">
        <f t="shared" ca="1" si="3"/>
        <v>372.66352036280676</v>
      </c>
      <c r="R6" s="6">
        <f t="shared" ca="1" si="4"/>
        <v>149.72759042263993</v>
      </c>
      <c r="S6" s="6"/>
      <c r="T6" s="4">
        <f t="shared" ca="1" si="5"/>
        <v>5.0381398879647314E-2</v>
      </c>
      <c r="U6" s="4">
        <f t="shared" ca="1" si="6"/>
        <v>1.5994378389740618E-2</v>
      </c>
      <c r="V6" s="4">
        <f t="shared" ca="1" si="7"/>
        <v>-1.1444708781910127E-2</v>
      </c>
      <c r="W6" s="4"/>
      <c r="X6">
        <v>4</v>
      </c>
      <c r="Y6" s="4">
        <f ca="1">($G$18*T6)+($H$18*U6)+($I$18*V6)</f>
        <v>4.0459065669823074E-2</v>
      </c>
      <c r="Z6" s="4">
        <f ca="1"/>
        <v>-6.2713444955973155E-2</v>
      </c>
      <c r="AA6" s="4"/>
    </row>
    <row r="7" spans="1:29" x14ac:dyDescent="0.35">
      <c r="A7">
        <v>5</v>
      </c>
      <c r="B7">
        <f ca="1">_xlfn.NORM.INV(RAND(),Hitorical_Sim!$AB$4,Hitorical_Sim!$AB$5)</f>
        <v>-1.5233799785493825E-2</v>
      </c>
      <c r="C7">
        <f ca="1">_xlfn.NORM.INV(RAND(),Hitorical_Sim!$AB$4,Hitorical_Sim!$AB$5)</f>
        <v>1.4775764139346541E-3</v>
      </c>
      <c r="D7">
        <f ca="1">_xlfn.NORM.INV(RAND(),Hitorical_Sim!$AB$4,Hitorical_Sim!$AB$5)</f>
        <v>6.5473581375919557E-3</v>
      </c>
      <c r="K7">
        <f t="shared" ca="1" si="0"/>
        <v>-0.85429912820936138</v>
      </c>
      <c r="L7">
        <f t="shared" ca="1" si="1"/>
        <v>-0.79929599474321278</v>
      </c>
      <c r="M7">
        <f t="shared" ca="1" si="1"/>
        <v>0.5006025086016791</v>
      </c>
      <c r="O7">
        <v>5</v>
      </c>
      <c r="P7" s="6">
        <f t="shared" ca="1" si="2"/>
        <v>1908.0417135569819</v>
      </c>
      <c r="Q7" s="6">
        <f t="shared" ca="1" si="3"/>
        <v>375.73942218926328</v>
      </c>
      <c r="R7" s="6">
        <f t="shared" ca="1" si="4"/>
        <v>153.08937851978004</v>
      </c>
      <c r="S7" s="6"/>
      <c r="T7" s="4">
        <f t="shared" ca="1" si="5"/>
        <v>-4.7241643531141943E-2</v>
      </c>
      <c r="U7" s="4">
        <f t="shared" ca="1" si="6"/>
        <v>8.2199547084559621E-3</v>
      </c>
      <c r="V7" s="4">
        <f t="shared" ca="1" si="7"/>
        <v>2.220434495751198E-2</v>
      </c>
      <c r="W7" s="4"/>
      <c r="X7">
        <v>5</v>
      </c>
      <c r="Y7" s="4">
        <f t="shared" ref="Y7:Y67" ca="1" si="8">($G$18*T7)+($H$18*U7)+($I$18*V7)</f>
        <v>-3.273638840301242E-2</v>
      </c>
      <c r="Z7" s="4">
        <f ca="1"/>
        <v>-6.0327603425645471E-2</v>
      </c>
      <c r="AA7" s="4"/>
    </row>
    <row r="8" spans="1:29" ht="15" thickBot="1" x14ac:dyDescent="0.4">
      <c r="A8">
        <v>6</v>
      </c>
      <c r="B8">
        <f ca="1">_xlfn.NORM.INV(RAND(),Hitorical_Sim!$AB$4,Hitorical_Sim!$AB$5)</f>
        <v>1.0514917725637776E-2</v>
      </c>
      <c r="C8">
        <f ca="1">_xlfn.NORM.INV(RAND(),Hitorical_Sim!$AB$4,Hitorical_Sim!$AB$5)</f>
        <v>8.2897953590644804E-3</v>
      </c>
      <c r="D8">
        <f ca="1">_xlfn.NORM.INV(RAND(),Hitorical_Sim!$AB$4,Hitorical_Sim!$AB$5)</f>
        <v>-1.9498578032188442E-2</v>
      </c>
      <c r="F8" s="29" t="s">
        <v>35</v>
      </c>
      <c r="G8" s="29"/>
      <c r="H8" s="29"/>
      <c r="I8" s="29"/>
      <c r="J8" s="10"/>
      <c r="K8">
        <f t="shared" ca="1" si="0"/>
        <v>0.79869573542396199</v>
      </c>
      <c r="L8">
        <f t="shared" ca="1" si="1"/>
        <v>5.4661190893529193E-2</v>
      </c>
      <c r="M8">
        <f t="shared" ca="1" si="1"/>
        <v>0.55461067214929238</v>
      </c>
      <c r="O8">
        <v>6</v>
      </c>
      <c r="P8" s="6">
        <f t="shared" ca="1" si="2"/>
        <v>1966.1287755387962</v>
      </c>
      <c r="Q8" s="6">
        <f t="shared" ca="1" si="3"/>
        <v>385.00607384565791</v>
      </c>
      <c r="R8" s="6">
        <f t="shared" ca="1" si="4"/>
        <v>153.3418055260733</v>
      </c>
      <c r="S8" s="6"/>
      <c r="T8" s="4">
        <f t="shared" ca="1" si="5"/>
        <v>2.9989085632846624E-2</v>
      </c>
      <c r="U8" s="4">
        <f t="shared" ca="1" si="6"/>
        <v>2.4363233341909585E-2</v>
      </c>
      <c r="V8" s="4">
        <f t="shared" ca="1" si="7"/>
        <v>1.6475285580167679E-3</v>
      </c>
      <c r="W8" s="4"/>
      <c r="X8">
        <v>6</v>
      </c>
      <c r="Y8" s="4">
        <f t="shared" ca="1" si="8"/>
        <v>2.7463718036302577E-2</v>
      </c>
      <c r="Z8" s="4">
        <f ca="1"/>
        <v>-5.717083736857724E-2</v>
      </c>
      <c r="AA8" s="4"/>
    </row>
    <row r="9" spans="1:29" x14ac:dyDescent="0.35">
      <c r="A9">
        <v>7</v>
      </c>
      <c r="B9">
        <f ca="1">_xlfn.NORM.INV(RAND(),Hitorical_Sim!$AB$4,Hitorical_Sim!$AB$5)</f>
        <v>-4.4392982975931475E-3</v>
      </c>
      <c r="C9">
        <f ca="1">_xlfn.NORM.INV(RAND(),Hitorical_Sim!$AB$4,Hitorical_Sim!$AB$5)</f>
        <v>6.7668419323801843E-3</v>
      </c>
      <c r="D9">
        <f ca="1">_xlfn.NORM.INV(RAND(),Hitorical_Sim!$AB$4,Hitorical_Sim!$AB$5)</f>
        <v>-2.3919396218041778E-2</v>
      </c>
      <c r="F9" s="8"/>
      <c r="G9" s="8" t="s">
        <v>1</v>
      </c>
      <c r="H9" s="8" t="s">
        <v>2</v>
      </c>
      <c r="I9" s="8" t="s">
        <v>3</v>
      </c>
      <c r="J9" s="9"/>
      <c r="K9">
        <f t="shared" ca="1" si="0"/>
        <v>-1.8033124433477619</v>
      </c>
      <c r="L9">
        <f t="shared" ca="1" si="1"/>
        <v>1.0669994746810221</v>
      </c>
      <c r="M9">
        <f t="shared" ca="1" si="1"/>
        <v>-0.85257073474239164</v>
      </c>
      <c r="O9">
        <v>7</v>
      </c>
      <c r="P9" s="6">
        <f t="shared" ca="1" si="2"/>
        <v>1875.4716523416657</v>
      </c>
      <c r="Q9" s="6">
        <f t="shared" ca="1" si="3"/>
        <v>396.28788356200732</v>
      </c>
      <c r="R9" s="6">
        <f t="shared" ca="1" si="4"/>
        <v>146.89868561000407</v>
      </c>
      <c r="S9" s="6"/>
      <c r="T9" s="4">
        <f t="shared" ca="1" si="5"/>
        <v>-4.720634516615297E-2</v>
      </c>
      <c r="U9" s="4">
        <f t="shared" ca="1" si="6"/>
        <v>2.8881815439579142E-2</v>
      </c>
      <c r="V9" s="4">
        <f t="shared" ca="1" si="7"/>
        <v>-4.2926317095015709E-2</v>
      </c>
      <c r="W9" s="4"/>
      <c r="X9">
        <v>7</v>
      </c>
      <c r="Y9" s="4">
        <f t="shared" ca="1" si="8"/>
        <v>-3.1809756887817654E-2</v>
      </c>
      <c r="Z9" s="4">
        <f ca="1"/>
        <v>-5.5909361066400015E-2</v>
      </c>
      <c r="AA9" s="4"/>
    </row>
    <row r="10" spans="1:29" x14ac:dyDescent="0.35">
      <c r="A10">
        <v>8</v>
      </c>
      <c r="B10">
        <f ca="1">_xlfn.NORM.INV(RAND(),Hitorical_Sim!$AB$4,Hitorical_Sim!$AB$5)</f>
        <v>-6.9070631232486497E-3</v>
      </c>
      <c r="C10">
        <f ca="1">_xlfn.NORM.INV(RAND(),Hitorical_Sim!$AB$4,Hitorical_Sim!$AB$5)</f>
        <v>-1.5342924119255883E-3</v>
      </c>
      <c r="D10">
        <f ca="1">_xlfn.NORM.INV(RAND(),Hitorical_Sim!$AB$4,Hitorical_Sim!$AB$5)</f>
        <v>1.2736555276715456E-2</v>
      </c>
      <c r="F10" t="s">
        <v>1</v>
      </c>
      <c r="G10">
        <v>1</v>
      </c>
      <c r="H10">
        <v>0</v>
      </c>
      <c r="I10">
        <v>0</v>
      </c>
      <c r="K10">
        <f t="shared" ca="1" si="0"/>
        <v>-0.31579848499496349</v>
      </c>
      <c r="L10">
        <f t="shared" ca="1" si="1"/>
        <v>1.4667085277901086</v>
      </c>
      <c r="M10">
        <f t="shared" ca="1" si="1"/>
        <v>0.41891103187823076</v>
      </c>
      <c r="O10">
        <v>8</v>
      </c>
      <c r="P10" s="6">
        <f t="shared" ca="1" si="2"/>
        <v>1926.7739221889613</v>
      </c>
      <c r="Q10" s="6">
        <f t="shared" ca="1" si="3"/>
        <v>400.83286615869457</v>
      </c>
      <c r="R10" s="6">
        <f t="shared" ca="1" si="4"/>
        <v>152.70835276973378</v>
      </c>
      <c r="S10" s="6"/>
      <c r="T10" s="4">
        <f t="shared" ca="1" si="5"/>
        <v>2.6986885717868812E-2</v>
      </c>
      <c r="U10" s="4">
        <f t="shared" ca="1" si="6"/>
        <v>1.1403621977264895E-2</v>
      </c>
      <c r="V10" s="4">
        <f t="shared" ca="1" si="7"/>
        <v>3.8786775626213972E-2</v>
      </c>
      <c r="W10" s="4"/>
      <c r="X10">
        <v>8</v>
      </c>
      <c r="Y10" s="4">
        <f t="shared" ca="1" si="8"/>
        <v>2.4460941159158537E-2</v>
      </c>
      <c r="Z10" s="4">
        <f ca="1"/>
        <v>-5.3597008097002082E-2</v>
      </c>
      <c r="AA10" s="4"/>
    </row>
    <row r="11" spans="1:29" x14ac:dyDescent="0.35">
      <c r="A11">
        <v>9</v>
      </c>
      <c r="B11">
        <f ca="1">_xlfn.NORM.INV(RAND(),Hitorical_Sim!$AB$4,Hitorical_Sim!$AB$5)</f>
        <v>3.9425617161511421E-4</v>
      </c>
      <c r="C11">
        <f ca="1">_xlfn.NORM.INV(RAND(),Hitorical_Sim!$AB$4,Hitorical_Sim!$AB$5)</f>
        <v>-7.1247851548412555E-4</v>
      </c>
      <c r="D11">
        <f ca="1">_xlfn.NORM.INV(RAND(),Hitorical_Sim!$AB$4,Hitorical_Sim!$AB$5)</f>
        <v>2.2872864377270995E-2</v>
      </c>
      <c r="F11" t="s">
        <v>2</v>
      </c>
      <c r="G11">
        <v>0.21886258880239953</v>
      </c>
      <c r="H11">
        <f>SQRT(1-G11^2)</f>
        <v>0.97575569033580933</v>
      </c>
      <c r="I11">
        <v>0</v>
      </c>
      <c r="K11">
        <f t="shared" ca="1" si="0"/>
        <v>0.19708810170445354</v>
      </c>
      <c r="L11">
        <f t="shared" ca="1" si="1"/>
        <v>-0.27412964321722477</v>
      </c>
      <c r="M11">
        <f t="shared" ca="1" si="1"/>
        <v>0.55710017836421821</v>
      </c>
      <c r="O11">
        <v>9</v>
      </c>
      <c r="P11" s="6">
        <f t="shared" ca="1" si="2"/>
        <v>1944.7860876463603</v>
      </c>
      <c r="Q11" s="6">
        <f t="shared" ca="1" si="3"/>
        <v>381.41147204146495</v>
      </c>
      <c r="R11" s="6">
        <f t="shared" ca="1" si="4"/>
        <v>153.35345117837508</v>
      </c>
      <c r="S11" s="6"/>
      <c r="T11" s="4">
        <f t="shared" ca="1" si="5"/>
        <v>9.304928954624439E-3</v>
      </c>
      <c r="U11" s="4">
        <f t="shared" ca="1" si="6"/>
        <v>-4.9665776322416311E-2</v>
      </c>
      <c r="V11" s="4">
        <f t="shared" ca="1" si="7"/>
        <v>4.2154842951273117E-3</v>
      </c>
      <c r="W11" s="4"/>
      <c r="X11">
        <v>9</v>
      </c>
      <c r="Y11" s="4">
        <f t="shared" ca="1" si="8"/>
        <v>-2.7156192655713282E-3</v>
      </c>
      <c r="Z11" s="4">
        <f ca="1"/>
        <v>-5.1710172052238421E-2</v>
      </c>
      <c r="AA11" s="4"/>
    </row>
    <row r="12" spans="1:29" ht="15" thickBot="1" x14ac:dyDescent="0.4">
      <c r="A12">
        <v>10</v>
      </c>
      <c r="B12">
        <f ca="1">_xlfn.NORM.INV(RAND(),Hitorical_Sim!$AB$4,Hitorical_Sim!$AB$5)</f>
        <v>2.5174325700758875E-2</v>
      </c>
      <c r="C12">
        <f ca="1">_xlfn.NORM.INV(RAND(),Hitorical_Sim!$AB$4,Hitorical_Sim!$AB$5)</f>
        <v>-1.5005453573332838E-2</v>
      </c>
      <c r="D12">
        <f ca="1">_xlfn.NORM.INV(RAND(),Hitorical_Sim!$AB$4,Hitorical_Sim!$AB$5)</f>
        <v>-3.6836733160817231E-2</v>
      </c>
      <c r="F12" s="7" t="s">
        <v>3</v>
      </c>
      <c r="G12" s="7">
        <v>0.26857890901513498</v>
      </c>
      <c r="H12" s="7">
        <f>(Monte_Carlo!I5-(Monte_Carlo!G5*G12))/H11</f>
        <v>0.64461937277131853</v>
      </c>
      <c r="I12" s="7">
        <f>SQRT(1-G12^2-H12^2)</f>
        <v>0.71577317208746505</v>
      </c>
      <c r="K12">
        <f t="shared" ca="1" si="0"/>
        <v>4.368840774863042E-2</v>
      </c>
      <c r="L12">
        <f t="shared" ca="1" si="1"/>
        <v>-1.3925266519008519</v>
      </c>
      <c r="M12">
        <f t="shared" ca="1" si="1"/>
        <v>-0.17583462909404154</v>
      </c>
      <c r="O12">
        <v>10</v>
      </c>
      <c r="P12" s="6">
        <f t="shared" ca="1" si="2"/>
        <v>1939.3812348822951</v>
      </c>
      <c r="Q12" s="6">
        <f t="shared" ca="1" si="3"/>
        <v>369.43363664515755</v>
      </c>
      <c r="R12" s="6">
        <f t="shared" ca="1" si="4"/>
        <v>149.96277399479033</v>
      </c>
      <c r="S12" s="6"/>
      <c r="T12" s="4">
        <f t="shared" ca="1" si="5"/>
        <v>-2.783019269631599E-3</v>
      </c>
      <c r="U12" s="4">
        <f t="shared" ca="1" si="6"/>
        <v>-3.1907650347992388E-2</v>
      </c>
      <c r="V12" s="4">
        <f t="shared" ca="1" si="7"/>
        <v>-2.2358305617769678E-2</v>
      </c>
      <c r="W12" s="4"/>
      <c r="X12">
        <v>10</v>
      </c>
      <c r="Y12" s="4">
        <f t="shared" ca="1" si="8"/>
        <v>-9.5641492745658033E-3</v>
      </c>
      <c r="Z12" s="4">
        <f ca="1"/>
        <v>-4.9378564696132603E-2</v>
      </c>
      <c r="AA12" s="4"/>
    </row>
    <row r="13" spans="1:29" ht="15" thickBot="1" x14ac:dyDescent="0.4">
      <c r="A13">
        <v>11</v>
      </c>
      <c r="B13">
        <f ca="1">_xlfn.NORM.INV(RAND(),Hitorical_Sim!$AB$4,Hitorical_Sim!$AB$5)</f>
        <v>2.4243576531433143E-2</v>
      </c>
      <c r="C13">
        <f ca="1">_xlfn.NORM.INV(RAND(),Hitorical_Sim!$AB$4,Hitorical_Sim!$AB$5)</f>
        <v>-1.8809088336597724E-2</v>
      </c>
      <c r="D13">
        <f ca="1">_xlfn.NORM.INV(RAND(),Hitorical_Sim!$AB$4,Hitorical_Sim!$AB$5)</f>
        <v>-7.845685626863802E-3</v>
      </c>
      <c r="K13">
        <f t="shared" ca="1" si="0"/>
        <v>-0.48173613962984374</v>
      </c>
      <c r="L13">
        <f t="shared" ca="1" si="1"/>
        <v>-1.1650799635910014</v>
      </c>
      <c r="M13">
        <f t="shared" ca="1" si="1"/>
        <v>1.5727169639773009</v>
      </c>
      <c r="O13">
        <v>11</v>
      </c>
      <c r="P13" s="6">
        <f t="shared" ca="1" si="2"/>
        <v>1920.9821179737519</v>
      </c>
      <c r="Q13" s="6">
        <f t="shared" ca="1" si="3"/>
        <v>371.83868998606698</v>
      </c>
      <c r="R13" s="6">
        <f t="shared" ca="1" si="4"/>
        <v>158.17894647587971</v>
      </c>
      <c r="S13" s="6"/>
      <c r="T13" s="4">
        <f t="shared" ca="1" si="5"/>
        <v>-9.5323960718779605E-3</v>
      </c>
      <c r="U13" s="4">
        <f t="shared" ca="1" si="6"/>
        <v>6.4890100268968917E-3</v>
      </c>
      <c r="V13" s="4">
        <f t="shared" ca="1" si="7"/>
        <v>5.3339874854495609E-2</v>
      </c>
      <c r="W13" s="4"/>
      <c r="X13">
        <v>11</v>
      </c>
      <c r="Y13" s="4">
        <f t="shared" ca="1" si="8"/>
        <v>-3.2234790454677446E-3</v>
      </c>
      <c r="Z13" s="4">
        <f ca="1"/>
        <v>-4.8518489992928529E-2</v>
      </c>
      <c r="AA13" s="4"/>
    </row>
    <row r="14" spans="1:29" x14ac:dyDescent="0.35">
      <c r="A14">
        <v>12</v>
      </c>
      <c r="B14">
        <f ca="1">_xlfn.NORM.INV(RAND(),Hitorical_Sim!$AB$4,Hitorical_Sim!$AB$5)</f>
        <v>-2.4717069392821134E-2</v>
      </c>
      <c r="C14">
        <f ca="1">_xlfn.NORM.INV(RAND(),Hitorical_Sim!$AB$4,Hitorical_Sim!$AB$5)</f>
        <v>-1.9955704701421374E-2</v>
      </c>
      <c r="D14">
        <f ca="1">_xlfn.NORM.INV(RAND(),Hitorical_Sim!$AB$4,Hitorical_Sim!$AB$5)</f>
        <v>8.8316305790470053E-4</v>
      </c>
      <c r="F14" s="20"/>
      <c r="G14" s="20" t="s">
        <v>1</v>
      </c>
      <c r="H14" s="20" t="s">
        <v>2</v>
      </c>
      <c r="I14" s="20" t="s">
        <v>3</v>
      </c>
      <c r="K14">
        <f t="shared" ca="1" si="0"/>
        <v>-0.74660990997935106</v>
      </c>
      <c r="L14">
        <f t="shared" ca="1" si="1"/>
        <v>-1.7356404213849952</v>
      </c>
      <c r="M14">
        <f t="shared" ca="1" si="1"/>
        <v>0.93750605397601683</v>
      </c>
      <c r="O14">
        <v>12</v>
      </c>
      <c r="P14" s="6">
        <f t="shared" ca="1" si="2"/>
        <v>1911.773150655315</v>
      </c>
      <c r="Q14" s="6">
        <f t="shared" ca="1" si="3"/>
        <v>365.83490472604251</v>
      </c>
      <c r="R14" s="6">
        <f t="shared" ca="1" si="4"/>
        <v>155.14338345971876</v>
      </c>
      <c r="S14" s="6"/>
      <c r="T14" s="4">
        <f t="shared" ca="1" si="5"/>
        <v>-4.8054125004639162E-3</v>
      </c>
      <c r="U14" s="4">
        <f t="shared" ca="1" si="6"/>
        <v>-1.6277979508465743E-2</v>
      </c>
      <c r="V14" s="4">
        <f t="shared" ca="1" si="7"/>
        <v>-1.9377220883808607E-2</v>
      </c>
      <c r="W14" s="4"/>
      <c r="X14">
        <v>12</v>
      </c>
      <c r="Y14" s="4">
        <f t="shared" ca="1" si="8"/>
        <v>-7.816131121440837E-3</v>
      </c>
      <c r="Z14" s="4">
        <f ca="1"/>
        <v>-4.8021182558280827E-2</v>
      </c>
      <c r="AA14" s="4"/>
    </row>
    <row r="15" spans="1:29" x14ac:dyDescent="0.35">
      <c r="A15">
        <v>13</v>
      </c>
      <c r="B15">
        <f ca="1">_xlfn.NORM.INV(RAND(),Hitorical_Sim!$AB$4,Hitorical_Sim!$AB$5)</f>
        <v>1.5184196949791962E-3</v>
      </c>
      <c r="C15">
        <f ca="1">_xlfn.NORM.INV(RAND(),Hitorical_Sim!$AB$4,Hitorical_Sim!$AB$5)</f>
        <v>-4.0711899502015557E-3</v>
      </c>
      <c r="D15">
        <f ca="1">_xlfn.NORM.INV(RAND(),Hitorical_Sim!$AB$4,Hitorical_Sim!$AB$5)</f>
        <v>-1.8038087663336443E-2</v>
      </c>
      <c r="F15" t="s">
        <v>42</v>
      </c>
      <c r="G15" s="12">
        <f>Hitorical_Sim!O3</f>
        <v>2.5730757794103901E-4</v>
      </c>
      <c r="H15" s="12">
        <f>Hitorical_Sim!P3</f>
        <v>4.2295089559766928E-4</v>
      </c>
      <c r="I15" s="12">
        <f>Hitorical_Sim!Q3</f>
        <v>1.0816357787979779E-4</v>
      </c>
      <c r="J15" s="12"/>
      <c r="K15">
        <f t="shared" ca="1" si="0"/>
        <v>0.18932331601431265</v>
      </c>
      <c r="L15">
        <f t="shared" ca="1" si="1"/>
        <v>3.5251427473799418E-2</v>
      </c>
      <c r="M15">
        <f t="shared" ca="1" si="1"/>
        <v>-0.27455466858501409</v>
      </c>
      <c r="O15">
        <v>13</v>
      </c>
      <c r="P15" s="6">
        <f t="shared" ca="1" si="2"/>
        <v>1944.5121432359153</v>
      </c>
      <c r="Q15" s="6">
        <f t="shared" ca="1" si="3"/>
        <v>384.79293313514944</v>
      </c>
      <c r="R15" s="6">
        <f t="shared" ca="1" si="4"/>
        <v>149.51184458798136</v>
      </c>
      <c r="S15" s="6"/>
      <c r="T15" s="4">
        <f t="shared" ca="1" si="5"/>
        <v>1.6979956972919093E-2</v>
      </c>
      <c r="U15" s="4">
        <f t="shared" ca="1" si="6"/>
        <v>5.0523201938821274E-2</v>
      </c>
      <c r="V15" s="4">
        <f t="shared" ca="1" si="7"/>
        <v>-3.6974126193150818E-2</v>
      </c>
      <c r="W15" s="4"/>
      <c r="X15">
        <v>13</v>
      </c>
      <c r="Y15" s="4">
        <f t="shared" ca="1" si="8"/>
        <v>2.1003924672158076E-2</v>
      </c>
      <c r="Z15" s="4">
        <f ca="1"/>
        <v>-4.7652602578644954E-2</v>
      </c>
      <c r="AA15" s="4"/>
    </row>
    <row r="16" spans="1:29" x14ac:dyDescent="0.35">
      <c r="A16">
        <v>14</v>
      </c>
      <c r="B16">
        <f ca="1">_xlfn.NORM.INV(RAND(),Hitorical_Sim!$AB$4,Hitorical_Sim!$AB$5)</f>
        <v>1.0339427661740758E-2</v>
      </c>
      <c r="C16">
        <f ca="1">_xlfn.NORM.INV(RAND(),Hitorical_Sim!$AB$4,Hitorical_Sim!$AB$5)</f>
        <v>3.7850399032979291E-3</v>
      </c>
      <c r="D16">
        <f ca="1">_xlfn.NORM.INV(RAND(),Hitorical_Sim!$AB$4,Hitorical_Sim!$AB$5)</f>
        <v>1.3819069271765485E-2</v>
      </c>
      <c r="F16" t="s">
        <v>41</v>
      </c>
      <c r="G16" s="12">
        <f>Hitorical_Sim!O4</f>
        <v>1.8142273937215878E-2</v>
      </c>
      <c r="H16" s="12">
        <f>Hitorical_Sim!P4</f>
        <v>2.8529806589476018E-2</v>
      </c>
      <c r="I16" s="12">
        <f>Hitorical_Sim!Q4</f>
        <v>3.050517643623183E-2</v>
      </c>
      <c r="J16" s="12"/>
      <c r="K16">
        <f t="shared" ca="1" si="0"/>
        <v>1.7597558372422279</v>
      </c>
      <c r="L16">
        <f t="shared" ca="1" si="1"/>
        <v>-0.19222262774014454</v>
      </c>
      <c r="M16">
        <f t="shared" ca="1" si="1"/>
        <v>0.2994412186013391</v>
      </c>
      <c r="O16">
        <v>14</v>
      </c>
      <c r="P16" s="6">
        <f t="shared" ca="1" si="2"/>
        <v>2000.710438047842</v>
      </c>
      <c r="Q16" s="6">
        <f t="shared" ca="1" si="3"/>
        <v>382.30379323297359</v>
      </c>
      <c r="R16" s="6">
        <f t="shared" ca="1" si="4"/>
        <v>152.15282806494869</v>
      </c>
      <c r="S16" s="6"/>
      <c r="T16" s="4">
        <f t="shared" ca="1" si="5"/>
        <v>2.8491217000029607E-2</v>
      </c>
      <c r="U16" s="4">
        <f t="shared" ca="1" si="6"/>
        <v>-6.4897907993776488E-3</v>
      </c>
      <c r="V16" s="4">
        <f t="shared" ca="1" si="7"/>
        <v>1.7509845812290939E-2</v>
      </c>
      <c r="W16" s="4"/>
      <c r="X16">
        <v>14</v>
      </c>
      <c r="Y16" s="4">
        <f t="shared" ca="1" si="8"/>
        <v>2.0966654616318144E-2</v>
      </c>
      <c r="Z16" s="4">
        <f ca="1"/>
        <v>-4.6780897606070265E-2</v>
      </c>
      <c r="AA16" s="4"/>
    </row>
    <row r="17" spans="1:27" x14ac:dyDescent="0.35">
      <c r="A17">
        <v>15</v>
      </c>
      <c r="B17">
        <f ca="1">_xlfn.NORM.INV(RAND(),Hitorical_Sim!$AB$4,Hitorical_Sim!$AB$5)</f>
        <v>9.0433760662132195E-3</v>
      </c>
      <c r="C17">
        <f ca="1">_xlfn.NORM.INV(RAND(),Hitorical_Sim!$AB$4,Hitorical_Sim!$AB$5)</f>
        <v>1.0687989752376639E-2</v>
      </c>
      <c r="D17">
        <f ca="1">_xlfn.NORM.INV(RAND(),Hitorical_Sim!$AB$4,Hitorical_Sim!$AB$5)</f>
        <v>1.1201261568795706E-2</v>
      </c>
      <c r="F17" t="s">
        <v>43</v>
      </c>
      <c r="G17">
        <f>Raw!B1489</f>
        <v>1955</v>
      </c>
      <c r="H17">
        <f>Raw!C1489</f>
        <v>384.39999389648438</v>
      </c>
      <c r="I17">
        <f>Raw!D1489</f>
        <v>153.07000732421881</v>
      </c>
      <c r="K17">
        <f t="shared" ca="1" si="0"/>
        <v>6.3288169592844223E-2</v>
      </c>
      <c r="L17">
        <f t="shared" ca="1" si="1"/>
        <v>0.57642618879057061</v>
      </c>
      <c r="M17">
        <f t="shared" ca="1" si="1"/>
        <v>-2.5363379033210225</v>
      </c>
      <c r="O17">
        <v>15</v>
      </c>
      <c r="P17" s="6">
        <f t="shared" ca="1" si="2"/>
        <v>1940.0709709235889</v>
      </c>
      <c r="Q17" s="6">
        <f t="shared" ca="1" si="3"/>
        <v>390.78008717311161</v>
      </c>
      <c r="R17" s="6">
        <f t="shared" ca="1" si="4"/>
        <v>139.54393823137201</v>
      </c>
      <c r="S17" s="6"/>
      <c r="T17" s="4">
        <f t="shared" ca="1" si="5"/>
        <v>-3.07777811521249E-2</v>
      </c>
      <c r="U17" s="4">
        <f t="shared" ca="1" si="6"/>
        <v>2.1929402070850906E-2</v>
      </c>
      <c r="V17" s="4">
        <f t="shared" ca="1" si="7"/>
        <v>-8.6505942448424064E-2</v>
      </c>
      <c r="W17" s="4"/>
      <c r="X17">
        <v>15</v>
      </c>
      <c r="Y17" s="4">
        <f t="shared" ca="1" si="8"/>
        <v>-2.3017101828421E-2</v>
      </c>
      <c r="Z17" s="4">
        <f ca="1"/>
        <v>-4.6756259596623051E-2</v>
      </c>
      <c r="AA17" s="4"/>
    </row>
    <row r="18" spans="1:27" x14ac:dyDescent="0.35">
      <c r="A18">
        <v>16</v>
      </c>
      <c r="B18">
        <f ca="1">_xlfn.NORM.INV(RAND(),Hitorical_Sim!$AB$4,Hitorical_Sim!$AB$5)</f>
        <v>3.122287650472615E-2</v>
      </c>
      <c r="C18">
        <f ca="1">_xlfn.NORM.INV(RAND(),Hitorical_Sim!$AB$4,Hitorical_Sim!$AB$5)</f>
        <v>8.5323542207383588E-3</v>
      </c>
      <c r="D18">
        <f ca="1">_xlfn.NORM.INV(RAND(),Hitorical_Sim!$AB$4,Hitorical_Sim!$AB$5)</f>
        <v>3.338821565426379E-3</v>
      </c>
      <c r="F18" t="s">
        <v>44</v>
      </c>
      <c r="G18" s="11">
        <f>Hitorical_Sim!T2</f>
        <v>0.75094179327800525</v>
      </c>
      <c r="H18" s="11">
        <f>Hitorical_Sim!T3</f>
        <v>0.19956808918475732</v>
      </c>
      <c r="I18" s="11">
        <f>Hitorical_Sim!T4</f>
        <v>4.9490109049130475E-2</v>
      </c>
      <c r="J18" s="11"/>
      <c r="K18">
        <f t="shared" ca="1" si="0"/>
        <v>-0.9330646348984607</v>
      </c>
      <c r="L18">
        <f t="shared" ca="1" si="1"/>
        <v>0.30593373135500657</v>
      </c>
      <c r="M18">
        <f t="shared" ca="1" si="1"/>
        <v>-0.21552386697604442</v>
      </c>
      <c r="O18">
        <v>16</v>
      </c>
      <c r="P18" s="6">
        <f t="shared" ca="1" si="2"/>
        <v>1905.3170969896112</v>
      </c>
      <c r="Q18" s="6">
        <f t="shared" ca="1" si="3"/>
        <v>387.7760054458941</v>
      </c>
      <c r="R18" s="6">
        <f t="shared" ca="1" si="4"/>
        <v>149.78131985259469</v>
      </c>
      <c r="S18" s="6"/>
      <c r="T18" s="4">
        <f t="shared" ca="1" si="5"/>
        <v>-1.8076105517194525E-2</v>
      </c>
      <c r="U18" s="4">
        <f t="shared" ca="1" si="6"/>
        <v>-7.7170974945488255E-3</v>
      </c>
      <c r="V18" s="4">
        <f t="shared" ca="1" si="7"/>
        <v>7.0796841654386905E-2</v>
      </c>
      <c r="W18" s="4"/>
      <c r="X18">
        <v>16</v>
      </c>
      <c r="Y18" s="4">
        <f t="shared" ca="1" si="8"/>
        <v>-1.1610446079794457E-2</v>
      </c>
      <c r="Z18" s="4">
        <f ca="1"/>
        <v>-4.6755096157860533E-2</v>
      </c>
      <c r="AA18" s="4"/>
    </row>
    <row r="19" spans="1:27" x14ac:dyDescent="0.35">
      <c r="A19">
        <v>17</v>
      </c>
      <c r="B19">
        <f ca="1">_xlfn.NORM.INV(RAND(),Hitorical_Sim!$AB$4,Hitorical_Sim!$AB$5)</f>
        <v>2.2750971297435273E-2</v>
      </c>
      <c r="C19">
        <f ca="1">_xlfn.NORM.INV(RAND(),Hitorical_Sim!$AB$4,Hitorical_Sim!$AB$5)</f>
        <v>-1.4232971942023127E-2</v>
      </c>
      <c r="D19">
        <f ca="1">_xlfn.NORM.INV(RAND(),Hitorical_Sim!$AB$4,Hitorical_Sim!$AB$5)</f>
        <v>5.7438125350621162E-3</v>
      </c>
      <c r="K19">
        <f t="shared" ca="1" si="0"/>
        <v>1.6001952976720861</v>
      </c>
      <c r="L19">
        <f t="shared" ca="1" si="1"/>
        <v>-0.24025155246695951</v>
      </c>
      <c r="M19">
        <f t="shared" ca="1" si="1"/>
        <v>-1.4152855566211742</v>
      </c>
      <c r="O19">
        <v>17</v>
      </c>
      <c r="P19" s="6">
        <f t="shared" ca="1" si="2"/>
        <v>1994.9271741500097</v>
      </c>
      <c r="Q19" s="6">
        <f t="shared" ca="1" si="3"/>
        <v>381.78029793520631</v>
      </c>
      <c r="R19" s="6">
        <f t="shared" ca="1" si="4"/>
        <v>144.398584055356</v>
      </c>
      <c r="S19" s="6"/>
      <c r="T19" s="4">
        <f t="shared" ca="1" si="5"/>
        <v>4.5959095650868038E-2</v>
      </c>
      <c r="U19" s="4">
        <f t="shared" ca="1" si="6"/>
        <v>-1.5582560509458668E-2</v>
      </c>
      <c r="V19" s="4">
        <f t="shared" ca="1" si="7"/>
        <v>-3.6598942024056419E-2</v>
      </c>
      <c r="W19" s="4"/>
      <c r="X19">
        <v>17</v>
      </c>
      <c r="Y19" s="4">
        <f t="shared" ca="1" si="8"/>
        <v>2.9591538248166335E-2</v>
      </c>
      <c r="Z19" s="4">
        <f ca="1"/>
        <v>-4.6600472062871698E-2</v>
      </c>
      <c r="AA19" s="4"/>
    </row>
    <row r="20" spans="1:27" x14ac:dyDescent="0.35">
      <c r="A20">
        <v>18</v>
      </c>
      <c r="B20">
        <f ca="1">_xlfn.NORM.INV(RAND(),Hitorical_Sim!$AB$4,Hitorical_Sim!$AB$5)</f>
        <v>-2.5211719595859518E-2</v>
      </c>
      <c r="C20">
        <f ca="1">_xlfn.NORM.INV(RAND(),Hitorical_Sim!$AB$4,Hitorical_Sim!$AB$5)</f>
        <v>1.9206709066578866E-2</v>
      </c>
      <c r="D20">
        <f ca="1">_xlfn.NORM.INV(RAND(),Hitorical_Sim!$AB$4,Hitorical_Sim!$AB$5)</f>
        <v>2.0598815118245448E-2</v>
      </c>
      <c r="K20">
        <f t="shared" ca="1" si="0"/>
        <v>-0.14939246441280798</v>
      </c>
      <c r="L20">
        <f t="shared" ca="1" si="1"/>
        <v>-0.33153381657287861</v>
      </c>
      <c r="M20">
        <f t="shared" ca="1" si="1"/>
        <v>-0.60982041554669086</v>
      </c>
      <c r="O20">
        <v>18</v>
      </c>
      <c r="P20" s="6">
        <f t="shared" ca="1" si="2"/>
        <v>1932.5996104846215</v>
      </c>
      <c r="Q20" s="6">
        <f t="shared" ca="1" si="3"/>
        <v>380.78733426943774</v>
      </c>
      <c r="R20" s="6">
        <f t="shared" ca="1" si="4"/>
        <v>147.99052877332485</v>
      </c>
      <c r="S20" s="6"/>
      <c r="T20" s="4">
        <f t="shared" ca="1" si="5"/>
        <v>-3.1741500456944877E-2</v>
      </c>
      <c r="U20" s="4">
        <f t="shared" ca="1" si="6"/>
        <v>-2.6042653399912311E-3</v>
      </c>
      <c r="V20" s="4">
        <f t="shared" ca="1" si="7"/>
        <v>2.4570856241711504E-2</v>
      </c>
      <c r="W20" s="4"/>
      <c r="X20">
        <v>18</v>
      </c>
      <c r="Y20" s="4">
        <f t="shared" ca="1" si="8"/>
        <v>-2.3139733177272141E-2</v>
      </c>
      <c r="Z20" s="4">
        <f ca="1"/>
        <v>-4.6380873474677495E-2</v>
      </c>
      <c r="AA20" s="4"/>
    </row>
    <row r="21" spans="1:27" x14ac:dyDescent="0.35">
      <c r="A21">
        <v>19</v>
      </c>
      <c r="B21">
        <f ca="1">_xlfn.NORM.INV(RAND(),Hitorical_Sim!$AB$4,Hitorical_Sim!$AB$5)</f>
        <v>6.5441169135905934E-4</v>
      </c>
      <c r="C21">
        <f ca="1">_xlfn.NORM.INV(RAND(),Hitorical_Sim!$AB$4,Hitorical_Sim!$AB$5)</f>
        <v>-2.1301402818498061E-3</v>
      </c>
      <c r="D21">
        <f ca="1">_xlfn.NORM.INV(RAND(),Hitorical_Sim!$AB$4,Hitorical_Sim!$AB$5)</f>
        <v>3.8217137738922849E-3</v>
      </c>
      <c r="K21">
        <f t="shared" ca="1" si="0"/>
        <v>-0.18228524836356716</v>
      </c>
      <c r="L21">
        <f t="shared" ca="1" si="1"/>
        <v>-2.2324009645986263E-2</v>
      </c>
      <c r="M21">
        <f t="shared" ca="1" si="1"/>
        <v>0.7362278667287333</v>
      </c>
      <c r="O21">
        <v>19</v>
      </c>
      <c r="P21" s="6">
        <f t="shared" ca="1" si="2"/>
        <v>1931.446675907147</v>
      </c>
      <c r="Q21" s="6">
        <f t="shared" ca="1" si="3"/>
        <v>384.16138491129806</v>
      </c>
      <c r="R21" s="6">
        <f t="shared" ca="1" si="4"/>
        <v>154.19371742705906</v>
      </c>
      <c r="S21" s="6"/>
      <c r="T21" s="4">
        <f t="shared" ca="1" si="5"/>
        <v>-5.9674989699223335E-4</v>
      </c>
      <c r="U21" s="4">
        <f t="shared" ca="1" si="6"/>
        <v>8.8216959871933176E-3</v>
      </c>
      <c r="V21" s="4">
        <f t="shared" ca="1" si="7"/>
        <v>4.1061440342498777E-2</v>
      </c>
      <c r="W21" s="4"/>
      <c r="X21">
        <v>19</v>
      </c>
      <c r="Y21" s="4">
        <f t="shared" ca="1" si="8"/>
        <v>3.3445397340118289E-3</v>
      </c>
      <c r="Z21" s="4">
        <f ca="1"/>
        <v>-4.6246157586176471E-2</v>
      </c>
      <c r="AA21" s="4"/>
    </row>
    <row r="22" spans="1:27" x14ac:dyDescent="0.35">
      <c r="A22">
        <v>20</v>
      </c>
      <c r="B22">
        <f ca="1">_xlfn.NORM.INV(RAND(),Hitorical_Sim!$AB$4,Hitorical_Sim!$AB$5)</f>
        <v>4.4037609620779739E-2</v>
      </c>
      <c r="C22">
        <f ca="1">_xlfn.NORM.INV(RAND(),Hitorical_Sim!$AB$4,Hitorical_Sim!$AB$5)</f>
        <v>4.331059059599892E-2</v>
      </c>
      <c r="D22">
        <f ca="1">_xlfn.NORM.INV(RAND(),Hitorical_Sim!$AB$4,Hitorical_Sim!$AB$5)</f>
        <v>-1.6105649576723568E-2</v>
      </c>
      <c r="K22">
        <f t="shared" ca="1" si="0"/>
        <v>-0.58116899325472349</v>
      </c>
      <c r="L22">
        <f t="shared" ca="1" si="1"/>
        <v>-1.0267466086795569</v>
      </c>
      <c r="M22">
        <f t="shared" ca="1" si="1"/>
        <v>0.15012715701749155</v>
      </c>
      <c r="O22">
        <v>20</v>
      </c>
      <c r="P22" s="6">
        <f t="shared" ca="1" si="2"/>
        <v>1917.5199089458386</v>
      </c>
      <c r="Q22" s="6">
        <f t="shared" ca="1" si="3"/>
        <v>373.30909709554498</v>
      </c>
      <c r="R22" s="6">
        <f t="shared" ca="1" si="4"/>
        <v>151.46137042221852</v>
      </c>
      <c r="S22" s="6"/>
      <c r="T22" s="4">
        <f t="shared" ca="1" si="5"/>
        <v>-7.2366581689177556E-3</v>
      </c>
      <c r="U22" s="4">
        <f t="shared" ca="1" si="6"/>
        <v>-2.8655982484526644E-2</v>
      </c>
      <c r="V22" s="4">
        <f t="shared" ca="1" si="7"/>
        <v>-1.7879105559142291E-2</v>
      </c>
      <c r="W22" s="4"/>
      <c r="X22">
        <v>20</v>
      </c>
      <c r="Y22" s="4">
        <f t="shared" ca="1" si="8"/>
        <v>-1.2037967614678749E-2</v>
      </c>
      <c r="Z22" s="4">
        <f ca="1"/>
        <v>-4.5997491597375907E-2</v>
      </c>
      <c r="AA22" s="4"/>
    </row>
    <row r="23" spans="1:27" x14ac:dyDescent="0.35">
      <c r="A23">
        <v>21</v>
      </c>
      <c r="B23">
        <f ca="1">_xlfn.NORM.INV(RAND(),Hitorical_Sim!$AB$4,Hitorical_Sim!$AB$5)</f>
        <v>8.0525265968044747E-3</v>
      </c>
      <c r="C23">
        <f ca="1">_xlfn.NORM.INV(RAND(),Hitorical_Sim!$AB$4,Hitorical_Sim!$AB$5)</f>
        <v>2.8297002717074917E-4</v>
      </c>
      <c r="D23">
        <f ca="1">_xlfn.NORM.INV(RAND(),Hitorical_Sim!$AB$4,Hitorical_Sim!$AB$5)</f>
        <v>-1.5398989743744741E-2</v>
      </c>
      <c r="K23">
        <f t="shared" ca="1" si="0"/>
        <v>1.3420943150915574</v>
      </c>
      <c r="L23">
        <f ca="1">_xlfn.NORM.S.INV(RAND())</f>
        <v>-0.52905652671936354</v>
      </c>
      <c r="M23">
        <f ca="1">_xlfn.NORM.S.INV(RAND())</f>
        <v>0.15675948626348335</v>
      </c>
      <c r="O23">
        <v>21</v>
      </c>
      <c r="P23" s="6">
        <f t="shared" ca="1" si="2"/>
        <v>1985.6076868531234</v>
      </c>
      <c r="Q23" s="6">
        <f t="shared" ca="1" si="3"/>
        <v>378.64752410648856</v>
      </c>
      <c r="R23" s="6">
        <f t="shared" ca="1" si="4"/>
        <v>151.49201724343712</v>
      </c>
      <c r="S23" s="6"/>
      <c r="T23" s="4">
        <f t="shared" ca="1" si="5"/>
        <v>3.4892369793414348E-2</v>
      </c>
      <c r="U23" s="4">
        <f t="shared" ca="1" si="6"/>
        <v>1.4199001779824898E-2</v>
      </c>
      <c r="V23" s="4">
        <f t="shared" ca="1" si="7"/>
        <v>2.0232037383237974E-4</v>
      </c>
      <c r="W23" s="4"/>
      <c r="X23">
        <v>21</v>
      </c>
      <c r="Y23" s="4">
        <f t="shared" ca="1" si="8"/>
        <v>2.9045819255280322E-2</v>
      </c>
      <c r="Z23" s="4">
        <f ca="1"/>
        <v>-4.518906867046657E-2</v>
      </c>
      <c r="AA23" s="4"/>
    </row>
    <row r="24" spans="1:27" x14ac:dyDescent="0.35">
      <c r="A24">
        <v>22</v>
      </c>
      <c r="B24">
        <f ca="1">_xlfn.NORM.INV(RAND(),Hitorical_Sim!$AB$4,Hitorical_Sim!$AB$5)</f>
        <v>2.2883961003732533E-2</v>
      </c>
      <c r="C24">
        <f ca="1">_xlfn.NORM.INV(RAND(),Hitorical_Sim!$AB$4,Hitorical_Sim!$AB$5)</f>
        <v>4.7057515921498805E-3</v>
      </c>
      <c r="D24">
        <f ca="1">_xlfn.NORM.INV(RAND(),Hitorical_Sim!$AB$4,Hitorical_Sim!$AB$5)</f>
        <v>-2.8480854995054676E-3</v>
      </c>
      <c r="K24">
        <f t="shared" ref="K24:M43" ca="1" si="9">_xlfn.NORM.S.INV(RAND())</f>
        <v>-0.10411213350159995</v>
      </c>
      <c r="L24">
        <f t="shared" ca="1" si="9"/>
        <v>0.51826380670318872</v>
      </c>
      <c r="M24">
        <f t="shared" ca="1" si="9"/>
        <v>0.85883801075702892</v>
      </c>
      <c r="O24">
        <v>22</v>
      </c>
      <c r="P24" s="6">
        <f t="shared" ca="1" si="2"/>
        <v>1934.1878704759533</v>
      </c>
      <c r="Q24" s="6">
        <f t="shared" ca="1" si="3"/>
        <v>390.13217944214631</v>
      </c>
      <c r="R24" s="6">
        <f t="shared" ca="1" si="4"/>
        <v>154.77151945199969</v>
      </c>
      <c r="S24" s="6"/>
      <c r="T24" s="4">
        <f t="shared" ca="1" si="5"/>
        <v>-2.6237473560145129E-2</v>
      </c>
      <c r="U24" s="4">
        <f t="shared" ca="1" si="6"/>
        <v>2.9879846549770713E-2</v>
      </c>
      <c r="V24" s="4">
        <f t="shared" ca="1" si="7"/>
        <v>2.1417029261764833E-2</v>
      </c>
      <c r="W24" s="4"/>
      <c r="X24">
        <v>22</v>
      </c>
      <c r="Y24" s="4">
        <f t="shared" ca="1" si="8"/>
        <v>-1.2679820451594966E-2</v>
      </c>
      <c r="Z24" s="4">
        <f ca="1"/>
        <v>-4.4585189242781598E-2</v>
      </c>
      <c r="AA24" s="4"/>
    </row>
    <row r="25" spans="1:27" x14ac:dyDescent="0.35">
      <c r="A25">
        <v>23</v>
      </c>
      <c r="B25">
        <f ca="1">_xlfn.NORM.INV(RAND(),Hitorical_Sim!$AB$4,Hitorical_Sim!$AB$5)</f>
        <v>-1.6846324044366728E-2</v>
      </c>
      <c r="C25">
        <f ca="1">_xlfn.NORM.INV(RAND(),Hitorical_Sim!$AB$4,Hitorical_Sim!$AB$5)</f>
        <v>-2.7703266939595778E-3</v>
      </c>
      <c r="D25">
        <f ca="1">_xlfn.NORM.INV(RAND(),Hitorical_Sim!$AB$4,Hitorical_Sim!$AB$5)</f>
        <v>-3.5225102575589702E-2</v>
      </c>
      <c r="K25">
        <f t="shared" ca="1" si="9"/>
        <v>0.19343772320625496</v>
      </c>
      <c r="L25">
        <f t="shared" ca="1" si="9"/>
        <v>2.7983910899373559E-2</v>
      </c>
      <c r="M25">
        <f t="shared" ca="1" si="9"/>
        <v>1.457517072984061</v>
      </c>
      <c r="O25">
        <v>23</v>
      </c>
      <c r="P25" s="6">
        <f t="shared" ca="1" si="2"/>
        <v>1944.6572961834752</v>
      </c>
      <c r="Q25" s="6">
        <f t="shared" ca="1" si="3"/>
        <v>384.71315811489546</v>
      </c>
      <c r="R25" s="6">
        <f t="shared" ca="1" si="4"/>
        <v>157.62405070587258</v>
      </c>
      <c r="S25" s="6"/>
      <c r="T25" s="4">
        <f t="shared" ca="1" si="5"/>
        <v>5.3982310103731527E-3</v>
      </c>
      <c r="U25" s="4">
        <f t="shared" ca="1" si="6"/>
        <v>-1.3987590601991106E-2</v>
      </c>
      <c r="V25" s="4">
        <f t="shared" ca="1" si="7"/>
        <v>1.8262810421913366E-2</v>
      </c>
      <c r="W25" s="4"/>
      <c r="X25">
        <v>23</v>
      </c>
      <c r="Y25" s="4">
        <f t="shared" ca="1" si="8"/>
        <v>2.1661090260446077E-3</v>
      </c>
      <c r="Z25" s="4">
        <f ca="1"/>
        <v>-4.4580598258507728E-2</v>
      </c>
      <c r="AA25" s="4"/>
    </row>
    <row r="26" spans="1:27" x14ac:dyDescent="0.35">
      <c r="A26">
        <v>24</v>
      </c>
      <c r="B26">
        <f ca="1">_xlfn.NORM.INV(RAND(),Hitorical_Sim!$AB$4,Hitorical_Sim!$AB$5)</f>
        <v>3.6863293976444694E-2</v>
      </c>
      <c r="C26">
        <f ca="1">_xlfn.NORM.INV(RAND(),Hitorical_Sim!$AB$4,Hitorical_Sim!$AB$5)</f>
        <v>4.2011552971754733E-3</v>
      </c>
      <c r="D26">
        <f ca="1">_xlfn.NORM.INV(RAND(),Hitorical_Sim!$AB$4,Hitorical_Sim!$AB$5)</f>
        <v>1.6148620932742375E-2</v>
      </c>
      <c r="K26">
        <f t="shared" ca="1" si="9"/>
        <v>1.0921105447114701</v>
      </c>
      <c r="L26">
        <f t="shared" ca="1" si="9"/>
        <v>2.4849888126337198</v>
      </c>
      <c r="M26">
        <f t="shared" ca="1" si="9"/>
        <v>-1.6133162367787803</v>
      </c>
      <c r="O26">
        <v>24</v>
      </c>
      <c r="P26" s="6">
        <f t="shared" ca="1" si="2"/>
        <v>1976.6228017119524</v>
      </c>
      <c r="Q26" s="6">
        <f t="shared" ca="1" si="3"/>
        <v>412.64839534940501</v>
      </c>
      <c r="R26" s="6">
        <f t="shared" ca="1" si="4"/>
        <v>143.52890735024712</v>
      </c>
      <c r="S26" s="6"/>
      <c r="T26" s="4">
        <f t="shared" ca="1" si="5"/>
        <v>1.6303968507678117E-2</v>
      </c>
      <c r="U26" s="4">
        <f t="shared" ca="1" si="6"/>
        <v>7.0097874635875274E-2</v>
      </c>
      <c r="V26" s="4">
        <f t="shared" ca="1" si="7"/>
        <v>-9.3676311920573171E-2</v>
      </c>
      <c r="W26" s="4"/>
      <c r="X26">
        <v>24</v>
      </c>
      <c r="Y26" s="4">
        <f t="shared" ca="1" si="8"/>
        <v>2.1596579353428697E-2</v>
      </c>
      <c r="Z26" s="4">
        <f ca="1"/>
        <v>-4.4051490686451172E-2</v>
      </c>
      <c r="AA26" s="4"/>
    </row>
    <row r="27" spans="1:27" x14ac:dyDescent="0.35">
      <c r="A27">
        <v>25</v>
      </c>
      <c r="B27">
        <f ca="1">_xlfn.NORM.INV(RAND(),Hitorical_Sim!$AB$4,Hitorical_Sim!$AB$5)</f>
        <v>3.6238209414849341E-3</v>
      </c>
      <c r="C27">
        <f ca="1">_xlfn.NORM.INV(RAND(),Hitorical_Sim!$AB$4,Hitorical_Sim!$AB$5)</f>
        <v>1.1127175389341931E-3</v>
      </c>
      <c r="D27">
        <f ca="1">_xlfn.NORM.INV(RAND(),Hitorical_Sim!$AB$4,Hitorical_Sim!$AB$5)</f>
        <v>-2.0265280728068297E-2</v>
      </c>
      <c r="K27">
        <f t="shared" ca="1" si="9"/>
        <v>-1.8367395962877666</v>
      </c>
      <c r="L27">
        <f t="shared" ca="1" si="9"/>
        <v>-2.0503431288834215</v>
      </c>
      <c r="M27">
        <f t="shared" ca="1" si="9"/>
        <v>-0.81856607265030412</v>
      </c>
      <c r="O27">
        <v>25</v>
      </c>
      <c r="P27" s="6">
        <f t="shared" ca="1" si="2"/>
        <v>1874.3346275563047</v>
      </c>
      <c r="Q27" s="6">
        <f t="shared" ca="1" si="3"/>
        <v>362.56499119228192</v>
      </c>
      <c r="R27" s="6">
        <f t="shared" ca="1" si="4"/>
        <v>147.05114535357117</v>
      </c>
      <c r="S27" s="6"/>
      <c r="T27" s="4">
        <f t="shared" ca="1" si="5"/>
        <v>-5.3136001579061315E-2</v>
      </c>
      <c r="U27" s="4">
        <f t="shared" ca="1" si="6"/>
        <v>-0.12939214311055675</v>
      </c>
      <c r="V27" s="4">
        <f t="shared" ca="1" si="7"/>
        <v>2.4243993979463557E-2</v>
      </c>
      <c r="W27" s="4"/>
      <c r="X27">
        <v>25</v>
      </c>
      <c r="Y27" s="4">
        <f t="shared" ca="1" si="8"/>
        <v>-6.4524749163667586E-2</v>
      </c>
      <c r="Z27" s="4">
        <f ca="1"/>
        <v>-4.3625589452592151E-2</v>
      </c>
      <c r="AA27" s="4"/>
    </row>
    <row r="28" spans="1:27" x14ac:dyDescent="0.35">
      <c r="A28">
        <v>26</v>
      </c>
      <c r="B28">
        <f ca="1">_xlfn.NORM.INV(RAND(),Hitorical_Sim!$AB$4,Hitorical_Sim!$AB$5)</f>
        <v>1.4666560814248523E-2</v>
      </c>
      <c r="C28">
        <f ca="1">_xlfn.NORM.INV(RAND(),Hitorical_Sim!$AB$4,Hitorical_Sim!$AB$5)</f>
        <v>6.3911962100872905E-3</v>
      </c>
      <c r="D28">
        <f ca="1">_xlfn.NORM.INV(RAND(),Hitorical_Sim!$AB$4,Hitorical_Sim!$AB$5)</f>
        <v>2.6488048368377135E-2</v>
      </c>
      <c r="K28">
        <f t="shared" ca="1" si="9"/>
        <v>0.37112804922339709</v>
      </c>
      <c r="L28">
        <f t="shared" ca="1" si="9"/>
        <v>-0.49854956846494941</v>
      </c>
      <c r="M28">
        <f t="shared" ca="1" si="9"/>
        <v>0.83263322420844266</v>
      </c>
      <c r="O28">
        <v>26</v>
      </c>
      <c r="P28" s="6">
        <f t="shared" ca="1" si="2"/>
        <v>1950.9364162692129</v>
      </c>
      <c r="Q28" s="6">
        <f t="shared" ca="1" si="3"/>
        <v>378.97722632247536</v>
      </c>
      <c r="R28" s="6">
        <f t="shared" ca="1" si="4"/>
        <v>154.64784737857568</v>
      </c>
      <c r="S28" s="6"/>
      <c r="T28" s="4">
        <f t="shared" ca="1" si="5"/>
        <v>4.0055739641979393E-2</v>
      </c>
      <c r="U28" s="4">
        <f t="shared" ca="1" si="6"/>
        <v>4.4272370145533535E-2</v>
      </c>
      <c r="V28" s="4">
        <f t="shared" ca="1" si="7"/>
        <v>5.0370125882058081E-2</v>
      </c>
      <c r="W28" s="4"/>
      <c r="X28">
        <v>26</v>
      </c>
      <c r="Y28" s="4">
        <f t="shared" ca="1" si="8"/>
        <v>4.1407704294170795E-2</v>
      </c>
      <c r="Z28" s="4">
        <f ca="1"/>
        <v>-4.3286658797668992E-2</v>
      </c>
      <c r="AA28" s="4"/>
    </row>
    <row r="29" spans="1:27" x14ac:dyDescent="0.35">
      <c r="A29">
        <v>27</v>
      </c>
      <c r="B29">
        <f ca="1">_xlfn.NORM.INV(RAND(),Hitorical_Sim!$AB$4,Hitorical_Sim!$AB$5)</f>
        <v>1.439800085374957E-2</v>
      </c>
      <c r="C29">
        <f ca="1">_xlfn.NORM.INV(RAND(),Hitorical_Sim!$AB$4,Hitorical_Sim!$AB$5)</f>
        <v>-1.0266995210723866E-2</v>
      </c>
      <c r="D29">
        <f ca="1">_xlfn.NORM.INV(RAND(),Hitorical_Sim!$AB$4,Hitorical_Sim!$AB$5)</f>
        <v>-6.4369913414057582E-3</v>
      </c>
      <c r="K29">
        <f t="shared" ca="1" si="9"/>
        <v>1.8113913346683734</v>
      </c>
      <c r="L29">
        <f t="shared" ca="1" si="9"/>
        <v>-0.48223533213825903</v>
      </c>
      <c r="M29">
        <f t="shared" ca="1" si="9"/>
        <v>-7.2863018883980252E-2</v>
      </c>
      <c r="O29">
        <v>27</v>
      </c>
      <c r="P29" s="6">
        <f t="shared" ca="1" si="2"/>
        <v>2002.5855524068609</v>
      </c>
      <c r="Q29" s="6">
        <f t="shared" ca="1" si="3"/>
        <v>379.1536592997976</v>
      </c>
      <c r="R29" s="6">
        <f t="shared" ca="1" si="4"/>
        <v>150.43457274372227</v>
      </c>
      <c r="S29" s="6"/>
      <c r="T29" s="4">
        <f t="shared" ca="1" si="5"/>
        <v>2.6129651066257482E-2</v>
      </c>
      <c r="U29" s="4">
        <f t="shared" ca="1" si="6"/>
        <v>4.6544200705550136E-4</v>
      </c>
      <c r="V29" s="4">
        <f t="shared" ca="1" si="7"/>
        <v>-2.7622322657879492E-2</v>
      </c>
      <c r="W29" s="4"/>
      <c r="X29">
        <v>27</v>
      </c>
      <c r="Y29" s="4">
        <f t="shared" ca="1" si="8"/>
        <v>1.8347702640869597E-2</v>
      </c>
      <c r="Z29" s="4">
        <f ca="1"/>
        <v>-4.2501873280293097E-2</v>
      </c>
      <c r="AA29" s="4"/>
    </row>
    <row r="30" spans="1:27" x14ac:dyDescent="0.35">
      <c r="A30">
        <v>28</v>
      </c>
      <c r="B30">
        <f ca="1">_xlfn.NORM.INV(RAND(),Hitorical_Sim!$AB$4,Hitorical_Sim!$AB$5)</f>
        <v>-6.2606374998298484E-4</v>
      </c>
      <c r="C30">
        <f ca="1">_xlfn.NORM.INV(RAND(),Hitorical_Sim!$AB$4,Hitorical_Sim!$AB$5)</f>
        <v>7.0517914565002698E-3</v>
      </c>
      <c r="D30">
        <f ca="1">_xlfn.NORM.INV(RAND(),Hitorical_Sim!$AB$4,Hitorical_Sim!$AB$5)</f>
        <v>-5.9535235734274874E-3</v>
      </c>
      <c r="K30">
        <f t="shared" ca="1" si="9"/>
        <v>0.44172509509299235</v>
      </c>
      <c r="L30">
        <f t="shared" ca="1" si="9"/>
        <v>-0.13045948488146056</v>
      </c>
      <c r="M30">
        <f t="shared" ca="1" si="9"/>
        <v>1.0404579155507567</v>
      </c>
      <c r="O30">
        <v>28</v>
      </c>
      <c r="P30" s="6">
        <f t="shared" ca="1" si="2"/>
        <v>1953.4367588323298</v>
      </c>
      <c r="Q30" s="6">
        <f t="shared" ca="1" si="3"/>
        <v>382.97804099116587</v>
      </c>
      <c r="R30" s="6">
        <f t="shared" ca="1" si="4"/>
        <v>155.63138719607653</v>
      </c>
      <c r="S30" s="6"/>
      <c r="T30" s="4">
        <f t="shared" ca="1" si="5"/>
        <v>-2.4848860120932896E-2</v>
      </c>
      <c r="U30" s="4">
        <f t="shared" ca="1" si="6"/>
        <v>1.0036096885085458E-2</v>
      </c>
      <c r="V30" s="4">
        <f t="shared" ca="1" si="7"/>
        <v>3.3962051535082333E-2</v>
      </c>
      <c r="W30" s="4"/>
      <c r="X30">
        <v>28</v>
      </c>
      <c r="Y30" s="4">
        <f t="shared" ca="1" si="8"/>
        <v>-1.4976377267894646E-2</v>
      </c>
      <c r="Z30" s="4">
        <f ca="1"/>
        <v>-4.1712926786813771E-2</v>
      </c>
      <c r="AA30" s="4"/>
    </row>
    <row r="31" spans="1:27" x14ac:dyDescent="0.35">
      <c r="A31">
        <v>29</v>
      </c>
      <c r="B31">
        <f ca="1">_xlfn.NORM.INV(RAND(),Hitorical_Sim!$AB$4,Hitorical_Sim!$AB$5)</f>
        <v>-7.7395774337481174E-3</v>
      </c>
      <c r="C31">
        <f ca="1">_xlfn.NORM.INV(RAND(),Hitorical_Sim!$AB$4,Hitorical_Sim!$AB$5)</f>
        <v>-3.0338094837812579E-2</v>
      </c>
      <c r="D31">
        <f ca="1">_xlfn.NORM.INV(RAND(),Hitorical_Sim!$AB$4,Hitorical_Sim!$AB$5)</f>
        <v>-5.413560483776521E-3</v>
      </c>
      <c r="K31">
        <f t="shared" ca="1" si="9"/>
        <v>-1.0578696455955969</v>
      </c>
      <c r="L31">
        <f t="shared" ca="1" si="9"/>
        <v>0.16660690772468886</v>
      </c>
      <c r="M31">
        <f t="shared" ca="1" si="9"/>
        <v>-0.11742412004254313</v>
      </c>
      <c r="O31">
        <v>29</v>
      </c>
      <c r="P31" s="6">
        <f t="shared" ca="1" si="2"/>
        <v>1901.007869472136</v>
      </c>
      <c r="Q31" s="6">
        <f t="shared" ca="1" si="3"/>
        <v>386.23766793873159</v>
      </c>
      <c r="R31" s="6">
        <f t="shared" ca="1" si="4"/>
        <v>150.23021929661462</v>
      </c>
      <c r="S31" s="6"/>
      <c r="T31" s="4">
        <f t="shared" ca="1" si="5"/>
        <v>-2.7206058580380749E-2</v>
      </c>
      <c r="U31" s="4">
        <f t="shared" ca="1" si="6"/>
        <v>8.4752467252866559E-3</v>
      </c>
      <c r="V31" s="4">
        <f t="shared" ca="1" si="7"/>
        <v>-3.5321395788116966E-2</v>
      </c>
      <c r="W31" s="4"/>
      <c r="X31">
        <v>29</v>
      </c>
      <c r="Y31" s="4">
        <f t="shared" ca="1" si="8"/>
        <v>-2.0486837353364158E-2</v>
      </c>
      <c r="Z31" s="4">
        <f ca="1"/>
        <v>-4.1340062888963101E-2</v>
      </c>
      <c r="AA31" s="4"/>
    </row>
    <row r="32" spans="1:27" x14ac:dyDescent="0.35">
      <c r="A32">
        <v>30</v>
      </c>
      <c r="B32">
        <f ca="1">_xlfn.NORM.INV(RAND(),Hitorical_Sim!$AB$4,Hitorical_Sim!$AB$5)</f>
        <v>-1.3251614242557028E-2</v>
      </c>
      <c r="C32">
        <f ca="1">_xlfn.NORM.INV(RAND(),Hitorical_Sim!$AB$4,Hitorical_Sim!$AB$5)</f>
        <v>-3.3493407679729601E-3</v>
      </c>
      <c r="D32">
        <f ca="1">_xlfn.NORM.INV(RAND(),Hitorical_Sim!$AB$4,Hitorical_Sim!$AB$5)</f>
        <v>-2.2452660082782415E-3</v>
      </c>
      <c r="K32">
        <f t="shared" ca="1" si="9"/>
        <v>-1.7278823773934089</v>
      </c>
      <c r="L32">
        <f t="shared" ca="1" si="9"/>
        <v>-1.4058971366298103</v>
      </c>
      <c r="M32">
        <f t="shared" ca="1" si="9"/>
        <v>2.4134325191239991</v>
      </c>
      <c r="O32">
        <v>30</v>
      </c>
      <c r="P32" s="6">
        <f t="shared" ca="1" si="2"/>
        <v>1878.0399414256831</v>
      </c>
      <c r="Q32" s="6">
        <f t="shared" ca="1" si="3"/>
        <v>369.29274034626047</v>
      </c>
      <c r="R32" s="6">
        <f t="shared" ca="1" si="4"/>
        <v>162.28809842630216</v>
      </c>
      <c r="S32" s="6"/>
      <c r="T32" s="4">
        <f t="shared" ca="1" si="5"/>
        <v>-1.2155554521698251E-2</v>
      </c>
      <c r="U32" s="4">
        <f t="shared" ca="1" si="6"/>
        <v>-4.4863236246602559E-2</v>
      </c>
      <c r="V32" s="4">
        <f t="shared" ca="1" si="7"/>
        <v>7.7204228312584069E-2</v>
      </c>
      <c r="W32" s="4"/>
      <c r="X32">
        <v>30</v>
      </c>
      <c r="Y32" s="4">
        <f t="shared" ca="1" si="8"/>
        <v>-1.4260538564947713E-2</v>
      </c>
      <c r="Z32" s="4">
        <f ca="1"/>
        <v>-4.0910420106591121E-2</v>
      </c>
      <c r="AA32" s="4"/>
    </row>
    <row r="33" spans="1:27" x14ac:dyDescent="0.35">
      <c r="A33">
        <v>31</v>
      </c>
      <c r="B33">
        <f ca="1">_xlfn.NORM.INV(RAND(),Hitorical_Sim!$AB$4,Hitorical_Sim!$AB$5)</f>
        <v>3.9532327525104152E-4</v>
      </c>
      <c r="C33">
        <f ca="1">_xlfn.NORM.INV(RAND(),Hitorical_Sim!$AB$4,Hitorical_Sim!$AB$5)</f>
        <v>-4.3910232973260179E-3</v>
      </c>
      <c r="D33">
        <f ca="1">_xlfn.NORM.INV(RAND(),Hitorical_Sim!$AB$4,Hitorical_Sim!$AB$5)</f>
        <v>4.025786936431771E-2</v>
      </c>
      <c r="K33">
        <f t="shared" ca="1" si="9"/>
        <v>0.10210140310807127</v>
      </c>
      <c r="L33">
        <f t="shared" ca="1" si="9"/>
        <v>-0.58005280040429075</v>
      </c>
      <c r="M33">
        <f t="shared" ca="1" si="9"/>
        <v>0.57397083490233258</v>
      </c>
      <c r="O33">
        <v>31</v>
      </c>
      <c r="P33" s="6">
        <f t="shared" ca="1" si="2"/>
        <v>1941.4375730062604</v>
      </c>
      <c r="Q33" s="6">
        <f t="shared" ca="1" si="3"/>
        <v>378.09702515023622</v>
      </c>
      <c r="R33" s="6">
        <f t="shared" ca="1" si="4"/>
        <v>153.43239367136093</v>
      </c>
      <c r="S33" s="6"/>
      <c r="T33" s="4">
        <f t="shared" ca="1" si="5"/>
        <v>3.320006704651992E-2</v>
      </c>
      <c r="U33" s="4">
        <f t="shared" ca="1" si="6"/>
        <v>2.3561179185528261E-2</v>
      </c>
      <c r="V33" s="4">
        <f t="shared" ca="1" si="7"/>
        <v>-5.611310322487003E-2</v>
      </c>
      <c r="W33" s="4"/>
      <c r="X33">
        <v>31</v>
      </c>
      <c r="Y33" s="4">
        <f t="shared" ca="1" si="8"/>
        <v>2.6856333796175295E-2</v>
      </c>
      <c r="Z33" s="4">
        <f ca="1"/>
        <v>-4.0577741284347851E-2</v>
      </c>
      <c r="AA33" s="4"/>
    </row>
    <row r="34" spans="1:27" x14ac:dyDescent="0.35">
      <c r="A34">
        <v>32</v>
      </c>
      <c r="B34">
        <f ca="1">_xlfn.NORM.INV(RAND(),Hitorical_Sim!$AB$4,Hitorical_Sim!$AB$5)</f>
        <v>7.5961740290483317E-4</v>
      </c>
      <c r="C34">
        <f ca="1">_xlfn.NORM.INV(RAND(),Hitorical_Sim!$AB$4,Hitorical_Sim!$AB$5)</f>
        <v>-3.1606950596893876E-2</v>
      </c>
      <c r="D34">
        <f ca="1">_xlfn.NORM.INV(RAND(),Hitorical_Sim!$AB$4,Hitorical_Sim!$AB$5)</f>
        <v>3.9246270465031617E-2</v>
      </c>
      <c r="K34">
        <f t="shared" ca="1" si="9"/>
        <v>0.33370253304340175</v>
      </c>
      <c r="L34">
        <f t="shared" ca="1" si="9"/>
        <v>1.2275380750119445</v>
      </c>
      <c r="M34">
        <f t="shared" ca="1" si="9"/>
        <v>-1.5425961536692681</v>
      </c>
      <c r="O34">
        <v>32</v>
      </c>
      <c r="P34" s="6">
        <f t="shared" ca="1" si="2"/>
        <v>1949.6122113301956</v>
      </c>
      <c r="Q34" s="6">
        <f t="shared" ca="1" si="3"/>
        <v>398.10709859900697</v>
      </c>
      <c r="R34" s="6">
        <f t="shared" ca="1" si="4"/>
        <v>143.8388806057105</v>
      </c>
      <c r="S34" s="6"/>
      <c r="T34" s="4">
        <f t="shared" ca="1" si="5"/>
        <v>4.2017711434556753E-3</v>
      </c>
      <c r="U34" s="4">
        <f t="shared" ca="1" si="6"/>
        <v>5.1570218068526776E-2</v>
      </c>
      <c r="V34" s="4">
        <f t="shared" ca="1" si="7"/>
        <v>-6.4566249425480726E-2</v>
      </c>
      <c r="W34" s="4"/>
      <c r="X34">
        <v>32</v>
      </c>
      <c r="Y34" s="4">
        <f t="shared" ca="1" si="8"/>
        <v>1.0251664711227116E-2</v>
      </c>
      <c r="Z34" s="4">
        <f ca="1"/>
        <v>-4.0333681481458293E-2</v>
      </c>
      <c r="AA34" s="4"/>
    </row>
    <row r="35" spans="1:27" x14ac:dyDescent="0.35">
      <c r="A35">
        <v>33</v>
      </c>
      <c r="B35">
        <f ca="1">_xlfn.NORM.INV(RAND(),Hitorical_Sim!$AB$4,Hitorical_Sim!$AB$5)</f>
        <v>-1.3631338638305818E-2</v>
      </c>
      <c r="C35">
        <f ca="1">_xlfn.NORM.INV(RAND(),Hitorical_Sim!$AB$4,Hitorical_Sim!$AB$5)</f>
        <v>2.659568825908764E-2</v>
      </c>
      <c r="D35">
        <f ca="1">_xlfn.NORM.INV(RAND(),Hitorical_Sim!$AB$4,Hitorical_Sim!$AB$5)</f>
        <v>2.3662653985777455E-2</v>
      </c>
      <c r="K35">
        <f t="shared" ca="1" si="9"/>
        <v>1.2301660275828377</v>
      </c>
      <c r="L35">
        <f t="shared" ca="1" si="9"/>
        <v>-1.3760587246266534</v>
      </c>
      <c r="M35">
        <f t="shared" ca="1" si="9"/>
        <v>1.5334135883456774</v>
      </c>
      <c r="O35">
        <v>33</v>
      </c>
      <c r="P35" s="6">
        <f t="shared" ca="1" si="2"/>
        <v>1981.5797360922147</v>
      </c>
      <c r="Q35" s="6">
        <f t="shared" ca="1" si="3"/>
        <v>369.60724724136946</v>
      </c>
      <c r="R35" s="6">
        <f t="shared" ca="1" si="4"/>
        <v>157.98941045977827</v>
      </c>
      <c r="S35" s="6"/>
      <c r="T35" s="4">
        <f t="shared" ca="1" si="5"/>
        <v>1.626388629264806E-2</v>
      </c>
      <c r="U35" s="4">
        <f t="shared" ca="1" si="6"/>
        <v>-7.428011313066793E-2</v>
      </c>
      <c r="V35" s="4">
        <f t="shared" ca="1" si="7"/>
        <v>9.3834219899733867E-2</v>
      </c>
      <c r="W35" s="4"/>
      <c r="X35">
        <v>33</v>
      </c>
      <c r="Y35" s="4">
        <f t="shared" ca="1" si="8"/>
        <v>2.033157471733619E-3</v>
      </c>
      <c r="Z35" s="4">
        <f ca="1"/>
        <v>-3.9346783988084909E-2</v>
      </c>
      <c r="AA35" s="4"/>
    </row>
    <row r="36" spans="1:27" x14ac:dyDescent="0.35">
      <c r="A36">
        <v>34</v>
      </c>
      <c r="B36">
        <f ca="1">_xlfn.NORM.INV(RAND(),Hitorical_Sim!$AB$4,Hitorical_Sim!$AB$5)</f>
        <v>-1.0151183315948088E-2</v>
      </c>
      <c r="C36">
        <f ca="1">_xlfn.NORM.INV(RAND(),Hitorical_Sim!$AB$4,Hitorical_Sim!$AB$5)</f>
        <v>4.4312746432851307E-3</v>
      </c>
      <c r="D36">
        <f ca="1">_xlfn.NORM.INV(RAND(),Hitorical_Sim!$AB$4,Hitorical_Sim!$AB$5)</f>
        <v>3.3403392005767756E-3</v>
      </c>
      <c r="K36">
        <f t="shared" ca="1" si="9"/>
        <v>1.8703079438496402</v>
      </c>
      <c r="L36">
        <f t="shared" ca="1" si="9"/>
        <v>-5.3174945803719988E-2</v>
      </c>
      <c r="M36">
        <f t="shared" ca="1" si="9"/>
        <v>-0.92346332543312337</v>
      </c>
      <c r="O36">
        <v>34</v>
      </c>
      <c r="P36" s="6">
        <f t="shared" ca="1" si="2"/>
        <v>2004.7272229736848</v>
      </c>
      <c r="Q36" s="6">
        <f t="shared" ca="1" si="3"/>
        <v>383.82340586966927</v>
      </c>
      <c r="R36" s="6">
        <f t="shared" ca="1" si="4"/>
        <v>146.58134709687707</v>
      </c>
      <c r="S36" s="6"/>
      <c r="T36" s="4">
        <f t="shared" ca="1" si="5"/>
        <v>1.1613630003606818E-2</v>
      </c>
      <c r="U36" s="4">
        <f t="shared" ca="1" si="6"/>
        <v>3.7741618350173478E-2</v>
      </c>
      <c r="V36" s="4">
        <f t="shared" ca="1" si="7"/>
        <v>-7.4947463736927011E-2</v>
      </c>
      <c r="W36" s="4"/>
      <c r="X36">
        <v>34</v>
      </c>
      <c r="Y36" s="4">
        <f t="shared" ca="1" si="8"/>
        <v>1.2544024644963975E-2</v>
      </c>
      <c r="Z36" s="4">
        <f ca="1"/>
        <v>-3.9318700498160213E-2</v>
      </c>
      <c r="AA36" s="4"/>
    </row>
    <row r="37" spans="1:27" x14ac:dyDescent="0.35">
      <c r="A37">
        <v>35</v>
      </c>
      <c r="B37">
        <f ca="1">_xlfn.NORM.INV(RAND(),Hitorical_Sim!$AB$4,Hitorical_Sim!$AB$5)</f>
        <v>1.7108427405969909E-2</v>
      </c>
      <c r="C37">
        <f ca="1">_xlfn.NORM.INV(RAND(),Hitorical_Sim!$AB$4,Hitorical_Sim!$AB$5)</f>
        <v>4.4970925388775236E-3</v>
      </c>
      <c r="D37">
        <f ca="1">_xlfn.NORM.INV(RAND(),Hitorical_Sim!$AB$4,Hitorical_Sim!$AB$5)</f>
        <v>2.974706767313106E-2</v>
      </c>
      <c r="K37">
        <f t="shared" ca="1" si="9"/>
        <v>-0.83632278501492074</v>
      </c>
      <c r="L37">
        <f t="shared" ca="1" si="9"/>
        <v>-1.8898054329891549E-2</v>
      </c>
      <c r="M37">
        <f t="shared" ca="1" si="9"/>
        <v>-0.32331840465312323</v>
      </c>
      <c r="O37">
        <v>35</v>
      </c>
      <c r="P37" s="6">
        <f t="shared" ca="1" si="2"/>
        <v>1908.6640880085372</v>
      </c>
      <c r="Q37" s="6">
        <f t="shared" ca="1" si="3"/>
        <v>384.19893538799329</v>
      </c>
      <c r="R37" s="6">
        <f t="shared" ca="1" si="4"/>
        <v>149.28960412340604</v>
      </c>
      <c r="S37" s="6"/>
      <c r="T37" s="4">
        <f t="shared" ca="1" si="5"/>
        <v>-4.9104436129947221E-2</v>
      </c>
      <c r="U37" s="4">
        <f t="shared" ca="1" si="6"/>
        <v>9.779130842367961E-4</v>
      </c>
      <c r="V37" s="4">
        <f t="shared" ca="1" si="7"/>
        <v>1.8307526695702209E-2</v>
      </c>
      <c r="W37" s="4"/>
      <c r="X37">
        <v>35</v>
      </c>
      <c r="Y37" s="4">
        <f t="shared" ca="1" si="8"/>
        <v>-3.5773371587127761E-2</v>
      </c>
      <c r="Z37" s="4">
        <f ca="1"/>
        <v>-3.9008812061803219E-2</v>
      </c>
      <c r="AA37" s="4"/>
    </row>
    <row r="38" spans="1:27" x14ac:dyDescent="0.35">
      <c r="A38">
        <v>36</v>
      </c>
      <c r="B38">
        <f ca="1">_xlfn.NORM.INV(RAND(),Hitorical_Sim!$AB$4,Hitorical_Sim!$AB$5)</f>
        <v>4.8218923703833745E-2</v>
      </c>
      <c r="C38">
        <f ca="1">_xlfn.NORM.INV(RAND(),Hitorical_Sim!$AB$4,Hitorical_Sim!$AB$5)</f>
        <v>-1.7145722421044396E-2</v>
      </c>
      <c r="D38">
        <f ca="1">_xlfn.NORM.INV(RAND(),Hitorical_Sim!$AB$4,Hitorical_Sim!$AB$5)</f>
        <v>-4.3237327637321854E-3</v>
      </c>
      <c r="K38">
        <f t="shared" ca="1" si="9"/>
        <v>-0.53108018658719103</v>
      </c>
      <c r="L38">
        <f t="shared" ca="1" si="9"/>
        <v>-0.91617047455719025</v>
      </c>
      <c r="M38">
        <f t="shared" ca="1" si="9"/>
        <v>1.132306787486977</v>
      </c>
      <c r="O38">
        <v>36</v>
      </c>
      <c r="P38" s="6">
        <f t="shared" ca="1" si="2"/>
        <v>1919.2631989063148</v>
      </c>
      <c r="Q38" s="6">
        <f t="shared" ca="1" si="3"/>
        <v>374.48864075675033</v>
      </c>
      <c r="R38" s="6">
        <f t="shared" ca="1" si="4"/>
        <v>156.06805695463683</v>
      </c>
      <c r="S38" s="6"/>
      <c r="T38" s="4">
        <f t="shared" ca="1" si="5"/>
        <v>5.5377948379834539E-3</v>
      </c>
      <c r="U38" s="4">
        <f t="shared" ca="1" si="6"/>
        <v>-2.559900860715594E-2</v>
      </c>
      <c r="V38" s="4">
        <f t="shared" ca="1" si="7"/>
        <v>4.440410331125761E-2</v>
      </c>
      <c r="W38" s="4"/>
      <c r="X38">
        <v>36</v>
      </c>
      <c r="Y38" s="4">
        <f t="shared" ca="1" si="8"/>
        <v>1.2473802687897034E-3</v>
      </c>
      <c r="Z38" s="4">
        <f ca="1"/>
        <v>-3.884655945547888E-2</v>
      </c>
      <c r="AA38" s="4"/>
    </row>
    <row r="39" spans="1:27" x14ac:dyDescent="0.35">
      <c r="A39">
        <v>37</v>
      </c>
      <c r="B39">
        <f ca="1">_xlfn.NORM.INV(RAND(),Hitorical_Sim!$AB$4,Hitorical_Sim!$AB$5)</f>
        <v>5.04256891678285E-3</v>
      </c>
      <c r="C39">
        <f ca="1">_xlfn.NORM.INV(RAND(),Hitorical_Sim!$AB$4,Hitorical_Sim!$AB$5)</f>
        <v>-1.6837308003309938E-2</v>
      </c>
      <c r="D39">
        <f ca="1">_xlfn.NORM.INV(RAND(),Hitorical_Sim!$AB$4,Hitorical_Sim!$AB$5)</f>
        <v>-2.7535490562235029E-2</v>
      </c>
      <c r="K39">
        <f t="shared" ca="1" si="9"/>
        <v>0.24032297908895328</v>
      </c>
      <c r="L39">
        <f t="shared" ca="1" si="9"/>
        <v>2.4504222966438149</v>
      </c>
      <c r="M39">
        <f t="shared" ca="1" si="9"/>
        <v>0.53164748130862649</v>
      </c>
      <c r="O39">
        <v>37</v>
      </c>
      <c r="P39" s="6">
        <f t="shared" ca="1" si="2"/>
        <v>1946.3121354135651</v>
      </c>
      <c r="Q39" s="6">
        <f t="shared" ca="1" si="3"/>
        <v>412.24165199224552</v>
      </c>
      <c r="R39" s="6">
        <f t="shared" ca="1" si="4"/>
        <v>153.23442778905937</v>
      </c>
      <c r="S39" s="6"/>
      <c r="T39" s="4">
        <f t="shared" ca="1" si="5"/>
        <v>1.3995007547732204E-2</v>
      </c>
      <c r="U39" s="4">
        <f t="shared" ca="1" si="6"/>
        <v>9.6048240627892856E-2</v>
      </c>
      <c r="V39" s="4">
        <f t="shared" ca="1" si="7"/>
        <v>-1.8323218113035028E-2</v>
      </c>
      <c r="W39" s="4"/>
      <c r="X39">
        <v>37</v>
      </c>
      <c r="Y39" s="4">
        <f t="shared" ca="1" si="8"/>
        <v>2.8770781853954489E-2</v>
      </c>
      <c r="Z39" s="4">
        <f ca="1"/>
        <v>-3.8765214463766601E-2</v>
      </c>
      <c r="AA39" s="4"/>
    </row>
    <row r="40" spans="1:27" x14ac:dyDescent="0.35">
      <c r="A40">
        <v>38</v>
      </c>
      <c r="B40">
        <f ca="1">_xlfn.NORM.INV(RAND(),Hitorical_Sim!$AB$4,Hitorical_Sim!$AB$5)</f>
        <v>3.9013867878169906E-2</v>
      </c>
      <c r="C40">
        <f ca="1">_xlfn.NORM.INV(RAND(),Hitorical_Sim!$AB$4,Hitorical_Sim!$AB$5)</f>
        <v>-1.8491981768440392E-2</v>
      </c>
      <c r="D40">
        <f ca="1">_xlfn.NORM.INV(RAND(),Hitorical_Sim!$AB$4,Hitorical_Sim!$AB$5)</f>
        <v>-1.5845690386788357E-2</v>
      </c>
      <c r="K40">
        <f t="shared" ca="1" si="9"/>
        <v>-1.1031877136407648</v>
      </c>
      <c r="L40">
        <f t="shared" ca="1" si="9"/>
        <v>4.4197377353722221E-2</v>
      </c>
      <c r="M40">
        <f t="shared" ca="1" si="9"/>
        <v>-1.5026781792387136</v>
      </c>
      <c r="O40">
        <v>38</v>
      </c>
      <c r="P40" s="6">
        <f t="shared" ca="1" si="2"/>
        <v>1899.4455548344918</v>
      </c>
      <c r="Q40" s="6">
        <f t="shared" ca="1" si="3"/>
        <v>384.89115491474564</v>
      </c>
      <c r="R40" s="6">
        <f t="shared" ca="1" si="4"/>
        <v>144.01414059448453</v>
      </c>
      <c r="S40" s="6"/>
      <c r="T40" s="4">
        <f t="shared" ca="1" si="5"/>
        <v>-2.4374339025081286E-2</v>
      </c>
      <c r="U40" s="4">
        <f t="shared" ca="1" si="6"/>
        <v>-6.8649131558123924E-2</v>
      </c>
      <c r="V40" s="4">
        <f t="shared" ca="1" si="7"/>
        <v>-6.2057463203750426E-2</v>
      </c>
      <c r="W40" s="4"/>
      <c r="X40">
        <v>38</v>
      </c>
      <c r="Y40" s="4">
        <f t="shared" ca="1" si="8"/>
        <v>-3.5075116487974435E-2</v>
      </c>
      <c r="Z40" s="4">
        <f ca="1"/>
        <v>-3.8699940163661947E-2</v>
      </c>
      <c r="AA40" s="4"/>
    </row>
    <row r="41" spans="1:27" x14ac:dyDescent="0.35">
      <c r="A41">
        <v>39</v>
      </c>
      <c r="B41">
        <f ca="1">_xlfn.NORM.INV(RAND(),Hitorical_Sim!$AB$4,Hitorical_Sim!$AB$5)</f>
        <v>-2.368768246002718E-3</v>
      </c>
      <c r="C41">
        <f ca="1">_xlfn.NORM.INV(RAND(),Hitorical_Sim!$AB$4,Hitorical_Sim!$AB$5)</f>
        <v>-1.6337854074890749E-2</v>
      </c>
      <c r="D41">
        <f ca="1">_xlfn.NORM.INV(RAND(),Hitorical_Sim!$AB$4,Hitorical_Sim!$AB$5)</f>
        <v>-9.2861077942270418E-4</v>
      </c>
      <c r="K41">
        <f t="shared" ca="1" si="9"/>
        <v>0.16840012195353213</v>
      </c>
      <c r="L41">
        <f t="shared" ca="1" si="9"/>
        <v>0.6729291024322378</v>
      </c>
      <c r="M41">
        <f t="shared" ca="1" si="9"/>
        <v>-0.30316950159546951</v>
      </c>
      <c r="O41">
        <v>39</v>
      </c>
      <c r="P41" s="6">
        <f t="shared" ca="1" si="2"/>
        <v>1943.7741575509408</v>
      </c>
      <c r="Q41" s="6">
        <f t="shared" ca="1" si="3"/>
        <v>391.85746905492391</v>
      </c>
      <c r="R41" s="6">
        <f t="shared" ca="1" si="4"/>
        <v>149.38139256375123</v>
      </c>
      <c r="S41" s="6"/>
      <c r="T41" s="4">
        <f t="shared" ca="1" si="5"/>
        <v>2.3069494848583054E-2</v>
      </c>
      <c r="U41" s="4">
        <f t="shared" ca="1" si="6"/>
        <v>1.7937594513157646E-2</v>
      </c>
      <c r="V41" s="4">
        <f t="shared" ca="1" si="7"/>
        <v>3.6591223848298257E-2</v>
      </c>
      <c r="W41" s="4"/>
      <c r="X41">
        <v>39</v>
      </c>
      <c r="Y41" s="4">
        <f t="shared" ca="1" si="8"/>
        <v>2.271452295166795E-2</v>
      </c>
      <c r="Z41" s="4">
        <f ca="1"/>
        <v>-3.8447855703010056E-2</v>
      </c>
      <c r="AA41" s="4"/>
    </row>
    <row r="42" spans="1:27" x14ac:dyDescent="0.35">
      <c r="A42">
        <v>40</v>
      </c>
      <c r="B42">
        <f ca="1">_xlfn.NORM.INV(RAND(),Hitorical_Sim!$AB$4,Hitorical_Sim!$AB$5)</f>
        <v>-1.8951883777011363E-3</v>
      </c>
      <c r="C42">
        <f ca="1">_xlfn.NORM.INV(RAND(),Hitorical_Sim!$AB$4,Hitorical_Sim!$AB$5)</f>
        <v>5.0074552017229171E-3</v>
      </c>
      <c r="D42">
        <f ca="1">_xlfn.NORM.INV(RAND(),Hitorical_Sim!$AB$4,Hitorical_Sim!$AB$5)</f>
        <v>-6.1617398160546968E-4</v>
      </c>
      <c r="K42">
        <f t="shared" ca="1" si="9"/>
        <v>0.47463078793347568</v>
      </c>
      <c r="L42">
        <f t="shared" ca="1" si="9"/>
        <v>0.18201739674862691</v>
      </c>
      <c r="M42">
        <f t="shared" ca="1" si="9"/>
        <v>-2.0567730944449871</v>
      </c>
      <c r="O42">
        <v>40</v>
      </c>
      <c r="P42" s="6">
        <f t="shared" ca="1" si="2"/>
        <v>1954.6032776671677</v>
      </c>
      <c r="Q42" s="6">
        <f t="shared" ca="1" si="3"/>
        <v>386.40751785935464</v>
      </c>
      <c r="R42" s="6">
        <f t="shared" ca="1" si="4"/>
        <v>141.60036092714117</v>
      </c>
      <c r="S42" s="6"/>
      <c r="T42" s="4">
        <f t="shared" ca="1" si="5"/>
        <v>5.5557206301841558E-3</v>
      </c>
      <c r="U42" s="4">
        <f t="shared" ca="1" si="6"/>
        <v>-1.4005616015663127E-2</v>
      </c>
      <c r="V42" s="4">
        <f t="shared" ca="1" si="7"/>
        <v>-5.3493986999084468E-2</v>
      </c>
      <c r="W42" s="4"/>
      <c r="X42">
        <v>40</v>
      </c>
      <c r="Y42" s="4">
        <f t="shared" ca="1" si="8"/>
        <v>-1.2704744631766834E-3</v>
      </c>
      <c r="Z42" s="4">
        <f ca="1"/>
        <v>-3.7842817730288629E-2</v>
      </c>
      <c r="AA42" s="4"/>
    </row>
    <row r="43" spans="1:27" x14ac:dyDescent="0.35">
      <c r="A43">
        <v>41</v>
      </c>
      <c r="B43">
        <f ca="1">_xlfn.NORM.INV(RAND(),Hitorical_Sim!$AB$4,Hitorical_Sim!$AB$5)</f>
        <v>-1.8288557582053503E-2</v>
      </c>
      <c r="C43">
        <f ca="1">_xlfn.NORM.INV(RAND(),Hitorical_Sim!$AB$4,Hitorical_Sim!$AB$5)</f>
        <v>3.0397478720769502E-2</v>
      </c>
      <c r="D43">
        <f ca="1">_xlfn.NORM.INV(RAND(),Hitorical_Sim!$AB$4,Hitorical_Sim!$AB$5)</f>
        <v>-1.6161276486792889E-2</v>
      </c>
      <c r="K43">
        <f t="shared" ca="1" si="9"/>
        <v>0.31871879626340982</v>
      </c>
      <c r="L43">
        <f t="shared" ca="1" si="9"/>
        <v>-0.43278845662554594</v>
      </c>
      <c r="M43">
        <f t="shared" ca="1" si="9"/>
        <v>0.82454092629911435</v>
      </c>
      <c r="O43">
        <v>41</v>
      </c>
      <c r="P43" s="6">
        <f t="shared" ca="1" si="2"/>
        <v>1949.0823026128401</v>
      </c>
      <c r="Q43" s="6">
        <f t="shared" ca="1" si="3"/>
        <v>379.68891253544177</v>
      </c>
      <c r="R43" s="6">
        <f t="shared" ca="1" si="4"/>
        <v>154.60967619031032</v>
      </c>
      <c r="S43" s="6"/>
      <c r="T43" s="4">
        <f t="shared" ca="1" si="5"/>
        <v>-2.8285980629751931E-3</v>
      </c>
      <c r="U43" s="4">
        <f t="shared" ca="1" si="6"/>
        <v>-1.754029208684298E-2</v>
      </c>
      <c r="V43" s="4">
        <f t="shared" ca="1" si="7"/>
        <v>8.7894992570987387E-2</v>
      </c>
      <c r="W43" s="4"/>
      <c r="X43">
        <v>41</v>
      </c>
      <c r="Y43" s="4">
        <f t="shared" ca="1" si="8"/>
        <v>-1.2746623101763778E-3</v>
      </c>
      <c r="Z43" s="4">
        <f ca="1"/>
        <v>-3.6738411407850044E-2</v>
      </c>
      <c r="AA43" s="4"/>
    </row>
    <row r="44" spans="1:27" x14ac:dyDescent="0.35">
      <c r="A44">
        <v>42</v>
      </c>
      <c r="B44">
        <f ca="1">_xlfn.NORM.INV(RAND(),Hitorical_Sim!$AB$4,Hitorical_Sim!$AB$5)</f>
        <v>2.8371900944221765E-2</v>
      </c>
      <c r="C44">
        <f ca="1">_xlfn.NORM.INV(RAND(),Hitorical_Sim!$AB$4,Hitorical_Sim!$AB$5)</f>
        <v>-1.7667236580092154E-2</v>
      </c>
      <c r="D44">
        <f ca="1">_xlfn.NORM.INV(RAND(),Hitorical_Sim!$AB$4,Hitorical_Sim!$AB$5)</f>
        <v>2.7801315035807989E-3</v>
      </c>
      <c r="K44">
        <f t="shared" ref="K44:M63" ca="1" si="10">_xlfn.NORM.S.INV(RAND())</f>
        <v>1.8216408202682184</v>
      </c>
      <c r="L44">
        <f t="shared" ca="1" si="10"/>
        <v>0.11039884540126955</v>
      </c>
      <c r="M44">
        <f t="shared" ca="1" si="10"/>
        <v>1.0339975808248811</v>
      </c>
      <c r="O44">
        <v>42</v>
      </c>
      <c r="P44" s="6">
        <f t="shared" ca="1" si="2"/>
        <v>2002.9579657624854</v>
      </c>
      <c r="Q44" s="6">
        <f t="shared" ca="1" si="3"/>
        <v>385.61879157579835</v>
      </c>
      <c r="R44" s="6">
        <f t="shared" ca="1" si="4"/>
        <v>155.6007193724553</v>
      </c>
      <c r="S44" s="6"/>
      <c r="T44" s="4">
        <f t="shared" ca="1" si="5"/>
        <v>2.7266423065770005E-2</v>
      </c>
      <c r="U44" s="4">
        <f t="shared" ca="1" si="6"/>
        <v>1.549702866868459E-2</v>
      </c>
      <c r="V44" s="4">
        <f t="shared" ca="1" si="7"/>
        <v>6.3895122020512368E-3</v>
      </c>
      <c r="W44" s="4"/>
      <c r="X44">
        <v>42</v>
      </c>
      <c r="Y44" s="4">
        <f t="shared" ca="1" si="8"/>
        <v>2.3884426688387143E-2</v>
      </c>
      <c r="Z44" s="4">
        <f ca="1"/>
        <v>-3.6723918869412578E-2</v>
      </c>
      <c r="AA44" s="4"/>
    </row>
    <row r="45" spans="1:27" x14ac:dyDescent="0.35">
      <c r="A45">
        <v>43</v>
      </c>
      <c r="B45">
        <f ca="1">_xlfn.NORM.INV(RAND(),Hitorical_Sim!$AB$4,Hitorical_Sim!$AB$5)</f>
        <v>-2.7057884591463896E-2</v>
      </c>
      <c r="C45">
        <f ca="1">_xlfn.NORM.INV(RAND(),Hitorical_Sim!$AB$4,Hitorical_Sim!$AB$5)</f>
        <v>4.7512791972142681E-3</v>
      </c>
      <c r="D45">
        <f ca="1">_xlfn.NORM.INV(RAND(),Hitorical_Sim!$AB$4,Hitorical_Sim!$AB$5)</f>
        <v>1.3926307140164152E-2</v>
      </c>
      <c r="K45">
        <f t="shared" ca="1" si="10"/>
        <v>-0.2305321350945424</v>
      </c>
      <c r="L45">
        <f t="shared" ca="1" si="10"/>
        <v>-1.2789474584484934</v>
      </c>
      <c r="M45">
        <f t="shared" ca="1" si="10"/>
        <v>1.2781936411528052</v>
      </c>
      <c r="O45">
        <v>43</v>
      </c>
      <c r="P45" s="6">
        <f t="shared" ca="1" si="2"/>
        <v>1929.7568044120389</v>
      </c>
      <c r="Q45" s="6">
        <f t="shared" ca="1" si="3"/>
        <v>370.63268825137959</v>
      </c>
      <c r="R45" s="6">
        <f t="shared" ca="1" si="4"/>
        <v>156.7641550609772</v>
      </c>
      <c r="S45" s="6"/>
      <c r="T45" s="4">
        <f t="shared" ca="1" si="5"/>
        <v>-3.7231083922736927E-2</v>
      </c>
      <c r="U45" s="4">
        <f t="shared" ca="1" si="6"/>
        <v>-3.9637781334637127E-2</v>
      </c>
      <c r="V45" s="4">
        <f t="shared" ca="1" si="7"/>
        <v>7.4492439053361033E-3</v>
      </c>
      <c r="W45" s="4"/>
      <c r="X45">
        <v>43</v>
      </c>
      <c r="Y45" s="4">
        <f t="shared" ca="1" si="8"/>
        <v>-3.5500149313892101E-2</v>
      </c>
      <c r="Z45" s="4">
        <f ca="1"/>
        <v>-3.6179181389984438E-2</v>
      </c>
      <c r="AA45" s="4"/>
    </row>
    <row r="46" spans="1:27" x14ac:dyDescent="0.35">
      <c r="A46">
        <v>44</v>
      </c>
      <c r="B46">
        <f ca="1">_xlfn.NORM.INV(RAND(),Hitorical_Sim!$AB$4,Hitorical_Sim!$AB$5)</f>
        <v>1.491359921330242E-2</v>
      </c>
      <c r="C46">
        <f ca="1">_xlfn.NORM.INV(RAND(),Hitorical_Sim!$AB$4,Hitorical_Sim!$AB$5)</f>
        <v>-3.6529466027368797E-3</v>
      </c>
      <c r="D46">
        <f ca="1">_xlfn.NORM.INV(RAND(),Hitorical_Sim!$AB$4,Hitorical_Sim!$AB$5)</f>
        <v>1.4752761732508889E-3</v>
      </c>
      <c r="K46">
        <f t="shared" ca="1" si="10"/>
        <v>0.95296450565335777</v>
      </c>
      <c r="L46">
        <f t="shared" ca="1" si="10"/>
        <v>-0.45335164323747879</v>
      </c>
      <c r="M46">
        <f t="shared" ca="1" si="10"/>
        <v>1.1642561596214549</v>
      </c>
      <c r="O46">
        <v>44</v>
      </c>
      <c r="P46" s="6">
        <f t="shared" ca="1" si="2"/>
        <v>1971.6392575327504</v>
      </c>
      <c r="Q46" s="6">
        <f t="shared" ca="1" si="3"/>
        <v>379.4662281459685</v>
      </c>
      <c r="R46" s="6">
        <f t="shared" ca="1" si="4"/>
        <v>156.22023834445295</v>
      </c>
      <c r="S46" s="6"/>
      <c r="T46" s="4">
        <f t="shared" ca="1" si="5"/>
        <v>2.1471320260223116E-2</v>
      </c>
      <c r="U46" s="4">
        <f t="shared" ca="1" si="6"/>
        <v>2.3554088929051066E-2</v>
      </c>
      <c r="V46" s="4">
        <f t="shared" ca="1" si="7"/>
        <v>-3.4756829768138927E-3</v>
      </c>
      <c r="W46" s="4"/>
      <c r="X46">
        <v>44</v>
      </c>
      <c r="Y46" s="4">
        <f t="shared" ca="1" si="8"/>
        <v>2.0652344330774154E-2</v>
      </c>
      <c r="Z46" s="4">
        <f ca="1"/>
        <v>-3.6138164123322908E-2</v>
      </c>
      <c r="AA46" s="4"/>
    </row>
    <row r="47" spans="1:27" x14ac:dyDescent="0.35">
      <c r="A47">
        <v>45</v>
      </c>
      <c r="B47">
        <f ca="1">_xlfn.NORM.INV(RAND(),Hitorical_Sim!$AB$4,Hitorical_Sim!$AB$5)</f>
        <v>5.713407059767318E-3</v>
      </c>
      <c r="C47">
        <f ca="1">_xlfn.NORM.INV(RAND(),Hitorical_Sim!$AB$4,Hitorical_Sim!$AB$5)</f>
        <v>9.1764372824186986E-3</v>
      </c>
      <c r="D47">
        <f ca="1">_xlfn.NORM.INV(RAND(),Hitorical_Sim!$AB$4,Hitorical_Sim!$AB$5)</f>
        <v>-1.0442393155636449E-2</v>
      </c>
      <c r="K47">
        <f t="shared" ca="1" si="10"/>
        <v>-6.7183874172154226E-2</v>
      </c>
      <c r="L47">
        <f t="shared" ca="1" si="10"/>
        <v>1.1308736831117001</v>
      </c>
      <c r="M47">
        <f t="shared" ca="1" si="10"/>
        <v>7.0896629487203655E-2</v>
      </c>
      <c r="O47">
        <v>45</v>
      </c>
      <c r="P47" s="6">
        <f t="shared" ca="1" si="2"/>
        <v>1935.4841381812696</v>
      </c>
      <c r="Q47" s="6">
        <f t="shared" ca="1" si="3"/>
        <v>397.0107048327896</v>
      </c>
      <c r="R47" s="6">
        <f t="shared" ca="1" si="4"/>
        <v>151.09573922513363</v>
      </c>
      <c r="S47" s="6"/>
      <c r="T47" s="4">
        <f t="shared" ca="1" si="5"/>
        <v>-1.8507811363401266E-2</v>
      </c>
      <c r="U47" s="4">
        <f t="shared" ca="1" si="6"/>
        <v>4.5197642154891408E-2</v>
      </c>
      <c r="V47" s="4">
        <f t="shared" ca="1" si="7"/>
        <v>-3.3353125374980898E-2</v>
      </c>
      <c r="W47" s="4"/>
      <c r="X47">
        <v>45</v>
      </c>
      <c r="Y47" s="4">
        <f t="shared" ca="1" si="8"/>
        <v>-6.5289317863126001E-3</v>
      </c>
      <c r="Z47" s="4">
        <f ca="1"/>
        <v>-3.5773371587127761E-2</v>
      </c>
      <c r="AA47" s="4"/>
    </row>
    <row r="48" spans="1:27" x14ac:dyDescent="0.35">
      <c r="A48">
        <v>46</v>
      </c>
      <c r="B48">
        <f ca="1">_xlfn.NORM.INV(RAND(),Hitorical_Sim!$AB$4,Hitorical_Sim!$AB$5)</f>
        <v>-2.4304980197481823E-2</v>
      </c>
      <c r="C48">
        <f ca="1">_xlfn.NORM.INV(RAND(),Hitorical_Sim!$AB$4,Hitorical_Sim!$AB$5)</f>
        <v>-2.3003944907714971E-3</v>
      </c>
      <c r="D48">
        <f ca="1">_xlfn.NORM.INV(RAND(),Hitorical_Sim!$AB$4,Hitorical_Sim!$AB$5)</f>
        <v>1.9317074804026078E-3</v>
      </c>
      <c r="K48">
        <f t="shared" ca="1" si="10"/>
        <v>-2.600945826574689</v>
      </c>
      <c r="L48">
        <f t="shared" ca="1" si="10"/>
        <v>-0.13646075669357755</v>
      </c>
      <c r="M48">
        <f t="shared" ca="1" si="10"/>
        <v>-0.43694009106739817</v>
      </c>
      <c r="O48">
        <v>46</v>
      </c>
      <c r="P48" s="6">
        <f t="shared" ca="1" si="2"/>
        <v>1848.5273450082927</v>
      </c>
      <c r="Q48" s="6">
        <f t="shared" ca="1" si="3"/>
        <v>382.91247497146088</v>
      </c>
      <c r="R48" s="6">
        <f t="shared" ca="1" si="4"/>
        <v>148.77305466224092</v>
      </c>
      <c r="S48" s="6"/>
      <c r="T48" s="4">
        <f t="shared" ca="1" si="5"/>
        <v>-4.5968203432181672E-2</v>
      </c>
      <c r="U48" s="4">
        <f t="shared" ca="1" si="6"/>
        <v>-3.6156806451826458E-2</v>
      </c>
      <c r="V48" s="4">
        <f t="shared" ca="1" si="7"/>
        <v>-1.5491648761315436E-2</v>
      </c>
      <c r="W48" s="4"/>
      <c r="X48">
        <v>46</v>
      </c>
      <c r="Y48" s="4">
        <f t="shared" ca="1" si="8"/>
        <v>-4.2501873280293097E-2</v>
      </c>
      <c r="Z48" s="4">
        <f ca="1"/>
        <v>-3.5718243822064351E-2</v>
      </c>
      <c r="AA48" s="4"/>
    </row>
    <row r="49" spans="1:27" x14ac:dyDescent="0.35">
      <c r="A49">
        <v>47</v>
      </c>
      <c r="B49">
        <f ca="1">_xlfn.NORM.INV(RAND(),Hitorical_Sim!$AB$4,Hitorical_Sim!$AB$5)</f>
        <v>9.3813895946036393E-3</v>
      </c>
      <c r="C49">
        <f ca="1">_xlfn.NORM.INV(RAND(),Hitorical_Sim!$AB$4,Hitorical_Sim!$AB$5)</f>
        <v>-3.011992103371023E-2</v>
      </c>
      <c r="D49">
        <f ca="1">_xlfn.NORM.INV(RAND(),Hitorical_Sim!$AB$4,Hitorical_Sim!$AB$5)</f>
        <v>-9.9240859144158842E-3</v>
      </c>
      <c r="K49">
        <f t="shared" ca="1" si="10"/>
        <v>8.0542500557018448E-3</v>
      </c>
      <c r="L49">
        <f t="shared" ca="1" si="10"/>
        <v>1.3067169844801518</v>
      </c>
      <c r="M49">
        <f t="shared" ca="1" si="10"/>
        <v>0.91078251295563428</v>
      </c>
      <c r="O49">
        <v>47</v>
      </c>
      <c r="P49" s="6">
        <f t="shared" ca="1" si="2"/>
        <v>1938.1278598702013</v>
      </c>
      <c r="Q49" s="6">
        <f t="shared" ca="1" si="3"/>
        <v>399.00742271640638</v>
      </c>
      <c r="R49" s="6">
        <f t="shared" ca="1" si="4"/>
        <v>155.01696112801503</v>
      </c>
      <c r="S49" s="6"/>
      <c r="T49" s="4">
        <f t="shared" ca="1" si="5"/>
        <v>4.7333194092445817E-2</v>
      </c>
      <c r="U49" s="4">
        <f t="shared" ca="1" si="6"/>
        <v>4.1173581829923388E-2</v>
      </c>
      <c r="V49" s="4">
        <f t="shared" ca="1" si="7"/>
        <v>4.1112515822820571E-2</v>
      </c>
      <c r="W49" s="4"/>
      <c r="X49">
        <v>47</v>
      </c>
      <c r="Y49" s="4">
        <f t="shared" ca="1" si="8"/>
        <v>4.5796069595402687E-2</v>
      </c>
      <c r="Z49" s="4">
        <f ca="1"/>
        <v>-3.5573543739928784E-2</v>
      </c>
      <c r="AA49" s="4"/>
    </row>
    <row r="50" spans="1:27" x14ac:dyDescent="0.35">
      <c r="A50">
        <v>48</v>
      </c>
      <c r="B50">
        <f ca="1">_xlfn.NORM.INV(RAND(),Hitorical_Sim!$AB$4,Hitorical_Sim!$AB$5)</f>
        <v>-2.5071708953919047E-3</v>
      </c>
      <c r="C50">
        <f ca="1">_xlfn.NORM.INV(RAND(),Hitorical_Sim!$AB$4,Hitorical_Sim!$AB$5)</f>
        <v>2.9116446462191831E-2</v>
      </c>
      <c r="D50">
        <f ca="1">_xlfn.NORM.INV(RAND(),Hitorical_Sim!$AB$4,Hitorical_Sim!$AB$5)</f>
        <v>1.009019978464323E-2</v>
      </c>
      <c r="K50">
        <f t="shared" ca="1" si="10"/>
        <v>0.62049574278548192</v>
      </c>
      <c r="L50">
        <f t="shared" ca="1" si="10"/>
        <v>0.87847239637996166</v>
      </c>
      <c r="M50">
        <f t="shared" ca="1" si="10"/>
        <v>0.13845400799364804</v>
      </c>
      <c r="O50">
        <v>48</v>
      </c>
      <c r="P50" s="6">
        <f t="shared" ca="1" si="2"/>
        <v>1959.7826373651583</v>
      </c>
      <c r="Q50" s="6">
        <f t="shared" ca="1" si="3"/>
        <v>394.16211526882086</v>
      </c>
      <c r="R50" s="6">
        <f t="shared" ca="1" si="4"/>
        <v>151.40744592169222</v>
      </c>
      <c r="S50" s="6"/>
      <c r="T50" s="4">
        <f t="shared" ca="1" si="5"/>
        <v>1.1111081331621257E-2</v>
      </c>
      <c r="U50" s="4">
        <f t="shared" ca="1" si="6"/>
        <v>-1.2217735271488197E-2</v>
      </c>
      <c r="V50" s="4">
        <f t="shared" ca="1" si="7"/>
        <v>-2.356001731059678E-2</v>
      </c>
      <c r="W50" s="4"/>
      <c r="X50">
        <v>48</v>
      </c>
      <c r="Y50" s="4">
        <f t="shared" ca="1" si="8"/>
        <v>4.739517432228486E-3</v>
      </c>
      <c r="Z50" s="4">
        <f ca="1"/>
        <v>-3.5563396648038245E-2</v>
      </c>
      <c r="AA50" s="4"/>
    </row>
    <row r="51" spans="1:27" x14ac:dyDescent="0.35">
      <c r="A51">
        <v>49</v>
      </c>
      <c r="B51">
        <f ca="1">_xlfn.NORM.INV(RAND(),Hitorical_Sim!$AB$4,Hitorical_Sim!$AB$5)</f>
        <v>-9.8456943765639314E-3</v>
      </c>
      <c r="C51">
        <f ca="1">_xlfn.NORM.INV(RAND(),Hitorical_Sim!$AB$4,Hitorical_Sim!$AB$5)</f>
        <v>1.6415935941952904E-2</v>
      </c>
      <c r="D51">
        <f ca="1">_xlfn.NORM.INV(RAND(),Hitorical_Sim!$AB$4,Hitorical_Sim!$AB$5)</f>
        <v>-4.2605604632830049E-3</v>
      </c>
      <c r="K51">
        <f t="shared" ca="1" si="10"/>
        <v>-0.52474387527315158</v>
      </c>
      <c r="L51">
        <f t="shared" ca="1" si="10"/>
        <v>-1.3212420422091651</v>
      </c>
      <c r="M51">
        <f t="shared" ca="1" si="10"/>
        <v>-0.22813148246827422</v>
      </c>
      <c r="O51">
        <v>49</v>
      </c>
      <c r="P51" s="6">
        <f t="shared" ca="1" si="2"/>
        <v>1919.4838406725521</v>
      </c>
      <c r="Q51" s="6">
        <f t="shared" ca="1" si="3"/>
        <v>370.18573170086205</v>
      </c>
      <c r="R51" s="6">
        <f t="shared" ca="1" si="4"/>
        <v>149.72372540223751</v>
      </c>
      <c r="S51" s="6"/>
      <c r="T51" s="4">
        <f t="shared" ca="1" si="5"/>
        <v>-2.0777250874572356E-2</v>
      </c>
      <c r="U51" s="4">
        <f t="shared" ca="1" si="6"/>
        <v>-6.2757427485025788E-2</v>
      </c>
      <c r="V51" s="4">
        <f t="shared" ca="1" si="7"/>
        <v>-1.1182755065503378E-2</v>
      </c>
      <c r="W51" s="4"/>
      <c r="X51">
        <v>49</v>
      </c>
      <c r="Y51" s="4">
        <f t="shared" ca="1" si="8"/>
        <v>-2.8680321684137412E-2</v>
      </c>
      <c r="Z51" s="4">
        <f ca="1"/>
        <v>-3.5513674753253753E-2</v>
      </c>
      <c r="AA51" s="4"/>
    </row>
    <row r="52" spans="1:27" x14ac:dyDescent="0.35">
      <c r="A52">
        <v>50</v>
      </c>
      <c r="B52">
        <f ca="1">_xlfn.NORM.INV(RAND(),Hitorical_Sim!$AB$4,Hitorical_Sim!$AB$5)</f>
        <v>3.2006842143338767E-3</v>
      </c>
      <c r="C52">
        <f ca="1">_xlfn.NORM.INV(RAND(),Hitorical_Sim!$AB$4,Hitorical_Sim!$AB$5)</f>
        <v>-3.3720301304291335E-3</v>
      </c>
      <c r="D52">
        <f ca="1">_xlfn.NORM.INV(RAND(),Hitorical_Sim!$AB$4,Hitorical_Sim!$AB$5)</f>
        <v>-1.4040115490256541E-2</v>
      </c>
      <c r="K52">
        <f t="shared" ca="1" si="10"/>
        <v>1.2338346747307671</v>
      </c>
      <c r="L52">
        <f t="shared" ca="1" si="10"/>
        <v>-1.3584957099140189</v>
      </c>
      <c r="M52">
        <f t="shared" ca="1" si="10"/>
        <v>0.10152956662532814</v>
      </c>
      <c r="O52">
        <v>50</v>
      </c>
      <c r="P52" s="6">
        <f t="shared" ca="1" si="2"/>
        <v>1981.7116296759145</v>
      </c>
      <c r="Q52" s="6">
        <f t="shared" ca="1" si="3"/>
        <v>369.79249253424001</v>
      </c>
      <c r="R52" s="6">
        <f t="shared" ca="1" si="4"/>
        <v>151.2369986164565</v>
      </c>
      <c r="S52" s="6"/>
      <c r="T52" s="4">
        <f t="shared" ca="1" si="5"/>
        <v>3.1904613794282999E-2</v>
      </c>
      <c r="U52" s="4">
        <f t="shared" ca="1" si="6"/>
        <v>-1.0628399343679882E-3</v>
      </c>
      <c r="V52" s="4">
        <f t="shared" ca="1" si="7"/>
        <v>1.005636846675362E-2</v>
      </c>
      <c r="W52" s="4"/>
      <c r="X52">
        <v>50</v>
      </c>
      <c r="Y52" s="4">
        <f t="shared" ca="1" si="8"/>
        <v>2.4244089733767862E-2</v>
      </c>
      <c r="Z52" s="4">
        <f ca="1"/>
        <v>-3.5500149313892101E-2</v>
      </c>
      <c r="AA52" s="4"/>
    </row>
    <row r="53" spans="1:27" x14ac:dyDescent="0.35">
      <c r="A53">
        <v>51</v>
      </c>
      <c r="B53">
        <f ca="1">_xlfn.NORM.INV(RAND(),Hitorical_Sim!$AB$4,Hitorical_Sim!$AB$5)</f>
        <v>-2.2774678247663104E-3</v>
      </c>
      <c r="C53">
        <f ca="1">_xlfn.NORM.INV(RAND(),Hitorical_Sim!$AB$4,Hitorical_Sim!$AB$5)</f>
        <v>-1.7799982591751005E-2</v>
      </c>
      <c r="D53">
        <f ca="1">_xlfn.NORM.INV(RAND(),Hitorical_Sim!$AB$4,Hitorical_Sim!$AB$5)</f>
        <v>-1.7370315316249677E-2</v>
      </c>
      <c r="K53">
        <f t="shared" ca="1" si="10"/>
        <v>0.56351416391947973</v>
      </c>
      <c r="L53">
        <f t="shared" ca="1" si="10"/>
        <v>2.4822637954887625</v>
      </c>
      <c r="M53">
        <f t="shared" ca="1" si="10"/>
        <v>-1.678726307731172</v>
      </c>
      <c r="O53">
        <v>51</v>
      </c>
      <c r="P53" s="6">
        <f t="shared" ca="1" si="2"/>
        <v>1957.75770910037</v>
      </c>
      <c r="Q53" s="6">
        <f t="shared" ca="1" si="3"/>
        <v>412.61631557205948</v>
      </c>
      <c r="R53" s="6">
        <f t="shared" ca="1" si="4"/>
        <v>143.24280308761806</v>
      </c>
      <c r="S53" s="6"/>
      <c r="T53" s="4">
        <f t="shared" ca="1" si="5"/>
        <v>-1.2161138332872872E-2</v>
      </c>
      <c r="U53" s="4">
        <f t="shared" ca="1" si="6"/>
        <v>0.10957612584583278</v>
      </c>
      <c r="V53" s="4">
        <f t="shared" ca="1" si="7"/>
        <v>-5.4307019548883402E-2</v>
      </c>
      <c r="W53" s="4"/>
      <c r="X53">
        <v>51</v>
      </c>
      <c r="Y53" s="4">
        <f t="shared" ca="1" si="8"/>
        <v>1.0047930707724403E-2</v>
      </c>
      <c r="Z53" s="4">
        <f ca="1"/>
        <v>-3.5433559806236505E-2</v>
      </c>
      <c r="AA53" s="4"/>
    </row>
    <row r="54" spans="1:27" x14ac:dyDescent="0.35">
      <c r="A54">
        <v>52</v>
      </c>
      <c r="B54">
        <f ca="1">_xlfn.NORM.INV(RAND(),Hitorical_Sim!$AB$4,Hitorical_Sim!$AB$5)</f>
        <v>-1.003846161255981E-2</v>
      </c>
      <c r="C54">
        <f ca="1">_xlfn.NORM.INV(RAND(),Hitorical_Sim!$AB$4,Hitorical_Sim!$AB$5)</f>
        <v>3.8987837895945541E-3</v>
      </c>
      <c r="D54">
        <f ca="1">_xlfn.NORM.INV(RAND(),Hitorical_Sim!$AB$4,Hitorical_Sim!$AB$5)</f>
        <v>-2.0855261748781544E-2</v>
      </c>
      <c r="K54">
        <f t="shared" ca="1" si="10"/>
        <v>-1.1174175823851829</v>
      </c>
      <c r="L54">
        <f t="shared" ca="1" si="10"/>
        <v>-0.66201879250051887</v>
      </c>
      <c r="M54">
        <f t="shared" ca="1" si="10"/>
        <v>-0.69550513166050598</v>
      </c>
      <c r="O54">
        <v>52</v>
      </c>
      <c r="P54" s="6">
        <f t="shared" ca="1" si="2"/>
        <v>1898.9552531266454</v>
      </c>
      <c r="Q54" s="6">
        <f t="shared" ca="1" si="3"/>
        <v>377.21388812361187</v>
      </c>
      <c r="R54" s="6">
        <f t="shared" ca="1" si="4"/>
        <v>147.60421217919333</v>
      </c>
      <c r="S54" s="6"/>
      <c r="T54" s="4">
        <f t="shared" ca="1" si="5"/>
        <v>-3.0495924211221832E-2</v>
      </c>
      <c r="U54" s="4">
        <f t="shared" ca="1" si="6"/>
        <v>-8.9705774097991228E-2</v>
      </c>
      <c r="V54" s="4">
        <f t="shared" ca="1" si="7"/>
        <v>2.9993335451875155E-2</v>
      </c>
      <c r="W54" s="4"/>
      <c r="X54">
        <v>52</v>
      </c>
      <c r="Y54" s="4">
        <f t="shared" ca="1" si="8"/>
        <v>-3.9318700498160213E-2</v>
      </c>
      <c r="Z54" s="4">
        <f ca="1"/>
        <v>-3.5396295468033481E-2</v>
      </c>
      <c r="AA54" s="4"/>
    </row>
    <row r="55" spans="1:27" x14ac:dyDescent="0.35">
      <c r="A55">
        <v>53</v>
      </c>
      <c r="B55">
        <f ca="1">_xlfn.NORM.INV(RAND(),Hitorical_Sim!$AB$4,Hitorical_Sim!$AB$5)</f>
        <v>-1.8462567813284602E-2</v>
      </c>
      <c r="C55">
        <f ca="1">_xlfn.NORM.INV(RAND(),Hitorical_Sim!$AB$4,Hitorical_Sim!$AB$5)</f>
        <v>9.138531220637312E-5</v>
      </c>
      <c r="D55">
        <f ca="1">_xlfn.NORM.INV(RAND(),Hitorical_Sim!$AB$4,Hitorical_Sim!$AB$5)</f>
        <v>-3.443661388003165E-2</v>
      </c>
      <c r="K55">
        <f t="shared" ca="1" si="10"/>
        <v>2.5281179814727689E-2</v>
      </c>
      <c r="L55">
        <f t="shared" ca="1" si="10"/>
        <v>-4.5685580673816638E-4</v>
      </c>
      <c r="M55">
        <f t="shared" ca="1" si="10"/>
        <v>-0.90058045937232845</v>
      </c>
      <c r="O55">
        <v>53</v>
      </c>
      <c r="P55" s="6">
        <f t="shared" ca="1" si="2"/>
        <v>1938.7336886430808</v>
      </c>
      <c r="Q55" s="6">
        <f t="shared" ca="1" si="3"/>
        <v>384.40112478593011</v>
      </c>
      <c r="R55" s="6">
        <f t="shared" ca="1" si="4"/>
        <v>146.68370332084484</v>
      </c>
      <c r="S55" s="6"/>
      <c r="T55" s="4">
        <f t="shared" ca="1" si="5"/>
        <v>2.0731153971548337E-2</v>
      </c>
      <c r="U55" s="4">
        <f t="shared" ca="1" si="6"/>
        <v>1.887423410083288E-2</v>
      </c>
      <c r="V55" s="4">
        <f t="shared" ca="1" si="7"/>
        <v>-6.2558590545671172E-3</v>
      </c>
      <c r="W55" s="4"/>
      <c r="X55">
        <v>53</v>
      </c>
      <c r="Y55" s="4">
        <f t="shared" ca="1" si="8"/>
        <v>1.9024981627639437E-2</v>
      </c>
      <c r="Z55" s="4">
        <f ca="1"/>
        <v>-3.5392882775078779E-2</v>
      </c>
      <c r="AA55" s="4"/>
    </row>
    <row r="56" spans="1:27" x14ac:dyDescent="0.35">
      <c r="A56">
        <v>54</v>
      </c>
      <c r="B56">
        <f ca="1">_xlfn.NORM.INV(RAND(),Hitorical_Sim!$AB$4,Hitorical_Sim!$AB$5)</f>
        <v>1.288348709410469E-2</v>
      </c>
      <c r="C56">
        <f ca="1">_xlfn.NORM.INV(RAND(),Hitorical_Sim!$AB$4,Hitorical_Sim!$AB$5)</f>
        <v>1.4921684243680886E-2</v>
      </c>
      <c r="D56">
        <f ca="1">_xlfn.NORM.INV(RAND(),Hitorical_Sim!$AB$4,Hitorical_Sim!$AB$5)</f>
        <v>5.9038468761596916E-3</v>
      </c>
      <c r="K56">
        <f t="shared" ca="1" si="10"/>
        <v>2.0738886790311009</v>
      </c>
      <c r="L56">
        <f t="shared" ca="1" si="10"/>
        <v>1.5790128099974792</v>
      </c>
      <c r="M56">
        <f t="shared" ca="1" si="10"/>
        <v>-0.22622749200679085</v>
      </c>
      <c r="O56">
        <v>54</v>
      </c>
      <c r="P56" s="6">
        <f t="shared" ca="1" si="2"/>
        <v>2012.1452079386029</v>
      </c>
      <c r="Q56" s="6">
        <f t="shared" ca="1" si="3"/>
        <v>402.11920208050958</v>
      </c>
      <c r="R56" s="6">
        <f t="shared" ca="1" si="4"/>
        <v>149.73242184306957</v>
      </c>
      <c r="S56" s="6"/>
      <c r="T56" s="4">
        <f t="shared" ca="1" si="5"/>
        <v>3.7166398440618129E-2</v>
      </c>
      <c r="U56" s="4">
        <f t="shared" ca="1" si="6"/>
        <v>4.5061964079338677E-2</v>
      </c>
      <c r="V56" s="4">
        <f t="shared" ca="1" si="7"/>
        <v>2.0571256249782233E-2</v>
      </c>
      <c r="W56" s="4"/>
      <c r="X56">
        <v>54</v>
      </c>
      <c r="Y56" s="4">
        <f t="shared" ca="1" si="8"/>
        <v>3.7920805675987761E-2</v>
      </c>
      <c r="Z56" s="4">
        <f ca="1"/>
        <v>-3.5078715348894313E-2</v>
      </c>
      <c r="AA56" s="4"/>
    </row>
    <row r="57" spans="1:27" x14ac:dyDescent="0.35">
      <c r="A57">
        <v>55</v>
      </c>
      <c r="B57">
        <f ca="1">_xlfn.NORM.INV(RAND(),Hitorical_Sim!$AB$4,Hitorical_Sim!$AB$5)</f>
        <v>-9.0573622841730386E-3</v>
      </c>
      <c r="C57">
        <f ca="1">_xlfn.NORM.INV(RAND(),Hitorical_Sim!$AB$4,Hitorical_Sim!$AB$5)</f>
        <v>-5.1017516240320238E-3</v>
      </c>
      <c r="D57">
        <f ca="1">_xlfn.NORM.INV(RAND(),Hitorical_Sim!$AB$4,Hitorical_Sim!$AB$5)</f>
        <v>6.0949062921577587E-3</v>
      </c>
      <c r="K57">
        <f t="shared" ca="1" si="10"/>
        <v>-0.17608654590777967</v>
      </c>
      <c r="L57">
        <f t="shared" ca="1" si="10"/>
        <v>-0.77126986144169518</v>
      </c>
      <c r="M57">
        <f t="shared" ca="1" si="10"/>
        <v>-0.23724672819446138</v>
      </c>
      <c r="O57">
        <v>55</v>
      </c>
      <c r="P57" s="6">
        <f t="shared" ca="1" si="2"/>
        <v>1931.66389582908</v>
      </c>
      <c r="Q57" s="6">
        <f t="shared" ca="1" si="3"/>
        <v>376.03997611999893</v>
      </c>
      <c r="R57" s="6">
        <f t="shared" ca="1" si="4"/>
        <v>149.68209868455978</v>
      </c>
      <c r="S57" s="6"/>
      <c r="T57" s="4">
        <f t="shared" ca="1" si="5"/>
        <v>-4.0819666882789991E-2</v>
      </c>
      <c r="U57" s="4">
        <f t="shared" ca="1" si="6"/>
        <v>-6.7053110046756709E-2</v>
      </c>
      <c r="V57" s="4">
        <f t="shared" ca="1" si="7"/>
        <v>-3.3614374409740832E-4</v>
      </c>
      <c r="W57" s="4"/>
      <c r="X57">
        <v>55</v>
      </c>
      <c r="Y57" s="4">
        <f t="shared" ca="1" si="8"/>
        <v>-4.4051490686451172E-2</v>
      </c>
      <c r="Z57" s="4">
        <f ca="1"/>
        <v>-3.5075116487974435E-2</v>
      </c>
      <c r="AA57" s="4"/>
    </row>
    <row r="58" spans="1:27" x14ac:dyDescent="0.35">
      <c r="A58">
        <v>56</v>
      </c>
      <c r="B58">
        <f ca="1">_xlfn.NORM.INV(RAND(),Hitorical_Sim!$AB$4,Hitorical_Sim!$AB$5)</f>
        <v>2.7300444180869039E-2</v>
      </c>
      <c r="C58">
        <f ca="1">_xlfn.NORM.INV(RAND(),Hitorical_Sim!$AB$4,Hitorical_Sim!$AB$5)</f>
        <v>-1.4778249804766665E-2</v>
      </c>
      <c r="D58">
        <f ca="1">_xlfn.NORM.INV(RAND(),Hitorical_Sim!$AB$4,Hitorical_Sim!$AB$5)</f>
        <v>-3.3480820986382796E-2</v>
      </c>
      <c r="K58">
        <f t="shared" ca="1" si="10"/>
        <v>-1.8589310722722128</v>
      </c>
      <c r="L58">
        <f t="shared" ca="1" si="10"/>
        <v>0.17082850056618207</v>
      </c>
      <c r="M58">
        <f t="shared" ca="1" si="10"/>
        <v>-1.0634618356572318</v>
      </c>
      <c r="O58">
        <v>56</v>
      </c>
      <c r="P58" s="6">
        <f t="shared" ca="1" si="2"/>
        <v>1873.5801651295133</v>
      </c>
      <c r="Q58" s="6">
        <f t="shared" ca="1" si="3"/>
        <v>386.28418967898654</v>
      </c>
      <c r="R58" s="6">
        <f t="shared" ca="1" si="4"/>
        <v>145.95668000445434</v>
      </c>
      <c r="S58" s="6"/>
      <c r="T58" s="4">
        <f t="shared" ca="1" si="5"/>
        <v>-3.053062639104796E-2</v>
      </c>
      <c r="U58" s="4">
        <f t="shared" ca="1" si="6"/>
        <v>2.6877884056346793E-2</v>
      </c>
      <c r="V58" s="4">
        <f t="shared" ca="1" si="7"/>
        <v>-2.5203837627432106E-2</v>
      </c>
      <c r="W58" s="4"/>
      <c r="X58">
        <v>56</v>
      </c>
      <c r="Y58" s="4">
        <f t="shared" ca="1" si="8"/>
        <v>-1.8810096042177957E-2</v>
      </c>
      <c r="Z58" s="4">
        <f ca="1"/>
        <v>-3.4403047397795733E-2</v>
      </c>
      <c r="AA58" s="4"/>
    </row>
    <row r="59" spans="1:27" x14ac:dyDescent="0.35">
      <c r="A59">
        <v>57</v>
      </c>
      <c r="B59">
        <f ca="1">_xlfn.NORM.INV(RAND(),Hitorical_Sim!$AB$4,Hitorical_Sim!$AB$5)</f>
        <v>-2.7386014769643665E-2</v>
      </c>
      <c r="C59">
        <f ca="1">_xlfn.NORM.INV(RAND(),Hitorical_Sim!$AB$4,Hitorical_Sim!$AB$5)</f>
        <v>-2.1893241226347976E-3</v>
      </c>
      <c r="D59">
        <f ca="1">_xlfn.NORM.INV(RAND(),Hitorical_Sim!$AB$4,Hitorical_Sim!$AB$5)</f>
        <v>4.0841735887819371E-2</v>
      </c>
      <c r="K59">
        <f t="shared" ca="1" si="10"/>
        <v>-1.1179103029596182</v>
      </c>
      <c r="L59">
        <f t="shared" ca="1" si="10"/>
        <v>-1.3748638695399631</v>
      </c>
      <c r="M59">
        <f t="shared" ca="1" si="10"/>
        <v>-0.64336186811523499</v>
      </c>
      <c r="O59">
        <v>57</v>
      </c>
      <c r="P59" s="6">
        <f t="shared" ca="1" si="2"/>
        <v>1898.9382783054741</v>
      </c>
      <c r="Q59" s="6">
        <f t="shared" ca="1" si="3"/>
        <v>369.61984699185638</v>
      </c>
      <c r="R59" s="6">
        <f t="shared" ca="1" si="4"/>
        <v>147.83918409097683</v>
      </c>
      <c r="S59" s="6"/>
      <c r="T59" s="4">
        <f t="shared" ca="1" si="5"/>
        <v>1.3443801790035603E-2</v>
      </c>
      <c r="U59" s="4">
        <f t="shared" ca="1" si="6"/>
        <v>-4.4098304365957103E-2</v>
      </c>
      <c r="V59" s="4">
        <f t="shared" ca="1" si="7"/>
        <v>1.2815223630723896E-2</v>
      </c>
      <c r="W59" s="4"/>
      <c r="X59">
        <v>57</v>
      </c>
      <c r="Y59" s="4">
        <f t="shared" ca="1" si="8"/>
        <v>1.9291251010550121E-3</v>
      </c>
      <c r="Z59" s="4">
        <f ca="1"/>
        <v>-3.4387740207273837E-2</v>
      </c>
      <c r="AA59" s="4"/>
    </row>
    <row r="60" spans="1:27" x14ac:dyDescent="0.35">
      <c r="A60">
        <v>58</v>
      </c>
      <c r="B60">
        <f ca="1">_xlfn.NORM.INV(RAND(),Hitorical_Sim!$AB$4,Hitorical_Sim!$AB$5)</f>
        <v>-1.4331842601020149E-2</v>
      </c>
      <c r="C60">
        <f ca="1">_xlfn.NORM.INV(RAND(),Hitorical_Sim!$AB$4,Hitorical_Sim!$AB$5)</f>
        <v>7.1244646249346575E-3</v>
      </c>
      <c r="D60">
        <f ca="1">_xlfn.NORM.INV(RAND(),Hitorical_Sim!$AB$4,Hitorical_Sim!$AB$5)</f>
        <v>1.3610582354703322E-2</v>
      </c>
      <c r="K60">
        <f t="shared" ca="1" si="10"/>
        <v>0.70059479324952023</v>
      </c>
      <c r="L60">
        <f t="shared" ca="1" si="10"/>
        <v>-0.29855340843944267</v>
      </c>
      <c r="M60">
        <f t="shared" ca="1" si="10"/>
        <v>-1.191791392675708</v>
      </c>
      <c r="O60">
        <v>58</v>
      </c>
      <c r="P60" s="6">
        <f t="shared" ca="1" si="2"/>
        <v>1962.6326224405716</v>
      </c>
      <c r="Q60" s="6">
        <f t="shared" ca="1" si="3"/>
        <v>381.14579508034404</v>
      </c>
      <c r="R60" s="6">
        <f t="shared" ca="1" si="4"/>
        <v>145.38641802127862</v>
      </c>
      <c r="S60" s="6"/>
      <c r="T60" s="4">
        <f t="shared" ca="1" si="5"/>
        <v>3.2991817611649217E-2</v>
      </c>
      <c r="U60" s="4">
        <f t="shared" ca="1" si="6"/>
        <v>3.0706929285427668E-2</v>
      </c>
      <c r="V60" s="4">
        <f t="shared" ca="1" si="7"/>
        <v>-1.6729939409556107E-2</v>
      </c>
      <c r="W60" s="4"/>
      <c r="X60">
        <v>58</v>
      </c>
      <c r="Y60" s="4">
        <f t="shared" ca="1" si="8"/>
        <v>3.0075091357252726E-2</v>
      </c>
      <c r="Z60" s="4">
        <f ca="1"/>
        <v>-3.4265917684750825E-2</v>
      </c>
      <c r="AA60" s="4"/>
    </row>
    <row r="61" spans="1:27" x14ac:dyDescent="0.35">
      <c r="A61">
        <v>59</v>
      </c>
      <c r="B61">
        <f ca="1">_xlfn.NORM.INV(RAND(),Hitorical_Sim!$AB$4,Hitorical_Sim!$AB$5)</f>
        <v>1.8787712394763161E-2</v>
      </c>
      <c r="C61">
        <f ca="1">_xlfn.NORM.INV(RAND(),Hitorical_Sim!$AB$4,Hitorical_Sim!$AB$5)</f>
        <v>2.4412217539938712E-3</v>
      </c>
      <c r="D61">
        <f ca="1">_xlfn.NORM.INV(RAND(),Hitorical_Sim!$AB$4,Hitorical_Sim!$AB$5)</f>
        <v>2.7477517775548622E-2</v>
      </c>
      <c r="K61">
        <f t="shared" ca="1" si="10"/>
        <v>1.5687658288460629</v>
      </c>
      <c r="L61">
        <f t="shared" ca="1" si="10"/>
        <v>0.66614739606551976</v>
      </c>
      <c r="M61">
        <f t="shared" ca="1" si="10"/>
        <v>0.31894600362731729</v>
      </c>
      <c r="O61">
        <v>59</v>
      </c>
      <c r="P61" s="6">
        <f t="shared" ca="1" si="2"/>
        <v>1993.7899868633995</v>
      </c>
      <c r="Q61" s="6">
        <f t="shared" ca="1" si="3"/>
        <v>391.78165950377507</v>
      </c>
      <c r="R61" s="6">
        <f t="shared" ca="1" si="4"/>
        <v>152.24338546529228</v>
      </c>
      <c r="S61" s="6"/>
      <c r="T61" s="4">
        <f t="shared" ca="1" si="5"/>
        <v>1.5750596752148644E-2</v>
      </c>
      <c r="U61" s="4">
        <f t="shared" ca="1" si="6"/>
        <v>2.7522727369238657E-2</v>
      </c>
      <c r="V61" s="4">
        <f t="shared" ca="1" si="7"/>
        <v>4.6085310823037198E-2</v>
      </c>
      <c r="W61" s="4"/>
      <c r="X61">
        <v>59</v>
      </c>
      <c r="Y61" s="4">
        <f t="shared" ca="1" si="8"/>
        <v>1.9601206538684395E-2</v>
      </c>
      <c r="Z61" s="4">
        <f ca="1"/>
        <v>-3.4243046716743351E-2</v>
      </c>
      <c r="AA61" s="4"/>
    </row>
    <row r="62" spans="1:27" x14ac:dyDescent="0.35">
      <c r="A62">
        <v>60</v>
      </c>
      <c r="B62">
        <f ca="1">_xlfn.NORM.INV(RAND(),Hitorical_Sim!$AB$4,Hitorical_Sim!$AB$5)</f>
        <v>1.3241307344384015E-2</v>
      </c>
      <c r="C62">
        <f ca="1">_xlfn.NORM.INV(RAND(),Hitorical_Sim!$AB$4,Hitorical_Sim!$AB$5)</f>
        <v>-2.2854852826323331E-2</v>
      </c>
      <c r="D62">
        <f ca="1">_xlfn.NORM.INV(RAND(),Hitorical_Sim!$AB$4,Hitorical_Sim!$AB$5)</f>
        <v>8.0082670835570028E-3</v>
      </c>
      <c r="K62">
        <f t="shared" ca="1" si="10"/>
        <v>-1.9327419557577652</v>
      </c>
      <c r="L62">
        <f t="shared" ca="1" si="10"/>
        <v>-1.0034693323537973</v>
      </c>
      <c r="M62">
        <f t="shared" ca="1" si="10"/>
        <v>0.34489168170135603</v>
      </c>
      <c r="O62">
        <v>60</v>
      </c>
      <c r="P62" s="6">
        <f t="shared" ca="1" si="2"/>
        <v>1871.07293813456</v>
      </c>
      <c r="Q62" s="6">
        <f t="shared" ca="1" si="3"/>
        <v>373.55709258249476</v>
      </c>
      <c r="R62" s="6">
        <f t="shared" ca="1" si="4"/>
        <v>152.36393037549308</v>
      </c>
      <c r="S62" s="6"/>
      <c r="T62" s="4">
        <f t="shared" ca="1" si="5"/>
        <v>-6.3525313421576426E-2</v>
      </c>
      <c r="U62" s="4">
        <f t="shared" ca="1" si="6"/>
        <v>-4.7633842340356725E-2</v>
      </c>
      <c r="V62" s="4">
        <f t="shared" ca="1" si="7"/>
        <v>7.9147748740636414E-4</v>
      </c>
      <c r="W62" s="4"/>
      <c r="X62">
        <v>60</v>
      </c>
      <c r="Y62" s="4">
        <f t="shared" ca="1" si="8"/>
        <v>-5.717083736857724E-2</v>
      </c>
      <c r="Z62" s="4">
        <f ca="1"/>
        <v>-3.4178906155159831E-2</v>
      </c>
      <c r="AA62" s="4"/>
    </row>
    <row r="63" spans="1:27" x14ac:dyDescent="0.35">
      <c r="A63">
        <v>61</v>
      </c>
      <c r="B63">
        <f ca="1">_xlfn.NORM.INV(RAND(),Hitorical_Sim!$AB$4,Hitorical_Sim!$AB$5)</f>
        <v>2.9801533204971118E-2</v>
      </c>
      <c r="C63">
        <f ca="1">_xlfn.NORM.INV(RAND(),Hitorical_Sim!$AB$4,Hitorical_Sim!$AB$5)</f>
        <v>8.0514400789615422E-3</v>
      </c>
      <c r="D63">
        <f ca="1">_xlfn.NORM.INV(RAND(),Hitorical_Sim!$AB$4,Hitorical_Sim!$AB$5)</f>
        <v>1.8617100127842881E-5</v>
      </c>
      <c r="K63">
        <f t="shared" ca="1" si="10"/>
        <v>-0.98167726816325251</v>
      </c>
      <c r="L63">
        <f t="shared" ca="1" si="10"/>
        <v>-1.3026805960370624</v>
      </c>
      <c r="M63">
        <f t="shared" ca="1" si="10"/>
        <v>0.4738887936357295</v>
      </c>
      <c r="O63">
        <v>61</v>
      </c>
      <c r="P63" s="6">
        <f t="shared" ca="1" si="2"/>
        <v>1903.6374553448836</v>
      </c>
      <c r="Q63" s="6">
        <f t="shared" ca="1" si="3"/>
        <v>370.38181712393322</v>
      </c>
      <c r="R63" s="6">
        <f t="shared" ca="1" si="4"/>
        <v>152.96467579406234</v>
      </c>
      <c r="S63" s="6"/>
      <c r="T63" s="4">
        <f t="shared" ca="1" si="5"/>
        <v>1.7254476094352367E-2</v>
      </c>
      <c r="U63" s="4">
        <f t="shared" ca="1" si="6"/>
        <v>-8.5364394822763055E-3</v>
      </c>
      <c r="V63" s="4">
        <f t="shared" ca="1" si="7"/>
        <v>3.9350796593223877E-3</v>
      </c>
      <c r="W63" s="4"/>
      <c r="X63">
        <v>61</v>
      </c>
      <c r="Y63" s="4">
        <f t="shared" ca="1" si="8"/>
        <v>1.1448253825903117E-2</v>
      </c>
      <c r="Z63" s="4">
        <f ca="1"/>
        <v>-3.4050337202030143E-2</v>
      </c>
      <c r="AA63" s="4"/>
    </row>
    <row r="64" spans="1:27" x14ac:dyDescent="0.35">
      <c r="A64">
        <v>62</v>
      </c>
      <c r="B64">
        <f ca="1">_xlfn.NORM.INV(RAND(),Hitorical_Sim!$AB$4,Hitorical_Sim!$AB$5)</f>
        <v>3.8473610076559424E-2</v>
      </c>
      <c r="C64">
        <f ca="1">_xlfn.NORM.INV(RAND(),Hitorical_Sim!$AB$4,Hitorical_Sim!$AB$5)</f>
        <v>-3.5199954426264134E-2</v>
      </c>
      <c r="D64">
        <f ca="1">_xlfn.NORM.INV(RAND(),Hitorical_Sim!$AB$4,Hitorical_Sim!$AB$5)</f>
        <v>-1.752537427750419E-3</v>
      </c>
      <c r="K64">
        <f t="shared" ref="K64:M83" ca="1" si="11">_xlfn.NORM.S.INV(RAND())</f>
        <v>-0.70190434815842118</v>
      </c>
      <c r="L64">
        <f t="shared" ca="1" si="11"/>
        <v>-0.43890944711253854</v>
      </c>
      <c r="M64">
        <f t="shared" ca="1" si="11"/>
        <v>0.9535263490346183</v>
      </c>
      <c r="O64">
        <v>62</v>
      </c>
      <c r="P64" s="6">
        <f t="shared" ca="1" si="2"/>
        <v>1913.3243434071762</v>
      </c>
      <c r="Q64" s="6">
        <f t="shared" ca="1" si="3"/>
        <v>379.62261299359363</v>
      </c>
      <c r="R64" s="6">
        <f t="shared" ca="1" si="4"/>
        <v>155.21922085965937</v>
      </c>
      <c r="S64" s="6"/>
      <c r="T64" s="4">
        <f t="shared" ca="1" si="5"/>
        <v>5.0757169549422798E-3</v>
      </c>
      <c r="U64" s="4">
        <f t="shared" ca="1" si="6"/>
        <v>2.4643223816386228E-2</v>
      </c>
      <c r="V64" s="4">
        <f t="shared" ca="1" si="7"/>
        <v>1.4631428252886053E-2</v>
      </c>
      <c r="W64" s="4"/>
      <c r="X64">
        <v>62</v>
      </c>
      <c r="Y64" s="4">
        <f t="shared" ca="1" si="8"/>
        <v>9.4536800604842937E-3</v>
      </c>
      <c r="Z64" s="4">
        <f ca="1"/>
        <v>-3.4004866971861218E-2</v>
      </c>
      <c r="AA64" s="4"/>
    </row>
    <row r="65" spans="1:27" x14ac:dyDescent="0.35">
      <c r="A65">
        <v>63</v>
      </c>
      <c r="B65">
        <f ca="1">_xlfn.NORM.INV(RAND(),Hitorical_Sim!$AB$4,Hitorical_Sim!$AB$5)</f>
        <v>5.6006147053163616E-4</v>
      </c>
      <c r="C65">
        <f ca="1">_xlfn.NORM.INV(RAND(),Hitorical_Sim!$AB$4,Hitorical_Sim!$AB$5)</f>
        <v>-1.7553271190378111E-2</v>
      </c>
      <c r="D65">
        <f ca="1">_xlfn.NORM.INV(RAND(),Hitorical_Sim!$AB$4,Hitorical_Sim!$AB$5)</f>
        <v>2.1929227841717563E-2</v>
      </c>
      <c r="K65">
        <f t="shared" ca="1" si="11"/>
        <v>-0.42551737672305767</v>
      </c>
      <c r="L65">
        <f t="shared" ca="1" si="11"/>
        <v>1.6676794884253243</v>
      </c>
      <c r="M65">
        <f t="shared" ca="1" si="11"/>
        <v>-2.0999369270276191E-2</v>
      </c>
      <c r="O65">
        <v>63</v>
      </c>
      <c r="P65" s="6">
        <f t="shared" ca="1" si="2"/>
        <v>1922.9423966794598</v>
      </c>
      <c r="Q65" s="6">
        <f t="shared" ca="1" si="3"/>
        <v>403.13770786518745</v>
      </c>
      <c r="R65" s="6">
        <f t="shared" ca="1" si="4"/>
        <v>150.67276512639003</v>
      </c>
      <c r="S65" s="6"/>
      <c r="T65" s="4">
        <f t="shared" ca="1" si="5"/>
        <v>5.0142881484578454E-3</v>
      </c>
      <c r="U65" s="4">
        <f t="shared" ca="1" si="6"/>
        <v>6.0100574894425329E-2</v>
      </c>
      <c r="V65" s="4">
        <f t="shared" ca="1" si="7"/>
        <v>-2.9728078978536476E-2</v>
      </c>
      <c r="W65" s="4"/>
      <c r="X65">
        <v>63</v>
      </c>
      <c r="Y65" s="4">
        <f t="shared" ca="1" si="8"/>
        <v>1.4288349554332513E-2</v>
      </c>
      <c r="Z65" s="4">
        <f ca="1"/>
        <v>-3.3376460216797577E-2</v>
      </c>
      <c r="AA65" s="4"/>
    </row>
    <row r="66" spans="1:27" x14ac:dyDescent="0.35">
      <c r="A66">
        <v>64</v>
      </c>
      <c r="B66">
        <f ca="1">_xlfn.NORM.INV(RAND(),Hitorical_Sim!$AB$4,Hitorical_Sim!$AB$5)</f>
        <v>-9.8407637281790368E-3</v>
      </c>
      <c r="C66">
        <f ca="1">_xlfn.NORM.INV(RAND(),Hitorical_Sim!$AB$4,Hitorical_Sim!$AB$5)</f>
        <v>3.7621906277455389E-2</v>
      </c>
      <c r="D66">
        <f ca="1">_xlfn.NORM.INV(RAND(),Hitorical_Sim!$AB$4,Hitorical_Sim!$AB$5)</f>
        <v>-3.9248469181817187E-2</v>
      </c>
      <c r="K66">
        <f t="shared" ca="1" si="11"/>
        <v>0.24254004718004443</v>
      </c>
      <c r="L66">
        <f t="shared" ca="1" si="11"/>
        <v>-2.4141995308454023</v>
      </c>
      <c r="M66">
        <f t="shared" ca="1" si="11"/>
        <v>-3.840741611902878E-2</v>
      </c>
      <c r="O66">
        <v>64</v>
      </c>
      <c r="P66" s="6">
        <f t="shared" ca="1" si="2"/>
        <v>1946.3904228327674</v>
      </c>
      <c r="Q66" s="6">
        <f t="shared" ca="1" si="3"/>
        <v>358.82076123995813</v>
      </c>
      <c r="R66" s="6">
        <f t="shared" ca="1" si="4"/>
        <v>150.59277377412306</v>
      </c>
      <c r="S66" s="6"/>
      <c r="T66" s="4">
        <f t="shared" ca="1" si="5"/>
        <v>1.2120080790240923E-2</v>
      </c>
      <c r="U66" s="4">
        <f t="shared" ca="1" si="6"/>
        <v>-0.11645521894143378</v>
      </c>
      <c r="V66" s="4">
        <f t="shared" ca="1" si="7"/>
        <v>-5.3103554053140047E-4</v>
      </c>
      <c r="W66" s="4"/>
      <c r="X66">
        <v>64</v>
      </c>
      <c r="Y66" s="4">
        <f t="shared" ca="1" si="8"/>
        <v>-1.4165551323246536E-2</v>
      </c>
      <c r="Z66" s="4">
        <f ca="1"/>
        <v>-3.3271650657918719E-2</v>
      </c>
      <c r="AA66" s="4"/>
    </row>
    <row r="67" spans="1:27" x14ac:dyDescent="0.35">
      <c r="A67">
        <v>65</v>
      </c>
      <c r="B67">
        <f ca="1">_xlfn.NORM.INV(RAND(),Hitorical_Sim!$AB$4,Hitorical_Sim!$AB$5)</f>
        <v>1.7163173950862152E-3</v>
      </c>
      <c r="C67">
        <f ca="1">_xlfn.NORM.INV(RAND(),Hitorical_Sim!$AB$4,Hitorical_Sim!$AB$5)</f>
        <v>5.615195773335099E-4</v>
      </c>
      <c r="D67">
        <f ca="1">_xlfn.NORM.INV(RAND(),Hitorical_Sim!$AB$4,Hitorical_Sim!$AB$5)</f>
        <v>8.6297963692897224E-3</v>
      </c>
      <c r="K67">
        <f t="shared" ca="1" si="11"/>
        <v>-0.7623895077694548</v>
      </c>
      <c r="L67">
        <f t="shared" ca="1" si="11"/>
        <v>-0.35154219478285431</v>
      </c>
      <c r="M67">
        <f t="shared" ca="1" si="11"/>
        <v>1.2280669096439623</v>
      </c>
      <c r="O67">
        <v>65</v>
      </c>
      <c r="P67" s="6">
        <f t="shared" ref="P67:P130" ca="1" si="12">$G$17*EXP(($G$15-0.5*$G$16)+($G$16*K67))</f>
        <v>1911.2259308031139</v>
      </c>
      <c r="Q67" s="6">
        <f t="shared" ref="Q67:Q130" ca="1" si="13">$H$17*EXP(($H$15-0.5*$H$16^2)+($H$16*L67))</f>
        <v>380.57002949886635</v>
      </c>
      <c r="R67" s="6">
        <f t="shared" ref="R67:R130" ca="1" si="14">$I$17*EXP(($I$15-0.5*$I$16)+($I$16*M67))</f>
        <v>156.52462628683622</v>
      </c>
      <c r="S67" s="6"/>
      <c r="T67" s="4">
        <f t="shared" ca="1" si="5"/>
        <v>-1.8231707273498338E-2</v>
      </c>
      <c r="U67" s="4">
        <f t="shared" ca="1" si="6"/>
        <v>5.8847214858228254E-2</v>
      </c>
      <c r="V67" s="4">
        <f t="shared" ca="1" si="7"/>
        <v>3.8634022759357747E-2</v>
      </c>
      <c r="W67" s="4"/>
      <c r="X67">
        <v>65</v>
      </c>
      <c r="Y67" s="4">
        <f t="shared" ca="1" si="8"/>
        <v>-3.4922732011817212E-5</v>
      </c>
      <c r="Z67" s="4">
        <f ca="1"/>
        <v>-3.3224793465644588E-2</v>
      </c>
      <c r="AA67" s="4"/>
    </row>
    <row r="68" spans="1:27" x14ac:dyDescent="0.35">
      <c r="A68">
        <v>66</v>
      </c>
      <c r="B68">
        <f ca="1">_xlfn.NORM.INV(RAND(),Hitorical_Sim!$AB$4,Hitorical_Sim!$AB$5)</f>
        <v>1.8981527765328316E-2</v>
      </c>
      <c r="C68">
        <f ca="1">_xlfn.NORM.INV(RAND(),Hitorical_Sim!$AB$4,Hitorical_Sim!$AB$5)</f>
        <v>-2.2005047978100264E-2</v>
      </c>
      <c r="D68">
        <f ca="1">_xlfn.NORM.INV(RAND(),Hitorical_Sim!$AB$4,Hitorical_Sim!$AB$5)</f>
        <v>-1.8198902204440023E-2</v>
      </c>
      <c r="K68">
        <f t="shared" ca="1" si="11"/>
        <v>-0.32246646216091673</v>
      </c>
      <c r="L68">
        <f t="shared" ca="1" si="11"/>
        <v>-1.1425032598799516</v>
      </c>
      <c r="M68">
        <f t="shared" ca="1" si="11"/>
        <v>-0.78885723544284347</v>
      </c>
      <c r="O68">
        <v>66</v>
      </c>
      <c r="P68" s="6">
        <f t="shared" ca="1" si="12"/>
        <v>1926.5408500749083</v>
      </c>
      <c r="Q68" s="6">
        <f t="shared" ca="1" si="13"/>
        <v>372.07827177934035</v>
      </c>
      <c r="R68" s="6">
        <f t="shared" ca="1" si="14"/>
        <v>147.18447429049135</v>
      </c>
      <c r="S68" s="6"/>
      <c r="T68" s="4">
        <f t="shared" ref="T68:T131" ca="1" si="15">LN(P68/P67)</f>
        <v>7.9812044047244853E-3</v>
      </c>
      <c r="U68" s="4">
        <f t="shared" ref="U68:U131" ca="1" si="16">LN(Q68/Q67)</f>
        <v>-2.2565966207026035E-2</v>
      </c>
      <c r="V68" s="4">
        <f t="shared" ref="V68:V131" ca="1" si="17">LN(R68/R67)</f>
        <v>-6.15266269043689E-2</v>
      </c>
      <c r="W68" s="4"/>
      <c r="X68">
        <v>66</v>
      </c>
      <c r="Y68" s="4">
        <f t="shared" ref="Y68:Y131" ca="1" si="18">($G$18*T68)+($H$18*U68)+($I$18*V68)</f>
        <v>-1.5549862832642545E-3</v>
      </c>
      <c r="Z68" s="4">
        <f ca="1"/>
        <v>-3.2983817377238149E-2</v>
      </c>
      <c r="AA68" s="4"/>
    </row>
    <row r="69" spans="1:27" x14ac:dyDescent="0.35">
      <c r="A69">
        <v>67</v>
      </c>
      <c r="B69">
        <f ca="1">_xlfn.NORM.INV(RAND(),Hitorical_Sim!$AB$4,Hitorical_Sim!$AB$5)</f>
        <v>8.1353611145551334E-3</v>
      </c>
      <c r="C69">
        <f ca="1">_xlfn.NORM.INV(RAND(),Hitorical_Sim!$AB$4,Hitorical_Sim!$AB$5)</f>
        <v>-2.648553410037956E-3</v>
      </c>
      <c r="D69">
        <f ca="1">_xlfn.NORM.INV(RAND(),Hitorical_Sim!$AB$4,Hitorical_Sim!$AB$5)</f>
        <v>1.6485439264176266E-3</v>
      </c>
      <c r="K69">
        <f t="shared" ca="1" si="11"/>
        <v>-1.469127955610142</v>
      </c>
      <c r="L69">
        <f t="shared" ca="1" si="11"/>
        <v>1.4971471257687454</v>
      </c>
      <c r="M69">
        <f t="shared" ca="1" si="11"/>
        <v>1.7576175306000703</v>
      </c>
      <c r="O69">
        <v>67</v>
      </c>
      <c r="P69" s="6">
        <f t="shared" ca="1" si="12"/>
        <v>1886.8769260252332</v>
      </c>
      <c r="Q69" s="6">
        <f t="shared" ca="1" si="13"/>
        <v>401.18110353508928</v>
      </c>
      <c r="R69" s="6">
        <f t="shared" ca="1" si="14"/>
        <v>159.07366378701957</v>
      </c>
      <c r="S69" s="6"/>
      <c r="T69" s="4">
        <f t="shared" ca="1" si="15"/>
        <v>-2.0803046927412954E-2</v>
      </c>
      <c r="U69" s="4">
        <f t="shared" ca="1" si="16"/>
        <v>7.5308714966392992E-2</v>
      </c>
      <c r="V69" s="4">
        <f t="shared" ca="1" si="17"/>
        <v>7.7680662028551145E-2</v>
      </c>
      <c r="W69" s="4"/>
      <c r="X69">
        <v>67</v>
      </c>
      <c r="Y69" s="4">
        <f t="shared" ca="1" si="18"/>
        <v>3.2517634142862489E-3</v>
      </c>
      <c r="Z69" s="4">
        <f ca="1"/>
        <v>-3.273638840301242E-2</v>
      </c>
      <c r="AA69" s="4"/>
    </row>
    <row r="70" spans="1:27" x14ac:dyDescent="0.35">
      <c r="A70">
        <v>68</v>
      </c>
      <c r="B70">
        <f ca="1">_xlfn.NORM.INV(RAND(),Hitorical_Sim!$AB$4,Hitorical_Sim!$AB$5)</f>
        <v>-9.065354667638777E-3</v>
      </c>
      <c r="C70">
        <f ca="1">_xlfn.NORM.INV(RAND(),Hitorical_Sim!$AB$4,Hitorical_Sim!$AB$5)</f>
        <v>-7.9581186321081999E-5</v>
      </c>
      <c r="D70">
        <f ca="1">_xlfn.NORM.INV(RAND(),Hitorical_Sim!$AB$4,Hitorical_Sim!$AB$5)</f>
        <v>-2.3283371613198628E-2</v>
      </c>
      <c r="K70">
        <f t="shared" ca="1" si="11"/>
        <v>1.1687337354265259</v>
      </c>
      <c r="L70">
        <f t="shared" ca="1" si="11"/>
        <v>0.45354477276277316</v>
      </c>
      <c r="M70">
        <f t="shared" ca="1" si="11"/>
        <v>1.9905398210773639</v>
      </c>
      <c r="O70">
        <v>68</v>
      </c>
      <c r="P70" s="6">
        <f t="shared" ca="1" si="12"/>
        <v>1979.3724531866749</v>
      </c>
      <c r="Q70" s="6">
        <f t="shared" ca="1" si="13"/>
        <v>389.41249561431891</v>
      </c>
      <c r="R70" s="6">
        <f t="shared" ca="1" si="14"/>
        <v>160.20796055552344</v>
      </c>
      <c r="S70" s="6"/>
      <c r="T70" s="4">
        <f t="shared" ca="1" si="15"/>
        <v>4.7856809407274742E-2</v>
      </c>
      <c r="U70" s="4">
        <f t="shared" ca="1" si="16"/>
        <v>-2.9773773287582409E-2</v>
      </c>
      <c r="V70" s="4">
        <f t="shared" ca="1" si="17"/>
        <v>7.1053355669410019E-3</v>
      </c>
      <c r="W70" s="4"/>
      <c r="X70">
        <v>68</v>
      </c>
      <c r="Y70" s="4">
        <f t="shared" ca="1" si="18"/>
        <v>3.0347427066078188E-2</v>
      </c>
      <c r="Z70" s="4">
        <f ca="1"/>
        <v>-3.2461243313692156E-2</v>
      </c>
      <c r="AA70" s="4"/>
    </row>
    <row r="71" spans="1:27" x14ac:dyDescent="0.35">
      <c r="A71">
        <v>69</v>
      </c>
      <c r="B71">
        <f ca="1">_xlfn.NORM.INV(RAND(),Hitorical_Sim!$AB$4,Hitorical_Sim!$AB$5)</f>
        <v>-1.6405664163989198E-2</v>
      </c>
      <c r="C71">
        <f ca="1">_xlfn.NORM.INV(RAND(),Hitorical_Sim!$AB$4,Hitorical_Sim!$AB$5)</f>
        <v>-1.112502046995956E-2</v>
      </c>
      <c r="D71">
        <f ca="1">_xlfn.NORM.INV(RAND(),Hitorical_Sim!$AB$4,Hitorical_Sim!$AB$5)</f>
        <v>1.3923224455946695E-3</v>
      </c>
      <c r="K71">
        <f t="shared" ca="1" si="11"/>
        <v>0.99719850159830725</v>
      </c>
      <c r="L71">
        <f t="shared" ca="1" si="11"/>
        <v>0.37935623191990397</v>
      </c>
      <c r="M71">
        <f t="shared" ca="1" si="11"/>
        <v>1.0231250258323412</v>
      </c>
      <c r="O71">
        <v>69</v>
      </c>
      <c r="P71" s="6">
        <f t="shared" ca="1" si="12"/>
        <v>1973.2221434831611</v>
      </c>
      <c r="Q71" s="6">
        <f t="shared" ca="1" si="13"/>
        <v>388.58914273122508</v>
      </c>
      <c r="R71" s="6">
        <f t="shared" ca="1" si="14"/>
        <v>155.54911996248154</v>
      </c>
      <c r="S71" s="6"/>
      <c r="T71" s="4">
        <f t="shared" ca="1" si="15"/>
        <v>-3.1120392019959118E-3</v>
      </c>
      <c r="U71" s="4">
        <f t="shared" ca="1" si="16"/>
        <v>-2.1165847214024663E-3</v>
      </c>
      <c r="V71" s="4">
        <f t="shared" ca="1" si="17"/>
        <v>-2.9511159015970491E-2</v>
      </c>
      <c r="W71" s="4"/>
      <c r="X71">
        <v>69</v>
      </c>
      <c r="Y71" s="4">
        <f t="shared" ca="1" si="18"/>
        <v>-4.2198735454128146E-3</v>
      </c>
      <c r="Z71" s="4">
        <f ca="1"/>
        <v>-3.2294850367700072E-2</v>
      </c>
      <c r="AA71" s="4"/>
    </row>
    <row r="72" spans="1:27" x14ac:dyDescent="0.35">
      <c r="A72">
        <v>70</v>
      </c>
      <c r="B72">
        <f ca="1">_xlfn.NORM.INV(RAND(),Hitorical_Sim!$AB$4,Hitorical_Sim!$AB$5)</f>
        <v>1.5898412161847592E-2</v>
      </c>
      <c r="C72">
        <f ca="1">_xlfn.NORM.INV(RAND(),Hitorical_Sim!$AB$4,Hitorical_Sim!$AB$5)</f>
        <v>5.5965363970220394E-3</v>
      </c>
      <c r="D72">
        <f ca="1">_xlfn.NORM.INV(RAND(),Hitorical_Sim!$AB$4,Hitorical_Sim!$AB$5)</f>
        <v>1.0019786396638081E-2</v>
      </c>
      <c r="K72">
        <f t="shared" ca="1" si="11"/>
        <v>-0.1160807548005779</v>
      </c>
      <c r="L72">
        <f t="shared" ca="1" si="11"/>
        <v>0.29383089386812566</v>
      </c>
      <c r="M72">
        <f t="shared" ca="1" si="11"/>
        <v>-2.2806479501859123</v>
      </c>
      <c r="O72">
        <v>70</v>
      </c>
      <c r="P72" s="6">
        <f t="shared" ca="1" si="12"/>
        <v>1933.7679303721604</v>
      </c>
      <c r="Q72" s="6">
        <f t="shared" ca="1" si="13"/>
        <v>387.64213275750166</v>
      </c>
      <c r="R72" s="6">
        <f t="shared" ca="1" si="14"/>
        <v>140.63661824862587</v>
      </c>
      <c r="S72" s="6"/>
      <c r="T72" s="4">
        <f t="shared" ca="1" si="15"/>
        <v>-2.0197417238208414E-2</v>
      </c>
      <c r="U72" s="4">
        <f t="shared" ca="1" si="16"/>
        <v>-2.4400213531168111E-3</v>
      </c>
      <c r="V72" s="4">
        <f t="shared" ca="1" si="17"/>
        <v>-0.10078217753869161</v>
      </c>
      <c r="W72" s="4"/>
      <c r="X72">
        <v>70</v>
      </c>
      <c r="Y72" s="4">
        <f t="shared" ca="1" si="18"/>
        <v>-2.0641756076054528E-2</v>
      </c>
      <c r="Z72" s="4">
        <f ca="1"/>
        <v>-3.2275044862809965E-2</v>
      </c>
      <c r="AA72" s="4"/>
    </row>
    <row r="73" spans="1:27" x14ac:dyDescent="0.35">
      <c r="A73">
        <v>71</v>
      </c>
      <c r="B73">
        <f ca="1">_xlfn.NORM.INV(RAND(),Hitorical_Sim!$AB$4,Hitorical_Sim!$AB$5)</f>
        <v>-5.6248982430232514E-3</v>
      </c>
      <c r="C73">
        <f ca="1">_xlfn.NORM.INV(RAND(),Hitorical_Sim!$AB$4,Hitorical_Sim!$AB$5)</f>
        <v>-6.1479353732019192E-3</v>
      </c>
      <c r="D73">
        <f ca="1">_xlfn.NORM.INV(RAND(),Hitorical_Sim!$AB$4,Hitorical_Sim!$AB$5)</f>
        <v>-1.562940791800985E-2</v>
      </c>
      <c r="K73">
        <f t="shared" ca="1" si="11"/>
        <v>-1.3673090207082654</v>
      </c>
      <c r="L73">
        <f t="shared" ca="1" si="11"/>
        <v>-0.76324009766065415</v>
      </c>
      <c r="M73">
        <f t="shared" ca="1" si="11"/>
        <v>-0.42629563088978001</v>
      </c>
      <c r="O73">
        <v>71</v>
      </c>
      <c r="P73" s="6">
        <f t="shared" ca="1" si="12"/>
        <v>1890.3656372744126</v>
      </c>
      <c r="Q73" s="6">
        <f t="shared" ca="1" si="13"/>
        <v>376.12613208675771</v>
      </c>
      <c r="R73" s="6">
        <f t="shared" ca="1" si="14"/>
        <v>148.82137077375995</v>
      </c>
      <c r="S73" s="6"/>
      <c r="T73" s="4">
        <f t="shared" ca="1" si="15"/>
        <v>-2.270012595808487E-2</v>
      </c>
      <c r="U73" s="4">
        <f t="shared" ca="1" si="16"/>
        <v>-3.015803093966166E-2</v>
      </c>
      <c r="V73" s="4">
        <f t="shared" ca="1" si="17"/>
        <v>5.6567344675064121E-2</v>
      </c>
      <c r="W73" s="4"/>
      <c r="X73">
        <v>71</v>
      </c>
      <c r="Y73" s="4">
        <f t="shared" ca="1" si="18"/>
        <v>-2.0265529846215245E-2</v>
      </c>
      <c r="Z73" s="4">
        <f ca="1"/>
        <v>-3.2246086594634911E-2</v>
      </c>
      <c r="AA73" s="4"/>
    </row>
    <row r="74" spans="1:27" x14ac:dyDescent="0.35">
      <c r="A74">
        <v>72</v>
      </c>
      <c r="B74">
        <f ca="1">_xlfn.NORM.INV(RAND(),Hitorical_Sim!$AB$4,Hitorical_Sim!$AB$5)</f>
        <v>1.3593704687300055E-2</v>
      </c>
      <c r="C74">
        <f ca="1">_xlfn.NORM.INV(RAND(),Hitorical_Sim!$AB$4,Hitorical_Sim!$AB$5)</f>
        <v>5.1751726920056676E-3</v>
      </c>
      <c r="D74">
        <f ca="1">_xlfn.NORM.INV(RAND(),Hitorical_Sim!$AB$4,Hitorical_Sim!$AB$5)</f>
        <v>-1.0243704241202366E-2</v>
      </c>
      <c r="K74">
        <f t="shared" ca="1" si="11"/>
        <v>-0.82822313581328177</v>
      </c>
      <c r="L74">
        <f t="shared" ca="1" si="11"/>
        <v>1.0518093989607038</v>
      </c>
      <c r="M74">
        <f t="shared" ca="1" si="11"/>
        <v>1.4909560316038946</v>
      </c>
      <c r="O74">
        <v>72</v>
      </c>
      <c r="P74" s="6">
        <f t="shared" ca="1" si="12"/>
        <v>1908.9445792738863</v>
      </c>
      <c r="Q74" s="6">
        <f t="shared" ca="1" si="13"/>
        <v>396.11618152060532</v>
      </c>
      <c r="R74" s="6">
        <f t="shared" ca="1" si="14"/>
        <v>157.78491893885939</v>
      </c>
      <c r="S74" s="6"/>
      <c r="T74" s="4">
        <f t="shared" ca="1" si="15"/>
        <v>9.7802437994511174E-3</v>
      </c>
      <c r="U74" s="4">
        <f t="shared" ca="1" si="16"/>
        <v>5.1783011088932962E-2</v>
      </c>
      <c r="V74" s="4">
        <f t="shared" ca="1" si="17"/>
        <v>5.8486100237028577E-2</v>
      </c>
      <c r="W74" s="4"/>
      <c r="X74">
        <v>72</v>
      </c>
      <c r="Y74" s="4">
        <f t="shared" ca="1" si="18"/>
        <v>2.0573113871296282E-2</v>
      </c>
      <c r="Z74" s="4">
        <f ca="1"/>
        <v>-3.2095632473014203E-2</v>
      </c>
      <c r="AA74" s="4"/>
    </row>
    <row r="75" spans="1:27" x14ac:dyDescent="0.35">
      <c r="A75">
        <v>73</v>
      </c>
      <c r="B75">
        <f ca="1">_xlfn.NORM.INV(RAND(),Hitorical_Sim!$AB$4,Hitorical_Sim!$AB$5)</f>
        <v>8.4134068179256422E-3</v>
      </c>
      <c r="C75">
        <f ca="1">_xlfn.NORM.INV(RAND(),Hitorical_Sim!$AB$4,Hitorical_Sim!$AB$5)</f>
        <v>-1.533363583096865E-2</v>
      </c>
      <c r="D75">
        <f ca="1">_xlfn.NORM.INV(RAND(),Hitorical_Sim!$AB$4,Hitorical_Sim!$AB$5)</f>
        <v>8.4991581869911115E-3</v>
      </c>
      <c r="K75">
        <f t="shared" ca="1" si="11"/>
        <v>1.5518719881604459</v>
      </c>
      <c r="L75">
        <f t="shared" ca="1" si="11"/>
        <v>0.74191006704740026</v>
      </c>
      <c r="M75">
        <f t="shared" ca="1" si="11"/>
        <v>-0.69789737336672697</v>
      </c>
      <c r="O75">
        <v>73</v>
      </c>
      <c r="P75" s="6">
        <f t="shared" ca="1" si="12"/>
        <v>1993.1789984523855</v>
      </c>
      <c r="Q75" s="6">
        <f t="shared" ca="1" si="13"/>
        <v>392.62940922020346</v>
      </c>
      <c r="R75" s="6">
        <f t="shared" ca="1" si="14"/>
        <v>147.59344104334085</v>
      </c>
      <c r="S75" s="6"/>
      <c r="T75" s="4">
        <f t="shared" ca="1" si="15"/>
        <v>4.3180337735763206E-2</v>
      </c>
      <c r="U75" s="4">
        <f t="shared" ca="1" si="16"/>
        <v>-8.8413680016942633E-3</v>
      </c>
      <c r="V75" s="4">
        <f t="shared" ca="1" si="17"/>
        <v>-6.6771359311675924E-2</v>
      </c>
      <c r="W75" s="4"/>
      <c r="X75">
        <v>73</v>
      </c>
      <c r="Y75" s="4">
        <f t="shared" ca="1" si="18"/>
        <v>2.7356943482073046E-2</v>
      </c>
      <c r="Z75" s="4">
        <f ca="1"/>
        <v>-3.2014475319911709E-2</v>
      </c>
      <c r="AA75" s="4"/>
    </row>
    <row r="76" spans="1:27" x14ac:dyDescent="0.35">
      <c r="A76">
        <v>74</v>
      </c>
      <c r="B76">
        <f ca="1">_xlfn.NORM.INV(RAND(),Hitorical_Sim!$AB$4,Hitorical_Sim!$AB$5)</f>
        <v>1.3138304640167978E-2</v>
      </c>
      <c r="C76">
        <f ca="1">_xlfn.NORM.INV(RAND(),Hitorical_Sim!$AB$4,Hitorical_Sim!$AB$5)</f>
        <v>4.6621964606512528E-3</v>
      </c>
      <c r="D76">
        <f ca="1">_xlfn.NORM.INV(RAND(),Hitorical_Sim!$AB$4,Hitorical_Sim!$AB$5)</f>
        <v>2.7332322071982867E-3</v>
      </c>
      <c r="K76">
        <f t="shared" ca="1" si="11"/>
        <v>-0.77359827558229544</v>
      </c>
      <c r="L76">
        <f t="shared" ca="1" si="11"/>
        <v>-9.4944134952349768E-2</v>
      </c>
      <c r="M76">
        <f t="shared" ca="1" si="11"/>
        <v>-0.11968852515184603</v>
      </c>
      <c r="O76">
        <v>74</v>
      </c>
      <c r="P76" s="6">
        <f t="shared" ca="1" si="12"/>
        <v>1910.8373176769835</v>
      </c>
      <c r="Q76" s="6">
        <f t="shared" ca="1" si="13"/>
        <v>383.36628864595258</v>
      </c>
      <c r="R76" s="6">
        <f t="shared" ca="1" si="14"/>
        <v>150.21984234076515</v>
      </c>
      <c r="S76" s="6"/>
      <c r="T76" s="4">
        <f t="shared" ca="1" si="15"/>
        <v>-4.2189318557670399E-2</v>
      </c>
      <c r="U76" s="4">
        <f t="shared" ca="1" si="16"/>
        <v>-2.3875288526643237E-2</v>
      </c>
      <c r="V76" s="4">
        <f t="shared" ca="1" si="17"/>
        <v>1.7638362931785435E-2</v>
      </c>
      <c r="W76" s="4"/>
      <c r="X76">
        <v>74</v>
      </c>
      <c r="Y76" s="4">
        <f t="shared" ca="1" si="18"/>
        <v>-3.5573543739928784E-2</v>
      </c>
      <c r="Z76" s="4">
        <f ca="1"/>
        <v>-3.1819918185470267E-2</v>
      </c>
      <c r="AA76" s="4"/>
    </row>
    <row r="77" spans="1:27" x14ac:dyDescent="0.35">
      <c r="A77">
        <v>75</v>
      </c>
      <c r="B77">
        <f ca="1">_xlfn.NORM.INV(RAND(),Hitorical_Sim!$AB$4,Hitorical_Sim!$AB$5)</f>
        <v>-1.8724805010697274E-2</v>
      </c>
      <c r="C77">
        <f ca="1">_xlfn.NORM.INV(RAND(),Hitorical_Sim!$AB$4,Hitorical_Sim!$AB$5)</f>
        <v>-1.5052969893956863E-2</v>
      </c>
      <c r="D77">
        <f ca="1">_xlfn.NORM.INV(RAND(),Hitorical_Sim!$AB$4,Hitorical_Sim!$AB$5)</f>
        <v>3.0850792274003506E-2</v>
      </c>
      <c r="K77">
        <f t="shared" ca="1" si="11"/>
        <v>-0.95159046531384606</v>
      </c>
      <c r="L77">
        <f t="shared" ca="1" si="11"/>
        <v>0.70697318638812701</v>
      </c>
      <c r="M77">
        <f t="shared" ca="1" si="11"/>
        <v>-2.2321508018714957E-2</v>
      </c>
      <c r="O77">
        <v>75</v>
      </c>
      <c r="P77" s="6">
        <f t="shared" ca="1" si="12"/>
        <v>1904.6768262018072</v>
      </c>
      <c r="Q77" s="6">
        <f t="shared" ca="1" si="13"/>
        <v>392.23825379467382</v>
      </c>
      <c r="R77" s="6">
        <f t="shared" ca="1" si="14"/>
        <v>150.66668830355309</v>
      </c>
      <c r="S77" s="6"/>
      <c r="T77" s="4">
        <f t="shared" ca="1" si="15"/>
        <v>-3.2291830647947161E-3</v>
      </c>
      <c r="U77" s="4">
        <f t="shared" ca="1" si="16"/>
        <v>2.2878546078594422E-2</v>
      </c>
      <c r="V77" s="4">
        <f t="shared" ca="1" si="17"/>
        <v>2.9701980367158641E-3</v>
      </c>
      <c r="W77" s="4"/>
      <c r="X77">
        <v>75</v>
      </c>
      <c r="Y77" s="4">
        <f t="shared" ca="1" si="18"/>
        <v>2.2878946274651835E-3</v>
      </c>
      <c r="Z77" s="4">
        <f ca="1"/>
        <v>-3.1809756887817654E-2</v>
      </c>
      <c r="AA77" s="4"/>
    </row>
    <row r="78" spans="1:27" x14ac:dyDescent="0.35">
      <c r="A78">
        <v>76</v>
      </c>
      <c r="B78">
        <f ca="1">_xlfn.NORM.INV(RAND(),Hitorical_Sim!$AB$4,Hitorical_Sim!$AB$5)</f>
        <v>1.4027657134271581E-2</v>
      </c>
      <c r="C78">
        <f ca="1">_xlfn.NORM.INV(RAND(),Hitorical_Sim!$AB$4,Hitorical_Sim!$AB$5)</f>
        <v>3.1193514170583421E-2</v>
      </c>
      <c r="D78">
        <f ca="1">_xlfn.NORM.INV(RAND(),Hitorical_Sim!$AB$4,Hitorical_Sim!$AB$5)</f>
        <v>4.2769708264562625E-3</v>
      </c>
      <c r="K78">
        <f t="shared" ca="1" si="11"/>
        <v>2.0875679843161139</v>
      </c>
      <c r="L78">
        <f t="shared" ca="1" si="11"/>
        <v>0.76706881847674846</v>
      </c>
      <c r="M78">
        <f t="shared" ca="1" si="11"/>
        <v>0.12045553000621018</v>
      </c>
      <c r="O78">
        <v>76</v>
      </c>
      <c r="P78" s="6">
        <f t="shared" ca="1" si="12"/>
        <v>2012.6446314366694</v>
      </c>
      <c r="Q78" s="6">
        <f t="shared" ca="1" si="13"/>
        <v>392.91132968993179</v>
      </c>
      <c r="R78" s="6">
        <f t="shared" ca="1" si="14"/>
        <v>151.32433897298699</v>
      </c>
      <c r="S78" s="6"/>
      <c r="T78" s="4">
        <f t="shared" ca="1" si="15"/>
        <v>5.5137245131791045E-2</v>
      </c>
      <c r="U78" s="4">
        <f t="shared" ca="1" si="16"/>
        <v>1.7145167603607148E-3</v>
      </c>
      <c r="V78" s="4">
        <f t="shared" ca="1" si="17"/>
        <v>4.3554387359928861E-3</v>
      </c>
      <c r="W78" s="4"/>
      <c r="X78">
        <v>76</v>
      </c>
      <c r="Y78" s="4">
        <f t="shared" ca="1" si="18"/>
        <v>4.1962575707417661E-2</v>
      </c>
      <c r="Z78" s="4">
        <f ca="1"/>
        <v>-3.1445022224644383E-2</v>
      </c>
      <c r="AA78" s="4"/>
    </row>
    <row r="79" spans="1:27" x14ac:dyDescent="0.35">
      <c r="A79">
        <v>77</v>
      </c>
      <c r="B79">
        <f ca="1">_xlfn.NORM.INV(RAND(),Hitorical_Sim!$AB$4,Hitorical_Sim!$AB$5)</f>
        <v>-2.2767671137945665E-2</v>
      </c>
      <c r="C79">
        <f ca="1">_xlfn.NORM.INV(RAND(),Hitorical_Sim!$AB$4,Hitorical_Sim!$AB$5)</f>
        <v>3.1974781950049221E-3</v>
      </c>
      <c r="D79">
        <f ca="1">_xlfn.NORM.INV(RAND(),Hitorical_Sim!$AB$4,Hitorical_Sim!$AB$5)</f>
        <v>-1.0927920124477952E-3</v>
      </c>
      <c r="K79">
        <f t="shared" ca="1" si="11"/>
        <v>-2.1110508529769527E-2</v>
      </c>
      <c r="L79">
        <f t="shared" ca="1" si="11"/>
        <v>-0.70513657988631673</v>
      </c>
      <c r="M79">
        <f t="shared" ca="1" si="11"/>
        <v>0.76444812801629214</v>
      </c>
      <c r="O79">
        <v>77</v>
      </c>
      <c r="P79" s="6">
        <f t="shared" ca="1" si="12"/>
        <v>1937.1026385248688</v>
      </c>
      <c r="Q79" s="6">
        <f t="shared" ca="1" si="13"/>
        <v>376.75014671844423</v>
      </c>
      <c r="R79" s="6">
        <f t="shared" ca="1" si="14"/>
        <v>154.32651440694622</v>
      </c>
      <c r="S79" s="6"/>
      <c r="T79" s="4">
        <f t="shared" ca="1" si="15"/>
        <v>-3.8256222862725474E-2</v>
      </c>
      <c r="U79" s="4">
        <f t="shared" ca="1" si="16"/>
        <v>-4.2001735275280616E-2</v>
      </c>
      <c r="V79" s="4">
        <f t="shared" ca="1" si="17"/>
        <v>1.964510782592498E-2</v>
      </c>
      <c r="W79" s="4"/>
      <c r="X79">
        <v>77</v>
      </c>
      <c r="Y79" s="4">
        <f t="shared" ca="1" si="18"/>
        <v>-3.6138164123322908E-2</v>
      </c>
      <c r="Z79" s="4">
        <f ca="1"/>
        <v>-3.1283780001159896E-2</v>
      </c>
      <c r="AA79" s="4"/>
    </row>
    <row r="80" spans="1:27" x14ac:dyDescent="0.35">
      <c r="A80">
        <v>78</v>
      </c>
      <c r="B80">
        <f ca="1">_xlfn.NORM.INV(RAND(),Hitorical_Sim!$AB$4,Hitorical_Sim!$AB$5)</f>
        <v>-6.1380590817456671E-3</v>
      </c>
      <c r="C80">
        <f ca="1">_xlfn.NORM.INV(RAND(),Hitorical_Sim!$AB$4,Hitorical_Sim!$AB$5)</f>
        <v>3.189079574702431E-2</v>
      </c>
      <c r="D80">
        <f ca="1">_xlfn.NORM.INV(RAND(),Hitorical_Sim!$AB$4,Hitorical_Sim!$AB$5)</f>
        <v>-1.7348076569132266E-2</v>
      </c>
      <c r="K80">
        <f t="shared" ca="1" si="11"/>
        <v>1.229633242474931</v>
      </c>
      <c r="L80">
        <f t="shared" ca="1" si="11"/>
        <v>-0.9667194265496829</v>
      </c>
      <c r="M80">
        <f t="shared" ca="1" si="11"/>
        <v>-1.1148219689611716</v>
      </c>
      <c r="O80">
        <v>78</v>
      </c>
      <c r="P80" s="6">
        <f t="shared" ca="1" si="12"/>
        <v>1981.5605823670737</v>
      </c>
      <c r="Q80" s="6">
        <f t="shared" ca="1" si="13"/>
        <v>373.94896052449934</v>
      </c>
      <c r="R80" s="6">
        <f t="shared" ca="1" si="14"/>
        <v>145.72818143333473</v>
      </c>
      <c r="S80" s="6"/>
      <c r="T80" s="4">
        <f t="shared" ca="1" si="15"/>
        <v>2.2691335755988237E-2</v>
      </c>
      <c r="U80" s="4">
        <f t="shared" ca="1" si="16"/>
        <v>-7.4629080224303534E-3</v>
      </c>
      <c r="V80" s="4">
        <f t="shared" ca="1" si="17"/>
        <v>-5.7327465879632118E-2</v>
      </c>
      <c r="W80" s="4"/>
      <c r="X80">
        <v>78</v>
      </c>
      <c r="Y80" s="4">
        <f t="shared" ca="1" si="18"/>
        <v>1.2713371532783806E-2</v>
      </c>
      <c r="Z80" s="4">
        <f ca="1"/>
        <v>-3.0905674504523573E-2</v>
      </c>
      <c r="AA80" s="4"/>
    </row>
    <row r="81" spans="1:27" x14ac:dyDescent="0.35">
      <c r="A81">
        <v>79</v>
      </c>
      <c r="B81">
        <f ca="1">_xlfn.NORM.INV(RAND(),Hitorical_Sim!$AB$4,Hitorical_Sim!$AB$5)</f>
        <v>-1.1633783167370976E-2</v>
      </c>
      <c r="C81">
        <f ca="1">_xlfn.NORM.INV(RAND(),Hitorical_Sim!$AB$4,Hitorical_Sim!$AB$5)</f>
        <v>2.1067699488889511E-2</v>
      </c>
      <c r="D81">
        <f ca="1">_xlfn.NORM.INV(RAND(),Hitorical_Sim!$AB$4,Hitorical_Sim!$AB$5)</f>
        <v>1.4190883796690815E-2</v>
      </c>
      <c r="K81">
        <f t="shared" ca="1" si="11"/>
        <v>-0.88987546084603852</v>
      </c>
      <c r="L81">
        <f t="shared" ca="1" si="11"/>
        <v>-1.8336491208180441</v>
      </c>
      <c r="M81">
        <f t="shared" ca="1" si="11"/>
        <v>-0.56642825623104798</v>
      </c>
      <c r="O81">
        <v>79</v>
      </c>
      <c r="P81" s="6">
        <f t="shared" ca="1" si="12"/>
        <v>1906.810592908744</v>
      </c>
      <c r="Q81" s="6">
        <f t="shared" ca="1" si="13"/>
        <v>364.81339723839471</v>
      </c>
      <c r="R81" s="6">
        <f t="shared" ca="1" si="14"/>
        <v>148.1865513943554</v>
      </c>
      <c r="S81" s="6"/>
      <c r="T81" s="4">
        <f t="shared" ca="1" si="15"/>
        <v>-3.8452707507962348E-2</v>
      </c>
      <c r="U81" s="4">
        <f t="shared" ca="1" si="16"/>
        <v>-2.4733336504150001E-2</v>
      </c>
      <c r="V81" s="4">
        <f t="shared" ca="1" si="17"/>
        <v>1.6728846963352612E-2</v>
      </c>
      <c r="W81" s="4"/>
      <c r="X81">
        <v>79</v>
      </c>
      <c r="Y81" s="4">
        <f t="shared" ca="1" si="18"/>
        <v>-3.2983817377238149E-2</v>
      </c>
      <c r="Z81" s="4">
        <f ca="1"/>
        <v>-3.0654603478061281E-2</v>
      </c>
      <c r="AA81" s="4"/>
    </row>
    <row r="82" spans="1:27" x14ac:dyDescent="0.35">
      <c r="A82">
        <v>80</v>
      </c>
      <c r="B82">
        <f ca="1">_xlfn.NORM.INV(RAND(),Hitorical_Sim!$AB$4,Hitorical_Sim!$AB$5)</f>
        <v>-3.2961121034840939E-2</v>
      </c>
      <c r="C82">
        <f ca="1">_xlfn.NORM.INV(RAND(),Hitorical_Sim!$AB$4,Hitorical_Sim!$AB$5)</f>
        <v>-8.6128811555513836E-3</v>
      </c>
      <c r="D82">
        <f ca="1">_xlfn.NORM.INV(RAND(),Hitorical_Sim!$AB$4,Hitorical_Sim!$AB$5)</f>
        <v>-3.0348087030998023E-3</v>
      </c>
      <c r="K82">
        <f t="shared" ca="1" si="11"/>
        <v>-1.7628340230005652</v>
      </c>
      <c r="L82">
        <f t="shared" ca="1" si="11"/>
        <v>1.0520410646844605</v>
      </c>
      <c r="M82">
        <f t="shared" ca="1" si="11"/>
        <v>-1.1332671547993345</v>
      </c>
      <c r="O82">
        <v>80</v>
      </c>
      <c r="P82" s="6">
        <f t="shared" ca="1" si="12"/>
        <v>1876.8494494113363</v>
      </c>
      <c r="Q82" s="6">
        <f t="shared" ca="1" si="13"/>
        <v>396.11879961094866</v>
      </c>
      <c r="R82" s="6">
        <f t="shared" ca="1" si="14"/>
        <v>145.64620709037814</v>
      </c>
      <c r="S82" s="6"/>
      <c r="T82" s="4">
        <f t="shared" ca="1" si="15"/>
        <v>-1.5837453370445592E-2</v>
      </c>
      <c r="U82" s="4">
        <f t="shared" ca="1" si="16"/>
        <v>8.2328182869535624E-2</v>
      </c>
      <c r="V82" s="4">
        <f t="shared" ca="1" si="17"/>
        <v>-1.7291520611745041E-2</v>
      </c>
      <c r="W82" s="4"/>
      <c r="X82">
        <v>80</v>
      </c>
      <c r="Y82" s="4">
        <f t="shared" ca="1" si="18"/>
        <v>3.6813132656667454E-3</v>
      </c>
      <c r="Z82" s="4">
        <f ca="1"/>
        <v>-3.0230123697903632E-2</v>
      </c>
      <c r="AA82" s="4"/>
    </row>
    <row r="83" spans="1:27" x14ac:dyDescent="0.35">
      <c r="A83">
        <v>81</v>
      </c>
      <c r="B83">
        <f ca="1">_xlfn.NORM.INV(RAND(),Hitorical_Sim!$AB$4,Hitorical_Sim!$AB$5)</f>
        <v>-7.5867796601009766E-3</v>
      </c>
      <c r="C83">
        <f ca="1">_xlfn.NORM.INV(RAND(),Hitorical_Sim!$AB$4,Hitorical_Sim!$AB$5)</f>
        <v>-5.0915325431674478E-3</v>
      </c>
      <c r="D83">
        <f ca="1">_xlfn.NORM.INV(RAND(),Hitorical_Sim!$AB$4,Hitorical_Sim!$AB$5)</f>
        <v>8.4447244312174843E-3</v>
      </c>
      <c r="K83">
        <f t="shared" ca="1" si="11"/>
        <v>-1.5022958112637357</v>
      </c>
      <c r="L83">
        <f t="shared" ca="1" si="11"/>
        <v>1.5765480907960354</v>
      </c>
      <c r="M83">
        <f t="shared" ca="1" si="11"/>
        <v>-0.21970908990043195</v>
      </c>
      <c r="O83">
        <v>81</v>
      </c>
      <c r="P83" s="6">
        <f t="shared" ca="1" si="12"/>
        <v>1885.74185763643</v>
      </c>
      <c r="Q83" s="6">
        <f t="shared" ca="1" si="13"/>
        <v>402.09092687183136</v>
      </c>
      <c r="R83" s="6">
        <f t="shared" ca="1" si="14"/>
        <v>149.7621983477963</v>
      </c>
      <c r="S83" s="6"/>
      <c r="T83" s="4">
        <f t="shared" ca="1" si="15"/>
        <v>4.7267556084419834E-3</v>
      </c>
      <c r="U83" s="4">
        <f t="shared" ca="1" si="16"/>
        <v>1.4964084009784719E-2</v>
      </c>
      <c r="V83" s="4">
        <f t="shared" ca="1" si="17"/>
        <v>2.7868249954483528E-2</v>
      </c>
      <c r="W83" s="4"/>
      <c r="X83">
        <v>81</v>
      </c>
      <c r="Y83" s="4">
        <f t="shared" ca="1" si="18"/>
        <v>7.9150747144790239E-3</v>
      </c>
      <c r="Z83" s="4">
        <f ca="1"/>
        <v>-3.0162761559662701E-2</v>
      </c>
      <c r="AA83" s="4"/>
    </row>
    <row r="84" spans="1:27" x14ac:dyDescent="0.35">
      <c r="A84">
        <v>82</v>
      </c>
      <c r="B84">
        <f ca="1">_xlfn.NORM.INV(RAND(),Hitorical_Sim!$AB$4,Hitorical_Sim!$AB$5)</f>
        <v>2.5177369476299286E-2</v>
      </c>
      <c r="C84">
        <f ca="1">_xlfn.NORM.INV(RAND(),Hitorical_Sim!$AB$4,Hitorical_Sim!$AB$5)</f>
        <v>3.2859406291755326E-3</v>
      </c>
      <c r="D84">
        <f ca="1">_xlfn.NORM.INV(RAND(),Hitorical_Sim!$AB$4,Hitorical_Sim!$AB$5)</f>
        <v>-1.4205019307626372E-2</v>
      </c>
      <c r="K84">
        <f t="shared" ref="K84:M103" ca="1" si="19">_xlfn.NORM.S.INV(RAND())</f>
        <v>-1.4172927987198372</v>
      </c>
      <c r="L84">
        <f t="shared" ca="1" si="19"/>
        <v>0.99972342387902491</v>
      </c>
      <c r="M84">
        <f t="shared" ca="1" si="19"/>
        <v>0.17069972235520453</v>
      </c>
      <c r="O84">
        <v>82</v>
      </c>
      <c r="P84" s="6">
        <f t="shared" ca="1" si="12"/>
        <v>1888.6521940636596</v>
      </c>
      <c r="Q84" s="6">
        <f t="shared" ca="1" si="13"/>
        <v>395.52798890385333</v>
      </c>
      <c r="R84" s="6">
        <f t="shared" ca="1" si="14"/>
        <v>151.55645282667268</v>
      </c>
      <c r="S84" s="6"/>
      <c r="T84" s="4">
        <f t="shared" ca="1" si="15"/>
        <v>1.5421479390599682E-3</v>
      </c>
      <c r="U84" s="4">
        <f t="shared" ca="1" si="16"/>
        <v>-1.6456696183181314E-2</v>
      </c>
      <c r="V84" s="4">
        <f t="shared" ca="1" si="17"/>
        <v>1.1909489700117815E-2</v>
      </c>
      <c r="W84" s="4"/>
      <c r="X84">
        <v>82</v>
      </c>
      <c r="Y84" s="4">
        <f t="shared" ca="1" si="18"/>
        <v>-1.5367661287355849E-3</v>
      </c>
      <c r="Z84" s="4">
        <f ca="1"/>
        <v>-2.9561674087019856E-2</v>
      </c>
      <c r="AA84" s="4"/>
    </row>
    <row r="85" spans="1:27" x14ac:dyDescent="0.35">
      <c r="A85">
        <v>83</v>
      </c>
      <c r="B85">
        <f ca="1">_xlfn.NORM.INV(RAND(),Hitorical_Sim!$AB$4,Hitorical_Sim!$AB$5)</f>
        <v>-9.9635916345451204E-3</v>
      </c>
      <c r="C85">
        <f ca="1">_xlfn.NORM.INV(RAND(),Hitorical_Sim!$AB$4,Hitorical_Sim!$AB$5)</f>
        <v>1.1356714221220967E-2</v>
      </c>
      <c r="D85">
        <f ca="1">_xlfn.NORM.INV(RAND(),Hitorical_Sim!$AB$4,Hitorical_Sim!$AB$5)</f>
        <v>4.7348162441854091E-3</v>
      </c>
      <c r="K85">
        <f t="shared" ca="1" si="19"/>
        <v>-0.52257588131437849</v>
      </c>
      <c r="L85">
        <f t="shared" ca="1" si="19"/>
        <v>-2.4687980801295981</v>
      </c>
      <c r="M85">
        <f t="shared" ca="1" si="19"/>
        <v>-1.7559348824334573</v>
      </c>
      <c r="O85">
        <v>83</v>
      </c>
      <c r="P85" s="6">
        <f t="shared" ca="1" si="12"/>
        <v>1919.5593399489348</v>
      </c>
      <c r="Q85" s="6">
        <f t="shared" ca="1" si="13"/>
        <v>358.26226623817774</v>
      </c>
      <c r="R85" s="6">
        <f t="shared" ca="1" si="14"/>
        <v>142.90582586269679</v>
      </c>
      <c r="S85" s="6"/>
      <c r="T85" s="4">
        <f t="shared" ca="1" si="15"/>
        <v>1.6232199411831339E-2</v>
      </c>
      <c r="U85" s="4">
        <f t="shared" ca="1" si="16"/>
        <v>-9.8956247660804367E-2</v>
      </c>
      <c r="V85" s="4">
        <f t="shared" ca="1" si="17"/>
        <v>-5.8772328547227866E-2</v>
      </c>
      <c r="W85" s="4"/>
      <c r="X85">
        <v>83</v>
      </c>
      <c r="Y85" s="4">
        <f t="shared" ca="1" si="18"/>
        <v>-1.0467721272267163E-2</v>
      </c>
      <c r="Z85" s="4">
        <f ca="1"/>
        <v>-2.9214789921362526E-2</v>
      </c>
      <c r="AA85" s="4"/>
    </row>
    <row r="86" spans="1:27" x14ac:dyDescent="0.35">
      <c r="A86">
        <v>84</v>
      </c>
      <c r="B86">
        <f ca="1">_xlfn.NORM.INV(RAND(),Hitorical_Sim!$AB$4,Hitorical_Sim!$AB$5)</f>
        <v>1.1168992113766096E-2</v>
      </c>
      <c r="C86">
        <f ca="1">_xlfn.NORM.INV(RAND(),Hitorical_Sim!$AB$4,Hitorical_Sim!$AB$5)</f>
        <v>-2.5307760195500874E-2</v>
      </c>
      <c r="D86">
        <f ca="1">_xlfn.NORM.INV(RAND(),Hitorical_Sim!$AB$4,Hitorical_Sim!$AB$5)</f>
        <v>-4.9818999375815399E-3</v>
      </c>
      <c r="K86">
        <f t="shared" ca="1" si="19"/>
        <v>1.7686426568730804</v>
      </c>
      <c r="L86">
        <f t="shared" ca="1" si="19"/>
        <v>0.67664448731121585</v>
      </c>
      <c r="M86">
        <f t="shared" ca="1" si="19"/>
        <v>1.9087597753733119E-2</v>
      </c>
      <c r="O86">
        <v>84</v>
      </c>
      <c r="P86" s="6">
        <f t="shared" ca="1" si="12"/>
        <v>2001.0330328268808</v>
      </c>
      <c r="Q86" s="6">
        <f t="shared" ca="1" si="13"/>
        <v>391.89900783936145</v>
      </c>
      <c r="R86" s="6">
        <f t="shared" ca="1" si="14"/>
        <v>150.85712952718396</v>
      </c>
      <c r="S86" s="6"/>
      <c r="T86" s="4">
        <f t="shared" ca="1" si="15"/>
        <v>4.1567914369824058E-2</v>
      </c>
      <c r="U86" s="4">
        <f t="shared" ca="1" si="16"/>
        <v>8.9738868087391122E-2</v>
      </c>
      <c r="V86" s="4">
        <f t="shared" ca="1" si="17"/>
        <v>5.4147373936388139E-2</v>
      </c>
      <c r="W86" s="4"/>
      <c r="X86">
        <v>84</v>
      </c>
      <c r="Y86" s="4">
        <f t="shared" ca="1" si="18"/>
        <v>5.1803858030341779E-2</v>
      </c>
      <c r="Z86" s="4">
        <f ca="1"/>
        <v>-2.9076297529584828E-2</v>
      </c>
      <c r="AA86" s="4"/>
    </row>
    <row r="87" spans="1:27" x14ac:dyDescent="0.35">
      <c r="A87">
        <v>85</v>
      </c>
      <c r="B87">
        <f ca="1">_xlfn.NORM.INV(RAND(),Hitorical_Sim!$AB$4,Hitorical_Sim!$AB$5)</f>
        <v>1.2118793066287612E-2</v>
      </c>
      <c r="C87">
        <f ca="1">_xlfn.NORM.INV(RAND(),Hitorical_Sim!$AB$4,Hitorical_Sim!$AB$5)</f>
        <v>1.2495777138089364E-2</v>
      </c>
      <c r="D87">
        <f ca="1">_xlfn.NORM.INV(RAND(),Hitorical_Sim!$AB$4,Hitorical_Sim!$AB$5)</f>
        <v>1.7565530371018608E-2</v>
      </c>
      <c r="K87">
        <f t="shared" ca="1" si="19"/>
        <v>-1.3365446376758006</v>
      </c>
      <c r="L87">
        <f t="shared" ca="1" si="19"/>
        <v>0.52369189364499047</v>
      </c>
      <c r="M87">
        <f t="shared" ca="1" si="19"/>
        <v>1.2347022546538371</v>
      </c>
      <c r="O87">
        <v>85</v>
      </c>
      <c r="P87" s="6">
        <f t="shared" ca="1" si="12"/>
        <v>1891.4210126275848</v>
      </c>
      <c r="Q87" s="6">
        <f t="shared" ca="1" si="13"/>
        <v>390.19260087566852</v>
      </c>
      <c r="R87" s="6">
        <f t="shared" ca="1" si="14"/>
        <v>156.55631201412751</v>
      </c>
      <c r="S87" s="6"/>
      <c r="T87" s="4">
        <f t="shared" ca="1" si="15"/>
        <v>-5.6335158524068042E-2</v>
      </c>
      <c r="U87" s="4">
        <f t="shared" ca="1" si="16"/>
        <v>-4.3637079146560806E-3</v>
      </c>
      <c r="V87" s="4">
        <f t="shared" ca="1" si="17"/>
        <v>3.7082539587207093E-2</v>
      </c>
      <c r="W87" s="4"/>
      <c r="X87">
        <v>85</v>
      </c>
      <c r="Y87" s="4">
        <f t="shared" ca="1" si="18"/>
        <v>-4.1340062888963101E-2</v>
      </c>
      <c r="Z87" s="4">
        <f ca="1"/>
        <v>-2.9058781818205013E-2</v>
      </c>
      <c r="AA87" s="4"/>
    </row>
    <row r="88" spans="1:27" x14ac:dyDescent="0.35">
      <c r="A88">
        <v>86</v>
      </c>
      <c r="B88">
        <f ca="1">_xlfn.NORM.INV(RAND(),Hitorical_Sim!$AB$4,Hitorical_Sim!$AB$5)</f>
        <v>3.0173419286011648E-2</v>
      </c>
      <c r="C88">
        <f ca="1">_xlfn.NORM.INV(RAND(),Hitorical_Sim!$AB$4,Hitorical_Sim!$AB$5)</f>
        <v>1.2663251706921541E-2</v>
      </c>
      <c r="D88">
        <f ca="1">_xlfn.NORM.INV(RAND(),Hitorical_Sim!$AB$4,Hitorical_Sim!$AB$5)</f>
        <v>-8.80289520873773E-3</v>
      </c>
      <c r="K88">
        <f t="shared" ca="1" si="19"/>
        <v>1.0932222883721299</v>
      </c>
      <c r="L88">
        <f t="shared" ca="1" si="19"/>
        <v>0.42466611708816432</v>
      </c>
      <c r="M88">
        <f t="shared" ca="1" si="19"/>
        <v>0.90030051618207263</v>
      </c>
      <c r="O88">
        <v>86</v>
      </c>
      <c r="P88" s="6">
        <f t="shared" ca="1" si="12"/>
        <v>1976.662669722333</v>
      </c>
      <c r="Q88" s="6">
        <f t="shared" ca="1" si="13"/>
        <v>389.09178983413585</v>
      </c>
      <c r="R88" s="6">
        <f t="shared" ca="1" si="14"/>
        <v>154.96740157853776</v>
      </c>
      <c r="S88" s="6"/>
      <c r="T88" s="4">
        <f t="shared" ca="1" si="15"/>
        <v>4.4081497175948385E-2</v>
      </c>
      <c r="U88" s="4">
        <f t="shared" ca="1" si="16"/>
        <v>-2.825186252538958E-3</v>
      </c>
      <c r="V88" s="4">
        <f t="shared" ca="1" si="17"/>
        <v>-1.0200984032663901E-2</v>
      </c>
      <c r="W88" s="4"/>
      <c r="X88">
        <v>86</v>
      </c>
      <c r="Y88" s="4">
        <f t="shared" ca="1" si="18"/>
        <v>3.2033973705490791E-2</v>
      </c>
      <c r="Z88" s="4">
        <f ca="1"/>
        <v>-2.8993871585471252E-2</v>
      </c>
      <c r="AA88" s="4"/>
    </row>
    <row r="89" spans="1:27" x14ac:dyDescent="0.35">
      <c r="A89">
        <v>87</v>
      </c>
      <c r="B89">
        <f ca="1">_xlfn.NORM.INV(RAND(),Hitorical_Sim!$AB$4,Hitorical_Sim!$AB$5)</f>
        <v>-1.8817729124890943E-2</v>
      </c>
      <c r="C89">
        <f ca="1">_xlfn.NORM.INV(RAND(),Hitorical_Sim!$AB$4,Hitorical_Sim!$AB$5)</f>
        <v>6.0562355843567584E-3</v>
      </c>
      <c r="D89">
        <f ca="1">_xlfn.NORM.INV(RAND(),Hitorical_Sim!$AB$4,Hitorical_Sim!$AB$5)</f>
        <v>-1.9861392102454103E-2</v>
      </c>
      <c r="K89">
        <f t="shared" ca="1" si="19"/>
        <v>0.62183750887793166</v>
      </c>
      <c r="L89">
        <f t="shared" ca="1" si="19"/>
        <v>0.23687743959032226</v>
      </c>
      <c r="M89">
        <f t="shared" ca="1" si="19"/>
        <v>-2.67664305542278</v>
      </c>
      <c r="O89">
        <v>87</v>
      </c>
      <c r="P89" s="6">
        <f t="shared" ca="1" si="12"/>
        <v>1959.83034432312</v>
      </c>
      <c r="Q89" s="6">
        <f t="shared" ca="1" si="13"/>
        <v>387.01277573444901</v>
      </c>
      <c r="R89" s="6">
        <f t="shared" ca="1" si="14"/>
        <v>138.94796182148215</v>
      </c>
      <c r="S89" s="6"/>
      <c r="T89" s="4">
        <f t="shared" ca="1" si="15"/>
        <v>-8.5519917994178983E-3</v>
      </c>
      <c r="U89" s="4">
        <f t="shared" ca="1" si="16"/>
        <v>-5.3575746487069158E-3</v>
      </c>
      <c r="V89" s="4">
        <f t="shared" ca="1" si="17"/>
        <v>-0.10911529475425119</v>
      </c>
      <c r="W89" s="4"/>
      <c r="X89">
        <v>87</v>
      </c>
      <c r="Y89" s="4">
        <f t="shared" ca="1" si="18"/>
        <v>-1.2891376829576714E-2</v>
      </c>
      <c r="Z89" s="4">
        <f ca="1"/>
        <v>-2.8680321684137412E-2</v>
      </c>
      <c r="AA89" s="4"/>
    </row>
    <row r="90" spans="1:27" x14ac:dyDescent="0.35">
      <c r="A90">
        <v>88</v>
      </c>
      <c r="B90">
        <f ca="1">_xlfn.NORM.INV(RAND(),Hitorical_Sim!$AB$4,Hitorical_Sim!$AB$5)</f>
        <v>7.7570174890382315E-3</v>
      </c>
      <c r="C90">
        <f ca="1">_xlfn.NORM.INV(RAND(),Hitorical_Sim!$AB$4,Hitorical_Sim!$AB$5)</f>
        <v>3.4496153717320666E-3</v>
      </c>
      <c r="D90">
        <f ca="1">_xlfn.NORM.INV(RAND(),Hitorical_Sim!$AB$4,Hitorical_Sim!$AB$5)</f>
        <v>-1.8369359964658053E-2</v>
      </c>
      <c r="K90">
        <f t="shared" ca="1" si="19"/>
        <v>0.94240616124142873</v>
      </c>
      <c r="L90">
        <f t="shared" ca="1" si="19"/>
        <v>0.43507220223833443</v>
      </c>
      <c r="M90">
        <f t="shared" ca="1" si="19"/>
        <v>-0.34898252803407093</v>
      </c>
      <c r="O90">
        <v>88</v>
      </c>
      <c r="P90" s="6">
        <f t="shared" ca="1" si="12"/>
        <v>1971.2616215167773</v>
      </c>
      <c r="Q90" s="6">
        <f t="shared" ca="1" si="13"/>
        <v>389.20732195309051</v>
      </c>
      <c r="R90" s="6">
        <f t="shared" ca="1" si="14"/>
        <v>149.17277273142562</v>
      </c>
      <c r="S90" s="6"/>
      <c r="T90" s="4">
        <f t="shared" ca="1" si="15"/>
        <v>5.8158443068626739E-3</v>
      </c>
      <c r="U90" s="4">
        <f t="shared" ca="1" si="16"/>
        <v>5.6544582453949936E-3</v>
      </c>
      <c r="V90" s="4">
        <f t="shared" ca="1" si="17"/>
        <v>7.1005695071645128E-2</v>
      </c>
      <c r="W90" s="4"/>
      <c r="X90">
        <v>88</v>
      </c>
      <c r="Y90" s="4">
        <f t="shared" ca="1" si="18"/>
        <v>9.0098895728346305E-3</v>
      </c>
      <c r="Z90" s="4">
        <f ca="1"/>
        <v>-2.8536544646494012E-2</v>
      </c>
      <c r="AA90" s="4"/>
    </row>
    <row r="91" spans="1:27" x14ac:dyDescent="0.35">
      <c r="A91">
        <v>89</v>
      </c>
      <c r="B91">
        <f ca="1">_xlfn.NORM.INV(RAND(),Hitorical_Sim!$AB$4,Hitorical_Sim!$AB$5)</f>
        <v>-2.9734459483351388E-2</v>
      </c>
      <c r="C91">
        <f ca="1">_xlfn.NORM.INV(RAND(),Hitorical_Sim!$AB$4,Hitorical_Sim!$AB$5)</f>
        <v>-2.5632828124036611E-2</v>
      </c>
      <c r="D91">
        <f ca="1">_xlfn.NORM.INV(RAND(),Hitorical_Sim!$AB$4,Hitorical_Sim!$AB$5)</f>
        <v>5.6675542564475021E-3</v>
      </c>
      <c r="K91">
        <f t="shared" ca="1" si="19"/>
        <v>0.44160325371780257</v>
      </c>
      <c r="L91">
        <f t="shared" ca="1" si="19"/>
        <v>1.2102481979856148</v>
      </c>
      <c r="M91">
        <f t="shared" ca="1" si="19"/>
        <v>-1.0796805468156609</v>
      </c>
      <c r="O91">
        <v>89</v>
      </c>
      <c r="P91" s="6">
        <f t="shared" ca="1" si="12"/>
        <v>1953.4324408049861</v>
      </c>
      <c r="Q91" s="6">
        <f t="shared" ca="1" si="13"/>
        <v>397.9107700105904</v>
      </c>
      <c r="R91" s="6">
        <f t="shared" ca="1" si="14"/>
        <v>145.88448511983671</v>
      </c>
      <c r="S91" s="6"/>
      <c r="T91" s="4">
        <f t="shared" ca="1" si="15"/>
        <v>-9.0857035368477838E-3</v>
      </c>
      <c r="U91" s="4">
        <f t="shared" ca="1" si="16"/>
        <v>2.2115621231474192E-2</v>
      </c>
      <c r="V91" s="4">
        <f t="shared" ca="1" si="17"/>
        <v>-2.2290071984537602E-2</v>
      </c>
      <c r="W91" s="4"/>
      <c r="X91">
        <v>89</v>
      </c>
      <c r="Y91" s="4">
        <f t="shared" ca="1" si="18"/>
        <v>-3.5124003300813695E-3</v>
      </c>
      <c r="Z91" s="4">
        <f ca="1"/>
        <v>-2.8170951123024892E-2</v>
      </c>
      <c r="AA91" s="4"/>
    </row>
    <row r="92" spans="1:27" x14ac:dyDescent="0.35">
      <c r="A92">
        <v>90</v>
      </c>
      <c r="B92">
        <f ca="1">_xlfn.NORM.INV(RAND(),Hitorical_Sim!$AB$4,Hitorical_Sim!$AB$5)</f>
        <v>2.8978622333024697E-2</v>
      </c>
      <c r="C92">
        <f ca="1">_xlfn.NORM.INV(RAND(),Hitorical_Sim!$AB$4,Hitorical_Sim!$AB$5)</f>
        <v>1.5167374622531376E-2</v>
      </c>
      <c r="D92">
        <f ca="1">_xlfn.NORM.INV(RAND(),Hitorical_Sim!$AB$4,Hitorical_Sim!$AB$5)</f>
        <v>-2.2522682275348527E-2</v>
      </c>
      <c r="K92">
        <f t="shared" ca="1" si="19"/>
        <v>0.47305874655133445</v>
      </c>
      <c r="L92">
        <f t="shared" ca="1" si="19"/>
        <v>1.4688018035147348</v>
      </c>
      <c r="M92">
        <f t="shared" ca="1" si="19"/>
        <v>2.7985012033854645E-2</v>
      </c>
      <c r="O92">
        <v>90</v>
      </c>
      <c r="P92" s="6">
        <f t="shared" ca="1" si="12"/>
        <v>1954.5475323842441</v>
      </c>
      <c r="Q92" s="6">
        <f t="shared" ca="1" si="13"/>
        <v>400.85680491352548</v>
      </c>
      <c r="R92" s="6">
        <f t="shared" ca="1" si="14"/>
        <v>150.89808030286085</v>
      </c>
      <c r="S92" s="6"/>
      <c r="T92" s="4">
        <f t="shared" ca="1" si="15"/>
        <v>5.7067416781593624E-4</v>
      </c>
      <c r="U92" s="4">
        <f t="shared" ca="1" si="16"/>
        <v>7.3764843587575965E-3</v>
      </c>
      <c r="V92" s="4">
        <f t="shared" ca="1" si="17"/>
        <v>3.3789533305041822E-2</v>
      </c>
      <c r="W92" s="4"/>
      <c r="X92">
        <v>90</v>
      </c>
      <c r="Y92" s="4">
        <f t="shared" ca="1" si="18"/>
        <v>3.5729016593213821E-3</v>
      </c>
      <c r="Z92" s="4">
        <f ca="1"/>
        <v>-2.8017730334641104E-2</v>
      </c>
      <c r="AA92" s="4"/>
    </row>
    <row r="93" spans="1:27" x14ac:dyDescent="0.35">
      <c r="A93">
        <v>91</v>
      </c>
      <c r="B93">
        <f ca="1">_xlfn.NORM.INV(RAND(),Hitorical_Sim!$AB$4,Hitorical_Sim!$AB$5)</f>
        <v>-1.0547123165042841E-2</v>
      </c>
      <c r="C93">
        <f ca="1">_xlfn.NORM.INV(RAND(),Hitorical_Sim!$AB$4,Hitorical_Sim!$AB$5)</f>
        <v>1.7736998761295041E-2</v>
      </c>
      <c r="D93">
        <f ca="1">_xlfn.NORM.INV(RAND(),Hitorical_Sim!$AB$4,Hitorical_Sim!$AB$5)</f>
        <v>-7.4333198828456255E-4</v>
      </c>
      <c r="K93">
        <f t="shared" ca="1" si="19"/>
        <v>-0.76698822773971165</v>
      </c>
      <c r="L93">
        <f t="shared" ca="1" si="19"/>
        <v>-0.62101523549910576</v>
      </c>
      <c r="M93">
        <f t="shared" ca="1" si="19"/>
        <v>1.4273715890125167</v>
      </c>
      <c r="O93">
        <v>91</v>
      </c>
      <c r="P93" s="6">
        <f t="shared" ca="1" si="12"/>
        <v>1911.066481510258</v>
      </c>
      <c r="Q93" s="6">
        <f t="shared" ca="1" si="13"/>
        <v>377.65542002045476</v>
      </c>
      <c r="R93" s="6">
        <f t="shared" ca="1" si="14"/>
        <v>157.47916731088304</v>
      </c>
      <c r="S93" s="6"/>
      <c r="T93" s="4">
        <f t="shared" ca="1" si="15"/>
        <v>-2.249727190260379E-2</v>
      </c>
      <c r="U93" s="4">
        <f t="shared" ca="1" si="16"/>
        <v>-5.9622075930456341E-2</v>
      </c>
      <c r="V93" s="4">
        <f t="shared" ca="1" si="17"/>
        <v>4.2688534433228904E-2</v>
      </c>
      <c r="W93" s="4"/>
      <c r="X93">
        <v>91</v>
      </c>
      <c r="Y93" s="4">
        <f t="shared" ca="1" si="18"/>
        <v>-2.6680145248825796E-2</v>
      </c>
      <c r="Z93" s="4">
        <f ca="1"/>
        <v>-2.798733071497668E-2</v>
      </c>
      <c r="AA93" s="4"/>
    </row>
    <row r="94" spans="1:27" x14ac:dyDescent="0.35">
      <c r="A94">
        <v>92</v>
      </c>
      <c r="B94">
        <f ca="1">_xlfn.NORM.INV(RAND(),Hitorical_Sim!$AB$4,Hitorical_Sim!$AB$5)</f>
        <v>2.55655994834777E-2</v>
      </c>
      <c r="C94">
        <f ca="1">_xlfn.NORM.INV(RAND(),Hitorical_Sim!$AB$4,Hitorical_Sim!$AB$5)</f>
        <v>4.4330565357938436E-3</v>
      </c>
      <c r="D94">
        <f ca="1">_xlfn.NORM.INV(RAND(),Hitorical_Sim!$AB$4,Hitorical_Sim!$AB$5)</f>
        <v>3.1733812478493134E-2</v>
      </c>
      <c r="K94">
        <f t="shared" ca="1" si="19"/>
        <v>1.0715777306286145</v>
      </c>
      <c r="L94">
        <f t="shared" ca="1" si="19"/>
        <v>0.2291159110996486</v>
      </c>
      <c r="M94">
        <f t="shared" ca="1" si="19"/>
        <v>0.12785641093051678</v>
      </c>
      <c r="O94">
        <v>92</v>
      </c>
      <c r="P94" s="6">
        <f t="shared" ca="1" si="12"/>
        <v>1975.8866232479472</v>
      </c>
      <c r="Q94" s="6">
        <f t="shared" ca="1" si="13"/>
        <v>386.92708708415051</v>
      </c>
      <c r="R94" s="6">
        <f t="shared" ca="1" si="14"/>
        <v>151.35850659615303</v>
      </c>
      <c r="S94" s="6"/>
      <c r="T94" s="4">
        <f t="shared" ca="1" si="15"/>
        <v>3.3355767268358046E-2</v>
      </c>
      <c r="U94" s="4">
        <f t="shared" ca="1" si="16"/>
        <v>2.4254077188151955E-2</v>
      </c>
      <c r="V94" s="4">
        <f t="shared" ca="1" si="17"/>
        <v>-3.9641939788952779E-2</v>
      </c>
      <c r="W94" s="4"/>
      <c r="X94">
        <v>92</v>
      </c>
      <c r="Y94" s="4">
        <f t="shared" ca="1" si="18"/>
        <v>2.792669560496934E-2</v>
      </c>
      <c r="Z94" s="4">
        <f ca="1"/>
        <v>-2.7975136017531814E-2</v>
      </c>
      <c r="AA94" s="4"/>
    </row>
    <row r="95" spans="1:27" x14ac:dyDescent="0.35">
      <c r="A95">
        <v>93</v>
      </c>
      <c r="B95">
        <f ca="1">_xlfn.NORM.INV(RAND(),Hitorical_Sim!$AB$4,Hitorical_Sim!$AB$5)</f>
        <v>-6.0059888149307135E-3</v>
      </c>
      <c r="C95">
        <f ca="1">_xlfn.NORM.INV(RAND(),Hitorical_Sim!$AB$4,Hitorical_Sim!$AB$5)</f>
        <v>-2.7347067747485684E-2</v>
      </c>
      <c r="D95">
        <f ca="1">_xlfn.NORM.INV(RAND(),Hitorical_Sim!$AB$4,Hitorical_Sim!$AB$5)</f>
        <v>3.0689199037913298E-2</v>
      </c>
      <c r="K95">
        <f t="shared" ca="1" si="19"/>
        <v>-0.49693284065123267</v>
      </c>
      <c r="L95">
        <f t="shared" ca="1" si="19"/>
        <v>1.7009954394425915</v>
      </c>
      <c r="M95">
        <f t="shared" ca="1" si="19"/>
        <v>0.7568455999803344</v>
      </c>
      <c r="O95">
        <v>93</v>
      </c>
      <c r="P95" s="6">
        <f t="shared" ca="1" si="12"/>
        <v>1920.4525709945715</v>
      </c>
      <c r="Q95" s="6">
        <f t="shared" ca="1" si="13"/>
        <v>403.52107146888937</v>
      </c>
      <c r="R95" s="6">
        <f t="shared" ca="1" si="14"/>
        <v>154.29072769810378</v>
      </c>
      <c r="S95" s="6"/>
      <c r="T95" s="4">
        <f t="shared" ca="1" si="15"/>
        <v>-2.8456348457578159E-2</v>
      </c>
      <c r="U95" s="4">
        <f t="shared" ca="1" si="16"/>
        <v>4.1992438266633264E-2</v>
      </c>
      <c r="V95" s="4">
        <f t="shared" ca="1" si="17"/>
        <v>1.9187426188447175E-2</v>
      </c>
      <c r="W95" s="4"/>
      <c r="X95">
        <v>93</v>
      </c>
      <c r="Y95" s="4">
        <f t="shared" ca="1" si="18"/>
        <v>-1.2039122861358265E-2</v>
      </c>
      <c r="Z95" s="4">
        <f ca="1"/>
        <v>-2.7907316336818672E-2</v>
      </c>
      <c r="AA95" s="4"/>
    </row>
    <row r="96" spans="1:27" x14ac:dyDescent="0.35">
      <c r="A96">
        <v>94</v>
      </c>
      <c r="B96">
        <f ca="1">_xlfn.NORM.INV(RAND(),Hitorical_Sim!$AB$4,Hitorical_Sim!$AB$5)</f>
        <v>2.2562447852940318E-2</v>
      </c>
      <c r="C96">
        <f ca="1">_xlfn.NORM.INV(RAND(),Hitorical_Sim!$AB$4,Hitorical_Sim!$AB$5)</f>
        <v>-1.4022273251719713E-2</v>
      </c>
      <c r="D96">
        <f ca="1">_xlfn.NORM.INV(RAND(),Hitorical_Sim!$AB$4,Hitorical_Sim!$AB$5)</f>
        <v>1.4319185285421938E-2</v>
      </c>
      <c r="K96">
        <f t="shared" ca="1" si="19"/>
        <v>0.4878207860964579</v>
      </c>
      <c r="L96">
        <f t="shared" ca="1" si="19"/>
        <v>-1.0154252538795789</v>
      </c>
      <c r="M96">
        <f t="shared" ca="1" si="19"/>
        <v>-1.3644661778415055</v>
      </c>
      <c r="O96">
        <v>94</v>
      </c>
      <c r="P96" s="6">
        <f t="shared" ca="1" si="12"/>
        <v>1955.0710634750258</v>
      </c>
      <c r="Q96" s="6">
        <f t="shared" ca="1" si="13"/>
        <v>373.42969393920907</v>
      </c>
      <c r="R96" s="6">
        <f t="shared" ca="1" si="14"/>
        <v>144.6226121600188</v>
      </c>
      <c r="S96" s="6"/>
      <c r="T96" s="4">
        <f t="shared" ca="1" si="15"/>
        <v>1.7865670057123362E-2</v>
      </c>
      <c r="U96" s="4">
        <f t="shared" ca="1" si="16"/>
        <v>-7.7498956996131824E-2</v>
      </c>
      <c r="V96" s="4">
        <f t="shared" ca="1" si="17"/>
        <v>-6.4710990058711962E-2</v>
      </c>
      <c r="W96" s="4"/>
      <c r="X96">
        <v>94</v>
      </c>
      <c r="Y96" s="4">
        <f t="shared" ca="1" si="18"/>
        <v>-5.2527944054031822E-3</v>
      </c>
      <c r="Z96" s="4">
        <f ca="1"/>
        <v>-2.7881892368186431E-2</v>
      </c>
      <c r="AA96" s="4"/>
    </row>
    <row r="97" spans="1:27" x14ac:dyDescent="0.35">
      <c r="A97">
        <v>95</v>
      </c>
      <c r="B97">
        <f ca="1">_xlfn.NORM.INV(RAND(),Hitorical_Sim!$AB$4,Hitorical_Sim!$AB$5)</f>
        <v>2.5882193117965541E-2</v>
      </c>
      <c r="C97">
        <f ca="1">_xlfn.NORM.INV(RAND(),Hitorical_Sim!$AB$4,Hitorical_Sim!$AB$5)</f>
        <v>-7.9589142185841309E-3</v>
      </c>
      <c r="D97">
        <f ca="1">_xlfn.NORM.INV(RAND(),Hitorical_Sim!$AB$4,Hitorical_Sim!$AB$5)</f>
        <v>-1.9483858641188435E-2</v>
      </c>
      <c r="K97">
        <f t="shared" ca="1" si="19"/>
        <v>0.34683656832969778</v>
      </c>
      <c r="L97">
        <f t="shared" ca="1" si="19"/>
        <v>-5.0132819937098116E-2</v>
      </c>
      <c r="M97">
        <f t="shared" ca="1" si="19"/>
        <v>1.6695108070025955</v>
      </c>
      <c r="O97">
        <v>95</v>
      </c>
      <c r="P97" s="6">
        <f t="shared" ca="1" si="12"/>
        <v>1950.0768227481472</v>
      </c>
      <c r="Q97" s="6">
        <f t="shared" ca="1" si="13"/>
        <v>383.85671983333799</v>
      </c>
      <c r="R97" s="6">
        <f t="shared" ca="1" si="14"/>
        <v>158.64669377048227</v>
      </c>
      <c r="S97" s="6"/>
      <c r="T97" s="4">
        <f t="shared" ca="1" si="15"/>
        <v>-2.5577742995485727E-3</v>
      </c>
      <c r="U97" s="4">
        <f t="shared" ca="1" si="16"/>
        <v>2.753960644266356E-2</v>
      </c>
      <c r="V97" s="4">
        <f t="shared" ca="1" si="17"/>
        <v>9.2552003226135854E-2</v>
      </c>
      <c r="W97" s="4"/>
      <c r="X97">
        <v>95</v>
      </c>
      <c r="Y97" s="4">
        <f t="shared" ca="1" si="18"/>
        <v>8.1556957477361379E-3</v>
      </c>
      <c r="Z97" s="4">
        <f ca="1"/>
        <v>-2.7481733072599362E-2</v>
      </c>
      <c r="AA97" s="4"/>
    </row>
    <row r="98" spans="1:27" x14ac:dyDescent="0.35">
      <c r="A98">
        <v>96</v>
      </c>
      <c r="B98">
        <f ca="1">_xlfn.NORM.INV(RAND(),Hitorical_Sim!$AB$4,Hitorical_Sim!$AB$5)</f>
        <v>-3.2199021577733584E-3</v>
      </c>
      <c r="C98">
        <f ca="1">_xlfn.NORM.INV(RAND(),Hitorical_Sim!$AB$4,Hitorical_Sim!$AB$5)</f>
        <v>-2.1446197688379152E-2</v>
      </c>
      <c r="D98">
        <f ca="1">_xlfn.NORM.INV(RAND(),Hitorical_Sim!$AB$4,Hitorical_Sim!$AB$5)</f>
        <v>9.9939947912334598E-3</v>
      </c>
      <c r="K98">
        <f t="shared" ca="1" si="19"/>
        <v>-1.2953459722256033E-2</v>
      </c>
      <c r="L98">
        <f t="shared" ca="1" si="19"/>
        <v>-2.2844353085119651</v>
      </c>
      <c r="M98">
        <f t="shared" ca="1" si="19"/>
        <v>0.12335744902704983</v>
      </c>
      <c r="O98">
        <v>96</v>
      </c>
      <c r="P98" s="6">
        <f t="shared" ca="1" si="12"/>
        <v>1937.389326547554</v>
      </c>
      <c r="Q98" s="6">
        <f t="shared" ca="1" si="13"/>
        <v>360.15163088112905</v>
      </c>
      <c r="R98" s="6">
        <f t="shared" ca="1" si="14"/>
        <v>151.33773533387472</v>
      </c>
      <c r="S98" s="6"/>
      <c r="T98" s="4">
        <f t="shared" ca="1" si="15"/>
        <v>-6.5274092487972099E-3</v>
      </c>
      <c r="U98" s="4">
        <f t="shared" ca="1" si="16"/>
        <v>-6.374421786142602E-2</v>
      </c>
      <c r="V98" s="4">
        <f t="shared" ca="1" si="17"/>
        <v>-4.7165680982516216E-2</v>
      </c>
      <c r="W98" s="4"/>
      <c r="X98">
        <v>96</v>
      </c>
      <c r="Y98" s="4">
        <f t="shared" ca="1" si="18"/>
        <v>-1.995725085713411E-2</v>
      </c>
      <c r="Z98" s="4">
        <f ca="1"/>
        <v>-2.7468121165162208E-2</v>
      </c>
      <c r="AA98" s="4"/>
    </row>
    <row r="99" spans="1:27" x14ac:dyDescent="0.35">
      <c r="A99">
        <v>97</v>
      </c>
      <c r="B99">
        <f ca="1">_xlfn.NORM.INV(RAND(),Hitorical_Sim!$AB$4,Hitorical_Sim!$AB$5)</f>
        <v>-3.1606004829020234E-2</v>
      </c>
      <c r="C99">
        <f ca="1">_xlfn.NORM.INV(RAND(),Hitorical_Sim!$AB$4,Hitorical_Sim!$AB$5)</f>
        <v>8.5600896877862879E-3</v>
      </c>
      <c r="D99">
        <f ca="1">_xlfn.NORM.INV(RAND(),Hitorical_Sim!$AB$4,Hitorical_Sim!$AB$5)</f>
        <v>3.0707816591811128E-3</v>
      </c>
      <c r="K99">
        <f t="shared" ca="1" si="19"/>
        <v>-0.12984580252050609</v>
      </c>
      <c r="L99">
        <f t="shared" ca="1" si="19"/>
        <v>2.1469680930784822E-2</v>
      </c>
      <c r="M99">
        <f t="shared" ca="1" si="19"/>
        <v>2.780009141784389E-2</v>
      </c>
      <c r="O99">
        <v>97</v>
      </c>
      <c r="P99" s="6">
        <f t="shared" ca="1" si="12"/>
        <v>1933.2850722197547</v>
      </c>
      <c r="Q99" s="6">
        <f t="shared" ca="1" si="13"/>
        <v>384.64166592537026</v>
      </c>
      <c r="R99" s="6">
        <f t="shared" ca="1" si="14"/>
        <v>150.89722908375569</v>
      </c>
      <c r="S99" s="6"/>
      <c r="T99" s="4">
        <f t="shared" ca="1" si="15"/>
        <v>-2.1206929042087552E-3</v>
      </c>
      <c r="U99" s="4">
        <f t="shared" ca="1" si="16"/>
        <v>6.5787023362509384E-2</v>
      </c>
      <c r="V99" s="4">
        <f t="shared" ca="1" si="17"/>
        <v>-2.9149940536489526E-3</v>
      </c>
      <c r="W99" s="4"/>
      <c r="X99">
        <v>97</v>
      </c>
      <c r="Y99" s="4">
        <f t="shared" ca="1" si="18"/>
        <v>1.139221023953787E-2</v>
      </c>
      <c r="Z99" s="4">
        <f ca="1"/>
        <v>-2.7337974231955602E-2</v>
      </c>
      <c r="AA99" s="4"/>
    </row>
    <row r="100" spans="1:27" x14ac:dyDescent="0.35">
      <c r="A100">
        <v>98</v>
      </c>
      <c r="B100">
        <f ca="1">_xlfn.NORM.INV(RAND(),Hitorical_Sim!$AB$4,Hitorical_Sim!$AB$5)</f>
        <v>-1.4471910173566086E-2</v>
      </c>
      <c r="C100">
        <f ca="1">_xlfn.NORM.INV(RAND(),Hitorical_Sim!$AB$4,Hitorical_Sim!$AB$5)</f>
        <v>-1.6251246726958143E-2</v>
      </c>
      <c r="D100">
        <f ca="1">_xlfn.NORM.INV(RAND(),Hitorical_Sim!$AB$4,Hitorical_Sim!$AB$5)</f>
        <v>-9.3044412761443211E-3</v>
      </c>
      <c r="K100">
        <f t="shared" ca="1" si="19"/>
        <v>-0.10966227197700983</v>
      </c>
      <c r="L100">
        <f t="shared" ca="1" si="19"/>
        <v>-1.310909918769908</v>
      </c>
      <c r="M100">
        <f t="shared" ca="1" si="19"/>
        <v>0.71973193777082345</v>
      </c>
      <c r="O100">
        <v>98</v>
      </c>
      <c r="P100" s="6">
        <f t="shared" ca="1" si="12"/>
        <v>1933.9931227793509</v>
      </c>
      <c r="Q100" s="6">
        <f t="shared" ca="1" si="13"/>
        <v>370.29486872305313</v>
      </c>
      <c r="R100" s="6">
        <f t="shared" ca="1" si="14"/>
        <v>154.11614493719182</v>
      </c>
      <c r="S100" s="6"/>
      <c r="T100" s="4">
        <f t="shared" ca="1" si="15"/>
        <v>3.6617514014025015E-4</v>
      </c>
      <c r="U100" s="4">
        <f t="shared" ca="1" si="16"/>
        <v>-3.8012532283224314E-2</v>
      </c>
      <c r="V100" s="4">
        <f t="shared" ca="1" si="17"/>
        <v>2.1107503054845201E-2</v>
      </c>
      <c r="W100" s="4"/>
      <c r="X100">
        <v>98</v>
      </c>
      <c r="Y100" s="4">
        <f t="shared" ca="1" si="18"/>
        <v>-6.2664995885070886E-3</v>
      </c>
      <c r="Z100" s="4">
        <f ca="1"/>
        <v>-2.7004504191723566E-2</v>
      </c>
      <c r="AA100" s="4"/>
    </row>
    <row r="101" spans="1:27" x14ac:dyDescent="0.35">
      <c r="A101">
        <v>99</v>
      </c>
      <c r="B101">
        <f ca="1">_xlfn.NORM.INV(RAND(),Hitorical_Sim!$AB$4,Hitorical_Sim!$AB$5)</f>
        <v>-8.305562774543869E-3</v>
      </c>
      <c r="C101">
        <f ca="1">_xlfn.NORM.INV(RAND(),Hitorical_Sim!$AB$4,Hitorical_Sim!$AB$5)</f>
        <v>1.3863706353736743E-2</v>
      </c>
      <c r="D101">
        <f ca="1">_xlfn.NORM.INV(RAND(),Hitorical_Sim!$AB$4,Hitorical_Sim!$AB$5)</f>
        <v>-4.8300611753243891E-2</v>
      </c>
      <c r="K101">
        <f t="shared" ca="1" si="19"/>
        <v>5.7466049351931697E-2</v>
      </c>
      <c r="L101">
        <f t="shared" ca="1" si="19"/>
        <v>1.3863330381914039</v>
      </c>
      <c r="M101">
        <f t="shared" ca="1" si="19"/>
        <v>1.7164895741771395</v>
      </c>
      <c r="O101">
        <v>99</v>
      </c>
      <c r="P101" s="6">
        <f t="shared" ca="1" si="12"/>
        <v>1939.8660588388486</v>
      </c>
      <c r="Q101" s="6">
        <f t="shared" ca="1" si="13"/>
        <v>399.91477049013895</v>
      </c>
      <c r="R101" s="6">
        <f t="shared" ca="1" si="14"/>
        <v>158.87421263553199</v>
      </c>
      <c r="S101" s="6"/>
      <c r="T101" s="4">
        <f t="shared" ca="1" si="15"/>
        <v>3.0320877882167242E-3</v>
      </c>
      <c r="U101" s="4">
        <f t="shared" ca="1" si="16"/>
        <v>7.6951819886932685E-2</v>
      </c>
      <c r="V101" s="4">
        <f t="shared" ca="1" si="17"/>
        <v>3.0406267562736209E-2</v>
      </c>
      <c r="W101" s="4"/>
      <c r="X101">
        <v>99</v>
      </c>
      <c r="Y101" s="4">
        <f t="shared" ca="1" si="18"/>
        <v>1.9138858592641424E-2</v>
      </c>
      <c r="Z101" s="4">
        <f ca="1"/>
        <v>-2.6988661152003074E-2</v>
      </c>
      <c r="AA101" s="4"/>
    </row>
    <row r="102" spans="1:27" x14ac:dyDescent="0.35">
      <c r="A102">
        <v>100</v>
      </c>
      <c r="B102">
        <f ca="1">_xlfn.NORM.INV(RAND(),Hitorical_Sim!$AB$4,Hitorical_Sim!$AB$5)</f>
        <v>1.3901850513425361E-3</v>
      </c>
      <c r="C102">
        <f ca="1">_xlfn.NORM.INV(RAND(),Hitorical_Sim!$AB$4,Hitorical_Sim!$AB$5)</f>
        <v>-8.3040935843365256E-3</v>
      </c>
      <c r="D102">
        <f ca="1">_xlfn.NORM.INV(RAND(),Hitorical_Sim!$AB$4,Hitorical_Sim!$AB$5)</f>
        <v>-8.8917069202110316E-3</v>
      </c>
      <c r="K102">
        <f t="shared" ca="1" si="19"/>
        <v>-5.3940455570925701E-2</v>
      </c>
      <c r="L102">
        <f t="shared" ca="1" si="19"/>
        <v>1.1779048256146643</v>
      </c>
      <c r="M102">
        <f t="shared" ca="1" si="19"/>
        <v>-0.53808822265688938</v>
      </c>
      <c r="O102">
        <v>100</v>
      </c>
      <c r="P102" s="6">
        <f t="shared" ca="1" si="12"/>
        <v>1935.9492245569324</v>
      </c>
      <c r="Q102" s="6">
        <f t="shared" ca="1" si="13"/>
        <v>397.5437671366368</v>
      </c>
      <c r="R102" s="6">
        <f t="shared" ca="1" si="14"/>
        <v>148.31471668715298</v>
      </c>
      <c r="S102" s="6"/>
      <c r="T102" s="4">
        <f t="shared" ca="1" si="15"/>
        <v>-2.021167330698152E-3</v>
      </c>
      <c r="U102" s="4">
        <f t="shared" ca="1" si="16"/>
        <v>-5.9464165926043974E-3</v>
      </c>
      <c r="V102" s="4">
        <f t="shared" ca="1" si="17"/>
        <v>-6.8776293481632972E-2</v>
      </c>
      <c r="W102" s="4"/>
      <c r="X102">
        <v>100</v>
      </c>
      <c r="Y102" s="4">
        <f t="shared" ca="1" si="18"/>
        <v>-6.1082402811130018E-3</v>
      </c>
      <c r="Z102" s="4">
        <f ca="1"/>
        <v>-2.6793240919020151E-2</v>
      </c>
      <c r="AA102" s="4"/>
    </row>
    <row r="103" spans="1:27" x14ac:dyDescent="0.35">
      <c r="A103">
        <v>101</v>
      </c>
      <c r="B103">
        <f ca="1">_xlfn.NORM.INV(RAND(),Hitorical_Sim!$AB$4,Hitorical_Sim!$AB$5)</f>
        <v>7.9126090108222521E-3</v>
      </c>
      <c r="C103">
        <f ca="1">_xlfn.NORM.INV(RAND(),Hitorical_Sim!$AB$4,Hitorical_Sim!$AB$5)</f>
        <v>8.1051251403794992E-3</v>
      </c>
      <c r="D103">
        <f ca="1">_xlfn.NORM.INV(RAND(),Hitorical_Sim!$AB$4,Hitorical_Sim!$AB$5)</f>
        <v>-1.1130365469703611E-2</v>
      </c>
      <c r="K103">
        <f t="shared" ca="1" si="19"/>
        <v>-0.52364514831931808</v>
      </c>
      <c r="L103">
        <f t="shared" ca="1" si="19"/>
        <v>4.1228702913716601E-2</v>
      </c>
      <c r="M103">
        <f t="shared" ca="1" si="19"/>
        <v>0.50827452199828582</v>
      </c>
      <c r="O103">
        <v>101</v>
      </c>
      <c r="P103" s="6">
        <f t="shared" ca="1" si="12"/>
        <v>1919.522102903413</v>
      </c>
      <c r="Q103" s="6">
        <f t="shared" ca="1" si="13"/>
        <v>384.85855766647398</v>
      </c>
      <c r="R103" s="6">
        <f t="shared" ca="1" si="14"/>
        <v>153.12521115719397</v>
      </c>
      <c r="S103" s="6"/>
      <c r="T103" s="4">
        <f t="shared" ca="1" si="15"/>
        <v>-8.5215112054372443E-3</v>
      </c>
      <c r="U103" s="4">
        <f t="shared" ca="1" si="16"/>
        <v>-3.2429149935533592E-2</v>
      </c>
      <c r="V103" s="4">
        <f t="shared" ca="1" si="17"/>
        <v>3.1919480142005935E-2</v>
      </c>
      <c r="W103" s="4"/>
      <c r="X103">
        <v>101</v>
      </c>
      <c r="Y103" s="4">
        <f t="shared" ca="1" si="18"/>
        <v>-1.1291283839550666E-2</v>
      </c>
      <c r="Z103" s="4">
        <f ca="1"/>
        <v>-2.6788752926412952E-2</v>
      </c>
      <c r="AA103" s="4"/>
    </row>
    <row r="104" spans="1:27" x14ac:dyDescent="0.35">
      <c r="A104">
        <v>102</v>
      </c>
      <c r="B104">
        <f ca="1">_xlfn.NORM.INV(RAND(),Hitorical_Sim!$AB$4,Hitorical_Sim!$AB$5)</f>
        <v>-1.5843351831906532E-2</v>
      </c>
      <c r="C104">
        <f ca="1">_xlfn.NORM.INV(RAND(),Hitorical_Sim!$AB$4,Hitorical_Sim!$AB$5)</f>
        <v>3.1324056542114142E-3</v>
      </c>
      <c r="D104">
        <f ca="1">_xlfn.NORM.INV(RAND(),Hitorical_Sim!$AB$4,Hitorical_Sim!$AB$5)</f>
        <v>-9.4424243775184102E-3</v>
      </c>
      <c r="K104">
        <f t="shared" ref="K104:M123" ca="1" si="20">_xlfn.NORM.S.INV(RAND())</f>
        <v>-0.57694672194974272</v>
      </c>
      <c r="L104">
        <f t="shared" ca="1" si="20"/>
        <v>-0.21712652832650531</v>
      </c>
      <c r="M104">
        <f t="shared" ca="1" si="20"/>
        <v>0.26868489631178516</v>
      </c>
      <c r="O104">
        <v>102</v>
      </c>
      <c r="P104" s="6">
        <f t="shared" ca="1" si="12"/>
        <v>1917.6667996699418</v>
      </c>
      <c r="Q104" s="6">
        <f t="shared" ca="1" si="13"/>
        <v>382.03226153594306</v>
      </c>
      <c r="R104" s="6">
        <f t="shared" ca="1" si="14"/>
        <v>152.0101411145985</v>
      </c>
      <c r="S104" s="6"/>
      <c r="T104" s="4">
        <f t="shared" ca="1" si="15"/>
        <v>-9.6701175008778316E-4</v>
      </c>
      <c r="U104" s="4">
        <f t="shared" ca="1" si="16"/>
        <v>-7.3708247786630158E-3</v>
      </c>
      <c r="V104" s="4">
        <f t="shared" ca="1" si="17"/>
        <v>-7.3087238038575973E-3</v>
      </c>
      <c r="W104" s="4"/>
      <c r="X104">
        <v>102</v>
      </c>
      <c r="Y104" s="4">
        <f t="shared" ca="1" si="18"/>
        <v>-2.55886049258815E-3</v>
      </c>
      <c r="Z104" s="4">
        <f ca="1"/>
        <v>-2.6680145248825796E-2</v>
      </c>
      <c r="AA104" s="4"/>
    </row>
    <row r="105" spans="1:27" x14ac:dyDescent="0.35">
      <c r="A105">
        <v>103</v>
      </c>
      <c r="B105">
        <f ca="1">_xlfn.NORM.INV(RAND(),Hitorical_Sim!$AB$4,Hitorical_Sim!$AB$5)</f>
        <v>3.7280277755613717E-3</v>
      </c>
      <c r="C105">
        <f ca="1">_xlfn.NORM.INV(RAND(),Hitorical_Sim!$AB$4,Hitorical_Sim!$AB$5)</f>
        <v>-2.4473598624298563E-3</v>
      </c>
      <c r="D105">
        <f ca="1">_xlfn.NORM.INV(RAND(),Hitorical_Sim!$AB$4,Hitorical_Sim!$AB$5)</f>
        <v>1.5326530939967766E-2</v>
      </c>
      <c r="K105">
        <f t="shared" ca="1" si="20"/>
        <v>-0.90761441791325992</v>
      </c>
      <c r="L105">
        <f t="shared" ca="1" si="20"/>
        <v>1.0848049951640151</v>
      </c>
      <c r="M105">
        <f t="shared" ca="1" si="20"/>
        <v>0.19064880260595757</v>
      </c>
      <c r="O105">
        <v>103</v>
      </c>
      <c r="P105" s="6">
        <f t="shared" ca="1" si="12"/>
        <v>1906.1970322893292</v>
      </c>
      <c r="Q105" s="6">
        <f t="shared" ca="1" si="13"/>
        <v>396.48924421351052</v>
      </c>
      <c r="R105" s="6">
        <f t="shared" ca="1" si="14"/>
        <v>151.64871060718883</v>
      </c>
      <c r="S105" s="6"/>
      <c r="T105" s="4">
        <f t="shared" ca="1" si="15"/>
        <v>-5.9990639223580777E-3</v>
      </c>
      <c r="U105" s="4">
        <f t="shared" ca="1" si="16"/>
        <v>3.7143854557926473E-2</v>
      </c>
      <c r="V105" s="4">
        <f t="shared" ca="1" si="17"/>
        <v>-2.3805048068904311E-3</v>
      </c>
      <c r="W105" s="4"/>
      <c r="X105">
        <v>103</v>
      </c>
      <c r="Y105" s="4">
        <f t="shared" ca="1" si="18"/>
        <v>2.7899688167519797E-3</v>
      </c>
      <c r="Z105" s="4">
        <f ca="1"/>
        <v>-2.665573008774768E-2</v>
      </c>
      <c r="AA105" s="4"/>
    </row>
    <row r="106" spans="1:27" x14ac:dyDescent="0.35">
      <c r="A106">
        <v>104</v>
      </c>
      <c r="B106">
        <f ca="1">_xlfn.NORM.INV(RAND(),Hitorical_Sim!$AB$4,Hitorical_Sim!$AB$5)</f>
        <v>1.6184041227508477E-2</v>
      </c>
      <c r="C106">
        <f ca="1">_xlfn.NORM.INV(RAND(),Hitorical_Sim!$AB$4,Hitorical_Sim!$AB$5)</f>
        <v>1.7736088475823451E-2</v>
      </c>
      <c r="D106">
        <f ca="1">_xlfn.NORM.INV(RAND(),Hitorical_Sim!$AB$4,Hitorical_Sim!$AB$5)</f>
        <v>2.2571787535860709E-2</v>
      </c>
      <c r="K106">
        <f t="shared" ca="1" si="20"/>
        <v>-0.66785375590489826</v>
      </c>
      <c r="L106">
        <f t="shared" ca="1" si="20"/>
        <v>-0.59696256554022475</v>
      </c>
      <c r="M106">
        <f t="shared" ca="1" si="20"/>
        <v>-0.70589641109722789</v>
      </c>
      <c r="O106">
        <v>104</v>
      </c>
      <c r="P106" s="6">
        <f t="shared" ca="1" si="12"/>
        <v>1914.5066745747686</v>
      </c>
      <c r="Q106" s="6">
        <f t="shared" ca="1" si="13"/>
        <v>377.9146629141361</v>
      </c>
      <c r="R106" s="6">
        <f t="shared" ca="1" si="14"/>
        <v>147.55743085778792</v>
      </c>
      <c r="S106" s="6"/>
      <c r="T106" s="4">
        <f t="shared" ca="1" si="15"/>
        <v>4.3498036095239315E-3</v>
      </c>
      <c r="U106" s="4">
        <f t="shared" ca="1" si="16"/>
        <v>-4.7980503235346625E-2</v>
      </c>
      <c r="V106" s="4">
        <f t="shared" ca="1" si="17"/>
        <v>-2.7349269927074878E-2</v>
      </c>
      <c r="W106" s="4"/>
      <c r="X106">
        <v>104</v>
      </c>
      <c r="Y106" s="4">
        <f t="shared" ca="1" si="18"/>
        <v>-7.6624463769631914E-3</v>
      </c>
      <c r="Z106" s="4">
        <f ca="1"/>
        <v>-2.6578277196203412E-2</v>
      </c>
      <c r="AA106" s="4"/>
    </row>
    <row r="107" spans="1:27" x14ac:dyDescent="0.35">
      <c r="A107">
        <v>105</v>
      </c>
      <c r="B107">
        <f ca="1">_xlfn.NORM.INV(RAND(),Hitorical_Sim!$AB$4,Hitorical_Sim!$AB$5)</f>
        <v>-5.9799120407823215E-4</v>
      </c>
      <c r="C107">
        <f ca="1">_xlfn.NORM.INV(RAND(),Hitorical_Sim!$AB$4,Hitorical_Sim!$AB$5)</f>
        <v>-7.8222198163995019E-3</v>
      </c>
      <c r="D107">
        <f ca="1">_xlfn.NORM.INV(RAND(),Hitorical_Sim!$AB$4,Hitorical_Sim!$AB$5)</f>
        <v>2.6476430378985519E-2</v>
      </c>
      <c r="K107">
        <f t="shared" ca="1" si="20"/>
        <v>-2.9580709940428936E-2</v>
      </c>
      <c r="L107">
        <f t="shared" ca="1" si="20"/>
        <v>0.67375954340587352</v>
      </c>
      <c r="M107">
        <f t="shared" ca="1" si="20"/>
        <v>1.6379983010176258</v>
      </c>
      <c r="O107">
        <v>105</v>
      </c>
      <c r="P107" s="6">
        <f t="shared" ca="1" si="12"/>
        <v>1936.8049893232187</v>
      </c>
      <c r="Q107" s="6">
        <f t="shared" ca="1" si="13"/>
        <v>391.86675317759773</v>
      </c>
      <c r="R107" s="6">
        <f t="shared" ca="1" si="14"/>
        <v>158.49426084579758</v>
      </c>
      <c r="S107" s="6"/>
      <c r="T107" s="4">
        <f t="shared" ca="1" si="15"/>
        <v>1.157972444662847E-2</v>
      </c>
      <c r="U107" s="4">
        <f t="shared" ca="1" si="16"/>
        <v>3.625345599720322E-2</v>
      </c>
      <c r="V107" s="4">
        <f t="shared" ca="1" si="17"/>
        <v>7.1500921741014384E-2</v>
      </c>
      <c r="W107" s="4"/>
      <c r="X107">
        <v>105</v>
      </c>
      <c r="Y107" s="4">
        <f t="shared" ca="1" si="18"/>
        <v>1.9469320395398015E-2</v>
      </c>
      <c r="Z107" s="4">
        <f ca="1"/>
        <v>-2.6559625994033022E-2</v>
      </c>
      <c r="AA107" s="4"/>
    </row>
    <row r="108" spans="1:27" x14ac:dyDescent="0.35">
      <c r="A108">
        <v>106</v>
      </c>
      <c r="B108">
        <f ca="1">_xlfn.NORM.INV(RAND(),Hitorical_Sim!$AB$4,Hitorical_Sim!$AB$5)</f>
        <v>9.7523625517550155E-3</v>
      </c>
      <c r="C108">
        <f ca="1">_xlfn.NORM.INV(RAND(),Hitorical_Sim!$AB$4,Hitorical_Sim!$AB$5)</f>
        <v>-1.8702839341892818E-2</v>
      </c>
      <c r="D108">
        <f ca="1">_xlfn.NORM.INV(RAND(),Hitorical_Sim!$AB$4,Hitorical_Sim!$AB$5)</f>
        <v>-2.7150370998990009E-2</v>
      </c>
      <c r="K108">
        <f t="shared" ca="1" si="20"/>
        <v>1.3547375688764873</v>
      </c>
      <c r="L108">
        <f t="shared" ca="1" si="20"/>
        <v>1.4162987620733243</v>
      </c>
      <c r="M108">
        <f t="shared" ca="1" si="20"/>
        <v>-0.23455191187142704</v>
      </c>
      <c r="O108">
        <v>106</v>
      </c>
      <c r="P108" s="6">
        <f t="shared" ca="1" si="12"/>
        <v>1986.0631925687364</v>
      </c>
      <c r="Q108" s="6">
        <f t="shared" ca="1" si="13"/>
        <v>400.25681033559522</v>
      </c>
      <c r="R108" s="6">
        <f t="shared" ca="1" si="14"/>
        <v>149.69440393409715</v>
      </c>
      <c r="S108" s="6"/>
      <c r="T108" s="4">
        <f t="shared" ca="1" si="15"/>
        <v>2.5114681430591819E-2</v>
      </c>
      <c r="U108" s="4">
        <f t="shared" ca="1" si="16"/>
        <v>2.1184500293682806E-2</v>
      </c>
      <c r="V108" s="4">
        <f t="shared" ca="1" si="17"/>
        <v>-5.7122474629883964E-2</v>
      </c>
      <c r="W108" s="4"/>
      <c r="X108">
        <v>106</v>
      </c>
      <c r="Y108" s="4">
        <f t="shared" ca="1" si="18"/>
        <v>2.0260416656449499E-2</v>
      </c>
      <c r="Z108" s="4">
        <f ca="1"/>
        <v>-2.6322847772279393E-2</v>
      </c>
      <c r="AA108" s="4"/>
    </row>
    <row r="109" spans="1:27" x14ac:dyDescent="0.35">
      <c r="A109">
        <v>107</v>
      </c>
      <c r="B109">
        <f ca="1">_xlfn.NORM.INV(RAND(),Hitorical_Sim!$AB$4,Hitorical_Sim!$AB$5)</f>
        <v>3.2849686354873231E-2</v>
      </c>
      <c r="C109">
        <f ca="1">_xlfn.NORM.INV(RAND(),Hitorical_Sim!$AB$4,Hitorical_Sim!$AB$5)</f>
        <v>7.6064469862582211E-3</v>
      </c>
      <c r="D109">
        <f ca="1">_xlfn.NORM.INV(RAND(),Hitorical_Sim!$AB$4,Hitorical_Sim!$AB$5)</f>
        <v>1.2116235657922395E-2</v>
      </c>
      <c r="K109">
        <f t="shared" ca="1" si="20"/>
        <v>-2.9638435443105742</v>
      </c>
      <c r="L109">
        <f t="shared" ca="1" si="20"/>
        <v>-1.6650947096257951</v>
      </c>
      <c r="M109">
        <f t="shared" ca="1" si="20"/>
        <v>-0.21042202217081177</v>
      </c>
      <c r="O109">
        <v>107</v>
      </c>
      <c r="P109" s="6">
        <f t="shared" ca="1" si="12"/>
        <v>1836.397005138519</v>
      </c>
      <c r="Q109" s="6">
        <f t="shared" ca="1" si="13"/>
        <v>366.57194581970765</v>
      </c>
      <c r="R109" s="6">
        <f t="shared" ca="1" si="14"/>
        <v>149.80463253426871</v>
      </c>
      <c r="S109" s="6"/>
      <c r="T109" s="4">
        <f t="shared" ca="1" si="15"/>
        <v>-7.8348881575526344E-2</v>
      </c>
      <c r="U109" s="4">
        <f t="shared" ca="1" si="16"/>
        <v>-8.7911559773649797E-2</v>
      </c>
      <c r="V109" s="4">
        <f t="shared" ca="1" si="17"/>
        <v>7.3608654270407119E-4</v>
      </c>
      <c r="W109" s="4"/>
      <c r="X109">
        <v>107</v>
      </c>
      <c r="Y109" s="4">
        <f t="shared" ca="1" si="18"/>
        <v>-7.6343362629662667E-2</v>
      </c>
      <c r="Z109" s="4">
        <f ca="1"/>
        <v>-2.6321623171614024E-2</v>
      </c>
      <c r="AA109" s="4"/>
    </row>
    <row r="110" spans="1:27" x14ac:dyDescent="0.35">
      <c r="A110">
        <v>108</v>
      </c>
      <c r="B110">
        <f ca="1">_xlfn.NORM.INV(RAND(),Hitorical_Sim!$AB$4,Hitorical_Sim!$AB$5)</f>
        <v>-1.2005570575031323E-2</v>
      </c>
      <c r="C110">
        <f ca="1">_xlfn.NORM.INV(RAND(),Hitorical_Sim!$AB$4,Hitorical_Sim!$AB$5)</f>
        <v>-1.6187723661605615E-2</v>
      </c>
      <c r="D110">
        <f ca="1">_xlfn.NORM.INV(RAND(),Hitorical_Sim!$AB$4,Hitorical_Sim!$AB$5)</f>
        <v>4.315420875380345E-3</v>
      </c>
      <c r="K110">
        <f t="shared" ca="1" si="20"/>
        <v>-2.0415299725281458E-2</v>
      </c>
      <c r="L110">
        <f t="shared" ca="1" si="20"/>
        <v>1.0517274796762275</v>
      </c>
      <c r="M110">
        <f t="shared" ca="1" si="20"/>
        <v>6.1596672602535589E-2</v>
      </c>
      <c r="O110">
        <v>108</v>
      </c>
      <c r="P110" s="6">
        <f t="shared" ca="1" si="12"/>
        <v>1937.1270707125207</v>
      </c>
      <c r="Q110" s="6">
        <f t="shared" ca="1" si="13"/>
        <v>396.11525574218314</v>
      </c>
      <c r="R110" s="6">
        <f t="shared" ca="1" si="14"/>
        <v>151.05287992336272</v>
      </c>
      <c r="S110" s="6"/>
      <c r="T110" s="4">
        <f t="shared" ca="1" si="15"/>
        <v>5.3400481527804924E-2</v>
      </c>
      <c r="U110" s="4">
        <f t="shared" ca="1" si="16"/>
        <v>7.7510411598783496E-2</v>
      </c>
      <c r="V110" s="4">
        <f t="shared" ca="1" si="17"/>
        <v>8.2979782780144423E-3</v>
      </c>
      <c r="W110" s="4"/>
      <c r="X110">
        <v>108</v>
      </c>
      <c r="Y110" s="4">
        <f t="shared" ca="1" si="18"/>
        <v>5.5979925944958348E-2</v>
      </c>
      <c r="Z110" s="4">
        <f ca="1"/>
        <v>-2.6022561374580613E-2</v>
      </c>
      <c r="AA110" s="4"/>
    </row>
    <row r="111" spans="1:27" x14ac:dyDescent="0.35">
      <c r="A111">
        <v>109</v>
      </c>
      <c r="B111">
        <f ca="1">_xlfn.NORM.INV(RAND(),Hitorical_Sim!$AB$4,Hitorical_Sim!$AB$5)</f>
        <v>-2.2640925630138611E-2</v>
      </c>
      <c r="C111">
        <f ca="1">_xlfn.NORM.INV(RAND(),Hitorical_Sim!$AB$4,Hitorical_Sim!$AB$5)</f>
        <v>2.7684134114353796E-3</v>
      </c>
      <c r="D111">
        <f ca="1">_xlfn.NORM.INV(RAND(),Hitorical_Sim!$AB$4,Hitorical_Sim!$AB$5)</f>
        <v>-2.0056036828396309E-2</v>
      </c>
      <c r="K111">
        <f t="shared" ca="1" si="20"/>
        <v>0.85465534839776203</v>
      </c>
      <c r="L111">
        <f t="shared" ca="1" si="20"/>
        <v>-2.6528714945332363</v>
      </c>
      <c r="M111">
        <f t="shared" ca="1" si="20"/>
        <v>-0.57029529018436687</v>
      </c>
      <c r="O111">
        <v>109</v>
      </c>
      <c r="P111" s="6">
        <f t="shared" ca="1" si="12"/>
        <v>1968.1258711435855</v>
      </c>
      <c r="Q111" s="6">
        <f t="shared" ca="1" si="13"/>
        <v>356.38575531142914</v>
      </c>
      <c r="R111" s="6">
        <f t="shared" ca="1" si="14"/>
        <v>148.16907166506948</v>
      </c>
      <c r="S111" s="6"/>
      <c r="T111" s="4">
        <f t="shared" ca="1" si="15"/>
        <v>1.5875771412665204E-2</v>
      </c>
      <c r="U111" s="4">
        <f t="shared" ca="1" si="16"/>
        <v>-0.10569149222576749</v>
      </c>
      <c r="V111" s="4">
        <f t="shared" ca="1" si="17"/>
        <v>-1.9275975813451165E-2</v>
      </c>
      <c r="W111" s="4"/>
      <c r="X111">
        <v>109</v>
      </c>
      <c r="Y111" s="4">
        <f t="shared" ca="1" si="18"/>
        <v>-1.0124839037319651E-2</v>
      </c>
      <c r="Z111" s="4">
        <f ca="1"/>
        <v>-2.6006098920565202E-2</v>
      </c>
      <c r="AA111" s="4"/>
    </row>
    <row r="112" spans="1:27" x14ac:dyDescent="0.35">
      <c r="A112">
        <v>110</v>
      </c>
      <c r="B112">
        <f ca="1">_xlfn.NORM.INV(RAND(),Hitorical_Sim!$AB$4,Hitorical_Sim!$AB$5)</f>
        <v>9.8238619400558159E-3</v>
      </c>
      <c r="C112">
        <f ca="1">_xlfn.NORM.INV(RAND(),Hitorical_Sim!$AB$4,Hitorical_Sim!$AB$5)</f>
        <v>1.447246257619883E-3</v>
      </c>
      <c r="D112">
        <f ca="1">_xlfn.NORM.INV(RAND(),Hitorical_Sim!$AB$4,Hitorical_Sim!$AB$5)</f>
        <v>-4.3488102988272964E-2</v>
      </c>
      <c r="K112">
        <f t="shared" ca="1" si="20"/>
        <v>0.47040550368813172</v>
      </c>
      <c r="L112">
        <f t="shared" ca="1" si="20"/>
        <v>0.76145739151661607</v>
      </c>
      <c r="M112">
        <f t="shared" ca="1" si="20"/>
        <v>0.85621641743053511</v>
      </c>
      <c r="O112">
        <v>110</v>
      </c>
      <c r="P112" s="6">
        <f t="shared" ca="1" si="12"/>
        <v>1954.4534508244838</v>
      </c>
      <c r="Q112" s="6">
        <f t="shared" ca="1" si="13"/>
        <v>392.84843240039669</v>
      </c>
      <c r="R112" s="6">
        <f t="shared" ca="1" si="14"/>
        <v>154.75914253311518</v>
      </c>
      <c r="S112" s="6"/>
      <c r="T112" s="4">
        <f t="shared" ca="1" si="15"/>
        <v>-6.9711659430547216E-3</v>
      </c>
      <c r="U112" s="4">
        <f t="shared" ca="1" si="16"/>
        <v>9.7410142751863507E-2</v>
      </c>
      <c r="V112" s="4">
        <f t="shared" ca="1" si="17"/>
        <v>4.3515991329142946E-2</v>
      </c>
      <c r="W112" s="4"/>
      <c r="X112">
        <v>110</v>
      </c>
      <c r="Y112" s="4">
        <f t="shared" ca="1" si="18"/>
        <v>1.6358627357948068E-2</v>
      </c>
      <c r="Z112" s="4">
        <f ca="1"/>
        <v>-2.5993846735973276E-2</v>
      </c>
      <c r="AA112" s="4"/>
    </row>
    <row r="113" spans="1:27" x14ac:dyDescent="0.35">
      <c r="A113">
        <v>111</v>
      </c>
      <c r="B113">
        <f ca="1">_xlfn.NORM.INV(RAND(),Hitorical_Sim!$AB$4,Hitorical_Sim!$AB$5)</f>
        <v>-8.9589755623034339E-3</v>
      </c>
      <c r="C113">
        <f ca="1">_xlfn.NORM.INV(RAND(),Hitorical_Sim!$AB$4,Hitorical_Sim!$AB$5)</f>
        <v>1.5361274206877183E-2</v>
      </c>
      <c r="D113">
        <f ca="1">_xlfn.NORM.INV(RAND(),Hitorical_Sim!$AB$4,Hitorical_Sim!$AB$5)</f>
        <v>1.2932844858731736E-2</v>
      </c>
      <c r="K113">
        <f t="shared" ca="1" si="20"/>
        <v>-0.47882196229256557</v>
      </c>
      <c r="L113">
        <f t="shared" ca="1" si="20"/>
        <v>0.78284501859910582</v>
      </c>
      <c r="M113">
        <f t="shared" ca="1" si="20"/>
        <v>-5.0726243918737153E-2</v>
      </c>
      <c r="O113">
        <v>111</v>
      </c>
      <c r="P113" s="6">
        <f t="shared" ca="1" si="12"/>
        <v>1921.0836826057885</v>
      </c>
      <c r="Q113" s="6">
        <f t="shared" ca="1" si="13"/>
        <v>393.08821571635679</v>
      </c>
      <c r="R113" s="6">
        <f t="shared" ca="1" si="14"/>
        <v>150.53619344628561</v>
      </c>
      <c r="S113" s="6"/>
      <c r="T113" s="4">
        <f t="shared" ca="1" si="15"/>
        <v>-1.7221144716551035E-2</v>
      </c>
      <c r="U113" s="4">
        <f t="shared" ca="1" si="16"/>
        <v>6.1018486407131553E-4</v>
      </c>
      <c r="V113" s="4">
        <f t="shared" ca="1" si="17"/>
        <v>-2.7666445902005097E-2</v>
      </c>
      <c r="W113" s="4"/>
      <c r="X113">
        <v>111</v>
      </c>
      <c r="Y113" s="4">
        <f t="shared" ca="1" si="18"/>
        <v>-1.4179519293066807E-2</v>
      </c>
      <c r="Z113" s="4">
        <f ca="1"/>
        <v>-2.5831754750127132E-2</v>
      </c>
      <c r="AA113" s="4"/>
    </row>
    <row r="114" spans="1:27" x14ac:dyDescent="0.35">
      <c r="A114">
        <v>112</v>
      </c>
      <c r="B114">
        <f ca="1">_xlfn.NORM.INV(RAND(),Hitorical_Sim!$AB$4,Hitorical_Sim!$AB$5)</f>
        <v>1.2653877159203691E-2</v>
      </c>
      <c r="C114">
        <f ca="1">_xlfn.NORM.INV(RAND(),Hitorical_Sim!$AB$4,Hitorical_Sim!$AB$5)</f>
        <v>1.0786196043876626E-2</v>
      </c>
      <c r="D114">
        <f ca="1">_xlfn.NORM.INV(RAND(),Hitorical_Sim!$AB$4,Hitorical_Sim!$AB$5)</f>
        <v>-1.3741496045337833E-3</v>
      </c>
      <c r="K114">
        <f t="shared" ca="1" si="20"/>
        <v>1.2028301298171853</v>
      </c>
      <c r="L114">
        <f t="shared" ca="1" si="20"/>
        <v>0.76938453874871859</v>
      </c>
      <c r="M114">
        <f t="shared" ca="1" si="20"/>
        <v>-0.21269609181574275</v>
      </c>
      <c r="O114">
        <v>112</v>
      </c>
      <c r="P114" s="6">
        <f t="shared" ca="1" si="12"/>
        <v>1980.5972443073319</v>
      </c>
      <c r="Q114" s="6">
        <f t="shared" ca="1" si="13"/>
        <v>392.93728904049487</v>
      </c>
      <c r="R114" s="6">
        <f t="shared" ca="1" si="14"/>
        <v>149.79424081316847</v>
      </c>
      <c r="S114" s="6"/>
      <c r="T114" s="4">
        <f t="shared" ca="1" si="15"/>
        <v>3.0508992922147139E-2</v>
      </c>
      <c r="U114" s="4">
        <f t="shared" ca="1" si="16"/>
        <v>-3.8402488673292863E-4</v>
      </c>
      <c r="V114" s="4">
        <f t="shared" ca="1" si="17"/>
        <v>-4.9409187874477883E-3</v>
      </c>
      <c r="W114" s="4"/>
      <c r="X114">
        <v>112</v>
      </c>
      <c r="Y114" s="4">
        <f t="shared" ca="1" si="18"/>
        <v>2.2589312133624768E-2</v>
      </c>
      <c r="Z114" s="4">
        <f ca="1"/>
        <v>-2.5654642456283419E-2</v>
      </c>
      <c r="AA114" s="4"/>
    </row>
    <row r="115" spans="1:27" x14ac:dyDescent="0.35">
      <c r="A115">
        <v>113</v>
      </c>
      <c r="B115">
        <f ca="1">_xlfn.NORM.INV(RAND(),Hitorical_Sim!$AB$4,Hitorical_Sim!$AB$5)</f>
        <v>1.1314740534427421E-2</v>
      </c>
      <c r="C115">
        <f ca="1">_xlfn.NORM.INV(RAND(),Hitorical_Sim!$AB$4,Hitorical_Sim!$AB$5)</f>
        <v>1.0041409921028406E-3</v>
      </c>
      <c r="D115">
        <f ca="1">_xlfn.NORM.INV(RAND(),Hitorical_Sim!$AB$4,Hitorical_Sim!$AB$5)</f>
        <v>8.9887772421862362E-3</v>
      </c>
      <c r="K115">
        <f t="shared" ca="1" si="20"/>
        <v>-0.65539416624047508</v>
      </c>
      <c r="L115">
        <f t="shared" ca="1" si="20"/>
        <v>0.55063259797700459</v>
      </c>
      <c r="M115">
        <f t="shared" ca="1" si="20"/>
        <v>-1.8668121384430969</v>
      </c>
      <c r="O115">
        <v>113</v>
      </c>
      <c r="P115" s="6">
        <f t="shared" ca="1" si="12"/>
        <v>1914.9394887049584</v>
      </c>
      <c r="Q115" s="6">
        <f t="shared" ca="1" si="13"/>
        <v>390.49262329978251</v>
      </c>
      <c r="R115" s="6">
        <f t="shared" ca="1" si="14"/>
        <v>142.4232876757124</v>
      </c>
      <c r="S115" s="6"/>
      <c r="T115" s="4">
        <f t="shared" ca="1" si="15"/>
        <v>-3.3712414215868111E-2</v>
      </c>
      <c r="U115" s="4">
        <f t="shared" ca="1" si="16"/>
        <v>-6.2409505612895447E-3</v>
      </c>
      <c r="V115" s="4">
        <f t="shared" ca="1" si="17"/>
        <v>-5.0459101848369853E-2</v>
      </c>
      <c r="W115" s="4"/>
      <c r="X115">
        <v>113</v>
      </c>
      <c r="Y115" s="4">
        <f t="shared" ca="1" si="18"/>
        <v>-2.9058781818205013E-2</v>
      </c>
      <c r="Z115" s="4">
        <f ca="1"/>
        <v>-2.5572224067496586E-2</v>
      </c>
      <c r="AA115" s="4"/>
    </row>
    <row r="116" spans="1:27" x14ac:dyDescent="0.35">
      <c r="A116">
        <v>114</v>
      </c>
      <c r="B116">
        <f ca="1">_xlfn.NORM.INV(RAND(),Hitorical_Sim!$AB$4,Hitorical_Sim!$AB$5)</f>
        <v>-2.7341170988016091E-2</v>
      </c>
      <c r="C116">
        <f ca="1">_xlfn.NORM.INV(RAND(),Hitorical_Sim!$AB$4,Hitorical_Sim!$AB$5)</f>
        <v>1.523157865271169E-3</v>
      </c>
      <c r="D116">
        <f ca="1">_xlfn.NORM.INV(RAND(),Hitorical_Sim!$AB$4,Hitorical_Sim!$AB$5)</f>
        <v>-6.4493219593649885E-3</v>
      </c>
      <c r="K116">
        <f t="shared" ca="1" si="20"/>
        <v>1.3254225172634106</v>
      </c>
      <c r="L116">
        <f t="shared" ca="1" si="20"/>
        <v>-0.40229045029596605</v>
      </c>
      <c r="M116">
        <f t="shared" ca="1" si="20"/>
        <v>-6.6389623284304242E-2</v>
      </c>
      <c r="O116">
        <v>114</v>
      </c>
      <c r="P116" s="6">
        <f t="shared" ca="1" si="12"/>
        <v>1985.0072021851029</v>
      </c>
      <c r="Q116" s="6">
        <f t="shared" ca="1" si="13"/>
        <v>380.01942447062038</v>
      </c>
      <c r="R116" s="6">
        <f t="shared" ca="1" si="14"/>
        <v>150.46428230424786</v>
      </c>
      <c r="S116" s="6"/>
      <c r="T116" s="4">
        <f t="shared" ca="1" si="15"/>
        <v>3.5936518891534833E-2</v>
      </c>
      <c r="U116" s="4">
        <f t="shared" ca="1" si="16"/>
        <v>-2.7186710261881821E-2</v>
      </c>
      <c r="V116" s="4">
        <f t="shared" ca="1" si="17"/>
        <v>5.4922206484683329E-2</v>
      </c>
      <c r="W116" s="4"/>
      <c r="X116">
        <v>114</v>
      </c>
      <c r="Y116" s="4">
        <f t="shared" ca="1" si="18"/>
        <v>2.4278740110540532E-2</v>
      </c>
      <c r="Z116" s="4">
        <f ca="1"/>
        <v>-2.5104732276480132E-2</v>
      </c>
      <c r="AA116" s="4"/>
    </row>
    <row r="117" spans="1:27" x14ac:dyDescent="0.35">
      <c r="A117">
        <v>115</v>
      </c>
      <c r="B117">
        <f ca="1">_xlfn.NORM.INV(RAND(),Hitorical_Sim!$AB$4,Hitorical_Sim!$AB$5)</f>
        <v>-1.6442611657606059E-2</v>
      </c>
      <c r="C117">
        <f ca="1">_xlfn.NORM.INV(RAND(),Hitorical_Sim!$AB$4,Hitorical_Sim!$AB$5)</f>
        <v>9.9942594378528652E-3</v>
      </c>
      <c r="D117">
        <f ca="1">_xlfn.NORM.INV(RAND(),Hitorical_Sim!$AB$4,Hitorical_Sim!$AB$5)</f>
        <v>-1.4018907708735619E-2</v>
      </c>
      <c r="K117">
        <f t="shared" ca="1" si="20"/>
        <v>1.390521069897108</v>
      </c>
      <c r="L117">
        <f t="shared" ca="1" si="20"/>
        <v>1.078977448879066</v>
      </c>
      <c r="M117">
        <f t="shared" ca="1" si="20"/>
        <v>-0.39300196415612226</v>
      </c>
      <c r="O117">
        <v>115</v>
      </c>
      <c r="P117" s="6">
        <f t="shared" ca="1" si="12"/>
        <v>1987.3529516384613</v>
      </c>
      <c r="Q117" s="6">
        <f t="shared" ca="1" si="13"/>
        <v>396.42332987965329</v>
      </c>
      <c r="R117" s="6">
        <f t="shared" ca="1" si="14"/>
        <v>148.97259488102461</v>
      </c>
      <c r="S117" s="6"/>
      <c r="T117" s="4">
        <f t="shared" ca="1" si="15"/>
        <v>1.1810357747969169E-3</v>
      </c>
      <c r="U117" s="4">
        <f t="shared" ca="1" si="16"/>
        <v>4.22602866706632E-2</v>
      </c>
      <c r="V117" s="4">
        <f t="shared" ca="1" si="17"/>
        <v>-9.9633670845454877E-3</v>
      </c>
      <c r="W117" s="4"/>
      <c r="X117">
        <v>115</v>
      </c>
      <c r="Y117" s="4">
        <f t="shared" ca="1" si="18"/>
        <v>8.8276056584051278E-3</v>
      </c>
      <c r="Z117" s="4">
        <f ca="1"/>
        <v>-2.4989862104340902E-2</v>
      </c>
      <c r="AA117" s="4"/>
    </row>
    <row r="118" spans="1:27" x14ac:dyDescent="0.35">
      <c r="A118">
        <v>116</v>
      </c>
      <c r="B118">
        <f ca="1">_xlfn.NORM.INV(RAND(),Hitorical_Sim!$AB$4,Hitorical_Sim!$AB$5)</f>
        <v>-3.1873956185858843E-3</v>
      </c>
      <c r="C118">
        <f ca="1">_xlfn.NORM.INV(RAND(),Hitorical_Sim!$AB$4,Hitorical_Sim!$AB$5)</f>
        <v>-1.1998677819597741E-2</v>
      </c>
      <c r="D118">
        <f ca="1">_xlfn.NORM.INV(RAND(),Hitorical_Sim!$AB$4,Hitorical_Sim!$AB$5)</f>
        <v>1.9143704030204614E-2</v>
      </c>
      <c r="K118">
        <f t="shared" ca="1" si="20"/>
        <v>1.3460381225966214</v>
      </c>
      <c r="L118">
        <f t="shared" ca="1" si="20"/>
        <v>-1.710527453993548</v>
      </c>
      <c r="M118">
        <f t="shared" ca="1" si="20"/>
        <v>0.96298821719434635</v>
      </c>
      <c r="O118">
        <v>116</v>
      </c>
      <c r="P118" s="6">
        <f t="shared" ca="1" si="12"/>
        <v>1985.7497614432116</v>
      </c>
      <c r="Q118" s="6">
        <f t="shared" ca="1" si="13"/>
        <v>366.09710768489583</v>
      </c>
      <c r="R118" s="6">
        <f t="shared" ca="1" si="14"/>
        <v>155.26402917444895</v>
      </c>
      <c r="S118" s="6"/>
      <c r="T118" s="4">
        <f t="shared" ca="1" si="15"/>
        <v>-8.0702181546032502E-4</v>
      </c>
      <c r="U118" s="4">
        <f t="shared" ca="1" si="16"/>
        <v>-7.9584035359350908E-2</v>
      </c>
      <c r="V118" s="4">
        <f t="shared" ca="1" si="17"/>
        <v>4.1364719727894052E-2</v>
      </c>
      <c r="W118" s="4"/>
      <c r="X118">
        <v>116</v>
      </c>
      <c r="Y118" s="4">
        <f t="shared" ca="1" si="18"/>
        <v>-1.4441315785473873E-2</v>
      </c>
      <c r="Z118" s="4">
        <f ca="1"/>
        <v>-2.4955413062877938E-2</v>
      </c>
      <c r="AA118" s="4"/>
    </row>
    <row r="119" spans="1:27" x14ac:dyDescent="0.35">
      <c r="A119">
        <v>117</v>
      </c>
      <c r="B119">
        <f ca="1">_xlfn.NORM.INV(RAND(),Hitorical_Sim!$AB$4,Hitorical_Sim!$AB$5)</f>
        <v>-1.9170426063523874E-3</v>
      </c>
      <c r="C119">
        <f ca="1">_xlfn.NORM.INV(RAND(),Hitorical_Sim!$AB$4,Hitorical_Sim!$AB$5)</f>
        <v>2.5678186516814236E-2</v>
      </c>
      <c r="D119">
        <f ca="1">_xlfn.NORM.INV(RAND(),Hitorical_Sim!$AB$4,Hitorical_Sim!$AB$5)</f>
        <v>-1.188219890163046E-2</v>
      </c>
      <c r="K119">
        <f t="shared" ca="1" si="20"/>
        <v>-0.80278779589190374</v>
      </c>
      <c r="L119">
        <f t="shared" ca="1" si="20"/>
        <v>0.74887082833445406</v>
      </c>
      <c r="M119">
        <f t="shared" ca="1" si="20"/>
        <v>0.24447904949799656</v>
      </c>
      <c r="O119">
        <v>117</v>
      </c>
      <c r="P119" s="6">
        <f t="shared" ca="1" si="12"/>
        <v>1909.8256743896834</v>
      </c>
      <c r="Q119" s="6">
        <f t="shared" ca="1" si="13"/>
        <v>392.70738891267331</v>
      </c>
      <c r="R119" s="6">
        <f t="shared" ca="1" si="14"/>
        <v>151.89793770573078</v>
      </c>
      <c r="S119" s="6"/>
      <c r="T119" s="4">
        <f t="shared" ca="1" si="15"/>
        <v>-3.898458845660821E-2</v>
      </c>
      <c r="U119" s="4">
        <f t="shared" ca="1" si="16"/>
        <v>7.0166157321307515E-2</v>
      </c>
      <c r="V119" s="4">
        <f t="shared" ca="1" si="17"/>
        <v>-2.1918248931627349E-2</v>
      </c>
      <c r="W119" s="4"/>
      <c r="X119">
        <v>117</v>
      </c>
      <c r="Y119" s="4">
        <f t="shared" ca="1" si="18"/>
        <v>-1.6356967353552205E-2</v>
      </c>
      <c r="Z119" s="4">
        <f ca="1"/>
        <v>-2.4763395699998362E-2</v>
      </c>
      <c r="AA119" s="4"/>
    </row>
    <row r="120" spans="1:27" x14ac:dyDescent="0.35">
      <c r="A120">
        <v>118</v>
      </c>
      <c r="B120">
        <f ca="1">_xlfn.NORM.INV(RAND(),Hitorical_Sim!$AB$4,Hitorical_Sim!$AB$5)</f>
        <v>-1.5059153143690284E-2</v>
      </c>
      <c r="C120">
        <f ca="1">_xlfn.NORM.INV(RAND(),Hitorical_Sim!$AB$4,Hitorical_Sim!$AB$5)</f>
        <v>-2.9514332082523107E-2</v>
      </c>
      <c r="D120">
        <f ca="1">_xlfn.NORM.INV(RAND(),Hitorical_Sim!$AB$4,Hitorical_Sim!$AB$5)</f>
        <v>-2.1145512883273366E-2</v>
      </c>
      <c r="K120">
        <f t="shared" ca="1" si="20"/>
        <v>-2.9058296958787321E-2</v>
      </c>
      <c r="L120">
        <f t="shared" ca="1" si="20"/>
        <v>0.1619445757040055</v>
      </c>
      <c r="M120">
        <f t="shared" ca="1" si="20"/>
        <v>-0.42571705804386939</v>
      </c>
      <c r="O120">
        <v>118</v>
      </c>
      <c r="P120" s="6">
        <f t="shared" ca="1" si="12"/>
        <v>1936.8233459819435</v>
      </c>
      <c r="Q120" s="6">
        <f t="shared" ca="1" si="13"/>
        <v>386.18629578565753</v>
      </c>
      <c r="R120" s="6">
        <f t="shared" ca="1" si="14"/>
        <v>148.82399741477383</v>
      </c>
      <c r="S120" s="6"/>
      <c r="T120" s="4">
        <f t="shared" ca="1" si="15"/>
        <v>1.403721252294949E-2</v>
      </c>
      <c r="U120" s="4">
        <f t="shared" ca="1" si="16"/>
        <v>-1.6744892469832601E-2</v>
      </c>
      <c r="V120" s="4">
        <f t="shared" ca="1" si="17"/>
        <v>-2.0444450507440287E-2</v>
      </c>
      <c r="W120" s="4"/>
      <c r="X120">
        <v>118</v>
      </c>
      <c r="Y120" s="4">
        <f t="shared" ca="1" si="18"/>
        <v>6.1875852657366677E-3</v>
      </c>
      <c r="Z120" s="4">
        <f ca="1"/>
        <v>-2.4661606171268408E-2</v>
      </c>
      <c r="AA120" s="4"/>
    </row>
    <row r="121" spans="1:27" x14ac:dyDescent="0.35">
      <c r="A121">
        <v>119</v>
      </c>
      <c r="B121">
        <f ca="1">_xlfn.NORM.INV(RAND(),Hitorical_Sim!$AB$4,Hitorical_Sim!$AB$5)</f>
        <v>-6.5427591107544746E-4</v>
      </c>
      <c r="C121">
        <f ca="1">_xlfn.NORM.INV(RAND(),Hitorical_Sim!$AB$4,Hitorical_Sim!$AB$5)</f>
        <v>4.9370181540754699E-3</v>
      </c>
      <c r="D121">
        <f ca="1">_xlfn.NORM.INV(RAND(),Hitorical_Sim!$AB$4,Hitorical_Sim!$AB$5)</f>
        <v>-2.9178032387976335E-2</v>
      </c>
      <c r="K121">
        <f t="shared" ca="1" si="20"/>
        <v>1.6272129538138722</v>
      </c>
      <c r="L121">
        <f t="shared" ca="1" si="20"/>
        <v>-6.6224791828948498E-2</v>
      </c>
      <c r="M121">
        <f t="shared" ca="1" si="20"/>
        <v>0.89721857006224393</v>
      </c>
      <c r="O121">
        <v>119</v>
      </c>
      <c r="P121" s="6">
        <f t="shared" ca="1" si="12"/>
        <v>1995.9052507709791</v>
      </c>
      <c r="Q121" s="6">
        <f t="shared" ca="1" si="13"/>
        <v>383.68053133586682</v>
      </c>
      <c r="R121" s="6">
        <f t="shared" ca="1" si="14"/>
        <v>154.95283295506241</v>
      </c>
      <c r="S121" s="6"/>
      <c r="T121" s="4">
        <f t="shared" ca="1" si="15"/>
        <v>3.0048526745852788E-2</v>
      </c>
      <c r="U121" s="4">
        <f t="shared" ca="1" si="16"/>
        <v>-6.5096279253581725E-3</v>
      </c>
      <c r="V121" s="4">
        <f t="shared" ca="1" si="17"/>
        <v>4.0356384749153949E-2</v>
      </c>
      <c r="W121" s="4"/>
      <c r="X121">
        <v>119</v>
      </c>
      <c r="Y121" s="4">
        <f t="shared" ca="1" si="18"/>
        <v>2.3262822435589622E-2</v>
      </c>
      <c r="Z121" s="4">
        <f ca="1"/>
        <v>-2.461681693716215E-2</v>
      </c>
      <c r="AA121" s="4"/>
    </row>
    <row r="122" spans="1:27" x14ac:dyDescent="0.35">
      <c r="A122">
        <v>120</v>
      </c>
      <c r="B122">
        <f ca="1">_xlfn.NORM.INV(RAND(),Hitorical_Sim!$AB$4,Hitorical_Sim!$AB$5)</f>
        <v>1.5261710617988884E-2</v>
      </c>
      <c r="C122">
        <f ca="1">_xlfn.NORM.INV(RAND(),Hitorical_Sim!$AB$4,Hitorical_Sim!$AB$5)</f>
        <v>1.0056427143210074E-2</v>
      </c>
      <c r="D122">
        <f ca="1">_xlfn.NORM.INV(RAND(),Hitorical_Sim!$AB$4,Hitorical_Sim!$AB$5)</f>
        <v>-3.4017322517948749E-2</v>
      </c>
      <c r="K122">
        <f t="shared" ca="1" si="20"/>
        <v>1.0273692425389421E-2</v>
      </c>
      <c r="L122">
        <f t="shared" ca="1" si="20"/>
        <v>-0.98399064957246707</v>
      </c>
      <c r="M122">
        <f t="shared" ca="1" si="20"/>
        <v>0.4116536698183561</v>
      </c>
      <c r="O122">
        <v>120</v>
      </c>
      <c r="P122" s="6">
        <f t="shared" ca="1" si="12"/>
        <v>1938.2059015773323</v>
      </c>
      <c r="Q122" s="6">
        <f t="shared" ca="1" si="13"/>
        <v>373.76474456337104</v>
      </c>
      <c r="R122" s="6">
        <f t="shared" ca="1" si="14"/>
        <v>152.67454885084027</v>
      </c>
      <c r="S122" s="6"/>
      <c r="T122" s="4">
        <f t="shared" ca="1" si="15"/>
        <v>-2.9334955019949333E-2</v>
      </c>
      <c r="U122" s="4">
        <f t="shared" ca="1" si="16"/>
        <v>-2.6183682415847225E-2</v>
      </c>
      <c r="V122" s="4">
        <f t="shared" ca="1" si="17"/>
        <v>-1.481224295318106E-2</v>
      </c>
      <c r="W122" s="4"/>
      <c r="X122">
        <v>120</v>
      </c>
      <c r="Y122" s="4">
        <f t="shared" ca="1" si="18"/>
        <v>-2.798733071497668E-2</v>
      </c>
      <c r="Z122" s="4">
        <f ca="1"/>
        <v>-2.4516328915469517E-2</v>
      </c>
      <c r="AA122" s="4"/>
    </row>
    <row r="123" spans="1:27" x14ac:dyDescent="0.35">
      <c r="A123">
        <v>121</v>
      </c>
      <c r="B123">
        <f ca="1">_xlfn.NORM.INV(RAND(),Hitorical_Sim!$AB$4,Hitorical_Sim!$AB$5)</f>
        <v>2.2925574130137932E-2</v>
      </c>
      <c r="C123">
        <f ca="1">_xlfn.NORM.INV(RAND(),Hitorical_Sim!$AB$4,Hitorical_Sim!$AB$5)</f>
        <v>-3.7210988524218305E-3</v>
      </c>
      <c r="D123">
        <f ca="1">_xlfn.NORM.INV(RAND(),Hitorical_Sim!$AB$4,Hitorical_Sim!$AB$5)</f>
        <v>-1.5511792291933807E-2</v>
      </c>
      <c r="K123">
        <f t="shared" ca="1" si="20"/>
        <v>-1.5232361312057845</v>
      </c>
      <c r="L123">
        <f t="shared" ca="1" si="20"/>
        <v>0.92872440314634952</v>
      </c>
      <c r="M123">
        <f t="shared" ca="1" si="20"/>
        <v>0.2113388511131668</v>
      </c>
      <c r="O123">
        <v>121</v>
      </c>
      <c r="P123" s="6">
        <f t="shared" ca="1" si="12"/>
        <v>1885.025590902208</v>
      </c>
      <c r="Q123" s="6">
        <f t="shared" ca="1" si="13"/>
        <v>394.72762290519324</v>
      </c>
      <c r="R123" s="6">
        <f t="shared" ca="1" si="14"/>
        <v>151.74445444517397</v>
      </c>
      <c r="S123" s="6"/>
      <c r="T123" s="4">
        <f t="shared" ca="1" si="15"/>
        <v>-2.7821355305728442E-2</v>
      </c>
      <c r="U123" s="4">
        <f t="shared" ca="1" si="16"/>
        <v>5.4569390514847389E-2</v>
      </c>
      <c r="V123" s="4">
        <f t="shared" ca="1" si="17"/>
        <v>-6.1106388873934285E-3</v>
      </c>
      <c r="W123" s="4"/>
      <c r="X123">
        <v>121</v>
      </c>
      <c r="Y123" s="4">
        <f t="shared" ca="1" si="18"/>
        <v>-1.0304325636580305E-2</v>
      </c>
      <c r="Z123" s="4">
        <f ca="1"/>
        <v>-2.4467739592171876E-2</v>
      </c>
      <c r="AA123" s="4"/>
    </row>
    <row r="124" spans="1:27" x14ac:dyDescent="0.35">
      <c r="A124">
        <v>122</v>
      </c>
      <c r="B124">
        <f ca="1">_xlfn.NORM.INV(RAND(),Hitorical_Sim!$AB$4,Hitorical_Sim!$AB$5)</f>
        <v>-2.0580406474497898E-2</v>
      </c>
      <c r="C124">
        <f ca="1">_xlfn.NORM.INV(RAND(),Hitorical_Sim!$AB$4,Hitorical_Sim!$AB$5)</f>
        <v>2.0388692315342453E-3</v>
      </c>
      <c r="D124">
        <f ca="1">_xlfn.NORM.INV(RAND(),Hitorical_Sim!$AB$4,Hitorical_Sim!$AB$5)</f>
        <v>-2.1672289067722714E-2</v>
      </c>
      <c r="K124">
        <f t="shared" ref="K124:M143" ca="1" si="21">_xlfn.NORM.S.INV(RAND())</f>
        <v>0.82939803358735253</v>
      </c>
      <c r="L124">
        <f t="shared" ca="1" si="21"/>
        <v>-0.43485498541300338</v>
      </c>
      <c r="M124">
        <f t="shared" ca="1" si="21"/>
        <v>-0.53575284645358356</v>
      </c>
      <c r="O124">
        <v>122</v>
      </c>
      <c r="P124" s="6">
        <f t="shared" ca="1" si="12"/>
        <v>1967.2242330142201</v>
      </c>
      <c r="Q124" s="6">
        <f t="shared" ca="1" si="13"/>
        <v>379.66652762300566</v>
      </c>
      <c r="R124" s="6">
        <f t="shared" ca="1" si="14"/>
        <v>148.32528316162612</v>
      </c>
      <c r="S124" s="6"/>
      <c r="T124" s="4">
        <f t="shared" ca="1" si="15"/>
        <v>4.2682133491730057E-2</v>
      </c>
      <c r="U124" s="4">
        <f t="shared" ca="1" si="16"/>
        <v>-3.8902656224994364E-2</v>
      </c>
      <c r="V124" s="4">
        <f t="shared" ca="1" si="17"/>
        <v>-2.2790164048317626E-2</v>
      </c>
      <c r="W124" s="4"/>
      <c r="X124">
        <v>122</v>
      </c>
      <c r="Y124" s="4">
        <f t="shared" ca="1" si="18"/>
        <v>2.3160181394178539E-2</v>
      </c>
      <c r="Z124" s="4">
        <f ca="1"/>
        <v>-2.4367880962448848E-2</v>
      </c>
      <c r="AA124" s="4"/>
    </row>
    <row r="125" spans="1:27" x14ac:dyDescent="0.35">
      <c r="A125">
        <v>123</v>
      </c>
      <c r="B125">
        <f ca="1">_xlfn.NORM.INV(RAND(),Hitorical_Sim!$AB$4,Hitorical_Sim!$AB$5)</f>
        <v>-1.9319714140427251E-2</v>
      </c>
      <c r="C125">
        <f ca="1">_xlfn.NORM.INV(RAND(),Hitorical_Sim!$AB$4,Hitorical_Sim!$AB$5)</f>
        <v>-1.1452390804183452E-2</v>
      </c>
      <c r="D125">
        <f ca="1">_xlfn.NORM.INV(RAND(),Hitorical_Sim!$AB$4,Hitorical_Sim!$AB$5)</f>
        <v>-3.4783136926382387E-2</v>
      </c>
      <c r="K125">
        <f t="shared" ca="1" si="21"/>
        <v>0.31015106521447194</v>
      </c>
      <c r="L125">
        <f t="shared" ca="1" si="21"/>
        <v>-0.74514162202920187</v>
      </c>
      <c r="M125">
        <f t="shared" ca="1" si="21"/>
        <v>-0.98303685802584673</v>
      </c>
      <c r="O125">
        <v>123</v>
      </c>
      <c r="P125" s="6">
        <f t="shared" ca="1" si="12"/>
        <v>1948.7793644614437</v>
      </c>
      <c r="Q125" s="6">
        <f t="shared" ca="1" si="13"/>
        <v>376.32039346279237</v>
      </c>
      <c r="R125" s="6">
        <f t="shared" ca="1" si="14"/>
        <v>146.31520655223656</v>
      </c>
      <c r="S125" s="6"/>
      <c r="T125" s="4">
        <f t="shared" ca="1" si="15"/>
        <v>-9.420320741289687E-3</v>
      </c>
      <c r="U125" s="4">
        <f t="shared" ca="1" si="16"/>
        <v>-8.8524177299592558E-3</v>
      </c>
      <c r="V125" s="4">
        <f t="shared" ca="1" si="17"/>
        <v>-1.3644477690117552E-2</v>
      </c>
      <c r="W125" s="4"/>
      <c r="X125">
        <v>123</v>
      </c>
      <c r="Y125" s="4">
        <f t="shared" ca="1" si="18"/>
        <v>-9.5160393305536474E-3</v>
      </c>
      <c r="Z125" s="4">
        <f ca="1"/>
        <v>-2.4240086290428186E-2</v>
      </c>
      <c r="AA125" s="4"/>
    </row>
    <row r="126" spans="1:27" x14ac:dyDescent="0.35">
      <c r="A126">
        <v>124</v>
      </c>
      <c r="B126">
        <f ca="1">_xlfn.NORM.INV(RAND(),Hitorical_Sim!$AB$4,Hitorical_Sim!$AB$5)</f>
        <v>2.3005926019655683E-2</v>
      </c>
      <c r="C126">
        <f ca="1">_xlfn.NORM.INV(RAND(),Hitorical_Sim!$AB$4,Hitorical_Sim!$AB$5)</f>
        <v>-1.5279488410058283E-2</v>
      </c>
      <c r="D126">
        <f ca="1">_xlfn.NORM.INV(RAND(),Hitorical_Sim!$AB$4,Hitorical_Sim!$AB$5)</f>
        <v>-4.0414254262181627E-3</v>
      </c>
      <c r="K126">
        <f t="shared" ca="1" si="21"/>
        <v>1.1122798346158735</v>
      </c>
      <c r="L126">
        <f t="shared" ca="1" si="21"/>
        <v>0.13245076705430647</v>
      </c>
      <c r="M126">
        <f t="shared" ca="1" si="21"/>
        <v>-0.10244063858847005</v>
      </c>
      <c r="O126">
        <v>124</v>
      </c>
      <c r="P126" s="6">
        <f t="shared" ca="1" si="12"/>
        <v>1977.3462135140874</v>
      </c>
      <c r="Q126" s="6">
        <f t="shared" ca="1" si="13"/>
        <v>385.86147498104776</v>
      </c>
      <c r="R126" s="6">
        <f t="shared" ca="1" si="14"/>
        <v>150.29890128078875</v>
      </c>
      <c r="S126" s="6"/>
      <c r="T126" s="4">
        <f t="shared" ca="1" si="15"/>
        <v>1.4552439867402166E-2</v>
      </c>
      <c r="U126" s="4">
        <f t="shared" ca="1" si="16"/>
        <v>2.5037541124948666E-2</v>
      </c>
      <c r="V126" s="4">
        <f t="shared" ca="1" si="17"/>
        <v>2.6862743043015856E-2</v>
      </c>
      <c r="W126" s="4"/>
      <c r="X126">
        <v>124</v>
      </c>
      <c r="Y126" s="4">
        <f t="shared" ca="1" si="18"/>
        <v>1.7254169613345728E-2</v>
      </c>
      <c r="Z126" s="4">
        <f ca="1"/>
        <v>-2.3890110413045125E-2</v>
      </c>
      <c r="AA126" s="4"/>
    </row>
    <row r="127" spans="1:27" x14ac:dyDescent="0.35">
      <c r="A127">
        <v>125</v>
      </c>
      <c r="B127">
        <f ca="1">_xlfn.NORM.INV(RAND(),Hitorical_Sim!$AB$4,Hitorical_Sim!$AB$5)</f>
        <v>-2.0768530131299187E-2</v>
      </c>
      <c r="C127">
        <f ca="1">_xlfn.NORM.INV(RAND(),Hitorical_Sim!$AB$4,Hitorical_Sim!$AB$5)</f>
        <v>1.0100973372391615E-2</v>
      </c>
      <c r="D127">
        <f ca="1">_xlfn.NORM.INV(RAND(),Hitorical_Sim!$AB$4,Hitorical_Sim!$AB$5)</f>
        <v>-1.9109843795279805E-2</v>
      </c>
      <c r="K127">
        <f t="shared" ca="1" si="21"/>
        <v>-7.3841006346893209E-2</v>
      </c>
      <c r="L127">
        <f t="shared" ca="1" si="21"/>
        <v>0.85438224097897364</v>
      </c>
      <c r="M127">
        <f t="shared" ca="1" si="21"/>
        <v>-0.38812984352102287</v>
      </c>
      <c r="O127">
        <v>125</v>
      </c>
      <c r="P127" s="6">
        <f t="shared" ca="1" si="12"/>
        <v>1935.2503932022605</v>
      </c>
      <c r="Q127" s="6">
        <f t="shared" ca="1" si="13"/>
        <v>393.8913056568399</v>
      </c>
      <c r="R127" s="6">
        <f t="shared" ca="1" si="14"/>
        <v>148.99473756341703</v>
      </c>
      <c r="S127" s="6"/>
      <c r="T127" s="4">
        <f t="shared" ca="1" si="15"/>
        <v>-2.1518929219387497E-2</v>
      </c>
      <c r="U127" s="4">
        <f t="shared" ca="1" si="16"/>
        <v>2.059656532192617E-2</v>
      </c>
      <c r="V127" s="4">
        <f t="shared" ca="1" si="17"/>
        <v>-8.714999602394231E-3</v>
      </c>
      <c r="W127" s="4"/>
      <c r="X127">
        <v>125</v>
      </c>
      <c r="Y127" s="4">
        <f t="shared" ca="1" si="18"/>
        <v>-1.248035239304909E-2</v>
      </c>
      <c r="Z127" s="4">
        <f ca="1"/>
        <v>-2.3612797611597819E-2</v>
      </c>
      <c r="AA127" s="4"/>
    </row>
    <row r="128" spans="1:27" x14ac:dyDescent="0.35">
      <c r="A128">
        <v>126</v>
      </c>
      <c r="B128">
        <f ca="1">_xlfn.NORM.INV(RAND(),Hitorical_Sim!$AB$4,Hitorical_Sim!$AB$5)</f>
        <v>-1.4830056450820512E-2</v>
      </c>
      <c r="C128">
        <f ca="1">_xlfn.NORM.INV(RAND(),Hitorical_Sim!$AB$4,Hitorical_Sim!$AB$5)</f>
        <v>-4.2585618735055371E-3</v>
      </c>
      <c r="D128">
        <f ca="1">_xlfn.NORM.INV(RAND(),Hitorical_Sim!$AB$4,Hitorical_Sim!$AB$5)</f>
        <v>4.1931961925635551E-3</v>
      </c>
      <c r="K128">
        <f t="shared" ca="1" si="21"/>
        <v>-0.51140835410018481</v>
      </c>
      <c r="L128">
        <f t="shared" ca="1" si="21"/>
        <v>-1.2197966196666563</v>
      </c>
      <c r="M128">
        <f t="shared" ca="1" si="21"/>
        <v>0.46959589503122207</v>
      </c>
      <c r="O128">
        <v>126</v>
      </c>
      <c r="P128" s="6">
        <f t="shared" ca="1" si="12"/>
        <v>1919.9482903982992</v>
      </c>
      <c r="Q128" s="6">
        <f t="shared" ca="1" si="13"/>
        <v>371.25868194135955</v>
      </c>
      <c r="R128" s="6">
        <f t="shared" ca="1" si="14"/>
        <v>152.94464552024209</v>
      </c>
      <c r="S128" s="6"/>
      <c r="T128" s="4">
        <f t="shared" ca="1" si="15"/>
        <v>-7.9384666889213262E-3</v>
      </c>
      <c r="U128" s="4">
        <f t="shared" ca="1" si="16"/>
        <v>-5.9175921726199426E-2</v>
      </c>
      <c r="V128" s="4">
        <f t="shared" ca="1" si="17"/>
        <v>2.6165074988433411E-2</v>
      </c>
      <c r="W128" s="4"/>
      <c r="X128">
        <v>126</v>
      </c>
      <c r="Y128" s="4">
        <f t="shared" ca="1" si="18"/>
        <v>-1.6476039621444429E-2</v>
      </c>
      <c r="Z128" s="4">
        <f ca="1"/>
        <v>-2.3519556762628638E-2</v>
      </c>
      <c r="AA128" s="4"/>
    </row>
    <row r="129" spans="1:27" x14ac:dyDescent="0.35">
      <c r="A129">
        <v>127</v>
      </c>
      <c r="B129">
        <f ca="1">_xlfn.NORM.INV(RAND(),Hitorical_Sim!$AB$4,Hitorical_Sim!$AB$5)</f>
        <v>-1.6346596425419184E-2</v>
      </c>
      <c r="C129">
        <f ca="1">_xlfn.NORM.INV(RAND(),Hitorical_Sim!$AB$4,Hitorical_Sim!$AB$5)</f>
        <v>-2.2551516702299611E-2</v>
      </c>
      <c r="D129">
        <f ca="1">_xlfn.NORM.INV(RAND(),Hitorical_Sim!$AB$4,Hitorical_Sim!$AB$5)</f>
        <v>-1.9591378591624353E-2</v>
      </c>
      <c r="K129">
        <f t="shared" ca="1" si="21"/>
        <v>5.0239233983543505E-2</v>
      </c>
      <c r="L129">
        <f t="shared" ca="1" si="21"/>
        <v>0.91716764255970462</v>
      </c>
      <c r="M129">
        <f t="shared" ca="1" si="21"/>
        <v>-1.1715800024279135</v>
      </c>
      <c r="O129">
        <v>127</v>
      </c>
      <c r="P129" s="6">
        <f t="shared" ca="1" si="12"/>
        <v>1939.6117379960995</v>
      </c>
      <c r="Q129" s="6">
        <f t="shared" ca="1" si="13"/>
        <v>394.59749786729719</v>
      </c>
      <c r="R129" s="6">
        <f t="shared" ca="1" si="14"/>
        <v>145.47608395080906</v>
      </c>
      <c r="S129" s="6"/>
      <c r="T129" s="4">
        <f t="shared" ca="1" si="15"/>
        <v>1.0189564399191579E-2</v>
      </c>
      <c r="U129" s="4">
        <f t="shared" ca="1" si="16"/>
        <v>6.0967177089940185E-2</v>
      </c>
      <c r="V129" s="4">
        <f t="shared" ca="1" si="17"/>
        <v>-5.0064360314882268E-2</v>
      </c>
      <c r="W129" s="4"/>
      <c r="X129">
        <v>127</v>
      </c>
      <c r="Y129" s="4">
        <f t="shared" ca="1" si="18"/>
        <v>1.7341182146020234E-2</v>
      </c>
      <c r="Z129" s="4">
        <f ca="1"/>
        <v>-2.3139733177272141E-2</v>
      </c>
      <c r="AA129" s="4"/>
    </row>
    <row r="130" spans="1:27" x14ac:dyDescent="0.35">
      <c r="A130">
        <v>128</v>
      </c>
      <c r="B130">
        <f ca="1">_xlfn.NORM.INV(RAND(),Hitorical_Sim!$AB$4,Hitorical_Sim!$AB$5)</f>
        <v>-1.3434400072082514E-2</v>
      </c>
      <c r="C130">
        <f ca="1">_xlfn.NORM.INV(RAND(),Hitorical_Sim!$AB$4,Hitorical_Sim!$AB$5)</f>
        <v>5.6723616138042634E-3</v>
      </c>
      <c r="D130">
        <f ca="1">_xlfn.NORM.INV(RAND(),Hitorical_Sim!$AB$4,Hitorical_Sim!$AB$5)</f>
        <v>3.3599480348946893E-2</v>
      </c>
      <c r="K130">
        <f t="shared" ca="1" si="21"/>
        <v>0.8052692224921052</v>
      </c>
      <c r="L130">
        <f t="shared" ca="1" si="21"/>
        <v>0.81340347914295541</v>
      </c>
      <c r="M130">
        <f t="shared" ca="1" si="21"/>
        <v>0.19885599603561532</v>
      </c>
      <c r="O130">
        <v>128</v>
      </c>
      <c r="P130" s="6">
        <f t="shared" ca="1" si="12"/>
        <v>1966.3632661125905</v>
      </c>
      <c r="Q130" s="6">
        <f t="shared" ca="1" si="13"/>
        <v>393.43107005712363</v>
      </c>
      <c r="R130" s="6">
        <f t="shared" ca="1" si="14"/>
        <v>151.68668241717327</v>
      </c>
      <c r="S130" s="6"/>
      <c r="T130" s="4">
        <f t="shared" ca="1" si="15"/>
        <v>1.3697960882335294E-2</v>
      </c>
      <c r="U130" s="4">
        <f t="shared" ca="1" si="16"/>
        <v>-2.9603715131985599E-3</v>
      </c>
      <c r="V130" s="4">
        <f t="shared" ca="1" si="17"/>
        <v>4.1805391927693461E-2</v>
      </c>
      <c r="W130" s="4"/>
      <c r="X130">
        <v>128</v>
      </c>
      <c r="Y130" s="4">
        <f t="shared" ca="1" si="18"/>
        <v>1.1764529028409996E-2</v>
      </c>
      <c r="Z130" s="4">
        <f ca="1"/>
        <v>-2.3107800239255221E-2</v>
      </c>
      <c r="AA130" s="4"/>
    </row>
    <row r="131" spans="1:27" x14ac:dyDescent="0.35">
      <c r="A131">
        <v>129</v>
      </c>
      <c r="B131">
        <f ca="1">_xlfn.NORM.INV(RAND(),Hitorical_Sim!$AB$4,Hitorical_Sim!$AB$5)</f>
        <v>3.2640813401469109E-3</v>
      </c>
      <c r="C131">
        <f ca="1">_xlfn.NORM.INV(RAND(),Hitorical_Sim!$AB$4,Hitorical_Sim!$AB$5)</f>
        <v>1.1720400225237E-2</v>
      </c>
      <c r="D131">
        <f ca="1">_xlfn.NORM.INV(RAND(),Hitorical_Sim!$AB$4,Hitorical_Sim!$AB$5)</f>
        <v>2.4307934558486545E-2</v>
      </c>
      <c r="K131">
        <f t="shared" ca="1" si="21"/>
        <v>-1.2785897838365703</v>
      </c>
      <c r="L131">
        <f t="shared" ca="1" si="21"/>
        <v>0.26880007307790704</v>
      </c>
      <c r="M131">
        <f t="shared" ca="1" si="21"/>
        <v>-0.20174968506561425</v>
      </c>
      <c r="O131">
        <v>129</v>
      </c>
      <c r="P131" s="6">
        <f t="shared" ref="P131:P194" ca="1" si="22">$G$17*EXP(($G$15-0.5*$G$16)+($G$16*K131))</f>
        <v>1893.4107606437176</v>
      </c>
      <c r="Q131" s="6">
        <f t="shared" ref="Q131:Q194" ca="1" si="23">$H$17*EXP(($H$15-0.5*$H$16^2)+($H$16*L131))</f>
        <v>387.36540684273615</v>
      </c>
      <c r="R131" s="6">
        <f t="shared" ref="R131:R194" ca="1" si="24">$I$17*EXP(($I$15-0.5*$I$16)+($I$16*M131))</f>
        <v>149.84426876827763</v>
      </c>
      <c r="S131" s="6"/>
      <c r="T131" s="4">
        <f t="shared" ca="1" si="15"/>
        <v>-3.7805940939349365E-2</v>
      </c>
      <c r="U131" s="4">
        <f t="shared" ca="1" si="16"/>
        <v>-1.553742984300552E-2</v>
      </c>
      <c r="V131" s="4">
        <f t="shared" ca="1" si="17"/>
        <v>-1.2220546983349736E-2</v>
      </c>
      <c r="W131" s="4"/>
      <c r="X131">
        <v>129</v>
      </c>
      <c r="Y131" s="4">
        <f t="shared" ca="1" si="18"/>
        <v>-3.2095632473014203E-2</v>
      </c>
      <c r="Z131" s="4">
        <f ca="1"/>
        <v>-2.3050801890633261E-2</v>
      </c>
      <c r="AA131" s="4"/>
    </row>
    <row r="132" spans="1:27" x14ac:dyDescent="0.35">
      <c r="A132">
        <v>130</v>
      </c>
      <c r="B132">
        <f ca="1">_xlfn.NORM.INV(RAND(),Hitorical_Sim!$AB$4,Hitorical_Sim!$AB$5)</f>
        <v>2.1691468842765956E-2</v>
      </c>
      <c r="C132">
        <f ca="1">_xlfn.NORM.INV(RAND(),Hitorical_Sim!$AB$4,Hitorical_Sim!$AB$5)</f>
        <v>-5.0214497729307583E-3</v>
      </c>
      <c r="D132">
        <f ca="1">_xlfn.NORM.INV(RAND(),Hitorical_Sim!$AB$4,Hitorical_Sim!$AB$5)</f>
        <v>1.4499176084146748E-2</v>
      </c>
      <c r="K132">
        <f t="shared" ca="1" si="21"/>
        <v>0.68308206666325533</v>
      </c>
      <c r="L132">
        <f t="shared" ca="1" si="21"/>
        <v>-1.7806040063521453</v>
      </c>
      <c r="M132">
        <f t="shared" ca="1" si="21"/>
        <v>1.3481940539710109</v>
      </c>
      <c r="O132">
        <v>130</v>
      </c>
      <c r="P132" s="6">
        <f t="shared" ca="1" si="22"/>
        <v>1962.0091525129556</v>
      </c>
      <c r="Q132" s="6">
        <f t="shared" ca="1" si="23"/>
        <v>365.36591171558115</v>
      </c>
      <c r="R132" s="6">
        <f t="shared" ca="1" si="24"/>
        <v>157.09926297293666</v>
      </c>
      <c r="S132" s="6"/>
      <c r="T132" s="4">
        <f t="shared" ref="T132:T195" ca="1" si="25">LN(P132/P131)</f>
        <v>3.5589188086693264E-2</v>
      </c>
      <c r="U132" s="4">
        <f t="shared" ref="U132:U195" ca="1" si="26">LN(Q132/Q131)</f>
        <v>-5.8469102009822707E-2</v>
      </c>
      <c r="V132" s="4">
        <f t="shared" ref="V132:V195" ca="1" si="27">LN(R132/R131)</f>
        <v>4.7281307225545126E-2</v>
      </c>
      <c r="W132" s="4"/>
      <c r="X132">
        <v>130</v>
      </c>
      <c r="Y132" s="4">
        <f t="shared" ref="Y132:Y195" ca="1" si="28">($G$18*T132)+($H$18*U132)+($I$18*V132)</f>
        <v>1.7396798809258356E-2</v>
      </c>
      <c r="Z132" s="4">
        <f ca="1"/>
        <v>-2.3017101828421E-2</v>
      </c>
      <c r="AA132" s="4"/>
    </row>
    <row r="133" spans="1:27" x14ac:dyDescent="0.35">
      <c r="A133">
        <v>131</v>
      </c>
      <c r="B133">
        <f ca="1">_xlfn.NORM.INV(RAND(),Hitorical_Sim!$AB$4,Hitorical_Sim!$AB$5)</f>
        <v>-2.0815176349242934E-2</v>
      </c>
      <c r="C133">
        <f ca="1">_xlfn.NORM.INV(RAND(),Hitorical_Sim!$AB$4,Hitorical_Sim!$AB$5)</f>
        <v>-1.7082150949571322E-2</v>
      </c>
      <c r="D133">
        <f ca="1">_xlfn.NORM.INV(RAND(),Hitorical_Sim!$AB$4,Hitorical_Sim!$AB$5)</f>
        <v>4.8055473993386943E-3</v>
      </c>
      <c r="K133">
        <f t="shared" ca="1" si="21"/>
        <v>0.92869997200975507</v>
      </c>
      <c r="L133">
        <f t="shared" ca="1" si="21"/>
        <v>1.3519837575680391</v>
      </c>
      <c r="M133">
        <f t="shared" ca="1" si="21"/>
        <v>0.75758342139738644</v>
      </c>
      <c r="O133">
        <v>131</v>
      </c>
      <c r="P133" s="6">
        <f t="shared" ca="1" si="22"/>
        <v>1970.7715057029698</v>
      </c>
      <c r="Q133" s="6">
        <f t="shared" ca="1" si="23"/>
        <v>399.52305464801094</v>
      </c>
      <c r="R133" s="6">
        <f t="shared" ca="1" si="24"/>
        <v>154.29420041606696</v>
      </c>
      <c r="S133" s="6"/>
      <c r="T133" s="4">
        <f t="shared" ca="1" si="25"/>
        <v>4.456067322681354E-3</v>
      </c>
      <c r="U133" s="4">
        <f t="shared" ca="1" si="26"/>
        <v>8.9372123029202208E-2</v>
      </c>
      <c r="V133" s="4">
        <f t="shared" ca="1" si="27"/>
        <v>-1.8016681551772985E-2</v>
      </c>
      <c r="W133" s="4"/>
      <c r="X133">
        <v>131</v>
      </c>
      <c r="Y133" s="4">
        <f t="shared" ca="1" si="28"/>
        <v>2.0290423470884084E-2</v>
      </c>
      <c r="Z133" s="4">
        <f ca="1"/>
        <v>-2.2938874552655197E-2</v>
      </c>
      <c r="AA133" s="4"/>
    </row>
    <row r="134" spans="1:27" x14ac:dyDescent="0.35">
      <c r="A134">
        <v>132</v>
      </c>
      <c r="B134">
        <f ca="1">_xlfn.NORM.INV(RAND(),Hitorical_Sim!$AB$4,Hitorical_Sim!$AB$5)</f>
        <v>-2.5289998502292205E-2</v>
      </c>
      <c r="C134">
        <f ca="1">_xlfn.NORM.INV(RAND(),Hitorical_Sim!$AB$4,Hitorical_Sim!$AB$5)</f>
        <v>7.4846593857688815E-3</v>
      </c>
      <c r="D134">
        <f ca="1">_xlfn.NORM.INV(RAND(),Hitorical_Sim!$AB$4,Hitorical_Sim!$AB$5)</f>
        <v>3.7965756422339625E-2</v>
      </c>
      <c r="K134">
        <f t="shared" ca="1" si="21"/>
        <v>0.17268710209077801</v>
      </c>
      <c r="L134">
        <f t="shared" ca="1" si="21"/>
        <v>0.70296971405606024</v>
      </c>
      <c r="M134">
        <f t="shared" ca="1" si="21"/>
        <v>0.7484899616080678</v>
      </c>
      <c r="O134">
        <v>132</v>
      </c>
      <c r="P134" s="6">
        <f t="shared" ca="1" si="22"/>
        <v>1943.9253415692694</v>
      </c>
      <c r="Q134" s="6">
        <f t="shared" ca="1" si="23"/>
        <v>392.19345556997212</v>
      </c>
      <c r="R134" s="6">
        <f t="shared" ca="1" si="24"/>
        <v>154.25140551178072</v>
      </c>
      <c r="S134" s="6"/>
      <c r="T134" s="4">
        <f t="shared" ca="1" si="25"/>
        <v>-1.3715792586130827E-2</v>
      </c>
      <c r="U134" s="4">
        <f t="shared" ca="1" si="26"/>
        <v>-1.8516245135250461E-2</v>
      </c>
      <c r="V134" s="4">
        <f t="shared" ca="1" si="27"/>
        <v>-2.7739759528887687E-4</v>
      </c>
      <c r="W134" s="4"/>
      <c r="X134">
        <v>132</v>
      </c>
      <c r="Y134" s="4">
        <f t="shared" ca="1" si="28"/>
        <v>-1.4008741978617557E-2</v>
      </c>
      <c r="Z134" s="4">
        <f ca="1"/>
        <v>-2.2750841712535805E-2</v>
      </c>
      <c r="AA134" s="4"/>
    </row>
    <row r="135" spans="1:27" x14ac:dyDescent="0.35">
      <c r="A135">
        <v>133</v>
      </c>
      <c r="B135">
        <f ca="1">_xlfn.NORM.INV(RAND(),Hitorical_Sim!$AB$4,Hitorical_Sim!$AB$5)</f>
        <v>9.3008631174263312E-4</v>
      </c>
      <c r="C135">
        <f ca="1">_xlfn.NORM.INV(RAND(),Hitorical_Sim!$AB$4,Hitorical_Sim!$AB$5)</f>
        <v>-2.9573716486141492E-2</v>
      </c>
      <c r="D135">
        <f ca="1">_xlfn.NORM.INV(RAND(),Hitorical_Sim!$AB$4,Hitorical_Sim!$AB$5)</f>
        <v>8.4082951785743112E-3</v>
      </c>
      <c r="K135">
        <f t="shared" ca="1" si="21"/>
        <v>-0.43510804188669078</v>
      </c>
      <c r="L135">
        <f t="shared" ca="1" si="21"/>
        <v>0.3450220240827212</v>
      </c>
      <c r="M135">
        <f t="shared" ca="1" si="21"/>
        <v>-0.21898404891526438</v>
      </c>
      <c r="O135">
        <v>133</v>
      </c>
      <c r="P135" s="6">
        <f t="shared" ca="1" si="22"/>
        <v>1922.6078405881383</v>
      </c>
      <c r="Q135" s="6">
        <f t="shared" ca="1" si="23"/>
        <v>388.20868726124507</v>
      </c>
      <c r="R135" s="6">
        <f t="shared" ca="1" si="24"/>
        <v>149.76551075032481</v>
      </c>
      <c r="S135" s="6"/>
      <c r="T135" s="4">
        <f t="shared" ca="1" si="25"/>
        <v>-1.1026785999748901E-2</v>
      </c>
      <c r="U135" s="4">
        <f t="shared" ca="1" si="26"/>
        <v>-1.0212178364089147E-2</v>
      </c>
      <c r="V135" s="4">
        <f t="shared" ca="1" si="27"/>
        <v>-2.9512965388483171E-2</v>
      </c>
      <c r="W135" s="4"/>
      <c r="X135">
        <v>133</v>
      </c>
      <c r="Y135" s="4">
        <f t="shared" ca="1" si="28"/>
        <v>-1.1779099250718678E-2</v>
      </c>
      <c r="Z135" s="4">
        <f ca="1"/>
        <v>-2.2347802988197326E-2</v>
      </c>
      <c r="AA135" s="4"/>
    </row>
    <row r="136" spans="1:27" x14ac:dyDescent="0.35">
      <c r="A136">
        <v>134</v>
      </c>
      <c r="B136">
        <f ca="1">_xlfn.NORM.INV(RAND(),Hitorical_Sim!$AB$4,Hitorical_Sim!$AB$5)</f>
        <v>9.6143404160470795E-3</v>
      </c>
      <c r="C136">
        <f ca="1">_xlfn.NORM.INV(RAND(),Hitorical_Sim!$AB$4,Hitorical_Sim!$AB$5)</f>
        <v>1.451339115748867E-2</v>
      </c>
      <c r="D136">
        <f ca="1">_xlfn.NORM.INV(RAND(),Hitorical_Sim!$AB$4,Hitorical_Sim!$AB$5)</f>
        <v>-3.05382462781612E-3</v>
      </c>
      <c r="K136">
        <f t="shared" ca="1" si="21"/>
        <v>1.4862650938196149</v>
      </c>
      <c r="L136">
        <f t="shared" ca="1" si="21"/>
        <v>-2.1359638889958692</v>
      </c>
      <c r="M136">
        <f t="shared" ca="1" si="21"/>
        <v>0.10868733405001318</v>
      </c>
      <c r="O136">
        <v>134</v>
      </c>
      <c r="P136" s="6">
        <f t="shared" ca="1" si="22"/>
        <v>1990.8080120301349</v>
      </c>
      <c r="Q136" s="6">
        <f t="shared" ca="1" si="23"/>
        <v>361.68041866660798</v>
      </c>
      <c r="R136" s="6">
        <f t="shared" ca="1" si="24"/>
        <v>151.2700246630128</v>
      </c>
      <c r="S136" s="6"/>
      <c r="T136" s="4">
        <f t="shared" ca="1" si="25"/>
        <v>3.485807776359124E-2</v>
      </c>
      <c r="U136" s="4">
        <f t="shared" ca="1" si="26"/>
        <v>-7.0782048251346819E-2</v>
      </c>
      <c r="V136" s="4">
        <f t="shared" ca="1" si="27"/>
        <v>9.9956733504597169E-3</v>
      </c>
      <c r="W136" s="4"/>
      <c r="X136">
        <v>134</v>
      </c>
      <c r="Y136" s="4">
        <f t="shared" ca="1" si="28"/>
        <v>1.2545236272044525E-2</v>
      </c>
      <c r="Z136" s="4">
        <f ca="1"/>
        <v>-2.2243224840928673E-2</v>
      </c>
      <c r="AA136" s="4"/>
    </row>
    <row r="137" spans="1:27" x14ac:dyDescent="0.35">
      <c r="A137">
        <v>135</v>
      </c>
      <c r="B137">
        <f ca="1">_xlfn.NORM.INV(RAND(),Hitorical_Sim!$AB$4,Hitorical_Sim!$AB$5)</f>
        <v>-1.9240112793144921E-2</v>
      </c>
      <c r="C137">
        <f ca="1">_xlfn.NORM.INV(RAND(),Hitorical_Sim!$AB$4,Hitorical_Sim!$AB$5)</f>
        <v>1.2846945933551965E-2</v>
      </c>
      <c r="D137">
        <f ca="1">_xlfn.NORM.INV(RAND(),Hitorical_Sim!$AB$4,Hitorical_Sim!$AB$5)</f>
        <v>5.7263155782558122E-3</v>
      </c>
      <c r="K137">
        <f t="shared" ca="1" si="21"/>
        <v>-0.8714704588119897</v>
      </c>
      <c r="L137">
        <f t="shared" ca="1" si="21"/>
        <v>0.72381086677335993</v>
      </c>
      <c r="M137">
        <f t="shared" ca="1" si="21"/>
        <v>0.55106826866206127</v>
      </c>
      <c r="O137">
        <v>135</v>
      </c>
      <c r="P137" s="6">
        <f t="shared" ca="1" si="22"/>
        <v>1907.4473996544764</v>
      </c>
      <c r="Q137" s="6">
        <f t="shared" ca="1" si="23"/>
        <v>392.42672080969567</v>
      </c>
      <c r="R137" s="6">
        <f t="shared" ca="1" si="24"/>
        <v>153.32523605384668</v>
      </c>
      <c r="S137" s="6"/>
      <c r="T137" s="4">
        <f t="shared" ca="1" si="25"/>
        <v>-4.2774684267355603E-2</v>
      </c>
      <c r="U137" s="4">
        <f t="shared" ca="1" si="26"/>
        <v>8.1588820671561924E-2</v>
      </c>
      <c r="V137" s="4">
        <f t="shared" ca="1" si="27"/>
        <v>1.3494908462365802E-2</v>
      </c>
      <c r="W137" s="4"/>
      <c r="X137">
        <v>135</v>
      </c>
      <c r="Y137" s="4">
        <f t="shared" ca="1" si="28"/>
        <v>-1.5170908578956532E-2</v>
      </c>
      <c r="Z137" s="4">
        <f ca="1"/>
        <v>-2.2186368526200814E-2</v>
      </c>
      <c r="AA137" s="4"/>
    </row>
    <row r="138" spans="1:27" x14ac:dyDescent="0.35">
      <c r="A138">
        <v>136</v>
      </c>
      <c r="B138">
        <f ca="1">_xlfn.NORM.INV(RAND(),Hitorical_Sim!$AB$4,Hitorical_Sim!$AB$5)</f>
        <v>4.4320404476216066E-4</v>
      </c>
      <c r="C138">
        <f ca="1">_xlfn.NORM.INV(RAND(),Hitorical_Sim!$AB$4,Hitorical_Sim!$AB$5)</f>
        <v>-2.9269151891724997E-3</v>
      </c>
      <c r="D138">
        <f ca="1">_xlfn.NORM.INV(RAND(),Hitorical_Sim!$AB$4,Hitorical_Sim!$AB$5)</f>
        <v>-2.4600164821408463E-2</v>
      </c>
      <c r="K138">
        <f t="shared" ca="1" si="21"/>
        <v>-2.0730278716819015</v>
      </c>
      <c r="L138">
        <f t="shared" ca="1" si="21"/>
        <v>0.46184666091403326</v>
      </c>
      <c r="M138">
        <f t="shared" ca="1" si="21"/>
        <v>0.46904789366319505</v>
      </c>
      <c r="O138">
        <v>136</v>
      </c>
      <c r="P138" s="6">
        <f t="shared" ca="1" si="22"/>
        <v>1866.316914936172</v>
      </c>
      <c r="Q138" s="6">
        <f t="shared" ca="1" si="23"/>
        <v>389.50473937943826</v>
      </c>
      <c r="R138" s="6">
        <f t="shared" ca="1" si="24"/>
        <v>152.94208878456845</v>
      </c>
      <c r="S138" s="6"/>
      <c r="T138" s="4">
        <f t="shared" ca="1" si="25"/>
        <v>-2.1798983735578242E-2</v>
      </c>
      <c r="U138" s="4">
        <f t="shared" ca="1" si="26"/>
        <v>-7.4737881265321627E-3</v>
      </c>
      <c r="V138" s="4">
        <f t="shared" ca="1" si="27"/>
        <v>-2.502046010706437E-3</v>
      </c>
      <c r="W138" s="4"/>
      <c r="X138">
        <v>136</v>
      </c>
      <c r="Y138" s="4">
        <f t="shared" ca="1" si="28"/>
        <v>-1.7985124083332745E-2</v>
      </c>
      <c r="Z138" s="4">
        <f ca="1"/>
        <v>-2.2064251940497978E-2</v>
      </c>
      <c r="AA138" s="4"/>
    </row>
    <row r="139" spans="1:27" x14ac:dyDescent="0.35">
      <c r="A139">
        <v>137</v>
      </c>
      <c r="B139">
        <f ca="1">_xlfn.NORM.INV(RAND(),Hitorical_Sim!$AB$4,Hitorical_Sim!$AB$5)</f>
        <v>2.1962516873590448E-2</v>
      </c>
      <c r="C139">
        <f ca="1">_xlfn.NORM.INV(RAND(),Hitorical_Sim!$AB$4,Hitorical_Sim!$AB$5)</f>
        <v>2.151206384750767E-2</v>
      </c>
      <c r="D139">
        <f ca="1">_xlfn.NORM.INV(RAND(),Hitorical_Sim!$AB$4,Hitorical_Sim!$AB$5)</f>
        <v>4.6084022540816118E-3</v>
      </c>
      <c r="K139">
        <f t="shared" ca="1" si="21"/>
        <v>-1.6848817552954229</v>
      </c>
      <c r="L139">
        <f t="shared" ca="1" si="21"/>
        <v>-0.4915608920477853</v>
      </c>
      <c r="M139">
        <f t="shared" ca="1" si="21"/>
        <v>0.97272329789242984</v>
      </c>
      <c r="O139">
        <v>137</v>
      </c>
      <c r="P139" s="6">
        <f t="shared" ca="1" si="22"/>
        <v>1879.5056266077661</v>
      </c>
      <c r="Q139" s="6">
        <f t="shared" ca="1" si="23"/>
        <v>379.05279645256212</v>
      </c>
      <c r="R139" s="6">
        <f t="shared" ca="1" si="24"/>
        <v>155.31014483535859</v>
      </c>
      <c r="S139" s="6"/>
      <c r="T139" s="4">
        <f t="shared" ca="1" si="25"/>
        <v>7.0418531711498554E-3</v>
      </c>
      <c r="U139" s="4">
        <f t="shared" ca="1" si="26"/>
        <v>-2.720053308694631E-2</v>
      </c>
      <c r="V139" s="4">
        <f t="shared" ca="1" si="27"/>
        <v>1.536470707260339E-2</v>
      </c>
      <c r="W139" s="4"/>
      <c r="X139">
        <v>137</v>
      </c>
      <c r="Y139" s="4">
        <f t="shared" ca="1" si="28"/>
        <v>6.2006446390612448E-4</v>
      </c>
      <c r="Z139" s="4">
        <f ca="1"/>
        <v>-2.2054587211066543E-2</v>
      </c>
      <c r="AA139" s="4"/>
    </row>
    <row r="140" spans="1:27" x14ac:dyDescent="0.35">
      <c r="A140">
        <v>138</v>
      </c>
      <c r="B140">
        <f ca="1">_xlfn.NORM.INV(RAND(),Hitorical_Sim!$AB$4,Hitorical_Sim!$AB$5)</f>
        <v>-2.0929467993956837E-2</v>
      </c>
      <c r="C140">
        <f ca="1">_xlfn.NORM.INV(RAND(),Hitorical_Sim!$AB$4,Hitorical_Sim!$AB$5)</f>
        <v>7.1785311485977219E-3</v>
      </c>
      <c r="D140">
        <f ca="1">_xlfn.NORM.INV(RAND(),Hitorical_Sim!$AB$4,Hitorical_Sim!$AB$5)</f>
        <v>1.7254556291895352E-3</v>
      </c>
      <c r="K140">
        <f t="shared" ca="1" si="21"/>
        <v>-0.73116515635684087</v>
      </c>
      <c r="L140">
        <f t="shared" ca="1" si="21"/>
        <v>0.24123354653616796</v>
      </c>
      <c r="M140">
        <f t="shared" ca="1" si="21"/>
        <v>1.0019816493959777</v>
      </c>
      <c r="O140">
        <v>138</v>
      </c>
      <c r="P140" s="6">
        <f t="shared" ca="1" si="22"/>
        <v>1912.3089101911821</v>
      </c>
      <c r="Q140" s="6">
        <f t="shared" ca="1" si="23"/>
        <v>387.06087624098677</v>
      </c>
      <c r="R140" s="6">
        <f t="shared" ca="1" si="24"/>
        <v>155.44882586075744</v>
      </c>
      <c r="S140" s="6"/>
      <c r="T140" s="4">
        <f t="shared" ca="1" si="25"/>
        <v>1.7302587796413676E-2</v>
      </c>
      <c r="U140" s="4">
        <f t="shared" ca="1" si="26"/>
        <v>2.0906483602643858E-2</v>
      </c>
      <c r="V140" s="4">
        <f t="shared" ca="1" si="27"/>
        <v>8.9253117484887779E-4</v>
      </c>
      <c r="W140" s="4"/>
      <c r="X140">
        <v>138</v>
      </c>
      <c r="Y140" s="4">
        <f t="shared" ca="1" si="28"/>
        <v>1.7209674757514129E-2</v>
      </c>
      <c r="Z140" s="4">
        <f ca="1"/>
        <v>-2.1690179153924218E-2</v>
      </c>
      <c r="AA140" s="4"/>
    </row>
    <row r="141" spans="1:27" x14ac:dyDescent="0.35">
      <c r="A141">
        <v>139</v>
      </c>
      <c r="B141">
        <f ca="1">_xlfn.NORM.INV(RAND(),Hitorical_Sim!$AB$4,Hitorical_Sim!$AB$5)</f>
        <v>1.0939851938850151E-2</v>
      </c>
      <c r="C141">
        <f ca="1">_xlfn.NORM.INV(RAND(),Hitorical_Sim!$AB$4,Hitorical_Sim!$AB$5)</f>
        <v>2.8951322772008299E-3</v>
      </c>
      <c r="D141">
        <f ca="1">_xlfn.NORM.INV(RAND(),Hitorical_Sim!$AB$4,Hitorical_Sim!$AB$5)</f>
        <v>-2.0978961896510738E-2</v>
      </c>
      <c r="K141">
        <f t="shared" ca="1" si="21"/>
        <v>-0.37356641570010946</v>
      </c>
      <c r="L141">
        <f t="shared" ca="1" si="21"/>
        <v>-7.8060962221629782E-2</v>
      </c>
      <c r="M141">
        <f t="shared" ca="1" si="21"/>
        <v>0.79507013406798188</v>
      </c>
      <c r="O141">
        <v>139</v>
      </c>
      <c r="P141" s="6">
        <f t="shared" ca="1" si="22"/>
        <v>1924.7556407253949</v>
      </c>
      <c r="Q141" s="6">
        <f t="shared" ca="1" si="23"/>
        <v>383.55099056595083</v>
      </c>
      <c r="R141" s="6">
        <f t="shared" ca="1" si="24"/>
        <v>154.47074274065295</v>
      </c>
      <c r="S141" s="6"/>
      <c r="T141" s="4">
        <f t="shared" ca="1" si="25"/>
        <v>6.4876543125978667E-3</v>
      </c>
      <c r="U141" s="4">
        <f t="shared" ca="1" si="26"/>
        <v>-9.1094105799418412E-3</v>
      </c>
      <c r="V141" s="4">
        <f t="shared" ca="1" si="27"/>
        <v>-6.3118722817683496E-3</v>
      </c>
      <c r="W141" s="4"/>
      <c r="X141">
        <v>139</v>
      </c>
      <c r="Y141" s="4">
        <f t="shared" ca="1" si="28"/>
        <v>2.7415278531027214E-3</v>
      </c>
      <c r="Z141" s="4">
        <f ca="1"/>
        <v>-2.1484581129530805E-2</v>
      </c>
      <c r="AA141" s="4"/>
    </row>
    <row r="142" spans="1:27" x14ac:dyDescent="0.35">
      <c r="A142">
        <v>140</v>
      </c>
      <c r="B142">
        <f ca="1">_xlfn.NORM.INV(RAND(),Hitorical_Sim!$AB$4,Hitorical_Sim!$AB$5)</f>
        <v>-2.3063636229977175E-2</v>
      </c>
      <c r="C142">
        <f ca="1">_xlfn.NORM.INV(RAND(),Hitorical_Sim!$AB$4,Hitorical_Sim!$AB$5)</f>
        <v>-2.5516413545808882E-2</v>
      </c>
      <c r="D142">
        <f ca="1">_xlfn.NORM.INV(RAND(),Hitorical_Sim!$AB$4,Hitorical_Sim!$AB$5)</f>
        <v>-1.9128508400299369E-2</v>
      </c>
      <c r="K142">
        <f t="shared" ca="1" si="21"/>
        <v>0.36601062550778496</v>
      </c>
      <c r="L142">
        <f t="shared" ca="1" si="21"/>
        <v>0.44638107539516547</v>
      </c>
      <c r="M142">
        <f t="shared" ca="1" si="21"/>
        <v>0.64880473638328684</v>
      </c>
      <c r="O142">
        <v>140</v>
      </c>
      <c r="P142" s="6">
        <f t="shared" ca="1" si="22"/>
        <v>1950.755296417942</v>
      </c>
      <c r="Q142" s="6">
        <f t="shared" ca="1" si="23"/>
        <v>389.33291604914649</v>
      </c>
      <c r="R142" s="6">
        <f t="shared" ca="1" si="24"/>
        <v>153.783052511656</v>
      </c>
      <c r="S142" s="6"/>
      <c r="T142" s="4">
        <f t="shared" ca="1" si="25"/>
        <v>1.3417609279269266E-2</v>
      </c>
      <c r="U142" s="4">
        <f t="shared" ca="1" si="26"/>
        <v>1.4962229900597795E-2</v>
      </c>
      <c r="V142" s="4">
        <f t="shared" ca="1" si="27"/>
        <v>-4.4618517628873013E-3</v>
      </c>
      <c r="W142" s="4"/>
      <c r="X142">
        <v>140</v>
      </c>
      <c r="Y142" s="4">
        <f t="shared" ca="1" si="28"/>
        <v>1.2841009674577063E-2</v>
      </c>
      <c r="Z142" s="4">
        <f ca="1"/>
        <v>-2.13947494242662E-2</v>
      </c>
      <c r="AA142" s="4"/>
    </row>
    <row r="143" spans="1:27" x14ac:dyDescent="0.35">
      <c r="A143">
        <v>141</v>
      </c>
      <c r="B143">
        <f ca="1">_xlfn.NORM.INV(RAND(),Hitorical_Sim!$AB$4,Hitorical_Sim!$AB$5)</f>
        <v>-7.5371328318892339E-3</v>
      </c>
      <c r="C143">
        <f ca="1">_xlfn.NORM.INV(RAND(),Hitorical_Sim!$AB$4,Hitorical_Sim!$AB$5)</f>
        <v>-2.1385239798930675E-2</v>
      </c>
      <c r="D143">
        <f ca="1">_xlfn.NORM.INV(RAND(),Hitorical_Sim!$AB$4,Hitorical_Sim!$AB$5)</f>
        <v>1.1569630879271228E-2</v>
      </c>
      <c r="K143">
        <f t="shared" ca="1" si="21"/>
        <v>-0.20801497071805317</v>
      </c>
      <c r="L143">
        <f t="shared" ca="1" si="21"/>
        <v>-1.4131101112033202</v>
      </c>
      <c r="M143">
        <f t="shared" ca="1" si="21"/>
        <v>-0.1014154477094152</v>
      </c>
      <c r="O143">
        <v>141</v>
      </c>
      <c r="P143" s="6">
        <f t="shared" ca="1" si="22"/>
        <v>1930.5452953561557</v>
      </c>
      <c r="Q143" s="6">
        <f t="shared" ca="1" si="23"/>
        <v>369.21675334355609</v>
      </c>
      <c r="R143" s="6">
        <f t="shared" ca="1" si="24"/>
        <v>150.30360174631332</v>
      </c>
      <c r="S143" s="6"/>
      <c r="T143" s="4">
        <f t="shared" ca="1" si="25"/>
        <v>-1.0414129613702746E-2</v>
      </c>
      <c r="U143" s="4">
        <f t="shared" ca="1" si="26"/>
        <v>-5.3050923908489991E-2</v>
      </c>
      <c r="V143" s="4">
        <f t="shared" ca="1" si="27"/>
        <v>-2.2885599081770097E-2</v>
      </c>
      <c r="W143" s="4"/>
      <c r="X143">
        <v>141</v>
      </c>
      <c r="Y143" s="4">
        <f t="shared" ca="1" si="28"/>
        <v>-1.9540287475658311E-2</v>
      </c>
      <c r="Z143" s="4">
        <f ca="1"/>
        <v>-2.1354176729046038E-2</v>
      </c>
      <c r="AA143" s="4"/>
    </row>
    <row r="144" spans="1:27" x14ac:dyDescent="0.35">
      <c r="A144">
        <v>142</v>
      </c>
      <c r="B144">
        <f ca="1">_xlfn.NORM.INV(RAND(),Hitorical_Sim!$AB$4,Hitorical_Sim!$AB$5)</f>
        <v>-1.0850972374358519E-3</v>
      </c>
      <c r="C144">
        <f ca="1">_xlfn.NORM.INV(RAND(),Hitorical_Sim!$AB$4,Hitorical_Sim!$AB$5)</f>
        <v>3.1651569187615377E-4</v>
      </c>
      <c r="D144">
        <f ca="1">_xlfn.NORM.INV(RAND(),Hitorical_Sim!$AB$4,Hitorical_Sim!$AB$5)</f>
        <v>-1.2716821930567189E-2</v>
      </c>
      <c r="K144">
        <f t="shared" ref="K144:M163" ca="1" si="29">_xlfn.NORM.S.INV(RAND())</f>
        <v>-2.0254493285755171</v>
      </c>
      <c r="L144">
        <f t="shared" ca="1" si="29"/>
        <v>0.20390627205001494</v>
      </c>
      <c r="M144">
        <f t="shared" ca="1" si="29"/>
        <v>-1.0885388926477724</v>
      </c>
      <c r="O144">
        <v>142</v>
      </c>
      <c r="P144" s="6">
        <f t="shared" ca="1" si="22"/>
        <v>1867.928583382203</v>
      </c>
      <c r="Q144" s="6">
        <f t="shared" ca="1" si="23"/>
        <v>386.6488990661926</v>
      </c>
      <c r="R144" s="6">
        <f t="shared" ca="1" si="24"/>
        <v>145.84506875201239</v>
      </c>
      <c r="S144" s="6"/>
      <c r="T144" s="4">
        <f t="shared" ca="1" si="25"/>
        <v>-3.2972391983158295E-2</v>
      </c>
      <c r="U144" s="4">
        <f t="shared" ca="1" si="26"/>
        <v>4.6133164666231456E-2</v>
      </c>
      <c r="V144" s="4">
        <f t="shared" ca="1" si="27"/>
        <v>-3.0112374852185771E-2</v>
      </c>
      <c r="W144" s="4"/>
      <c r="X144">
        <v>142</v>
      </c>
      <c r="Y144" s="4">
        <f t="shared" ca="1" si="28"/>
        <v>-1.7043904359175605E-2</v>
      </c>
      <c r="Z144" s="4">
        <f ca="1"/>
        <v>-2.1318667069040464E-2</v>
      </c>
      <c r="AA144" s="4"/>
    </row>
    <row r="145" spans="1:27" x14ac:dyDescent="0.35">
      <c r="A145">
        <v>143</v>
      </c>
      <c r="B145">
        <f ca="1">_xlfn.NORM.INV(RAND(),Hitorical_Sim!$AB$4,Hitorical_Sim!$AB$5)</f>
        <v>2.4021004162573661E-2</v>
      </c>
      <c r="C145">
        <f ca="1">_xlfn.NORM.INV(RAND(),Hitorical_Sim!$AB$4,Hitorical_Sim!$AB$5)</f>
        <v>2.5006744517163584E-2</v>
      </c>
      <c r="D145">
        <f ca="1">_xlfn.NORM.INV(RAND(),Hitorical_Sim!$AB$4,Hitorical_Sim!$AB$5)</f>
        <v>-1.7653108427510191E-2</v>
      </c>
      <c r="K145">
        <f t="shared" ca="1" si="29"/>
        <v>0.36674093211775083</v>
      </c>
      <c r="L145">
        <f t="shared" ca="1" si="29"/>
        <v>-1.0663057750564526</v>
      </c>
      <c r="M145">
        <f t="shared" ca="1" si="29"/>
        <v>1.1827058180301098</v>
      </c>
      <c r="O145">
        <v>143</v>
      </c>
      <c r="P145" s="6">
        <f t="shared" ca="1" si="22"/>
        <v>1950.7811429704325</v>
      </c>
      <c r="Q145" s="6">
        <f t="shared" ca="1" si="23"/>
        <v>372.88801237849265</v>
      </c>
      <c r="R145" s="6">
        <f t="shared" ca="1" si="24"/>
        <v>156.3081854164937</v>
      </c>
      <c r="S145" s="6"/>
      <c r="T145" s="4">
        <f t="shared" ca="1" si="25"/>
        <v>4.3399771019437219E-2</v>
      </c>
      <c r="U145" s="4">
        <f t="shared" ca="1" si="26"/>
        <v>-3.6238904031569714E-2</v>
      </c>
      <c r="V145" s="4">
        <f t="shared" ca="1" si="27"/>
        <v>6.9284720629087193E-2</v>
      </c>
      <c r="W145" s="4"/>
      <c r="X145">
        <v>143</v>
      </c>
      <c r="Y145" s="4">
        <f t="shared" ca="1" si="28"/>
        <v>2.8787481424832884E-2</v>
      </c>
      <c r="Z145" s="4">
        <f ca="1"/>
        <v>-2.1208630773804724E-2</v>
      </c>
      <c r="AA145" s="4"/>
    </row>
    <row r="146" spans="1:27" x14ac:dyDescent="0.35">
      <c r="A146">
        <v>144</v>
      </c>
      <c r="B146">
        <f ca="1">_xlfn.NORM.INV(RAND(),Hitorical_Sim!$AB$4,Hitorical_Sim!$AB$5)</f>
        <v>5.6657853461357065E-3</v>
      </c>
      <c r="C146">
        <f ca="1">_xlfn.NORM.INV(RAND(),Hitorical_Sim!$AB$4,Hitorical_Sim!$AB$5)</f>
        <v>1.8067824295565308E-2</v>
      </c>
      <c r="D146">
        <f ca="1">_xlfn.NORM.INV(RAND(),Hitorical_Sim!$AB$4,Hitorical_Sim!$AB$5)</f>
        <v>3.0284415083640392E-2</v>
      </c>
      <c r="K146">
        <f t="shared" ca="1" si="29"/>
        <v>-0.103401068842965</v>
      </c>
      <c r="L146">
        <f t="shared" ca="1" si="29"/>
        <v>0.3260186046118223</v>
      </c>
      <c r="M146">
        <f t="shared" ca="1" si="29"/>
        <v>-5.4903380390778342E-2</v>
      </c>
      <c r="O146">
        <v>144</v>
      </c>
      <c r="P146" s="6">
        <f t="shared" ca="1" si="22"/>
        <v>1934.212822298367</v>
      </c>
      <c r="Q146" s="6">
        <f t="shared" ca="1" si="23"/>
        <v>387.99827157736269</v>
      </c>
      <c r="R146" s="6">
        <f t="shared" ca="1" si="24"/>
        <v>150.51701270152964</v>
      </c>
      <c r="S146" s="6"/>
      <c r="T146" s="4">
        <f t="shared" ca="1" si="25"/>
        <v>-8.5294449708201627E-3</v>
      </c>
      <c r="U146" s="4">
        <f t="shared" ca="1" si="26"/>
        <v>3.9722745261748002E-2</v>
      </c>
      <c r="V146" s="4">
        <f t="shared" ca="1" si="27"/>
        <v>-3.7753486956932869E-2</v>
      </c>
      <c r="W146" s="4"/>
      <c r="X146">
        <v>144</v>
      </c>
      <c r="Y146" s="4">
        <f t="shared" ca="1" si="28"/>
        <v>-3.4614851947736705E-4</v>
      </c>
      <c r="Z146" s="4">
        <f ca="1"/>
        <v>-2.1190524306390124E-2</v>
      </c>
      <c r="AA146" s="4"/>
    </row>
    <row r="147" spans="1:27" x14ac:dyDescent="0.35">
      <c r="A147">
        <v>145</v>
      </c>
      <c r="B147">
        <f ca="1">_xlfn.NORM.INV(RAND(),Hitorical_Sim!$AB$4,Hitorical_Sim!$AB$5)</f>
        <v>1.9692248508615109E-3</v>
      </c>
      <c r="C147">
        <f ca="1">_xlfn.NORM.INV(RAND(),Hitorical_Sim!$AB$4,Hitorical_Sim!$AB$5)</f>
        <v>-2.2256594513634519E-3</v>
      </c>
      <c r="D147">
        <f ca="1">_xlfn.NORM.INV(RAND(),Hitorical_Sim!$AB$4,Hitorical_Sim!$AB$5)</f>
        <v>3.7596977477747724E-3</v>
      </c>
      <c r="K147">
        <f t="shared" ca="1" si="29"/>
        <v>-1.1686269647260954</v>
      </c>
      <c r="L147">
        <f t="shared" ca="1" si="29"/>
        <v>-1.6746854308907666</v>
      </c>
      <c r="M147">
        <f t="shared" ca="1" si="29"/>
        <v>-0.77355984934168764</v>
      </c>
      <c r="O147">
        <v>145</v>
      </c>
      <c r="P147" s="6">
        <f t="shared" ca="1" si="22"/>
        <v>1897.1918392134492</v>
      </c>
      <c r="Q147" s="6">
        <f t="shared" ca="1" si="23"/>
        <v>366.47165760348264</v>
      </c>
      <c r="R147" s="6">
        <f t="shared" ca="1" si="24"/>
        <v>147.25317387430323</v>
      </c>
      <c r="S147" s="6"/>
      <c r="T147" s="4">
        <f t="shared" ca="1" si="25"/>
        <v>-1.9325620008127986E-2</v>
      </c>
      <c r="U147" s="4">
        <f t="shared" ca="1" si="26"/>
        <v>-5.7079699175673002E-2</v>
      </c>
      <c r="V147" s="4">
        <f t="shared" ca="1" si="27"/>
        <v>-2.1922742382386777E-2</v>
      </c>
      <c r="W147" s="4"/>
      <c r="X147">
        <v>145</v>
      </c>
      <c r="Y147" s="4">
        <f t="shared" ca="1" si="28"/>
        <v>-2.6988661152003074E-2</v>
      </c>
      <c r="Z147" s="4">
        <f ca="1"/>
        <v>-2.1148674597338442E-2</v>
      </c>
      <c r="AA147" s="4"/>
    </row>
    <row r="148" spans="1:27" x14ac:dyDescent="0.35">
      <c r="A148">
        <v>146</v>
      </c>
      <c r="B148">
        <f ca="1">_xlfn.NORM.INV(RAND(),Hitorical_Sim!$AB$4,Hitorical_Sim!$AB$5)</f>
        <v>1.7661954245239406E-2</v>
      </c>
      <c r="C148">
        <f ca="1">_xlfn.NORM.INV(RAND(),Hitorical_Sim!$AB$4,Hitorical_Sim!$AB$5)</f>
        <v>-6.1577734876322949E-3</v>
      </c>
      <c r="D148">
        <f ca="1">_xlfn.NORM.INV(RAND(),Hitorical_Sim!$AB$4,Hitorical_Sim!$AB$5)</f>
        <v>3.8837978085712521E-3</v>
      </c>
      <c r="K148">
        <f t="shared" ca="1" si="29"/>
        <v>-0.6544993718630977</v>
      </c>
      <c r="L148">
        <f t="shared" ca="1" si="29"/>
        <v>-1.5839633954286073E-2</v>
      </c>
      <c r="M148">
        <f t="shared" ca="1" si="29"/>
        <v>0.76237790906907266</v>
      </c>
      <c r="O148">
        <v>146</v>
      </c>
      <c r="P148" s="6">
        <f t="shared" ca="1" si="22"/>
        <v>1914.9705753279884</v>
      </c>
      <c r="Q148" s="6">
        <f t="shared" ca="1" si="23"/>
        <v>384.23246056739089</v>
      </c>
      <c r="R148" s="6">
        <f t="shared" ca="1" si="24"/>
        <v>154.31676862580363</v>
      </c>
      <c r="S148" s="6"/>
      <c r="T148" s="4">
        <f t="shared" ca="1" si="25"/>
        <v>9.3274436284019411E-3</v>
      </c>
      <c r="U148" s="4">
        <f t="shared" ca="1" si="26"/>
        <v>4.7326549748362888E-2</v>
      </c>
      <c r="V148" s="4">
        <f t="shared" ca="1" si="27"/>
        <v>4.6854052315390762E-2</v>
      </c>
      <c r="W148" s="4"/>
      <c r="X148">
        <v>146</v>
      </c>
      <c r="Y148" s="4">
        <f t="shared" ca="1" si="28"/>
        <v>1.8768048504482149E-2</v>
      </c>
      <c r="Z148" s="4">
        <f ca="1"/>
        <v>-2.1111668572081535E-2</v>
      </c>
      <c r="AA148" s="4"/>
    </row>
    <row r="149" spans="1:27" x14ac:dyDescent="0.35">
      <c r="A149">
        <v>147</v>
      </c>
      <c r="B149">
        <f ca="1">_xlfn.NORM.INV(RAND(),Hitorical_Sim!$AB$4,Hitorical_Sim!$AB$5)</f>
        <v>1.6627521174152917E-2</v>
      </c>
      <c r="C149">
        <f ca="1">_xlfn.NORM.INV(RAND(),Hitorical_Sim!$AB$4,Hitorical_Sim!$AB$5)</f>
        <v>-9.4401199048472391E-3</v>
      </c>
      <c r="D149">
        <f ca="1">_xlfn.NORM.INV(RAND(),Hitorical_Sim!$AB$4,Hitorical_Sim!$AB$5)</f>
        <v>1.1354249427217224E-2</v>
      </c>
      <c r="K149">
        <f t="shared" ca="1" si="29"/>
        <v>2.165770856514214</v>
      </c>
      <c r="L149">
        <f t="shared" ca="1" si="29"/>
        <v>0.37072945828771048</v>
      </c>
      <c r="M149">
        <f t="shared" ca="1" si="29"/>
        <v>-3.0387612997963718</v>
      </c>
      <c r="O149">
        <v>147</v>
      </c>
      <c r="P149" s="6">
        <f t="shared" ca="1" si="22"/>
        <v>2015.502153836401</v>
      </c>
      <c r="Q149" s="6">
        <f t="shared" ca="1" si="23"/>
        <v>388.49351486867596</v>
      </c>
      <c r="R149" s="6">
        <f t="shared" ca="1" si="24"/>
        <v>137.42152222507767</v>
      </c>
      <c r="S149" s="6"/>
      <c r="T149" s="4">
        <f t="shared" ca="1" si="25"/>
        <v>5.1166115060195763E-2</v>
      </c>
      <c r="U149" s="4">
        <f t="shared" ca="1" si="26"/>
        <v>1.1028741435133467E-2</v>
      </c>
      <c r="V149" s="4">
        <f t="shared" ca="1" si="27"/>
        <v>-0.11595442222511912</v>
      </c>
      <c r="W149" s="4"/>
      <c r="X149">
        <v>147</v>
      </c>
      <c r="Y149" s="4">
        <f t="shared" ca="1" si="28"/>
        <v>3.4885162052044442E-2</v>
      </c>
      <c r="Z149" s="4">
        <f ca="1"/>
        <v>-2.1052426115397226E-2</v>
      </c>
      <c r="AA149" s="4"/>
    </row>
    <row r="150" spans="1:27" x14ac:dyDescent="0.35">
      <c r="A150">
        <v>148</v>
      </c>
      <c r="B150">
        <f ca="1">_xlfn.NORM.INV(RAND(),Hitorical_Sim!$AB$4,Hitorical_Sim!$AB$5)</f>
        <v>1.3336714436977816E-2</v>
      </c>
      <c r="C150">
        <f ca="1">_xlfn.NORM.INV(RAND(),Hitorical_Sim!$AB$4,Hitorical_Sim!$AB$5)</f>
        <v>-3.9351743325291106E-3</v>
      </c>
      <c r="D150">
        <f ca="1">_xlfn.NORM.INV(RAND(),Hitorical_Sim!$AB$4,Hitorical_Sim!$AB$5)</f>
        <v>-1.520985674209247E-2</v>
      </c>
      <c r="K150">
        <f t="shared" ca="1" si="29"/>
        <v>0.67893752725702816</v>
      </c>
      <c r="L150">
        <f t="shared" ca="1" si="29"/>
        <v>-0.26588351319937442</v>
      </c>
      <c r="M150">
        <f t="shared" ca="1" si="29"/>
        <v>0.24407604953469098</v>
      </c>
      <c r="O150">
        <v>148</v>
      </c>
      <c r="P150" s="6">
        <f t="shared" ca="1" si="22"/>
        <v>1961.8616319045018</v>
      </c>
      <c r="Q150" s="6">
        <f t="shared" ca="1" si="23"/>
        <v>381.50121364890691</v>
      </c>
      <c r="R150" s="6">
        <f t="shared" ca="1" si="24"/>
        <v>151.89607034700293</v>
      </c>
      <c r="S150" s="6"/>
      <c r="T150" s="4">
        <f t="shared" ca="1" si="25"/>
        <v>-2.6974537558366724E-2</v>
      </c>
      <c r="U150" s="4">
        <f t="shared" ca="1" si="26"/>
        <v>-1.816244494887825E-2</v>
      </c>
      <c r="V150" s="4">
        <f t="shared" ca="1" si="27"/>
        <v>0.10014353255279579</v>
      </c>
      <c r="W150" s="4"/>
      <c r="X150">
        <v>148</v>
      </c>
      <c r="Y150" s="4">
        <f t="shared" ca="1" si="28"/>
        <v>-1.8924837693692784E-2</v>
      </c>
      <c r="Z150" s="4">
        <f ca="1"/>
        <v>-2.1012490541432872E-2</v>
      </c>
      <c r="AA150" s="4"/>
    </row>
    <row r="151" spans="1:27" x14ac:dyDescent="0.35">
      <c r="A151">
        <v>149</v>
      </c>
      <c r="B151">
        <f ca="1">_xlfn.NORM.INV(RAND(),Hitorical_Sim!$AB$4,Hitorical_Sim!$AB$5)</f>
        <v>-3.6647511005943656E-4</v>
      </c>
      <c r="C151">
        <f ca="1">_xlfn.NORM.INV(RAND(),Hitorical_Sim!$AB$4,Hitorical_Sim!$AB$5)</f>
        <v>-2.8953319528232757E-3</v>
      </c>
      <c r="D151">
        <f ca="1">_xlfn.NORM.INV(RAND(),Hitorical_Sim!$AB$4,Hitorical_Sim!$AB$5)</f>
        <v>-2.4531440761726198E-2</v>
      </c>
      <c r="K151">
        <f t="shared" ca="1" si="29"/>
        <v>0.72697053996386973</v>
      </c>
      <c r="L151">
        <f t="shared" ca="1" si="29"/>
        <v>1.9570775096947888</v>
      </c>
      <c r="M151">
        <f t="shared" ca="1" si="29"/>
        <v>-2.0244121457428901E-2</v>
      </c>
      <c r="O151">
        <v>149</v>
      </c>
      <c r="P151" s="6">
        <f t="shared" ca="1" si="22"/>
        <v>1963.5719983313656</v>
      </c>
      <c r="Q151" s="6">
        <f t="shared" ca="1" si="23"/>
        <v>406.47998078504679</v>
      </c>
      <c r="R151" s="6">
        <f t="shared" ca="1" si="24"/>
        <v>150.67623651136012</v>
      </c>
      <c r="S151" s="6"/>
      <c r="T151" s="4">
        <f t="shared" ca="1" si="25"/>
        <v>8.7142807455742723E-4</v>
      </c>
      <c r="U151" s="4">
        <f t="shared" ca="1" si="26"/>
        <v>6.3420648039114305E-2</v>
      </c>
      <c r="V151" s="4">
        <f t="shared" ca="1" si="27"/>
        <v>-8.063133451769627E-3</v>
      </c>
      <c r="W151" s="4"/>
      <c r="X151">
        <v>149</v>
      </c>
      <c r="Y151" s="4">
        <f t="shared" ca="1" si="28"/>
        <v>1.2912083951240251E-2</v>
      </c>
      <c r="Z151" s="4">
        <f ca="1"/>
        <v>-2.0969016751743137E-2</v>
      </c>
      <c r="AA151" s="4"/>
    </row>
    <row r="152" spans="1:27" x14ac:dyDescent="0.35">
      <c r="A152">
        <v>150</v>
      </c>
      <c r="B152">
        <f ca="1">_xlfn.NORM.INV(RAND(),Hitorical_Sim!$AB$4,Hitorical_Sim!$AB$5)</f>
        <v>-1.3582850571267676E-2</v>
      </c>
      <c r="C152">
        <f ca="1">_xlfn.NORM.INV(RAND(),Hitorical_Sim!$AB$4,Hitorical_Sim!$AB$5)</f>
        <v>-2.0801469044274649E-2</v>
      </c>
      <c r="D152">
        <f ca="1">_xlfn.NORM.INV(RAND(),Hitorical_Sim!$AB$4,Hitorical_Sim!$AB$5)</f>
        <v>-1.5059822442514161E-2</v>
      </c>
      <c r="K152">
        <f t="shared" ca="1" si="29"/>
        <v>-1.6769915384990968</v>
      </c>
      <c r="L152">
        <f t="shared" ca="1" si="29"/>
        <v>0.99174989375563549</v>
      </c>
      <c r="M152">
        <f t="shared" ca="1" si="29"/>
        <v>-0.7485180075178629</v>
      </c>
      <c r="O152">
        <v>150</v>
      </c>
      <c r="P152" s="6">
        <f t="shared" ca="1" si="22"/>
        <v>1879.7746904694109</v>
      </c>
      <c r="Q152" s="6">
        <f t="shared" ca="1" si="23"/>
        <v>395.43802313591033</v>
      </c>
      <c r="R152" s="6">
        <f t="shared" ca="1" si="24"/>
        <v>147.36570440424438</v>
      </c>
      <c r="S152" s="6"/>
      <c r="T152" s="4">
        <f t="shared" ca="1" si="25"/>
        <v>-4.3613338562154068E-2</v>
      </c>
      <c r="U152" s="4">
        <f t="shared" ca="1" si="26"/>
        <v>-2.7540610178224283E-2</v>
      </c>
      <c r="V152" s="4">
        <f t="shared" ca="1" si="27"/>
        <v>-2.2216123388173761E-2</v>
      </c>
      <c r="W152" s="4"/>
      <c r="X152">
        <v>150</v>
      </c>
      <c r="Y152" s="4">
        <f t="shared" ca="1" si="28"/>
        <v>-3.9346783988084909E-2</v>
      </c>
      <c r="Z152" s="4">
        <f ca="1"/>
        <v>-2.0866443010563566E-2</v>
      </c>
      <c r="AA152" s="4"/>
    </row>
    <row r="153" spans="1:27" x14ac:dyDescent="0.35">
      <c r="A153">
        <v>151</v>
      </c>
      <c r="B153">
        <f ca="1">_xlfn.NORM.INV(RAND(),Hitorical_Sim!$AB$4,Hitorical_Sim!$AB$5)</f>
        <v>4.4385148369324001E-2</v>
      </c>
      <c r="C153">
        <f ca="1">_xlfn.NORM.INV(RAND(),Hitorical_Sim!$AB$4,Hitorical_Sim!$AB$5)</f>
        <v>1.6744867332224512E-2</v>
      </c>
      <c r="D153">
        <f ca="1">_xlfn.NORM.INV(RAND(),Hitorical_Sim!$AB$4,Hitorical_Sim!$AB$5)</f>
        <v>3.0153599444303677E-2</v>
      </c>
      <c r="K153">
        <f t="shared" ca="1" si="29"/>
        <v>-0.76760884682241648</v>
      </c>
      <c r="L153">
        <f t="shared" ca="1" si="29"/>
        <v>-1.0650674916621825</v>
      </c>
      <c r="M153">
        <f t="shared" ca="1" si="29"/>
        <v>1.2182327495530494</v>
      </c>
      <c r="O153">
        <v>151</v>
      </c>
      <c r="P153" s="6">
        <f t="shared" ca="1" si="22"/>
        <v>1911.0449640903178</v>
      </c>
      <c r="Q153" s="6">
        <f t="shared" ca="1" si="23"/>
        <v>372.90118599357436</v>
      </c>
      <c r="R153" s="6">
        <f t="shared" ca="1" si="24"/>
        <v>156.47767707026537</v>
      </c>
      <c r="S153" s="6"/>
      <c r="T153" s="4">
        <f t="shared" ca="1" si="25"/>
        <v>1.6498269906161059E-2</v>
      </c>
      <c r="U153" s="4">
        <f t="shared" ca="1" si="26"/>
        <v>-5.8680602195842042E-2</v>
      </c>
      <c r="V153" s="4">
        <f t="shared" ca="1" si="27"/>
        <v>5.9996078850540743E-2</v>
      </c>
      <c r="W153" s="4"/>
      <c r="X153">
        <v>151</v>
      </c>
      <c r="Y153" s="4">
        <f t="shared" ca="1" si="28"/>
        <v>3.6476772217155545E-3</v>
      </c>
      <c r="Z153" s="4">
        <f ca="1"/>
        <v>-2.0853415597281304E-2</v>
      </c>
      <c r="AA153" s="4"/>
    </row>
    <row r="154" spans="1:27" x14ac:dyDescent="0.35">
      <c r="A154">
        <v>152</v>
      </c>
      <c r="B154">
        <f ca="1">_xlfn.NORM.INV(RAND(),Hitorical_Sim!$AB$4,Hitorical_Sim!$AB$5)</f>
        <v>2.7273403775128959E-2</v>
      </c>
      <c r="C154">
        <f ca="1">_xlfn.NORM.INV(RAND(),Hitorical_Sim!$AB$4,Hitorical_Sim!$AB$5)</f>
        <v>-1.5184677810230012E-3</v>
      </c>
      <c r="D154">
        <f ca="1">_xlfn.NORM.INV(RAND(),Hitorical_Sim!$AB$4,Hitorical_Sim!$AB$5)</f>
        <v>2.5015249676612394E-2</v>
      </c>
      <c r="K154">
        <f t="shared" ca="1" si="29"/>
        <v>-1.180695722345402</v>
      </c>
      <c r="L154">
        <f t="shared" ca="1" si="29"/>
        <v>0.92565503480238909</v>
      </c>
      <c r="M154">
        <f t="shared" ca="1" si="29"/>
        <v>0.30439273370543518</v>
      </c>
      <c r="O154">
        <v>152</v>
      </c>
      <c r="P154" s="6">
        <f t="shared" ca="1" si="22"/>
        <v>1896.7764856040026</v>
      </c>
      <c r="Q154" s="6">
        <f t="shared" ca="1" si="23"/>
        <v>394.69305871857563</v>
      </c>
      <c r="R154" s="6">
        <f t="shared" ca="1" si="24"/>
        <v>152.17581200489266</v>
      </c>
      <c r="S154" s="6"/>
      <c r="T154" s="4">
        <f t="shared" ca="1" si="25"/>
        <v>-7.4943352556066049E-3</v>
      </c>
      <c r="U154" s="4">
        <f t="shared" ca="1" si="26"/>
        <v>5.6794928653347218E-2</v>
      </c>
      <c r="V154" s="4">
        <f t="shared" ca="1" si="27"/>
        <v>-2.787685091792046E-2</v>
      </c>
      <c r="W154" s="4"/>
      <c r="X154">
        <v>152</v>
      </c>
      <c r="Y154" s="4">
        <f t="shared" ca="1" si="28"/>
        <v>4.3270174385870875E-3</v>
      </c>
      <c r="Z154" s="4">
        <f ca="1"/>
        <v>-2.0641756076054528E-2</v>
      </c>
      <c r="AA154" s="4"/>
    </row>
    <row r="155" spans="1:27" x14ac:dyDescent="0.35">
      <c r="A155">
        <v>153</v>
      </c>
      <c r="B155">
        <f ca="1">_xlfn.NORM.INV(RAND(),Hitorical_Sim!$AB$4,Hitorical_Sim!$AB$5)</f>
        <v>7.6738956987572856E-3</v>
      </c>
      <c r="C155">
        <f ca="1">_xlfn.NORM.INV(RAND(),Hitorical_Sim!$AB$4,Hitorical_Sim!$AB$5)</f>
        <v>-2.0243469164251092E-3</v>
      </c>
      <c r="D155">
        <f ca="1">_xlfn.NORM.INV(RAND(),Hitorical_Sim!$AB$4,Hitorical_Sim!$AB$5)</f>
        <v>2.4114539693944757E-2</v>
      </c>
      <c r="K155">
        <f t="shared" ca="1" si="29"/>
        <v>-1.2855575065696319</v>
      </c>
      <c r="L155">
        <f t="shared" ca="1" si="29"/>
        <v>0.23973165828447254</v>
      </c>
      <c r="M155">
        <f t="shared" ca="1" si="29"/>
        <v>9.9981338611584258E-2</v>
      </c>
      <c r="O155">
        <v>153</v>
      </c>
      <c r="P155" s="6">
        <f t="shared" ca="1" si="22"/>
        <v>1893.1714290833497</v>
      </c>
      <c r="Q155" s="6">
        <f t="shared" ca="1" si="23"/>
        <v>387.04429158686457</v>
      </c>
      <c r="R155" s="6">
        <f t="shared" ca="1" si="24"/>
        <v>151.22985601764924</v>
      </c>
      <c r="S155" s="6"/>
      <c r="T155" s="4">
        <f t="shared" ca="1" si="25"/>
        <v>-1.9024312149411265E-3</v>
      </c>
      <c r="U155" s="4">
        <f t="shared" ca="1" si="26"/>
        <v>-1.956926126725653E-2</v>
      </c>
      <c r="V155" s="4">
        <f t="shared" ca="1" si="27"/>
        <v>-6.2356056729141462E-3</v>
      </c>
      <c r="W155" s="4"/>
      <c r="X155">
        <v>153</v>
      </c>
      <c r="Y155" s="4">
        <f t="shared" ca="1" si="28"/>
        <v>-5.6426159907395105E-3</v>
      </c>
      <c r="Z155" s="4">
        <f ca="1"/>
        <v>-2.0545964138463439E-2</v>
      </c>
      <c r="AA155" s="4"/>
    </row>
    <row r="156" spans="1:27" x14ac:dyDescent="0.35">
      <c r="A156">
        <v>154</v>
      </c>
      <c r="B156">
        <f ca="1">_xlfn.NORM.INV(RAND(),Hitorical_Sim!$AB$4,Hitorical_Sim!$AB$5)</f>
        <v>-9.1743636087257517E-3</v>
      </c>
      <c r="C156">
        <f ca="1">_xlfn.NORM.INV(RAND(),Hitorical_Sim!$AB$4,Hitorical_Sim!$AB$5)</f>
        <v>1.0053897482310153E-2</v>
      </c>
      <c r="D156">
        <f ca="1">_xlfn.NORM.INV(RAND(),Hitorical_Sim!$AB$4,Hitorical_Sim!$AB$5)</f>
        <v>1.3345686823597051E-2</v>
      </c>
      <c r="K156">
        <f t="shared" ca="1" si="29"/>
        <v>0.22112765757389435</v>
      </c>
      <c r="L156">
        <f t="shared" ca="1" si="29"/>
        <v>0.27447734835969229</v>
      </c>
      <c r="M156">
        <f t="shared" ca="1" si="29"/>
        <v>1.0504852152570221</v>
      </c>
      <c r="O156">
        <v>154</v>
      </c>
      <c r="P156" s="6">
        <f t="shared" ca="1" si="22"/>
        <v>1945.6344564837225</v>
      </c>
      <c r="Q156" s="6">
        <f t="shared" ca="1" si="23"/>
        <v>387.42815410569671</v>
      </c>
      <c r="R156" s="6">
        <f t="shared" ca="1" si="24"/>
        <v>155.67899971399967</v>
      </c>
      <c r="S156" s="6"/>
      <c r="T156" s="4">
        <f t="shared" ca="1" si="25"/>
        <v>2.7334694985030925E-2</v>
      </c>
      <c r="U156" s="4">
        <f t="shared" ca="1" si="26"/>
        <v>9.9128781766401179E-4</v>
      </c>
      <c r="V156" s="4">
        <f t="shared" ca="1" si="27"/>
        <v>2.899528846039125E-2</v>
      </c>
      <c r="W156" s="4"/>
      <c r="X156">
        <v>154</v>
      </c>
      <c r="Y156" s="4">
        <f t="shared" ca="1" si="28"/>
        <v>2.2159574274185516E-2</v>
      </c>
      <c r="Z156" s="4">
        <f ca="1"/>
        <v>-2.0486837353364158E-2</v>
      </c>
      <c r="AA156" s="4"/>
    </row>
    <row r="157" spans="1:27" x14ac:dyDescent="0.35">
      <c r="A157">
        <v>155</v>
      </c>
      <c r="B157">
        <f ca="1">_xlfn.NORM.INV(RAND(),Hitorical_Sim!$AB$4,Hitorical_Sim!$AB$5)</f>
        <v>6.3670033775952532E-3</v>
      </c>
      <c r="C157">
        <f ca="1">_xlfn.NORM.INV(RAND(),Hitorical_Sim!$AB$4,Hitorical_Sim!$AB$5)</f>
        <v>-1.3111428714306879E-2</v>
      </c>
      <c r="D157">
        <f ca="1">_xlfn.NORM.INV(RAND(),Hitorical_Sim!$AB$4,Hitorical_Sim!$AB$5)</f>
        <v>1.1690462628570285E-2</v>
      </c>
      <c r="K157">
        <f t="shared" ca="1" si="29"/>
        <v>-0.44376931869181646</v>
      </c>
      <c r="L157">
        <f t="shared" ca="1" si="29"/>
        <v>2.1488815968127444</v>
      </c>
      <c r="M157">
        <f t="shared" ca="1" si="29"/>
        <v>-0.24799437381207204</v>
      </c>
      <c r="O157">
        <v>155</v>
      </c>
      <c r="P157" s="6">
        <f t="shared" ca="1" si="22"/>
        <v>1922.3057548468469</v>
      </c>
      <c r="Q157" s="6">
        <f t="shared" ca="1" si="23"/>
        <v>408.71039049264476</v>
      </c>
      <c r="R157" s="6">
        <f t="shared" ca="1" si="24"/>
        <v>149.63303213132667</v>
      </c>
      <c r="S157" s="6"/>
      <c r="T157" s="4">
        <f t="shared" ca="1" si="25"/>
        <v>-1.2062743083438977E-2</v>
      </c>
      <c r="U157" s="4">
        <f t="shared" ca="1" si="26"/>
        <v>5.3476390678857767E-2</v>
      </c>
      <c r="V157" s="4">
        <f t="shared" ca="1" si="27"/>
        <v>-3.961034896339851E-2</v>
      </c>
      <c r="W157" s="4"/>
      <c r="X157">
        <v>155</v>
      </c>
      <c r="Y157" s="4">
        <f t="shared" ca="1" si="28"/>
        <v>-3.4655730832501173E-4</v>
      </c>
      <c r="Z157" s="4">
        <f ca="1"/>
        <v>-2.0288257627940971E-2</v>
      </c>
      <c r="AA157" s="4"/>
    </row>
    <row r="158" spans="1:27" x14ac:dyDescent="0.35">
      <c r="A158">
        <v>156</v>
      </c>
      <c r="B158">
        <f ca="1">_xlfn.NORM.INV(RAND(),Hitorical_Sim!$AB$4,Hitorical_Sim!$AB$5)</f>
        <v>-3.6892966260976454E-3</v>
      </c>
      <c r="C158">
        <f ca="1">_xlfn.NORM.INV(RAND(),Hitorical_Sim!$AB$4,Hitorical_Sim!$AB$5)</f>
        <v>-3.7925670226451008E-3</v>
      </c>
      <c r="D158">
        <f ca="1">_xlfn.NORM.INV(RAND(),Hitorical_Sim!$AB$4,Hitorical_Sim!$AB$5)</f>
        <v>3.3698343260705832E-3</v>
      </c>
      <c r="K158">
        <f t="shared" ca="1" si="29"/>
        <v>-2.3223560853583023</v>
      </c>
      <c r="L158">
        <f t="shared" ca="1" si="29"/>
        <v>0.71694624541678209</v>
      </c>
      <c r="M158">
        <f t="shared" ca="1" si="29"/>
        <v>-1.3655389060923577</v>
      </c>
      <c r="O158">
        <v>156</v>
      </c>
      <c r="P158" s="6">
        <f t="shared" ca="1" si="22"/>
        <v>1857.8939174986695</v>
      </c>
      <c r="Q158" s="6">
        <f t="shared" ca="1" si="23"/>
        <v>392.34987300613261</v>
      </c>
      <c r="R158" s="6">
        <f t="shared" ca="1" si="24"/>
        <v>144.61787964114171</v>
      </c>
      <c r="S158" s="6"/>
      <c r="T158" s="4">
        <f t="shared" ca="1" si="25"/>
        <v>-3.4081835735692095E-2</v>
      </c>
      <c r="U158" s="4">
        <f t="shared" ca="1" si="26"/>
        <v>-4.0852838623960323E-2</v>
      </c>
      <c r="V158" s="4">
        <f t="shared" ca="1" si="27"/>
        <v>-3.4090893132556345E-2</v>
      </c>
      <c r="W158" s="4"/>
      <c r="X158">
        <v>156</v>
      </c>
      <c r="Y158" s="4">
        <f t="shared" ca="1" si="28"/>
        <v>-3.5433559806236505E-2</v>
      </c>
      <c r="Z158" s="4">
        <f ca="1"/>
        <v>-2.0265529846215245E-2</v>
      </c>
      <c r="AA158" s="4"/>
    </row>
    <row r="159" spans="1:27" x14ac:dyDescent="0.35">
      <c r="A159">
        <v>157</v>
      </c>
      <c r="B159">
        <f ca="1">_xlfn.NORM.INV(RAND(),Hitorical_Sim!$AB$4,Hitorical_Sim!$AB$5)</f>
        <v>-1.7143959989554566E-3</v>
      </c>
      <c r="C159">
        <f ca="1">_xlfn.NORM.INV(RAND(),Hitorical_Sim!$AB$4,Hitorical_Sim!$AB$5)</f>
        <v>1.5738287191751219E-2</v>
      </c>
      <c r="D159">
        <f ca="1">_xlfn.NORM.INV(RAND(),Hitorical_Sim!$AB$4,Hitorical_Sim!$AB$5)</f>
        <v>-6.3542721447349491E-3</v>
      </c>
      <c r="K159">
        <f t="shared" ca="1" si="29"/>
        <v>-1.6948795454545389</v>
      </c>
      <c r="L159">
        <f t="shared" ca="1" si="29"/>
        <v>0.45807527605931003</v>
      </c>
      <c r="M159">
        <f t="shared" ca="1" si="29"/>
        <v>0.6833238388258368</v>
      </c>
      <c r="O159">
        <v>157</v>
      </c>
      <c r="P159" s="6">
        <f t="shared" ca="1" si="22"/>
        <v>1879.1647478162777</v>
      </c>
      <c r="Q159" s="6">
        <f t="shared" ca="1" si="23"/>
        <v>389.46283213913352</v>
      </c>
      <c r="R159" s="6">
        <f t="shared" ca="1" si="24"/>
        <v>153.94507309508555</v>
      </c>
      <c r="S159" s="6"/>
      <c r="T159" s="4">
        <f t="shared" ca="1" si="25"/>
        <v>1.138385127611055E-2</v>
      </c>
      <c r="U159" s="4">
        <f t="shared" ca="1" si="26"/>
        <v>-7.3855386873988259E-3</v>
      </c>
      <c r="V159" s="4">
        <f t="shared" ca="1" si="27"/>
        <v>6.2500919527351692E-2</v>
      </c>
      <c r="W159" s="4"/>
      <c r="X159">
        <v>157</v>
      </c>
      <c r="Y159" s="4">
        <f t="shared" ca="1" si="28"/>
        <v>1.0167869171327844E-2</v>
      </c>
      <c r="Z159" s="4">
        <f ca="1"/>
        <v>-2.0151485701258576E-2</v>
      </c>
      <c r="AA159" s="4"/>
    </row>
    <row r="160" spans="1:27" x14ac:dyDescent="0.35">
      <c r="A160">
        <v>158</v>
      </c>
      <c r="B160">
        <f ca="1">_xlfn.NORM.INV(RAND(),Hitorical_Sim!$AB$4,Hitorical_Sim!$AB$5)</f>
        <v>-1.6220997442212227E-3</v>
      </c>
      <c r="C160">
        <f ca="1">_xlfn.NORM.INV(RAND(),Hitorical_Sim!$AB$4,Hitorical_Sim!$AB$5)</f>
        <v>-2.0347145833027842E-2</v>
      </c>
      <c r="D160">
        <f ca="1">_xlfn.NORM.INV(RAND(),Hitorical_Sim!$AB$4,Hitorical_Sim!$AB$5)</f>
        <v>-1.0557731337794083E-2</v>
      </c>
      <c r="K160">
        <f t="shared" ca="1" si="29"/>
        <v>1.2869079425346723</v>
      </c>
      <c r="L160">
        <f t="shared" ca="1" si="29"/>
        <v>-1.5888941490471471</v>
      </c>
      <c r="M160">
        <f t="shared" ca="1" si="29"/>
        <v>1.1228944526675069</v>
      </c>
      <c r="O160">
        <v>158</v>
      </c>
      <c r="P160" s="6">
        <f t="shared" ca="1" si="22"/>
        <v>1983.620678818949</v>
      </c>
      <c r="Q160" s="6">
        <f t="shared" ca="1" si="23"/>
        <v>367.36973543609543</v>
      </c>
      <c r="R160" s="6">
        <f t="shared" ca="1" si="24"/>
        <v>156.02325235659686</v>
      </c>
      <c r="S160" s="6"/>
      <c r="T160" s="4">
        <f t="shared" ca="1" si="25"/>
        <v>5.4096405429662965E-2</v>
      </c>
      <c r="U160" s="4">
        <f t="shared" ca="1" si="26"/>
        <v>-5.8399641792858142E-2</v>
      </c>
      <c r="V160" s="4">
        <f t="shared" ca="1" si="27"/>
        <v>1.3409179131422847E-2</v>
      </c>
      <c r="W160" s="4"/>
      <c r="X160">
        <v>158</v>
      </c>
      <c r="Y160" s="4">
        <f t="shared" ca="1" si="28"/>
        <v>2.9632168519043572E-2</v>
      </c>
      <c r="Z160" s="4">
        <f ca="1"/>
        <v>-2.0131715800812418E-2</v>
      </c>
      <c r="AA160" s="4"/>
    </row>
    <row r="161" spans="1:27" x14ac:dyDescent="0.35">
      <c r="A161">
        <v>159</v>
      </c>
      <c r="B161">
        <f ca="1">_xlfn.NORM.INV(RAND(),Hitorical_Sim!$AB$4,Hitorical_Sim!$AB$5)</f>
        <v>3.4265251808178479E-2</v>
      </c>
      <c r="C161">
        <f ca="1">_xlfn.NORM.INV(RAND(),Hitorical_Sim!$AB$4,Hitorical_Sim!$AB$5)</f>
        <v>1.6468378272377491E-2</v>
      </c>
      <c r="D161">
        <f ca="1">_xlfn.NORM.INV(RAND(),Hitorical_Sim!$AB$4,Hitorical_Sim!$AB$5)</f>
        <v>3.5305497814517531E-3</v>
      </c>
      <c r="K161">
        <f t="shared" ca="1" si="29"/>
        <v>0.81631818818319923</v>
      </c>
      <c r="L161">
        <f t="shared" ca="1" si="29"/>
        <v>0.37228747847924298</v>
      </c>
      <c r="M161">
        <f t="shared" ca="1" si="29"/>
        <v>1.0660177916239881</v>
      </c>
      <c r="O161">
        <v>159</v>
      </c>
      <c r="P161" s="6">
        <f t="shared" ca="1" si="22"/>
        <v>1966.7574697491702</v>
      </c>
      <c r="Q161" s="6">
        <f t="shared" ca="1" si="23"/>
        <v>388.51078379493231</v>
      </c>
      <c r="R161" s="6">
        <f t="shared" ca="1" si="24"/>
        <v>155.75278163609048</v>
      </c>
      <c r="S161" s="6"/>
      <c r="T161" s="4">
        <f t="shared" ca="1" si="25"/>
        <v>-8.5375682354913145E-3</v>
      </c>
      <c r="U161" s="4">
        <f t="shared" ca="1" si="26"/>
        <v>5.5952132520161679E-2</v>
      </c>
      <c r="V161" s="4">
        <f t="shared" ca="1" si="27"/>
        <v>-1.735032580236147E-3</v>
      </c>
      <c r="W161" s="4"/>
      <c r="X161">
        <v>159</v>
      </c>
      <c r="Y161" s="4">
        <f t="shared" ca="1" si="28"/>
        <v>4.6691764202681221E-3</v>
      </c>
      <c r="Z161" s="4">
        <f ca="1"/>
        <v>-2.0118400807298008E-2</v>
      </c>
      <c r="AA161" s="4"/>
    </row>
    <row r="162" spans="1:27" x14ac:dyDescent="0.35">
      <c r="A162">
        <v>160</v>
      </c>
      <c r="B162">
        <f ca="1">_xlfn.NORM.INV(RAND(),Hitorical_Sim!$AB$4,Hitorical_Sim!$AB$5)</f>
        <v>8.4626678856272574E-3</v>
      </c>
      <c r="C162">
        <f ca="1">_xlfn.NORM.INV(RAND(),Hitorical_Sim!$AB$4,Hitorical_Sim!$AB$5)</f>
        <v>-1.7631605660731798E-3</v>
      </c>
      <c r="D162">
        <f ca="1">_xlfn.NORM.INV(RAND(),Hitorical_Sim!$AB$4,Hitorical_Sim!$AB$5)</f>
        <v>3.1811833243619095E-3</v>
      </c>
      <c r="K162">
        <f t="shared" ca="1" si="29"/>
        <v>1.6188014392537522</v>
      </c>
      <c r="L162">
        <f t="shared" ca="1" si="29"/>
        <v>0.87526218918663512</v>
      </c>
      <c r="M162">
        <f t="shared" ca="1" si="29"/>
        <v>-0.18285703853019453</v>
      </c>
      <c r="O162">
        <v>160</v>
      </c>
      <c r="P162" s="6">
        <f t="shared" ca="1" si="22"/>
        <v>1995.6006908824631</v>
      </c>
      <c r="Q162" s="6">
        <f t="shared" ca="1" si="23"/>
        <v>394.12601695772884</v>
      </c>
      <c r="R162" s="6">
        <f t="shared" ca="1" si="24"/>
        <v>149.93065243417115</v>
      </c>
      <c r="S162" s="6"/>
      <c r="T162" s="4">
        <f t="shared" ca="1" si="25"/>
        <v>1.455887097094961E-2</v>
      </c>
      <c r="U162" s="4">
        <f t="shared" ca="1" si="26"/>
        <v>1.4349771215879426E-2</v>
      </c>
      <c r="V162" s="4">
        <f t="shared" ca="1" si="27"/>
        <v>-3.8097147040622524E-2</v>
      </c>
      <c r="W162" s="4"/>
      <c r="X162">
        <v>160</v>
      </c>
      <c r="Y162" s="4">
        <f t="shared" ca="1" si="28"/>
        <v>1.1911189135318316E-2</v>
      </c>
      <c r="Z162" s="4">
        <f ca="1"/>
        <v>-2.0074701327488717E-2</v>
      </c>
      <c r="AA162" s="4"/>
    </row>
    <row r="163" spans="1:27" x14ac:dyDescent="0.35">
      <c r="A163">
        <v>161</v>
      </c>
      <c r="B163">
        <f ca="1">_xlfn.NORM.INV(RAND(),Hitorical_Sim!$AB$4,Hitorical_Sim!$AB$5)</f>
        <v>1.334703857831151E-2</v>
      </c>
      <c r="C163">
        <f ca="1">_xlfn.NORM.INV(RAND(),Hitorical_Sim!$AB$4,Hitorical_Sim!$AB$5)</f>
        <v>-9.0439138211382275E-3</v>
      </c>
      <c r="D163">
        <f ca="1">_xlfn.NORM.INV(RAND(),Hitorical_Sim!$AB$4,Hitorical_Sim!$AB$5)</f>
        <v>-1.140674306935501E-2</v>
      </c>
      <c r="K163">
        <f t="shared" ca="1" si="29"/>
        <v>0.51286086933587705</v>
      </c>
      <c r="L163">
        <f t="shared" ca="1" si="29"/>
        <v>0.11680476777363921</v>
      </c>
      <c r="M163">
        <f t="shared" ca="1" si="29"/>
        <v>-1.4868804352451259</v>
      </c>
      <c r="O163">
        <v>161</v>
      </c>
      <c r="P163" s="6">
        <f t="shared" ca="1" si="22"/>
        <v>1955.9594228433482</v>
      </c>
      <c r="Q163" s="6">
        <f t="shared" ca="1" si="23"/>
        <v>385.68927360104868</v>
      </c>
      <c r="R163" s="6">
        <f t="shared" ca="1" si="24"/>
        <v>144.08355960200277</v>
      </c>
      <c r="S163" s="6"/>
      <c r="T163" s="4">
        <f t="shared" ca="1" si="25"/>
        <v>-2.0064276777730879E-2</v>
      </c>
      <c r="U163" s="4">
        <f t="shared" ca="1" si="26"/>
        <v>-2.1638643539265447E-2</v>
      </c>
      <c r="V163" s="4">
        <f t="shared" ca="1" si="27"/>
        <v>-3.9779463793763126E-2</v>
      </c>
      <c r="W163" s="4"/>
      <c r="X163">
        <v>161</v>
      </c>
      <c r="Y163" s="4">
        <f t="shared" ca="1" si="28"/>
        <v>-2.1354176729046038E-2</v>
      </c>
      <c r="Z163" s="4">
        <f ca="1"/>
        <v>-2.0039066716482732E-2</v>
      </c>
      <c r="AA163" s="4"/>
    </row>
    <row r="164" spans="1:27" x14ac:dyDescent="0.35">
      <c r="A164">
        <v>162</v>
      </c>
      <c r="B164">
        <f ca="1">_xlfn.NORM.INV(RAND(),Hitorical_Sim!$AB$4,Hitorical_Sim!$AB$5)</f>
        <v>-6.7301138850731808E-3</v>
      </c>
      <c r="C164">
        <f ca="1">_xlfn.NORM.INV(RAND(),Hitorical_Sim!$AB$4,Hitorical_Sim!$AB$5)</f>
        <v>-9.7195209705577112E-3</v>
      </c>
      <c r="D164">
        <f ca="1">_xlfn.NORM.INV(RAND(),Hitorical_Sim!$AB$4,Hitorical_Sim!$AB$5)</f>
        <v>-1.7276623162174952E-2</v>
      </c>
      <c r="K164">
        <f t="shared" ref="K164:M183" ca="1" si="30">_xlfn.NORM.S.INV(RAND())</f>
        <v>1.3811404754451841</v>
      </c>
      <c r="L164">
        <f t="shared" ca="1" si="30"/>
        <v>0.82029791004151409</v>
      </c>
      <c r="M164">
        <f t="shared" ca="1" si="30"/>
        <v>-1.1934092238493308</v>
      </c>
      <c r="O164">
        <v>162</v>
      </c>
      <c r="P164" s="6">
        <f t="shared" ca="1" si="22"/>
        <v>1987.0147621301398</v>
      </c>
      <c r="Q164" s="6">
        <f t="shared" ca="1" si="23"/>
        <v>393.50846429313646</v>
      </c>
      <c r="R164" s="6">
        <f t="shared" ca="1" si="24"/>
        <v>145.37924305505874</v>
      </c>
      <c r="S164" s="6"/>
      <c r="T164" s="4">
        <f t="shared" ca="1" si="25"/>
        <v>1.5752566468133021E-2</v>
      </c>
      <c r="U164" s="4">
        <f t="shared" ca="1" si="26"/>
        <v>2.007052328592538E-2</v>
      </c>
      <c r="V164" s="4">
        <f t="shared" ca="1" si="27"/>
        <v>8.9523910825832966E-3</v>
      </c>
      <c r="W164" s="4"/>
      <c r="X164">
        <v>162</v>
      </c>
      <c r="Y164" s="4">
        <f t="shared" ca="1" si="28"/>
        <v>1.6277751304348602E-2</v>
      </c>
      <c r="Z164" s="4">
        <f ca="1"/>
        <v>-1.9994053795328197E-2</v>
      </c>
      <c r="AA164" s="4"/>
    </row>
    <row r="165" spans="1:27" x14ac:dyDescent="0.35">
      <c r="A165">
        <v>163</v>
      </c>
      <c r="B165">
        <f ca="1">_xlfn.NORM.INV(RAND(),Hitorical_Sim!$AB$4,Hitorical_Sim!$AB$5)</f>
        <v>8.5121903186611489E-3</v>
      </c>
      <c r="C165">
        <f ca="1">_xlfn.NORM.INV(RAND(),Hitorical_Sim!$AB$4,Hitorical_Sim!$AB$5)</f>
        <v>3.2107688907170612E-2</v>
      </c>
      <c r="D165">
        <f ca="1">_xlfn.NORM.INV(RAND(),Hitorical_Sim!$AB$4,Hitorical_Sim!$AB$5)</f>
        <v>8.5000570360182631E-3</v>
      </c>
      <c r="K165">
        <f t="shared" ca="1" si="30"/>
        <v>-0.49385461951157861</v>
      </c>
      <c r="L165">
        <f t="shared" ca="1" si="30"/>
        <v>-2.5871307803329122E-2</v>
      </c>
      <c r="M165">
        <f t="shared" ca="1" si="30"/>
        <v>0.72365701286590189</v>
      </c>
      <c r="O165">
        <v>163</v>
      </c>
      <c r="P165" s="6">
        <f t="shared" ca="1" si="22"/>
        <v>1920.5598234514164</v>
      </c>
      <c r="Q165" s="6">
        <f t="shared" ca="1" si="23"/>
        <v>384.1225083133524</v>
      </c>
      <c r="R165" s="6">
        <f t="shared" ca="1" si="24"/>
        <v>154.13459915528364</v>
      </c>
      <c r="S165" s="6"/>
      <c r="T165" s="4">
        <f t="shared" ca="1" si="25"/>
        <v>-3.4016674643641845E-2</v>
      </c>
      <c r="U165" s="4">
        <f t="shared" ca="1" si="26"/>
        <v>-2.4141044127081578E-2</v>
      </c>
      <c r="V165" s="4">
        <f t="shared" ca="1" si="27"/>
        <v>5.8480443790941229E-2</v>
      </c>
      <c r="W165" s="4"/>
      <c r="X165">
        <v>163</v>
      </c>
      <c r="Y165" s="4">
        <f t="shared" ca="1" si="28"/>
        <v>-2.7468121165162208E-2</v>
      </c>
      <c r="Z165" s="4">
        <f ca="1"/>
        <v>-1.995725085713411E-2</v>
      </c>
      <c r="AA165" s="4"/>
    </row>
    <row r="166" spans="1:27" x14ac:dyDescent="0.35">
      <c r="A166">
        <v>164</v>
      </c>
      <c r="B166">
        <f ca="1">_xlfn.NORM.INV(RAND(),Hitorical_Sim!$AB$4,Hitorical_Sim!$AB$5)</f>
        <v>-1.1574349860636319E-2</v>
      </c>
      <c r="C166">
        <f ca="1">_xlfn.NORM.INV(RAND(),Hitorical_Sim!$AB$4,Hitorical_Sim!$AB$5)</f>
        <v>-1.7348216965781807E-3</v>
      </c>
      <c r="D166">
        <f ca="1">_xlfn.NORM.INV(RAND(),Hitorical_Sim!$AB$4,Hitorical_Sim!$AB$5)</f>
        <v>2.9136895076297863E-2</v>
      </c>
      <c r="K166">
        <f t="shared" ca="1" si="30"/>
        <v>0.31222167204396284</v>
      </c>
      <c r="L166">
        <f t="shared" ca="1" si="30"/>
        <v>0.63130714842463387</v>
      </c>
      <c r="M166">
        <f t="shared" ca="1" si="30"/>
        <v>-1.9752476234781016</v>
      </c>
      <c r="O166">
        <v>164</v>
      </c>
      <c r="P166" s="6">
        <f t="shared" ca="1" si="22"/>
        <v>1948.8525727395022</v>
      </c>
      <c r="Q166" s="6">
        <f t="shared" ca="1" si="23"/>
        <v>391.39242768203809</v>
      </c>
      <c r="R166" s="6">
        <f t="shared" ca="1" si="24"/>
        <v>141.95295204188417</v>
      </c>
      <c r="S166" s="6"/>
      <c r="T166" s="4">
        <f t="shared" ca="1" si="25"/>
        <v>1.462405689569583E-2</v>
      </c>
      <c r="U166" s="4">
        <f t="shared" ca="1" si="26"/>
        <v>1.8749174250954147E-2</v>
      </c>
      <c r="V166" s="4">
        <f t="shared" ca="1" si="27"/>
        <v>-8.233056211623796E-2</v>
      </c>
      <c r="W166" s="4"/>
      <c r="X166">
        <v>164</v>
      </c>
      <c r="Y166" s="4">
        <f t="shared" ca="1" si="28"/>
        <v>1.0649003892099551E-2</v>
      </c>
      <c r="Z166" s="4">
        <f ca="1"/>
        <v>-1.9918687660942205E-2</v>
      </c>
      <c r="AA166" s="4"/>
    </row>
    <row r="167" spans="1:27" x14ac:dyDescent="0.35">
      <c r="A167">
        <v>165</v>
      </c>
      <c r="B167">
        <f ca="1">_xlfn.NORM.INV(RAND(),Hitorical_Sim!$AB$4,Hitorical_Sim!$AB$5)</f>
        <v>1.3351302756966987E-3</v>
      </c>
      <c r="C167">
        <f ca="1">_xlfn.NORM.INV(RAND(),Hitorical_Sim!$AB$4,Hitorical_Sim!$AB$5)</f>
        <v>8.6414020175206042E-3</v>
      </c>
      <c r="D167">
        <f ca="1">_xlfn.NORM.INV(RAND(),Hitorical_Sim!$AB$4,Hitorical_Sim!$AB$5)</f>
        <v>-2.7300882447557427E-2</v>
      </c>
      <c r="K167">
        <f t="shared" ca="1" si="30"/>
        <v>7.9712700194793637E-2</v>
      </c>
      <c r="L167">
        <f t="shared" ca="1" si="30"/>
        <v>-0.15051846795988169</v>
      </c>
      <c r="M167">
        <f t="shared" ca="1" si="30"/>
        <v>0.48659667834887832</v>
      </c>
      <c r="O167">
        <v>165</v>
      </c>
      <c r="P167" s="6">
        <f t="shared" ca="1" si="22"/>
        <v>1940.649156177381</v>
      </c>
      <c r="Q167" s="6">
        <f t="shared" ca="1" si="23"/>
        <v>382.75893343752483</v>
      </c>
      <c r="R167" s="6">
        <f t="shared" ca="1" si="24"/>
        <v>153.02398500405508</v>
      </c>
      <c r="S167" s="6"/>
      <c r="T167" s="4">
        <f t="shared" ca="1" si="25"/>
        <v>-4.2182414601478957E-3</v>
      </c>
      <c r="U167" s="4">
        <f t="shared" ca="1" si="26"/>
        <v>-2.2305333622148128E-2</v>
      </c>
      <c r="V167" s="4">
        <f t="shared" ca="1" si="27"/>
        <v>7.509899478576397E-2</v>
      </c>
      <c r="W167" s="4"/>
      <c r="X167">
        <v>165</v>
      </c>
      <c r="Y167" s="4">
        <f t="shared" ca="1" si="28"/>
        <v>-3.9024291747361763E-3</v>
      </c>
      <c r="Z167" s="4">
        <f ca="1"/>
        <v>-1.984598639905839E-2</v>
      </c>
      <c r="AA167" s="4"/>
    </row>
    <row r="168" spans="1:27" x14ac:dyDescent="0.35">
      <c r="A168">
        <v>166</v>
      </c>
      <c r="B168">
        <f ca="1">_xlfn.NORM.INV(RAND(),Hitorical_Sim!$AB$4,Hitorical_Sim!$AB$5)</f>
        <v>8.2194722636113314E-4</v>
      </c>
      <c r="C168">
        <f ca="1">_xlfn.NORM.INV(RAND(),Hitorical_Sim!$AB$4,Hitorical_Sim!$AB$5)</f>
        <v>1.1272771783150755E-2</v>
      </c>
      <c r="D168">
        <f ca="1">_xlfn.NORM.INV(RAND(),Hitorical_Sim!$AB$4,Hitorical_Sim!$AB$5)</f>
        <v>-1.8094234751541274E-2</v>
      </c>
      <c r="K168">
        <f t="shared" ca="1" si="30"/>
        <v>0.95198475484555367</v>
      </c>
      <c r="L168">
        <f t="shared" ca="1" si="30"/>
        <v>-0.83231544261722656</v>
      </c>
      <c r="M168">
        <f t="shared" ca="1" si="30"/>
        <v>-0.6538740312378204</v>
      </c>
      <c r="O168">
        <v>166</v>
      </c>
      <c r="P168" s="6">
        <f t="shared" ca="1" si="22"/>
        <v>1971.6042121387004</v>
      </c>
      <c r="Q168" s="6">
        <f t="shared" ca="1" si="23"/>
        <v>375.38562787213658</v>
      </c>
      <c r="R168" s="6">
        <f t="shared" ca="1" si="24"/>
        <v>147.79178330338496</v>
      </c>
      <c r="S168" s="6"/>
      <c r="T168" s="4">
        <f t="shared" ca="1" si="25"/>
        <v>1.5824998563252007E-2</v>
      </c>
      <c r="U168" s="4">
        <f t="shared" ca="1" si="26"/>
        <v>-1.9451535820263915E-2</v>
      </c>
      <c r="V168" s="4">
        <f t="shared" ca="1" si="27"/>
        <v>-3.4790260216296783E-2</v>
      </c>
      <c r="W168" s="4"/>
      <c r="X168">
        <v>166</v>
      </c>
      <c r="Y168" s="4">
        <f t="shared" ca="1" si="28"/>
        <v>6.279973192399234E-3</v>
      </c>
      <c r="Z168" s="4">
        <f ca="1"/>
        <v>-1.9840382215791666E-2</v>
      </c>
      <c r="AA168" s="4"/>
    </row>
    <row r="169" spans="1:27" x14ac:dyDescent="0.35">
      <c r="A169">
        <v>167</v>
      </c>
      <c r="B169">
        <f ca="1">_xlfn.NORM.INV(RAND(),Hitorical_Sim!$AB$4,Hitorical_Sim!$AB$5)</f>
        <v>2.0538463569781392E-2</v>
      </c>
      <c r="C169">
        <f ca="1">_xlfn.NORM.INV(RAND(),Hitorical_Sim!$AB$4,Hitorical_Sim!$AB$5)</f>
        <v>1.1324923084890347E-2</v>
      </c>
      <c r="D169">
        <f ca="1">_xlfn.NORM.INV(RAND(),Hitorical_Sim!$AB$4,Hitorical_Sim!$AB$5)</f>
        <v>2.6745467568451153E-2</v>
      </c>
      <c r="K169">
        <f t="shared" ca="1" si="30"/>
        <v>0.49417968086612557</v>
      </c>
      <c r="L169">
        <f t="shared" ca="1" si="30"/>
        <v>0.73326840249344849</v>
      </c>
      <c r="M169">
        <f t="shared" ca="1" si="30"/>
        <v>-0.8421665172517494</v>
      </c>
      <c r="O169">
        <v>167</v>
      </c>
      <c r="P169" s="6">
        <f t="shared" ca="1" si="22"/>
        <v>1955.2966228890202</v>
      </c>
      <c r="Q169" s="6">
        <f t="shared" ca="1" si="23"/>
        <v>392.53262032720818</v>
      </c>
      <c r="R169" s="6">
        <f t="shared" ca="1" si="24"/>
        <v>146.94531608011087</v>
      </c>
      <c r="S169" s="6"/>
      <c r="T169" s="4">
        <f t="shared" ca="1" si="25"/>
        <v>-8.3056250619819669E-3</v>
      </c>
      <c r="U169" s="4">
        <f t="shared" ca="1" si="26"/>
        <v>4.4665804300615793E-2</v>
      </c>
      <c r="V169" s="4">
        <f t="shared" ca="1" si="27"/>
        <v>-5.7438955074716061E-3</v>
      </c>
      <c r="W169" s="4"/>
      <c r="X169">
        <v>167</v>
      </c>
      <c r="Y169" s="4">
        <f t="shared" ca="1" si="28"/>
        <v>2.3925622228031483E-3</v>
      </c>
      <c r="Z169" s="4">
        <f ca="1"/>
        <v>-1.9721476512173264E-2</v>
      </c>
      <c r="AA169" s="4"/>
    </row>
    <row r="170" spans="1:27" x14ac:dyDescent="0.35">
      <c r="A170">
        <v>168</v>
      </c>
      <c r="B170">
        <f ca="1">_xlfn.NORM.INV(RAND(),Hitorical_Sim!$AB$4,Hitorical_Sim!$AB$5)</f>
        <v>3.6347771768546477E-2</v>
      </c>
      <c r="C170">
        <f ca="1">_xlfn.NORM.INV(RAND(),Hitorical_Sim!$AB$4,Hitorical_Sim!$AB$5)</f>
        <v>-6.8916933956896242E-3</v>
      </c>
      <c r="D170">
        <f ca="1">_xlfn.NORM.INV(RAND(),Hitorical_Sim!$AB$4,Hitorical_Sim!$AB$5)</f>
        <v>-3.0452600910381086E-3</v>
      </c>
      <c r="K170">
        <f t="shared" ca="1" si="30"/>
        <v>0.24430087257324481</v>
      </c>
      <c r="L170">
        <f t="shared" ca="1" si="30"/>
        <v>1.9675289252974082</v>
      </c>
      <c r="M170">
        <f t="shared" ca="1" si="30"/>
        <v>0.40997030972687037</v>
      </c>
      <c r="O170">
        <v>168</v>
      </c>
      <c r="P170" s="6">
        <f t="shared" ca="1" si="22"/>
        <v>1946.4526020010746</v>
      </c>
      <c r="Q170" s="6">
        <f t="shared" ca="1" si="23"/>
        <v>406.60120178344931</v>
      </c>
      <c r="R170" s="6">
        <f t="shared" ca="1" si="24"/>
        <v>152.66670903136074</v>
      </c>
      <c r="S170" s="6"/>
      <c r="T170" s="4">
        <f t="shared" ca="1" si="25"/>
        <v>-4.5333697911545262E-3</v>
      </c>
      <c r="U170" s="4">
        <f t="shared" ca="1" si="26"/>
        <v>3.5213213996622465E-2</v>
      </c>
      <c r="V170" s="4">
        <f t="shared" ca="1" si="27"/>
        <v>3.8196654829286296E-2</v>
      </c>
      <c r="W170" s="4"/>
      <c r="X170">
        <v>168</v>
      </c>
      <c r="Y170" s="4">
        <f t="shared" ca="1" si="28"/>
        <v>5.5134936036113566E-3</v>
      </c>
      <c r="Z170" s="4">
        <f ca="1"/>
        <v>-1.9677962789702755E-2</v>
      </c>
      <c r="AA170" s="4"/>
    </row>
    <row r="171" spans="1:27" x14ac:dyDescent="0.35">
      <c r="A171">
        <v>169</v>
      </c>
      <c r="B171">
        <f ca="1">_xlfn.NORM.INV(RAND(),Hitorical_Sim!$AB$4,Hitorical_Sim!$AB$5)</f>
        <v>1.8106459082584916E-2</v>
      </c>
      <c r="C171">
        <f ca="1">_xlfn.NORM.INV(RAND(),Hitorical_Sim!$AB$4,Hitorical_Sim!$AB$5)</f>
        <v>-7.4348529533931592E-3</v>
      </c>
      <c r="D171">
        <f ca="1">_xlfn.NORM.INV(RAND(),Hitorical_Sim!$AB$4,Hitorical_Sim!$AB$5)</f>
        <v>-1.8348213243882572E-2</v>
      </c>
      <c r="K171">
        <f t="shared" ca="1" si="30"/>
        <v>-0.36741498839712339</v>
      </c>
      <c r="L171">
        <f t="shared" ca="1" si="30"/>
        <v>0.22515026492524867</v>
      </c>
      <c r="M171">
        <f t="shared" ca="1" si="30"/>
        <v>-0.79578668712676581</v>
      </c>
      <c r="O171">
        <v>169</v>
      </c>
      <c r="P171" s="6">
        <f t="shared" ca="1" si="22"/>
        <v>1924.9704571338407</v>
      </c>
      <c r="Q171" s="6">
        <f t="shared" ca="1" si="23"/>
        <v>386.8833129709779</v>
      </c>
      <c r="R171" s="6">
        <f t="shared" ca="1" si="24"/>
        <v>147.15336511416513</v>
      </c>
      <c r="S171" s="6"/>
      <c r="T171" s="4">
        <f t="shared" ca="1" si="25"/>
        <v>-1.1097916721464329E-2</v>
      </c>
      <c r="U171" s="4">
        <f t="shared" ca="1" si="26"/>
        <v>-4.9709726186048034E-2</v>
      </c>
      <c r="V171" s="4">
        <f t="shared" ca="1" si="27"/>
        <v>-3.6781829928241264E-2</v>
      </c>
      <c r="W171" s="4"/>
      <c r="X171">
        <v>169</v>
      </c>
      <c r="Y171" s="4">
        <f t="shared" ca="1" si="28"/>
        <v>-2.0074701327488717E-2</v>
      </c>
      <c r="Z171" s="4">
        <f ca="1"/>
        <v>-1.9638655940572021E-2</v>
      </c>
      <c r="AA171" s="4"/>
    </row>
    <row r="172" spans="1:27" x14ac:dyDescent="0.35">
      <c r="A172">
        <v>170</v>
      </c>
      <c r="B172">
        <f ca="1">_xlfn.NORM.INV(RAND(),Hitorical_Sim!$AB$4,Hitorical_Sim!$AB$5)</f>
        <v>-3.7596962469445723E-2</v>
      </c>
      <c r="C172">
        <f ca="1">_xlfn.NORM.INV(RAND(),Hitorical_Sim!$AB$4,Hitorical_Sim!$AB$5)</f>
        <v>-1.943342419126658E-2</v>
      </c>
      <c r="D172">
        <f ca="1">_xlfn.NORM.INV(RAND(),Hitorical_Sim!$AB$4,Hitorical_Sim!$AB$5)</f>
        <v>1.0748759312363944E-2</v>
      </c>
      <c r="K172">
        <f t="shared" ca="1" si="30"/>
        <v>0.19164906699831569</v>
      </c>
      <c r="L172">
        <f t="shared" ca="1" si="30"/>
        <v>1.8057511374719564</v>
      </c>
      <c r="M172">
        <f t="shared" ca="1" si="30"/>
        <v>0.21051395734854203</v>
      </c>
      <c r="O172">
        <v>170</v>
      </c>
      <c r="P172" s="6">
        <f t="shared" ca="1" si="22"/>
        <v>1944.5941925123773</v>
      </c>
      <c r="Q172" s="6">
        <f t="shared" ca="1" si="23"/>
        <v>404.72886261464106</v>
      </c>
      <c r="R172" s="6">
        <f t="shared" ca="1" si="24"/>
        <v>151.74063606710999</v>
      </c>
      <c r="S172" s="6"/>
      <c r="T172" s="4">
        <f t="shared" ca="1" si="25"/>
        <v>1.0142693241434873E-2</v>
      </c>
      <c r="U172" s="4">
        <f t="shared" ca="1" si="26"/>
        <v>4.5094237188914699E-2</v>
      </c>
      <c r="V172" s="4">
        <f t="shared" ca="1" si="27"/>
        <v>3.0697378707613274E-2</v>
      </c>
      <c r="W172" s="4"/>
      <c r="X172">
        <v>170</v>
      </c>
      <c r="Y172" s="4">
        <f t="shared" ca="1" si="28"/>
        <v>1.8135159620189974E-2</v>
      </c>
      <c r="Z172" s="4">
        <f ca="1"/>
        <v>-1.9588853038055985E-2</v>
      </c>
      <c r="AA172" s="4"/>
    </row>
    <row r="173" spans="1:27" x14ac:dyDescent="0.35">
      <c r="A173">
        <v>171</v>
      </c>
      <c r="B173">
        <f ca="1">_xlfn.NORM.INV(RAND(),Hitorical_Sim!$AB$4,Hitorical_Sim!$AB$5)</f>
        <v>2.3941343931377534E-2</v>
      </c>
      <c r="C173">
        <f ca="1">_xlfn.NORM.INV(RAND(),Hitorical_Sim!$AB$4,Hitorical_Sim!$AB$5)</f>
        <v>1.6679137810839052E-2</v>
      </c>
      <c r="D173">
        <f ca="1">_xlfn.NORM.INV(RAND(),Hitorical_Sim!$AB$4,Hitorical_Sim!$AB$5)</f>
        <v>-2.0286422096021648E-3</v>
      </c>
      <c r="K173">
        <f t="shared" ca="1" si="30"/>
        <v>0.58540250859103482</v>
      </c>
      <c r="L173">
        <f t="shared" ca="1" si="30"/>
        <v>-0.12019058503280768</v>
      </c>
      <c r="M173">
        <f t="shared" ca="1" si="30"/>
        <v>0.57430163435353843</v>
      </c>
      <c r="O173">
        <v>171</v>
      </c>
      <c r="P173" s="6">
        <f t="shared" ca="1" si="22"/>
        <v>1958.5352975748981</v>
      </c>
      <c r="Q173" s="6">
        <f t="shared" ca="1" si="23"/>
        <v>383.0902584004661</v>
      </c>
      <c r="R173" s="6">
        <f t="shared" ca="1" si="24"/>
        <v>153.43394198012933</v>
      </c>
      <c r="S173" s="6"/>
      <c r="T173" s="4">
        <f t="shared" ca="1" si="25"/>
        <v>7.143582801096642E-3</v>
      </c>
      <c r="U173" s="4">
        <f t="shared" ca="1" si="26"/>
        <v>-5.4946744845663274E-2</v>
      </c>
      <c r="V173" s="4">
        <f t="shared" ca="1" si="27"/>
        <v>1.1097407272364166E-2</v>
      </c>
      <c r="W173" s="4"/>
      <c r="X173">
        <v>171</v>
      </c>
      <c r="Y173" s="4">
        <f t="shared" ca="1" si="28"/>
        <v>-5.0519901006140892E-3</v>
      </c>
      <c r="Z173" s="4">
        <f ca="1"/>
        <v>-1.9540287475658311E-2</v>
      </c>
      <c r="AA173" s="4"/>
    </row>
    <row r="174" spans="1:27" x14ac:dyDescent="0.35">
      <c r="A174">
        <v>172</v>
      </c>
      <c r="B174">
        <f ca="1">_xlfn.NORM.INV(RAND(),Hitorical_Sim!$AB$4,Hitorical_Sim!$AB$5)</f>
        <v>-1.1155651294715839E-2</v>
      </c>
      <c r="C174">
        <f ca="1">_xlfn.NORM.INV(RAND(),Hitorical_Sim!$AB$4,Hitorical_Sim!$AB$5)</f>
        <v>-1.1523122636458587E-2</v>
      </c>
      <c r="D174">
        <f ca="1">_xlfn.NORM.INV(RAND(),Hitorical_Sim!$AB$4,Hitorical_Sim!$AB$5)</f>
        <v>6.0573877333373266E-3</v>
      </c>
      <c r="K174">
        <f t="shared" ca="1" si="30"/>
        <v>-1.0674415011890828</v>
      </c>
      <c r="L174">
        <f t="shared" ca="1" si="30"/>
        <v>-0.72586896017292368</v>
      </c>
      <c r="M174">
        <f t="shared" ca="1" si="30"/>
        <v>-0.33412625488828757</v>
      </c>
      <c r="O174">
        <v>172</v>
      </c>
      <c r="P174" s="6">
        <f t="shared" ca="1" si="22"/>
        <v>1900.6777781823007</v>
      </c>
      <c r="Q174" s="6">
        <f t="shared" ca="1" si="23"/>
        <v>376.52736836503681</v>
      </c>
      <c r="R174" s="6">
        <f t="shared" ca="1" si="24"/>
        <v>149.24039214382222</v>
      </c>
      <c r="S174" s="6"/>
      <c r="T174" s="4">
        <f t="shared" ca="1" si="25"/>
        <v>-2.9986348800917172E-2</v>
      </c>
      <c r="U174" s="4">
        <f t="shared" ca="1" si="26"/>
        <v>-1.7279886898175532E-2</v>
      </c>
      <c r="V174" s="4">
        <f t="shared" ca="1" si="27"/>
        <v>-2.7711753040915565E-2</v>
      </c>
      <c r="W174" s="4"/>
      <c r="X174">
        <v>172</v>
      </c>
      <c r="Y174" s="4">
        <f t="shared" ca="1" si="28"/>
        <v>-2.7337974231955602E-2</v>
      </c>
      <c r="Z174" s="4">
        <f ca="1"/>
        <v>-1.9416893251176185E-2</v>
      </c>
      <c r="AA174" s="4"/>
    </row>
    <row r="175" spans="1:27" x14ac:dyDescent="0.35">
      <c r="A175">
        <v>173</v>
      </c>
      <c r="B175">
        <f ca="1">_xlfn.NORM.INV(RAND(),Hitorical_Sim!$AB$4,Hitorical_Sim!$AB$5)</f>
        <v>-2.2624096746346908E-2</v>
      </c>
      <c r="C175">
        <f ca="1">_xlfn.NORM.INV(RAND(),Hitorical_Sim!$AB$4,Hitorical_Sim!$AB$5)</f>
        <v>7.931925717269658E-3</v>
      </c>
      <c r="D175">
        <f ca="1">_xlfn.NORM.INV(RAND(),Hitorical_Sim!$AB$4,Hitorical_Sim!$AB$5)</f>
        <v>-1.8512334423763235E-2</v>
      </c>
      <c r="K175">
        <f t="shared" ca="1" si="30"/>
        <v>-0.54592961692191211</v>
      </c>
      <c r="L175">
        <f t="shared" ca="1" si="30"/>
        <v>0.45979680272285833</v>
      </c>
      <c r="M175">
        <f t="shared" ca="1" si="30"/>
        <v>-8.3618005514522475E-2</v>
      </c>
      <c r="O175">
        <v>173</v>
      </c>
      <c r="P175" s="6">
        <f t="shared" ca="1" si="22"/>
        <v>1918.7462143726418</v>
      </c>
      <c r="Q175" s="6">
        <f t="shared" ca="1" si="23"/>
        <v>389.48196100685323</v>
      </c>
      <c r="R175" s="6">
        <f t="shared" ca="1" si="24"/>
        <v>150.38522584856048</v>
      </c>
      <c r="S175" s="6"/>
      <c r="T175" s="4">
        <f t="shared" ca="1" si="25"/>
        <v>9.4614114658885598E-3</v>
      </c>
      <c r="U175" s="4">
        <f t="shared" ca="1" si="26"/>
        <v>3.3826814895180059E-2</v>
      </c>
      <c r="V175" s="4">
        <f t="shared" ca="1" si="27"/>
        <v>7.6417983458783442E-3</v>
      </c>
      <c r="W175" s="4"/>
      <c r="X175">
        <v>173</v>
      </c>
      <c r="Y175" s="4">
        <f t="shared" ca="1" si="28"/>
        <v>1.423391553844199E-2</v>
      </c>
      <c r="Z175" s="4">
        <f ca="1"/>
        <v>-1.9390388243625621E-2</v>
      </c>
      <c r="AA175" s="4"/>
    </row>
    <row r="176" spans="1:27" x14ac:dyDescent="0.35">
      <c r="A176">
        <v>174</v>
      </c>
      <c r="B176">
        <f ca="1">_xlfn.NORM.INV(RAND(),Hitorical_Sim!$AB$4,Hitorical_Sim!$AB$5)</f>
        <v>-3.4182548240241195E-2</v>
      </c>
      <c r="C176">
        <f ca="1">_xlfn.NORM.INV(RAND(),Hitorical_Sim!$AB$4,Hitorical_Sim!$AB$5)</f>
        <v>8.8480906831287631E-3</v>
      </c>
      <c r="D176">
        <f ca="1">_xlfn.NORM.INV(RAND(),Hitorical_Sim!$AB$4,Hitorical_Sim!$AB$5)</f>
        <v>1.2878275893723643E-2</v>
      </c>
      <c r="K176">
        <f t="shared" ca="1" si="30"/>
        <v>-2.8857958060106257</v>
      </c>
      <c r="L176">
        <f t="shared" ca="1" si="30"/>
        <v>-0.9864385804178214</v>
      </c>
      <c r="M176">
        <f t="shared" ca="1" si="30"/>
        <v>0.75471315210836476</v>
      </c>
      <c r="O176">
        <v>174</v>
      </c>
      <c r="P176" s="6">
        <f t="shared" ca="1" si="22"/>
        <v>1838.9991179881617</v>
      </c>
      <c r="Q176" s="6">
        <f t="shared" ca="1" si="23"/>
        <v>373.73864212127637</v>
      </c>
      <c r="R176" s="6">
        <f t="shared" ca="1" si="24"/>
        <v>154.28069130492403</v>
      </c>
      <c r="S176" s="6"/>
      <c r="T176" s="4">
        <f t="shared" ca="1" si="25"/>
        <v>-4.2450493378876755E-2</v>
      </c>
      <c r="U176" s="4">
        <f t="shared" ca="1" si="26"/>
        <v>-4.1260815763860294E-2</v>
      </c>
      <c r="V176" s="4">
        <f t="shared" ca="1" si="27"/>
        <v>2.5573439875276709E-2</v>
      </c>
      <c r="W176" s="4"/>
      <c r="X176">
        <v>174</v>
      </c>
      <c r="Y176" s="4">
        <f t="shared" ca="1" si="28"/>
        <v>-3.884655945547888E-2</v>
      </c>
      <c r="Z176" s="4">
        <f ca="1"/>
        <v>-1.9336942114871775E-2</v>
      </c>
      <c r="AA176" s="4"/>
    </row>
    <row r="177" spans="1:27" x14ac:dyDescent="0.35">
      <c r="A177">
        <v>175</v>
      </c>
      <c r="B177">
        <f ca="1">_xlfn.NORM.INV(RAND(),Hitorical_Sim!$AB$4,Hitorical_Sim!$AB$5)</f>
        <v>-2.1958668323454115E-2</v>
      </c>
      <c r="C177">
        <f ca="1">_xlfn.NORM.INV(RAND(),Hitorical_Sim!$AB$4,Hitorical_Sim!$AB$5)</f>
        <v>-2.8443730869419253E-3</v>
      </c>
      <c r="D177">
        <f ca="1">_xlfn.NORM.INV(RAND(),Hitorical_Sim!$AB$4,Hitorical_Sim!$AB$5)</f>
        <v>1.193772262365784E-2</v>
      </c>
      <c r="K177">
        <f t="shared" ca="1" si="30"/>
        <v>1.7616408275542061</v>
      </c>
      <c r="L177">
        <f t="shared" ca="1" si="30"/>
        <v>-1.2228751233353552</v>
      </c>
      <c r="M177">
        <f t="shared" ca="1" si="30"/>
        <v>1.2778101561851996</v>
      </c>
      <c r="O177">
        <v>175</v>
      </c>
      <c r="P177" s="6">
        <f t="shared" ca="1" si="22"/>
        <v>2000.7788595345601</v>
      </c>
      <c r="Q177" s="6">
        <f t="shared" ca="1" si="23"/>
        <v>371.22607605206002</v>
      </c>
      <c r="R177" s="6">
        <f t="shared" ca="1" si="24"/>
        <v>156.76232120125724</v>
      </c>
      <c r="S177" s="6"/>
      <c r="T177" s="4">
        <f t="shared" ca="1" si="25"/>
        <v>8.4315068511985322E-2</v>
      </c>
      <c r="U177" s="4">
        <f t="shared" ca="1" si="26"/>
        <v>-6.7454888401215054E-3</v>
      </c>
      <c r="V177" s="4">
        <f t="shared" ca="1" si="27"/>
        <v>1.5957166402627971E-2</v>
      </c>
      <c r="W177" s="4"/>
      <c r="X177">
        <v>175</v>
      </c>
      <c r="Y177" s="4">
        <f t="shared" ca="1" si="28"/>
        <v>6.2759246335689148E-2</v>
      </c>
      <c r="Z177" s="4">
        <f ca="1"/>
        <v>-1.9273429489888212E-2</v>
      </c>
      <c r="AA177" s="4"/>
    </row>
    <row r="178" spans="1:27" x14ac:dyDescent="0.35">
      <c r="A178">
        <v>176</v>
      </c>
      <c r="B178">
        <f ca="1">_xlfn.NORM.INV(RAND(),Hitorical_Sim!$AB$4,Hitorical_Sim!$AB$5)</f>
        <v>-1.3342382055552486E-2</v>
      </c>
      <c r="C178">
        <f ca="1">_xlfn.NORM.INV(RAND(),Hitorical_Sim!$AB$4,Hitorical_Sim!$AB$5)</f>
        <v>9.9774720284606135E-3</v>
      </c>
      <c r="D178">
        <f ca="1">_xlfn.NORM.INV(RAND(),Hitorical_Sim!$AB$4,Hitorical_Sim!$AB$5)</f>
        <v>-1.3958593757941361E-2</v>
      </c>
      <c r="K178">
        <f t="shared" ca="1" si="30"/>
        <v>-0.26759240155535619</v>
      </c>
      <c r="L178">
        <f t="shared" ca="1" si="30"/>
        <v>-0.89235869017792857</v>
      </c>
      <c r="M178">
        <f t="shared" ca="1" si="30"/>
        <v>-1.0079221030383299</v>
      </c>
      <c r="O178">
        <v>176</v>
      </c>
      <c r="P178" s="6">
        <f t="shared" ca="1" si="22"/>
        <v>1928.4597540288669</v>
      </c>
      <c r="Q178" s="6">
        <f t="shared" ca="1" si="23"/>
        <v>374.74313440296305</v>
      </c>
      <c r="R178" s="6">
        <f t="shared" ca="1" si="24"/>
        <v>146.20417661490535</v>
      </c>
      <c r="S178" s="6"/>
      <c r="T178" s="4">
        <f t="shared" ca="1" si="25"/>
        <v>-3.6814905125006729E-2</v>
      </c>
      <c r="U178" s="4">
        <f t="shared" ca="1" si="26"/>
        <v>9.4295699126249032E-3</v>
      </c>
      <c r="V178" s="4">
        <f t="shared" ca="1" si="27"/>
        <v>-6.9726665853600614E-2</v>
      </c>
      <c r="W178" s="4"/>
      <c r="X178">
        <v>176</v>
      </c>
      <c r="Y178" s="4">
        <f t="shared" ca="1" si="28"/>
        <v>-2.9214789921362526E-2</v>
      </c>
      <c r="Z178" s="4">
        <f ca="1"/>
        <v>-1.9223021687709781E-2</v>
      </c>
      <c r="AA178" s="4"/>
    </row>
    <row r="179" spans="1:27" x14ac:dyDescent="0.35">
      <c r="A179">
        <v>177</v>
      </c>
      <c r="B179">
        <f ca="1">_xlfn.NORM.INV(RAND(),Hitorical_Sim!$AB$4,Hitorical_Sim!$AB$5)</f>
        <v>-2.704768223542397E-3</v>
      </c>
      <c r="C179">
        <f ca="1">_xlfn.NORM.INV(RAND(),Hitorical_Sim!$AB$4,Hitorical_Sim!$AB$5)</f>
        <v>1.1015901068261379E-2</v>
      </c>
      <c r="D179">
        <f ca="1">_xlfn.NORM.INV(RAND(),Hitorical_Sim!$AB$4,Hitorical_Sim!$AB$5)</f>
        <v>2.4625160746349878E-2</v>
      </c>
      <c r="K179">
        <f t="shared" ca="1" si="30"/>
        <v>-2.862465781528659E-2</v>
      </c>
      <c r="L179">
        <f t="shared" ca="1" si="30"/>
        <v>-0.1031648487928421</v>
      </c>
      <c r="M179">
        <f t="shared" ca="1" si="30"/>
        <v>-2.4341857923792332</v>
      </c>
      <c r="O179">
        <v>177</v>
      </c>
      <c r="P179" s="6">
        <f t="shared" ca="1" si="22"/>
        <v>1936.8385834187629</v>
      </c>
      <c r="Q179" s="6">
        <f t="shared" ca="1" si="23"/>
        <v>383.2763862323992</v>
      </c>
      <c r="R179" s="6">
        <f t="shared" ca="1" si="24"/>
        <v>139.97945883496556</v>
      </c>
      <c r="S179" s="6"/>
      <c r="T179" s="4">
        <f t="shared" ca="1" si="25"/>
        <v>4.3354182690905777E-3</v>
      </c>
      <c r="U179" s="4">
        <f t="shared" ca="1" si="26"/>
        <v>2.2515547656322198E-2</v>
      </c>
      <c r="V179" s="4">
        <f t="shared" ca="1" si="27"/>
        <v>-4.3508425487935133E-2</v>
      </c>
      <c r="W179" s="4"/>
      <c r="X179">
        <v>177</v>
      </c>
      <c r="Y179" s="4">
        <f t="shared" ca="1" si="28"/>
        <v>5.5957948703677877E-3</v>
      </c>
      <c r="Z179" s="4">
        <f ca="1"/>
        <v>-1.9215814586162797E-2</v>
      </c>
      <c r="AA179" s="4"/>
    </row>
    <row r="180" spans="1:27" x14ac:dyDescent="0.35">
      <c r="A180">
        <v>178</v>
      </c>
      <c r="B180">
        <f ca="1">_xlfn.NORM.INV(RAND(),Hitorical_Sim!$AB$4,Hitorical_Sim!$AB$5)</f>
        <v>-2.36946336077304E-2</v>
      </c>
      <c r="C180">
        <f ca="1">_xlfn.NORM.INV(RAND(),Hitorical_Sim!$AB$4,Hitorical_Sim!$AB$5)</f>
        <v>6.6483941204908952E-3</v>
      </c>
      <c r="D180">
        <f ca="1">_xlfn.NORM.INV(RAND(),Hitorical_Sim!$AB$4,Hitorical_Sim!$AB$5)</f>
        <v>2.5410376162815006E-2</v>
      </c>
      <c r="K180">
        <f t="shared" ca="1" si="30"/>
        <v>1.0837505976560673</v>
      </c>
      <c r="L180">
        <f t="shared" ca="1" si="30"/>
        <v>-0.59188021148734626</v>
      </c>
      <c r="M180">
        <f t="shared" ca="1" si="30"/>
        <v>0.79064788664912311</v>
      </c>
      <c r="O180">
        <v>178</v>
      </c>
      <c r="P180" s="6">
        <f t="shared" ca="1" si="22"/>
        <v>1976.3230331295058</v>
      </c>
      <c r="Q180" s="6">
        <f t="shared" ca="1" si="23"/>
        <v>377.96946397586186</v>
      </c>
      <c r="R180" s="6">
        <f t="shared" ca="1" si="24"/>
        <v>154.44990582086265</v>
      </c>
      <c r="S180" s="6"/>
      <c r="T180" s="4">
        <f t="shared" ca="1" si="25"/>
        <v>2.0181016605741925E-2</v>
      </c>
      <c r="U180" s="4">
        <f t="shared" ca="1" si="26"/>
        <v>-1.3942954774979796E-2</v>
      </c>
      <c r="V180" s="4">
        <f t="shared" ca="1" si="27"/>
        <v>9.8374120356262654E-2</v>
      </c>
      <c r="W180" s="4"/>
      <c r="X180">
        <v>178</v>
      </c>
      <c r="Y180" s="4">
        <f t="shared" ca="1" si="28"/>
        <v>1.7240745902100563E-2</v>
      </c>
      <c r="Z180" s="4">
        <f ca="1"/>
        <v>-1.910982790845648E-2</v>
      </c>
      <c r="AA180" s="4"/>
    </row>
    <row r="181" spans="1:27" x14ac:dyDescent="0.35">
      <c r="A181">
        <v>179</v>
      </c>
      <c r="B181">
        <f ca="1">_xlfn.NORM.INV(RAND(),Hitorical_Sim!$AB$4,Hitorical_Sim!$AB$5)</f>
        <v>-3.2776451815671593E-3</v>
      </c>
      <c r="C181">
        <f ca="1">_xlfn.NORM.INV(RAND(),Hitorical_Sim!$AB$4,Hitorical_Sim!$AB$5)</f>
        <v>-1.7608868642528065E-2</v>
      </c>
      <c r="D181">
        <f ca="1">_xlfn.NORM.INV(RAND(),Hitorical_Sim!$AB$4,Hitorical_Sim!$AB$5)</f>
        <v>-3.4446609647573262E-2</v>
      </c>
      <c r="K181">
        <f t="shared" ca="1" si="30"/>
        <v>1.3839590888902951</v>
      </c>
      <c r="L181">
        <f t="shared" ca="1" si="30"/>
        <v>1.8910167473627117</v>
      </c>
      <c r="M181">
        <f t="shared" ca="1" si="30"/>
        <v>0.8428667055772997</v>
      </c>
      <c r="O181">
        <v>179</v>
      </c>
      <c r="P181" s="6">
        <f t="shared" ca="1" si="22"/>
        <v>1987.116372828724</v>
      </c>
      <c r="Q181" s="6">
        <f t="shared" ca="1" si="23"/>
        <v>405.71460912609513</v>
      </c>
      <c r="R181" s="6">
        <f t="shared" ca="1" si="24"/>
        <v>154.69613197581893</v>
      </c>
      <c r="S181" s="6"/>
      <c r="T181" s="4">
        <f t="shared" ca="1" si="25"/>
        <v>5.4464646862494304E-3</v>
      </c>
      <c r="U181" s="4">
        <f t="shared" ca="1" si="26"/>
        <v>7.0836570017590292E-2</v>
      </c>
      <c r="V181" s="4">
        <f t="shared" ca="1" si="27"/>
        <v>1.5929442846957229E-3</v>
      </c>
      <c r="W181" s="4"/>
      <c r="X181">
        <v>179</v>
      </c>
      <c r="Y181" s="4">
        <f t="shared" ca="1" si="28"/>
        <v>1.8305531867689021E-2</v>
      </c>
      <c r="Z181" s="4">
        <f ca="1"/>
        <v>-1.9103362844837473E-2</v>
      </c>
      <c r="AA181" s="4"/>
    </row>
    <row r="182" spans="1:27" x14ac:dyDescent="0.35">
      <c r="A182">
        <v>180</v>
      </c>
      <c r="B182">
        <f ca="1">_xlfn.NORM.INV(RAND(),Hitorical_Sim!$AB$4,Hitorical_Sim!$AB$5)</f>
        <v>-4.7580421343565681E-3</v>
      </c>
      <c r="C182">
        <f ca="1">_xlfn.NORM.INV(RAND(),Hitorical_Sim!$AB$4,Hitorical_Sim!$AB$5)</f>
        <v>1.1703318441529413E-2</v>
      </c>
      <c r="D182">
        <f ca="1">_xlfn.NORM.INV(RAND(),Hitorical_Sim!$AB$4,Hitorical_Sim!$AB$5)</f>
        <v>2.408762956010628E-2</v>
      </c>
      <c r="K182">
        <f t="shared" ca="1" si="30"/>
        <v>-1.7868839733561293</v>
      </c>
      <c r="L182">
        <f t="shared" ca="1" si="30"/>
        <v>-1.4310322635243247</v>
      </c>
      <c r="M182">
        <f t="shared" ca="1" si="30"/>
        <v>0.4454434217616246</v>
      </c>
      <c r="O182">
        <v>180</v>
      </c>
      <c r="P182" s="6">
        <f t="shared" ca="1" si="22"/>
        <v>1876.0307196089045</v>
      </c>
      <c r="Q182" s="6">
        <f t="shared" ca="1" si="23"/>
        <v>369.02801533662006</v>
      </c>
      <c r="R182" s="6">
        <f t="shared" ca="1" si="24"/>
        <v>152.83200116081525</v>
      </c>
      <c r="S182" s="6"/>
      <c r="T182" s="4">
        <f t="shared" ca="1" si="25"/>
        <v>-5.7526303447194935E-2</v>
      </c>
      <c r="U182" s="4">
        <f t="shared" ca="1" si="26"/>
        <v>-9.4777415761367348E-2</v>
      </c>
      <c r="V182" s="4">
        <f t="shared" ca="1" si="27"/>
        <v>-1.2123467392663748E-2</v>
      </c>
      <c r="W182" s="4"/>
      <c r="X182">
        <v>180</v>
      </c>
      <c r="Y182" s="4">
        <f t="shared" ca="1" si="28"/>
        <v>-6.2713444955973155E-2</v>
      </c>
      <c r="Z182" s="4">
        <f ca="1"/>
        <v>-1.9029025630751657E-2</v>
      </c>
      <c r="AA182" s="4"/>
    </row>
    <row r="183" spans="1:27" x14ac:dyDescent="0.35">
      <c r="A183">
        <v>181</v>
      </c>
      <c r="B183">
        <f ca="1">_xlfn.NORM.INV(RAND(),Hitorical_Sim!$AB$4,Hitorical_Sim!$AB$5)</f>
        <v>1.7139744371383687E-3</v>
      </c>
      <c r="C183">
        <f ca="1">_xlfn.NORM.INV(RAND(),Hitorical_Sim!$AB$4,Hitorical_Sim!$AB$5)</f>
        <v>-1.1865831505748886E-2</v>
      </c>
      <c r="D183">
        <f ca="1">_xlfn.NORM.INV(RAND(),Hitorical_Sim!$AB$4,Hitorical_Sim!$AB$5)</f>
        <v>2.5201943744057168E-3</v>
      </c>
      <c r="K183">
        <f t="shared" ca="1" si="30"/>
        <v>-0.98943924198202537</v>
      </c>
      <c r="L183">
        <f t="shared" ca="1" si="30"/>
        <v>0.72486893413468279</v>
      </c>
      <c r="M183">
        <f t="shared" ca="1" si="30"/>
        <v>1.3139435309203955</v>
      </c>
      <c r="O183">
        <v>181</v>
      </c>
      <c r="P183" s="6">
        <f t="shared" ca="1" si="22"/>
        <v>1903.3694042677521</v>
      </c>
      <c r="Q183" s="6">
        <f t="shared" ca="1" si="23"/>
        <v>392.43856696089438</v>
      </c>
      <c r="R183" s="6">
        <f t="shared" ca="1" si="24"/>
        <v>156.93520851459644</v>
      </c>
      <c r="S183" s="6"/>
      <c r="T183" s="4">
        <f t="shared" ca="1" si="25"/>
        <v>1.4467460766378415E-2</v>
      </c>
      <c r="U183" s="4">
        <f t="shared" ca="1" si="26"/>
        <v>6.1507444195231062E-2</v>
      </c>
      <c r="V183" s="4">
        <f t="shared" ca="1" si="27"/>
        <v>2.6493749064774835E-2</v>
      </c>
      <c r="W183" s="4"/>
      <c r="X183">
        <v>181</v>
      </c>
      <c r="Y183" s="4">
        <f t="shared" ca="1" si="28"/>
        <v>2.4450322571099751E-2</v>
      </c>
      <c r="Z183" s="4">
        <f ca="1"/>
        <v>-1.8924837693692784E-2</v>
      </c>
      <c r="AA183" s="4"/>
    </row>
    <row r="184" spans="1:27" x14ac:dyDescent="0.35">
      <c r="A184">
        <v>182</v>
      </c>
      <c r="B184">
        <f ca="1">_xlfn.NORM.INV(RAND(),Hitorical_Sim!$AB$4,Hitorical_Sim!$AB$5)</f>
        <v>2.9519743991882577E-2</v>
      </c>
      <c r="C184">
        <f ca="1">_xlfn.NORM.INV(RAND(),Hitorical_Sim!$AB$4,Hitorical_Sim!$AB$5)</f>
        <v>1.065294489599105E-2</v>
      </c>
      <c r="D184">
        <f ca="1">_xlfn.NORM.INV(RAND(),Hitorical_Sim!$AB$4,Hitorical_Sim!$AB$5)</f>
        <v>-1.0717645499734568E-2</v>
      </c>
      <c r="K184">
        <f t="shared" ref="K184:M203" ca="1" si="31">_xlfn.NORM.S.INV(RAND())</f>
        <v>-0.67695738421764551</v>
      </c>
      <c r="L184">
        <f t="shared" ca="1" si="31"/>
        <v>-0.80204058975337156</v>
      </c>
      <c r="M184">
        <f t="shared" ca="1" si="31"/>
        <v>0.14618809784265274</v>
      </c>
      <c r="O184">
        <v>182</v>
      </c>
      <c r="P184" s="6">
        <f t="shared" ca="1" si="22"/>
        <v>1914.19049976991</v>
      </c>
      <c r="Q184" s="6">
        <f t="shared" ca="1" si="23"/>
        <v>375.71000190551899</v>
      </c>
      <c r="R184" s="6">
        <f t="shared" ca="1" si="24"/>
        <v>151.44317166062214</v>
      </c>
      <c r="S184" s="6"/>
      <c r="T184" s="4">
        <f t="shared" ca="1" si="25"/>
        <v>5.6691314639714602E-3</v>
      </c>
      <c r="U184" s="4">
        <f t="shared" ca="1" si="26"/>
        <v>-4.3562433396155058E-2</v>
      </c>
      <c r="V184" s="4">
        <f t="shared" ca="1" si="27"/>
        <v>-3.5622585520404766E-2</v>
      </c>
      <c r="W184" s="4"/>
      <c r="X184">
        <v>182</v>
      </c>
      <c r="Y184" s="4">
        <f t="shared" ca="1" si="28"/>
        <v>-6.1994494872422406E-3</v>
      </c>
      <c r="Z184" s="4">
        <f ca="1"/>
        <v>-1.8909243688410717E-2</v>
      </c>
      <c r="AA184" s="4"/>
    </row>
    <row r="185" spans="1:27" x14ac:dyDescent="0.35">
      <c r="A185">
        <v>183</v>
      </c>
      <c r="B185">
        <f ca="1">_xlfn.NORM.INV(RAND(),Hitorical_Sim!$AB$4,Hitorical_Sim!$AB$5)</f>
        <v>1.2632305680498812E-2</v>
      </c>
      <c r="C185">
        <f ca="1">_xlfn.NORM.INV(RAND(),Hitorical_Sim!$AB$4,Hitorical_Sim!$AB$5)</f>
        <v>-5.6777572470875677E-3</v>
      </c>
      <c r="D185">
        <f ca="1">_xlfn.NORM.INV(RAND(),Hitorical_Sim!$AB$4,Hitorical_Sim!$AB$5)</f>
        <v>-3.7025492277311073E-3</v>
      </c>
      <c r="K185">
        <f t="shared" ca="1" si="31"/>
        <v>-0.4351448487563882</v>
      </c>
      <c r="L185">
        <f t="shared" ca="1" si="31"/>
        <v>0.17065690072988712</v>
      </c>
      <c r="M185">
        <f t="shared" ca="1" si="31"/>
        <v>0.8364836663631906</v>
      </c>
      <c r="O185">
        <v>183</v>
      </c>
      <c r="P185" s="6">
        <f t="shared" ca="1" si="22"/>
        <v>1922.606556747354</v>
      </c>
      <c r="Q185" s="6">
        <f t="shared" ca="1" si="23"/>
        <v>386.28229854819136</v>
      </c>
      <c r="R185" s="6">
        <f t="shared" ca="1" si="24"/>
        <v>154.6660131368055</v>
      </c>
      <c r="S185" s="6"/>
      <c r="T185" s="4">
        <f t="shared" ca="1" si="25"/>
        <v>4.3870292597909697E-3</v>
      </c>
      <c r="U185" s="4">
        <f t="shared" ca="1" si="26"/>
        <v>2.7750871273555997E-2</v>
      </c>
      <c r="V185" s="4">
        <f t="shared" ca="1" si="27"/>
        <v>2.1057588110868018E-2</v>
      </c>
      <c r="W185" s="4"/>
      <c r="X185">
        <v>183</v>
      </c>
      <c r="Y185" s="4">
        <f t="shared" ca="1" si="28"/>
        <v>9.8747343047047853E-3</v>
      </c>
      <c r="Z185" s="4">
        <f ca="1"/>
        <v>-1.8810096042177957E-2</v>
      </c>
      <c r="AA185" s="4"/>
    </row>
    <row r="186" spans="1:27" x14ac:dyDescent="0.35">
      <c r="A186">
        <v>184</v>
      </c>
      <c r="B186">
        <f ca="1">_xlfn.NORM.INV(RAND(),Hitorical_Sim!$AB$4,Hitorical_Sim!$AB$5)</f>
        <v>-8.5919537752835833E-3</v>
      </c>
      <c r="C186">
        <f ca="1">_xlfn.NORM.INV(RAND(),Hitorical_Sim!$AB$4,Hitorical_Sim!$AB$5)</f>
        <v>4.0879781982725034E-3</v>
      </c>
      <c r="D186">
        <f ca="1">_xlfn.NORM.INV(RAND(),Hitorical_Sim!$AB$4,Hitorical_Sim!$AB$5)</f>
        <v>3.003849216170399E-2</v>
      </c>
      <c r="K186">
        <f t="shared" ca="1" si="31"/>
        <v>-1.0333470915055423</v>
      </c>
      <c r="L186">
        <f t="shared" ca="1" si="31"/>
        <v>-0.78260168256475982</v>
      </c>
      <c r="M186">
        <f t="shared" ca="1" si="31"/>
        <v>1.1808387945704752E-2</v>
      </c>
      <c r="O186">
        <v>184</v>
      </c>
      <c r="P186" s="6">
        <f t="shared" ca="1" si="22"/>
        <v>1901.8538063291487</v>
      </c>
      <c r="Q186" s="6">
        <f t="shared" ca="1" si="23"/>
        <v>375.91842405153864</v>
      </c>
      <c r="R186" s="6">
        <f t="shared" ca="1" si="24"/>
        <v>150.82363488051851</v>
      </c>
      <c r="S186" s="6"/>
      <c r="T186" s="4">
        <f t="shared" ca="1" si="25"/>
        <v>-1.0852748957812148E-2</v>
      </c>
      <c r="U186" s="4">
        <f t="shared" ca="1" si="26"/>
        <v>-2.719628301115426E-2</v>
      </c>
      <c r="V186" s="4">
        <f t="shared" ca="1" si="27"/>
        <v>-2.5156864870724154E-2</v>
      </c>
      <c r="W186" s="4"/>
      <c r="X186">
        <v>184</v>
      </c>
      <c r="Y186" s="4">
        <f t="shared" ca="1" si="28"/>
        <v>-1.4822308983625769E-2</v>
      </c>
      <c r="Z186" s="4">
        <f ca="1"/>
        <v>-1.8790141824371592E-2</v>
      </c>
      <c r="AA186" s="4"/>
    </row>
    <row r="187" spans="1:27" x14ac:dyDescent="0.35">
      <c r="A187">
        <v>185</v>
      </c>
      <c r="B187">
        <f ca="1">_xlfn.NORM.INV(RAND(),Hitorical_Sim!$AB$4,Hitorical_Sim!$AB$5)</f>
        <v>-3.8649840177672813E-3</v>
      </c>
      <c r="C187">
        <f ca="1">_xlfn.NORM.INV(RAND(),Hitorical_Sim!$AB$4,Hitorical_Sim!$AB$5)</f>
        <v>1.1391888024001632E-2</v>
      </c>
      <c r="D187">
        <f ca="1">_xlfn.NORM.INV(RAND(),Hitorical_Sim!$AB$4,Hitorical_Sim!$AB$5)</f>
        <v>-1.482372846493774E-3</v>
      </c>
      <c r="K187">
        <f t="shared" ca="1" si="31"/>
        <v>1.9725791156515928</v>
      </c>
      <c r="L187">
        <f t="shared" ca="1" si="31"/>
        <v>1.0553559363318568</v>
      </c>
      <c r="M187">
        <f t="shared" ca="1" si="31"/>
        <v>0.7866190841211359</v>
      </c>
      <c r="O187">
        <v>185</v>
      </c>
      <c r="P187" s="6">
        <f t="shared" ca="1" si="22"/>
        <v>2008.4503101407793</v>
      </c>
      <c r="Q187" s="6">
        <f t="shared" ca="1" si="23"/>
        <v>396.15626338583837</v>
      </c>
      <c r="R187" s="6">
        <f t="shared" ca="1" si="24"/>
        <v>154.4309251969955</v>
      </c>
      <c r="S187" s="6"/>
      <c r="T187" s="4">
        <f t="shared" ca="1" si="25"/>
        <v>5.4534336685301013E-2</v>
      </c>
      <c r="U187" s="4">
        <f t="shared" ca="1" si="26"/>
        <v>5.2436575386774383E-2</v>
      </c>
      <c r="V187" s="4">
        <f t="shared" ca="1" si="27"/>
        <v>2.3635736991511218E-2</v>
      </c>
      <c r="W187" s="4"/>
      <c r="X187">
        <v>185</v>
      </c>
      <c r="Y187" s="4">
        <f t="shared" ca="1" si="28"/>
        <v>5.2586514940183945E-2</v>
      </c>
      <c r="Z187" s="4">
        <f ca="1"/>
        <v>-1.8772836988167885E-2</v>
      </c>
      <c r="AA187" s="4"/>
    </row>
    <row r="188" spans="1:27" x14ac:dyDescent="0.35">
      <c r="A188">
        <v>186</v>
      </c>
      <c r="B188">
        <f ca="1">_xlfn.NORM.INV(RAND(),Hitorical_Sim!$AB$4,Hitorical_Sim!$AB$5)</f>
        <v>2.7050760345708655E-3</v>
      </c>
      <c r="C188">
        <f ca="1">_xlfn.NORM.INV(RAND(),Hitorical_Sim!$AB$4,Hitorical_Sim!$AB$5)</f>
        <v>7.6144613971701356E-3</v>
      </c>
      <c r="D188">
        <f ca="1">_xlfn.NORM.INV(RAND(),Hitorical_Sim!$AB$4,Hitorical_Sim!$AB$5)</f>
        <v>-6.0779900563278887E-3</v>
      </c>
      <c r="K188">
        <f t="shared" ca="1" si="31"/>
        <v>-0.41203576805997905</v>
      </c>
      <c r="L188">
        <f t="shared" ca="1" si="31"/>
        <v>-2.6384894280100486</v>
      </c>
      <c r="M188">
        <f t="shared" ca="1" si="31"/>
        <v>-0.79676531988211763</v>
      </c>
      <c r="O188">
        <v>186</v>
      </c>
      <c r="P188" s="6">
        <f t="shared" ca="1" si="22"/>
        <v>1923.412780986115</v>
      </c>
      <c r="Q188" s="6">
        <f t="shared" ca="1" si="23"/>
        <v>356.53201665551143</v>
      </c>
      <c r="R188" s="6">
        <f t="shared" ca="1" si="24"/>
        <v>147.1489721566374</v>
      </c>
      <c r="S188" s="6"/>
      <c r="T188" s="4">
        <f t="shared" ca="1" si="25"/>
        <v>-4.3262336455057594E-2</v>
      </c>
      <c r="U188" s="4">
        <f t="shared" ca="1" si="26"/>
        <v>-0.10538469381610722</v>
      </c>
      <c r="V188" s="4">
        <f t="shared" ca="1" si="27"/>
        <v>-4.8301420610497046E-2</v>
      </c>
      <c r="W188" s="4"/>
      <c r="X188">
        <v>186</v>
      </c>
      <c r="Y188" s="4">
        <f t="shared" ca="1" si="28"/>
        <v>-5.5909361066400015E-2</v>
      </c>
      <c r="Z188" s="4">
        <f ca="1"/>
        <v>-1.8697891156051933E-2</v>
      </c>
      <c r="AA188" s="4"/>
    </row>
    <row r="189" spans="1:27" x14ac:dyDescent="0.35">
      <c r="A189">
        <v>187</v>
      </c>
      <c r="B189">
        <f ca="1">_xlfn.NORM.INV(RAND(),Hitorical_Sim!$AB$4,Hitorical_Sim!$AB$5)</f>
        <v>-2.8613812068228575E-3</v>
      </c>
      <c r="C189">
        <f ca="1">_xlfn.NORM.INV(RAND(),Hitorical_Sim!$AB$4,Hitorical_Sim!$AB$5)</f>
        <v>1.9678939809263864E-2</v>
      </c>
      <c r="D189">
        <f ca="1">_xlfn.NORM.INV(RAND(),Hitorical_Sim!$AB$4,Hitorical_Sim!$AB$5)</f>
        <v>-1.015491409278664E-2</v>
      </c>
      <c r="K189">
        <f t="shared" ca="1" si="31"/>
        <v>-0.57242145340876005</v>
      </c>
      <c r="L189">
        <f t="shared" ca="1" si="31"/>
        <v>-8.1323249906098502E-2</v>
      </c>
      <c r="M189">
        <f t="shared" ca="1" si="31"/>
        <v>-3.9287045672051726E-2</v>
      </c>
      <c r="O189">
        <v>187</v>
      </c>
      <c r="P189" s="6">
        <f t="shared" ca="1" si="22"/>
        <v>1917.8242440103131</v>
      </c>
      <c r="Q189" s="6">
        <f t="shared" ca="1" si="23"/>
        <v>383.51529420186847</v>
      </c>
      <c r="R189" s="6">
        <f t="shared" ca="1" si="24"/>
        <v>150.58873293408107</v>
      </c>
      <c r="S189" s="6"/>
      <c r="T189" s="4">
        <f t="shared" ca="1" si="25"/>
        <v>-2.9097610392056538E-3</v>
      </c>
      <c r="U189" s="4">
        <f t="shared" ca="1" si="26"/>
        <v>7.2955456478455291E-2</v>
      </c>
      <c r="V189" s="4">
        <f t="shared" ca="1" si="27"/>
        <v>2.3107008401390405E-2</v>
      </c>
      <c r="W189" s="4"/>
      <c r="X189">
        <v>187</v>
      </c>
      <c r="Y189" s="4">
        <f t="shared" ca="1" si="28"/>
        <v>1.3518088237799465E-2</v>
      </c>
      <c r="Z189" s="4">
        <f ca="1"/>
        <v>-1.8684101166931883E-2</v>
      </c>
      <c r="AA189" s="4"/>
    </row>
    <row r="190" spans="1:27" x14ac:dyDescent="0.35">
      <c r="A190">
        <v>188</v>
      </c>
      <c r="B190">
        <f ca="1">_xlfn.NORM.INV(RAND(),Hitorical_Sim!$AB$4,Hitorical_Sim!$AB$5)</f>
        <v>1.1523862093996685E-2</v>
      </c>
      <c r="C190">
        <f ca="1">_xlfn.NORM.INV(RAND(),Hitorical_Sim!$AB$4,Hitorical_Sim!$AB$5)</f>
        <v>-1.4898059384939849E-2</v>
      </c>
      <c r="D190">
        <f ca="1">_xlfn.NORM.INV(RAND(),Hitorical_Sim!$AB$4,Hitorical_Sim!$AB$5)</f>
        <v>2.0159458376533039E-2</v>
      </c>
      <c r="K190">
        <f t="shared" ca="1" si="31"/>
        <v>1.0990540642970716</v>
      </c>
      <c r="L190">
        <f t="shared" ca="1" si="31"/>
        <v>-1.0442901747899289</v>
      </c>
      <c r="M190">
        <f t="shared" ca="1" si="31"/>
        <v>-0.41798176867215409</v>
      </c>
      <c r="O190">
        <v>188</v>
      </c>
      <c r="P190" s="6">
        <f t="shared" ca="1" si="22"/>
        <v>1976.8718150101752</v>
      </c>
      <c r="Q190" s="6">
        <f t="shared" ca="1" si="23"/>
        <v>373.12229721346995</v>
      </c>
      <c r="R190" s="6">
        <f t="shared" ca="1" si="24"/>
        <v>148.85911901637195</v>
      </c>
      <c r="S190" s="6"/>
      <c r="T190" s="4">
        <f t="shared" ca="1" si="25"/>
        <v>3.0324366721568963E-2</v>
      </c>
      <c r="U190" s="4">
        <f t="shared" ca="1" si="26"/>
        <v>-2.7473260118998102E-2</v>
      </c>
      <c r="V190" s="4">
        <f t="shared" ca="1" si="27"/>
        <v>-1.1552149340588017E-2</v>
      </c>
      <c r="W190" s="4"/>
      <c r="X190">
        <v>188</v>
      </c>
      <c r="Y190" s="4">
        <f t="shared" ca="1" si="28"/>
        <v>1.6717331169673073E-2</v>
      </c>
      <c r="Z190" s="4">
        <f ca="1"/>
        <v>-1.8510046259064258E-2</v>
      </c>
      <c r="AA190" s="4"/>
    </row>
    <row r="191" spans="1:27" x14ac:dyDescent="0.35">
      <c r="A191">
        <v>189</v>
      </c>
      <c r="B191">
        <f ca="1">_xlfn.NORM.INV(RAND(),Hitorical_Sim!$AB$4,Hitorical_Sim!$AB$5)</f>
        <v>-9.2911585773357355E-3</v>
      </c>
      <c r="C191">
        <f ca="1">_xlfn.NORM.INV(RAND(),Hitorical_Sim!$AB$4,Hitorical_Sim!$AB$5)</f>
        <v>-2.1135321345611791E-2</v>
      </c>
      <c r="D191">
        <f ca="1">_xlfn.NORM.INV(RAND(),Hitorical_Sim!$AB$4,Hitorical_Sim!$AB$5)</f>
        <v>-3.3631602835947488E-2</v>
      </c>
      <c r="K191">
        <f t="shared" ca="1" si="31"/>
        <v>0.28508621351733809</v>
      </c>
      <c r="L191">
        <f t="shared" ca="1" si="31"/>
        <v>0.28944149748958914</v>
      </c>
      <c r="M191">
        <f t="shared" ca="1" si="31"/>
        <v>0.14424489537564394</v>
      </c>
      <c r="O191">
        <v>189</v>
      </c>
      <c r="P191" s="6">
        <f t="shared" ca="1" si="22"/>
        <v>1947.8933908402814</v>
      </c>
      <c r="Q191" s="6">
        <f t="shared" ca="1" si="23"/>
        <v>387.59359190380883</v>
      </c>
      <c r="R191" s="6">
        <f t="shared" ca="1" si="24"/>
        <v>151.43419471862907</v>
      </c>
      <c r="S191" s="6"/>
      <c r="T191" s="4">
        <f t="shared" ca="1" si="25"/>
        <v>-1.4767227724932896E-2</v>
      </c>
      <c r="U191" s="4">
        <f t="shared" ca="1" si="26"/>
        <v>3.8051106652393002E-2</v>
      </c>
      <c r="V191" s="4">
        <f t="shared" ca="1" si="27"/>
        <v>1.7150823583931954E-2</v>
      </c>
      <c r="W191" s="4"/>
      <c r="X191">
        <v>189</v>
      </c>
      <c r="Y191" s="4">
        <f t="shared" ca="1" si="28"/>
        <v>-2.6467456940711151E-3</v>
      </c>
      <c r="Z191" s="4">
        <f ca="1"/>
        <v>-1.8361036043031829E-2</v>
      </c>
      <c r="AA191" s="4"/>
    </row>
    <row r="192" spans="1:27" x14ac:dyDescent="0.35">
      <c r="A192">
        <v>190</v>
      </c>
      <c r="B192">
        <f ca="1">_xlfn.NORM.INV(RAND(),Hitorical_Sim!$AB$4,Hitorical_Sim!$AB$5)</f>
        <v>-2.7198227699574376E-2</v>
      </c>
      <c r="C192">
        <f ca="1">_xlfn.NORM.INV(RAND(),Hitorical_Sim!$AB$4,Hitorical_Sim!$AB$5)</f>
        <v>-1.9363856758111905E-2</v>
      </c>
      <c r="D192">
        <f ca="1">_xlfn.NORM.INV(RAND(),Hitorical_Sim!$AB$4,Hitorical_Sim!$AB$5)</f>
        <v>-1.3508459173158655E-2</v>
      </c>
      <c r="K192">
        <f t="shared" ca="1" si="31"/>
        <v>0.30619758400078423</v>
      </c>
      <c r="L192">
        <f t="shared" ca="1" si="31"/>
        <v>-0.65378703488553347</v>
      </c>
      <c r="M192">
        <f t="shared" ca="1" si="31"/>
        <v>2.0171339469507967</v>
      </c>
      <c r="O192">
        <v>190</v>
      </c>
      <c r="P192" s="6">
        <f t="shared" ca="1" si="22"/>
        <v>1948.6395930029119</v>
      </c>
      <c r="Q192" s="6">
        <f t="shared" ca="1" si="23"/>
        <v>377.30248737936284</v>
      </c>
      <c r="R192" s="6">
        <f t="shared" ca="1" si="24"/>
        <v>160.33798335952349</v>
      </c>
      <c r="S192" s="6"/>
      <c r="T192" s="4">
        <f t="shared" ca="1" si="25"/>
        <v>3.8300826650070085E-4</v>
      </c>
      <c r="U192" s="4">
        <f t="shared" ca="1" si="26"/>
        <v>-2.6910127598337656E-2</v>
      </c>
      <c r="V192" s="4">
        <f t="shared" ca="1" si="27"/>
        <v>5.7132810963787015E-2</v>
      </c>
      <c r="W192" s="4"/>
      <c r="X192">
        <v>190</v>
      </c>
      <c r="Y192" s="4">
        <f t="shared" ca="1" si="28"/>
        <v>-2.2552767851507357E-3</v>
      </c>
      <c r="Z192" s="4">
        <f ca="1"/>
        <v>-1.8351680505806805E-2</v>
      </c>
      <c r="AA192" s="4"/>
    </row>
    <row r="193" spans="1:27" x14ac:dyDescent="0.35">
      <c r="A193">
        <v>191</v>
      </c>
      <c r="B193">
        <f ca="1">_xlfn.NORM.INV(RAND(),Hitorical_Sim!$AB$4,Hitorical_Sim!$AB$5)</f>
        <v>1.3176382626166411E-2</v>
      </c>
      <c r="C193">
        <f ca="1">_xlfn.NORM.INV(RAND(),Hitorical_Sim!$AB$4,Hitorical_Sim!$AB$5)</f>
        <v>2.6923700858785533E-3</v>
      </c>
      <c r="D193">
        <f ca="1">_xlfn.NORM.INV(RAND(),Hitorical_Sim!$AB$4,Hitorical_Sim!$AB$5)</f>
        <v>1.1536372762919807E-3</v>
      </c>
      <c r="K193">
        <f t="shared" ca="1" si="31"/>
        <v>1.346173060773179</v>
      </c>
      <c r="L193">
        <f t="shared" ca="1" si="31"/>
        <v>-0.13284579412870368</v>
      </c>
      <c r="M193">
        <f t="shared" ca="1" si="31"/>
        <v>1.3490076644238578</v>
      </c>
      <c r="O193">
        <v>191</v>
      </c>
      <c r="P193" s="6">
        <f t="shared" ca="1" si="22"/>
        <v>1985.7546227340893</v>
      </c>
      <c r="Q193" s="6">
        <f t="shared" ca="1" si="23"/>
        <v>382.95196837317741</v>
      </c>
      <c r="R193" s="6">
        <f t="shared" ca="1" si="24"/>
        <v>157.10316211983914</v>
      </c>
      <c r="S193" s="6"/>
      <c r="T193" s="4">
        <f t="shared" ca="1" si="25"/>
        <v>1.8867519987591397E-2</v>
      </c>
      <c r="U193" s="4">
        <f t="shared" ca="1" si="26"/>
        <v>1.4862352843274208E-2</v>
      </c>
      <c r="V193" s="4">
        <f t="shared" ca="1" si="27"/>
        <v>-2.0381310130168001E-2</v>
      </c>
      <c r="W193" s="4"/>
      <c r="X193">
        <v>191</v>
      </c>
      <c r="Y193" s="4">
        <f t="shared" ca="1" si="28"/>
        <v>1.6125787391006206E-2</v>
      </c>
      <c r="Z193" s="4">
        <f ca="1"/>
        <v>-1.8276652255043588E-2</v>
      </c>
      <c r="AA193" s="4"/>
    </row>
    <row r="194" spans="1:27" x14ac:dyDescent="0.35">
      <c r="A194">
        <v>192</v>
      </c>
      <c r="B194">
        <f ca="1">_xlfn.NORM.INV(RAND(),Hitorical_Sim!$AB$4,Hitorical_Sim!$AB$5)</f>
        <v>-1.655530646350372E-2</v>
      </c>
      <c r="C194">
        <f ca="1">_xlfn.NORM.INV(RAND(),Hitorical_Sim!$AB$4,Hitorical_Sim!$AB$5)</f>
        <v>1.062818283001684E-2</v>
      </c>
      <c r="D194">
        <f ca="1">_xlfn.NORM.INV(RAND(),Hitorical_Sim!$AB$4,Hitorical_Sim!$AB$5)</f>
        <v>5.883991816885069E-3</v>
      </c>
      <c r="K194">
        <f t="shared" ca="1" si="31"/>
        <v>-1.4425747203189279</v>
      </c>
      <c r="L194">
        <f t="shared" ca="1" si="31"/>
        <v>0.65441559639470448</v>
      </c>
      <c r="M194">
        <f t="shared" ca="1" si="31"/>
        <v>0.84892245980261172</v>
      </c>
      <c r="O194">
        <v>192</v>
      </c>
      <c r="P194" s="6">
        <f t="shared" ca="1" si="22"/>
        <v>1887.786121676043</v>
      </c>
      <c r="Q194" s="6">
        <f t="shared" ca="1" si="23"/>
        <v>391.65054978405368</v>
      </c>
      <c r="R194" s="6">
        <f t="shared" ca="1" si="24"/>
        <v>154.72471191836806</v>
      </c>
      <c r="S194" s="6"/>
      <c r="T194" s="4">
        <f t="shared" ca="1" si="25"/>
        <v>-5.0594226186375976E-2</v>
      </c>
      <c r="U194" s="4">
        <f t="shared" ca="1" si="26"/>
        <v>2.2460415206994863E-2</v>
      </c>
      <c r="V194" s="4">
        <f t="shared" ca="1" si="27"/>
        <v>-1.5255187400120081E-2</v>
      </c>
      <c r="W194" s="4"/>
      <c r="X194">
        <v>192</v>
      </c>
      <c r="Y194" s="4">
        <f t="shared" ca="1" si="28"/>
        <v>-3.4265917684750825E-2</v>
      </c>
      <c r="Z194" s="4">
        <f ca="1"/>
        <v>-1.8268491000707668E-2</v>
      </c>
      <c r="AA194" s="4"/>
    </row>
    <row r="195" spans="1:27" x14ac:dyDescent="0.35">
      <c r="A195">
        <v>193</v>
      </c>
      <c r="B195">
        <f ca="1">_xlfn.NORM.INV(RAND(),Hitorical_Sim!$AB$4,Hitorical_Sim!$AB$5)</f>
        <v>2.4255595057476265E-2</v>
      </c>
      <c r="C195">
        <f ca="1">_xlfn.NORM.INV(RAND(),Hitorical_Sim!$AB$4,Hitorical_Sim!$AB$5)</f>
        <v>5.5217765008915417E-3</v>
      </c>
      <c r="D195">
        <f ca="1">_xlfn.NORM.INV(RAND(),Hitorical_Sim!$AB$4,Hitorical_Sim!$AB$5)</f>
        <v>3.2588883216207597E-3</v>
      </c>
      <c r="K195">
        <f t="shared" ca="1" si="31"/>
        <v>-9.0802243303242186E-2</v>
      </c>
      <c r="L195">
        <f t="shared" ca="1" si="31"/>
        <v>0.38396371598780538</v>
      </c>
      <c r="M195">
        <f t="shared" ca="1" si="31"/>
        <v>2.2772992971183137</v>
      </c>
      <c r="O195">
        <v>193</v>
      </c>
      <c r="P195" s="6">
        <f t="shared" ref="P195:P258" ca="1" si="32">$G$17*EXP(($G$15-0.5*$G$16)+($G$16*K195))</f>
        <v>1934.6549784533727</v>
      </c>
      <c r="Q195" s="6">
        <f t="shared" ref="Q195:Q258" ca="1" si="33">$H$17*EXP(($H$15-0.5*$H$16^2)+($H$16*L195))</f>
        <v>388.64022637599959</v>
      </c>
      <c r="R195" s="6">
        <f t="shared" ref="R195:R258" ca="1" si="34">$I$17*EXP(($I$15-0.5*$I$16)+($I$16*M195))</f>
        <v>161.61555104463949</v>
      </c>
      <c r="S195" s="6"/>
      <c r="T195" s="4">
        <f t="shared" ca="1" si="25"/>
        <v>2.4524226578807422E-2</v>
      </c>
      <c r="U195" s="4">
        <f t="shared" ca="1" si="26"/>
        <v>-7.7159398397690111E-3</v>
      </c>
      <c r="V195" s="4">
        <f t="shared" ca="1" si="27"/>
        <v>4.3572887439742074E-2</v>
      </c>
      <c r="W195" s="4"/>
      <c r="X195">
        <v>193</v>
      </c>
      <c r="Y195" s="4">
        <f t="shared" ca="1" si="28"/>
        <v>1.9032838266736844E-2</v>
      </c>
      <c r="Z195" s="4">
        <f ca="1"/>
        <v>-1.8234548686824795E-2</v>
      </c>
      <c r="AA195" s="4"/>
    </row>
    <row r="196" spans="1:27" x14ac:dyDescent="0.35">
      <c r="A196">
        <v>194</v>
      </c>
      <c r="B196">
        <f ca="1">_xlfn.NORM.INV(RAND(),Hitorical_Sim!$AB$4,Hitorical_Sim!$AB$5)</f>
        <v>-1.9915708690246689E-3</v>
      </c>
      <c r="C196">
        <f ca="1">_xlfn.NORM.INV(RAND(),Hitorical_Sim!$AB$4,Hitorical_Sim!$AB$5)</f>
        <v>-8.0550322976840009E-3</v>
      </c>
      <c r="D196">
        <f ca="1">_xlfn.NORM.INV(RAND(),Hitorical_Sim!$AB$4,Hitorical_Sim!$AB$5)</f>
        <v>1.562898415552652E-3</v>
      </c>
      <c r="K196">
        <f t="shared" ca="1" si="31"/>
        <v>-1.1797512841397457</v>
      </c>
      <c r="L196">
        <f t="shared" ca="1" si="31"/>
        <v>-0.31455726608880052</v>
      </c>
      <c r="M196">
        <f t="shared" ca="1" si="31"/>
        <v>0.12996121470839006</v>
      </c>
      <c r="O196">
        <v>194</v>
      </c>
      <c r="P196" s="6">
        <f t="shared" ca="1" si="32"/>
        <v>1896.8089857375348</v>
      </c>
      <c r="Q196" s="6">
        <f t="shared" ca="1" si="33"/>
        <v>380.97180860214888</v>
      </c>
      <c r="R196" s="6">
        <f t="shared" ca="1" si="34"/>
        <v>151.36822524593634</v>
      </c>
      <c r="S196" s="6"/>
      <c r="T196" s="4">
        <f t="shared" ref="T196:T259" ca="1" si="35">LN(P196/P195)</f>
        <v>-1.9756011802524304E-2</v>
      </c>
      <c r="U196" s="4">
        <f t="shared" ref="U196:U259" ca="1" si="36">LN(Q196/Q195)</f>
        <v>-1.9928668517336361E-2</v>
      </c>
      <c r="V196" s="4">
        <f t="shared" ref="V196:V259" ca="1" si="37">LN(R196/R195)</f>
        <v>-6.5504927072154343E-2</v>
      </c>
      <c r="W196" s="4"/>
      <c r="X196">
        <v>194</v>
      </c>
      <c r="Y196" s="4">
        <f t="shared" ref="Y196:Y259" ca="1" si="38">($G$18*T196)+($H$18*U196)+($I$18*V196)</f>
        <v>-2.2054587211066543E-2</v>
      </c>
      <c r="Z196" s="4">
        <f ca="1"/>
        <v>-1.8141551391467572E-2</v>
      </c>
      <c r="AA196" s="4"/>
    </row>
    <row r="197" spans="1:27" x14ac:dyDescent="0.35">
      <c r="A197">
        <v>195</v>
      </c>
      <c r="B197">
        <f ca="1">_xlfn.NORM.INV(RAND(),Hitorical_Sim!$AB$4,Hitorical_Sim!$AB$5)</f>
        <v>2.1980714833373955E-3</v>
      </c>
      <c r="C197">
        <f ca="1">_xlfn.NORM.INV(RAND(),Hitorical_Sim!$AB$4,Hitorical_Sim!$AB$5)</f>
        <v>-3.1369668558652742E-3</v>
      </c>
      <c r="D197">
        <f ca="1">_xlfn.NORM.INV(RAND(),Hitorical_Sim!$AB$4,Hitorical_Sim!$AB$5)</f>
        <v>-6.7644144581688066E-3</v>
      </c>
      <c r="K197">
        <f t="shared" ca="1" si="31"/>
        <v>0.41311289821342256</v>
      </c>
      <c r="L197">
        <f t="shared" ca="1" si="31"/>
        <v>0.53774452318056476</v>
      </c>
      <c r="M197">
        <f t="shared" ca="1" si="31"/>
        <v>0.75205585006815012</v>
      </c>
      <c r="O197">
        <v>195</v>
      </c>
      <c r="P197" s="6">
        <f t="shared" ca="1" si="32"/>
        <v>1952.4230118682044</v>
      </c>
      <c r="Q197" s="6">
        <f t="shared" ca="1" si="33"/>
        <v>390.34906778921118</v>
      </c>
      <c r="R197" s="6">
        <f t="shared" ca="1" si="34"/>
        <v>154.26818559253994</v>
      </c>
      <c r="S197" s="6"/>
      <c r="T197" s="4">
        <f t="shared" ca="1" si="35"/>
        <v>2.8898178341030548E-2</v>
      </c>
      <c r="U197" s="4">
        <f t="shared" ca="1" si="36"/>
        <v>2.431600520371947E-2</v>
      </c>
      <c r="V197" s="4">
        <f t="shared" ca="1" si="37"/>
        <v>1.897710661168266E-2</v>
      </c>
      <c r="W197" s="4"/>
      <c r="X197">
        <v>195</v>
      </c>
      <c r="Y197" s="4">
        <f t="shared" ca="1" si="38"/>
        <v>2.7492727636643149E-2</v>
      </c>
      <c r="Z197" s="4">
        <f ca="1"/>
        <v>-1.8098693150233401E-2</v>
      </c>
      <c r="AA197" s="4"/>
    </row>
    <row r="198" spans="1:27" x14ac:dyDescent="0.35">
      <c r="A198">
        <v>196</v>
      </c>
      <c r="B198">
        <f ca="1">_xlfn.NORM.INV(RAND(),Hitorical_Sim!$AB$4,Hitorical_Sim!$AB$5)</f>
        <v>-3.130851147822495E-2</v>
      </c>
      <c r="C198">
        <f ca="1">_xlfn.NORM.INV(RAND(),Hitorical_Sim!$AB$4,Hitorical_Sim!$AB$5)</f>
        <v>-4.4282288582652958E-3</v>
      </c>
      <c r="D198">
        <f ca="1">_xlfn.NORM.INV(RAND(),Hitorical_Sim!$AB$4,Hitorical_Sim!$AB$5)</f>
        <v>1.1287821046250427E-2</v>
      </c>
      <c r="K198">
        <f t="shared" ca="1" si="31"/>
        <v>1.3845706361182744</v>
      </c>
      <c r="L198">
        <f t="shared" ca="1" si="31"/>
        <v>-0.59733669863187888</v>
      </c>
      <c r="M198">
        <f t="shared" ca="1" si="31"/>
        <v>-0.19381205827100212</v>
      </c>
      <c r="O198">
        <v>196</v>
      </c>
      <c r="P198" s="6">
        <f t="shared" ca="1" si="32"/>
        <v>1987.1384197236932</v>
      </c>
      <c r="Q198" s="6">
        <f t="shared" ca="1" si="33"/>
        <v>377.91062909543473</v>
      </c>
      <c r="R198" s="6">
        <f t="shared" ca="1" si="34"/>
        <v>149.88055625872258</v>
      </c>
      <c r="S198" s="6"/>
      <c r="T198" s="4">
        <f t="shared" ca="1" si="35"/>
        <v>1.7624452399497819E-2</v>
      </c>
      <c r="U198" s="4">
        <f t="shared" ca="1" si="36"/>
        <v>-3.2383647721655154E-2</v>
      </c>
      <c r="V198" s="4">
        <f t="shared" ca="1" si="37"/>
        <v>-2.8853867429255275E-2</v>
      </c>
      <c r="W198" s="4"/>
      <c r="X198">
        <v>196</v>
      </c>
      <c r="Y198" s="4">
        <f t="shared" ca="1" si="38"/>
        <v>5.3442141482156983E-3</v>
      </c>
      <c r="Z198" s="4">
        <f ca="1"/>
        <v>-1.8053970109516895E-2</v>
      </c>
      <c r="AA198" s="4"/>
    </row>
    <row r="199" spans="1:27" x14ac:dyDescent="0.35">
      <c r="A199">
        <v>197</v>
      </c>
      <c r="B199">
        <f ca="1">_xlfn.NORM.INV(RAND(),Hitorical_Sim!$AB$4,Hitorical_Sim!$AB$5)</f>
        <v>-4.9490584455650294E-3</v>
      </c>
      <c r="C199">
        <f ca="1">_xlfn.NORM.INV(RAND(),Hitorical_Sim!$AB$4,Hitorical_Sim!$AB$5)</f>
        <v>5.6841786543132952E-3</v>
      </c>
      <c r="D199">
        <f ca="1">_xlfn.NORM.INV(RAND(),Hitorical_Sim!$AB$4,Hitorical_Sim!$AB$5)</f>
        <v>-5.8515805321060384E-3</v>
      </c>
      <c r="K199">
        <f t="shared" ca="1" si="31"/>
        <v>0.42115344383590025</v>
      </c>
      <c r="L199">
        <f t="shared" ca="1" si="31"/>
        <v>-1.3880588176746442</v>
      </c>
      <c r="M199">
        <f t="shared" ca="1" si="31"/>
        <v>0.70477602477649859</v>
      </c>
      <c r="O199">
        <v>197</v>
      </c>
      <c r="P199" s="6">
        <f t="shared" ca="1" si="32"/>
        <v>1952.7078399695899</v>
      </c>
      <c r="Q199" s="6">
        <f t="shared" ca="1" si="33"/>
        <v>369.480730039332</v>
      </c>
      <c r="R199" s="6">
        <f t="shared" ca="1" si="34"/>
        <v>154.04584813937942</v>
      </c>
      <c r="S199" s="6"/>
      <c r="T199" s="4">
        <f t="shared" ca="1" si="35"/>
        <v>-1.7478578618210144E-2</v>
      </c>
      <c r="U199" s="4">
        <f t="shared" ca="1" si="36"/>
        <v>-2.2559149122310714E-2</v>
      </c>
      <c r="V199" s="4">
        <f t="shared" ca="1" si="37"/>
        <v>2.7411588016859386E-2</v>
      </c>
      <c r="W199" s="4"/>
      <c r="X199">
        <v>197</v>
      </c>
      <c r="Y199" s="4">
        <f t="shared" ca="1" si="38"/>
        <v>-1.6270878975318662E-2</v>
      </c>
      <c r="Z199" s="4">
        <f ca="1"/>
        <v>-1.7985124083332745E-2</v>
      </c>
      <c r="AA199" s="4"/>
    </row>
    <row r="200" spans="1:27" x14ac:dyDescent="0.35">
      <c r="A200">
        <v>198</v>
      </c>
      <c r="B200">
        <f ca="1">_xlfn.NORM.INV(RAND(),Hitorical_Sim!$AB$4,Hitorical_Sim!$AB$5)</f>
        <v>-2.2075254912047055E-2</v>
      </c>
      <c r="C200">
        <f ca="1">_xlfn.NORM.INV(RAND(),Hitorical_Sim!$AB$4,Hitorical_Sim!$AB$5)</f>
        <v>-1.4016054261378889E-3</v>
      </c>
      <c r="D200">
        <f ca="1">_xlfn.NORM.INV(RAND(),Hitorical_Sim!$AB$4,Hitorical_Sim!$AB$5)</f>
        <v>-4.0046517202348676E-2</v>
      </c>
      <c r="K200">
        <f t="shared" ca="1" si="31"/>
        <v>-0.59593279342692262</v>
      </c>
      <c r="L200">
        <f t="shared" ca="1" si="31"/>
        <v>-1.1001673817518629</v>
      </c>
      <c r="M200">
        <f t="shared" ca="1" si="31"/>
        <v>-0.49065195462275768</v>
      </c>
      <c r="O200">
        <v>198</v>
      </c>
      <c r="P200" s="6">
        <f t="shared" ca="1" si="32"/>
        <v>1917.0063721121364</v>
      </c>
      <c r="Q200" s="6">
        <f t="shared" ca="1" si="33"/>
        <v>372.52795223608808</v>
      </c>
      <c r="R200" s="6">
        <f t="shared" ca="1" si="34"/>
        <v>148.52949111127836</v>
      </c>
      <c r="S200" s="6"/>
      <c r="T200" s="4">
        <f t="shared" ca="1" si="35"/>
        <v>-1.8452257134194239E-2</v>
      </c>
      <c r="U200" s="4">
        <f t="shared" ca="1" si="36"/>
        <v>8.2134869856434548E-3</v>
      </c>
      <c r="V200" s="4">
        <f t="shared" ca="1" si="37"/>
        <v>-3.646674142838234E-2</v>
      </c>
      <c r="W200" s="4"/>
      <c r="X200">
        <v>198</v>
      </c>
      <c r="Y200" s="4">
        <f t="shared" ca="1" si="38"/>
        <v>-1.4022164169067037E-2</v>
      </c>
      <c r="Z200" s="4">
        <f ca="1"/>
        <v>-1.7836728160387842E-2</v>
      </c>
      <c r="AA200" s="4"/>
    </row>
    <row r="201" spans="1:27" x14ac:dyDescent="0.35">
      <c r="A201">
        <v>199</v>
      </c>
      <c r="B201">
        <f ca="1">_xlfn.NORM.INV(RAND(),Hitorical_Sim!$AB$4,Hitorical_Sim!$AB$5)</f>
        <v>-3.8540502804420072E-3</v>
      </c>
      <c r="C201">
        <f ca="1">_xlfn.NORM.INV(RAND(),Hitorical_Sim!$AB$4,Hitorical_Sim!$AB$5)</f>
        <v>-2.6918152535023051E-2</v>
      </c>
      <c r="D201">
        <f ca="1">_xlfn.NORM.INV(RAND(),Hitorical_Sim!$AB$4,Hitorical_Sim!$AB$5)</f>
        <v>2.9050483941437471E-3</v>
      </c>
      <c r="K201">
        <f t="shared" ca="1" si="31"/>
        <v>1.0356903896471779</v>
      </c>
      <c r="L201">
        <f t="shared" ca="1" si="31"/>
        <v>-2.5440586225861961</v>
      </c>
      <c r="M201">
        <f t="shared" ca="1" si="31"/>
        <v>-0.53136947623328468</v>
      </c>
      <c r="O201">
        <v>199</v>
      </c>
      <c r="P201" s="6">
        <f t="shared" ca="1" si="32"/>
        <v>1974.6005856952186</v>
      </c>
      <c r="Q201" s="6">
        <f t="shared" ca="1" si="33"/>
        <v>357.4938419700174</v>
      </c>
      <c r="R201" s="6">
        <f t="shared" ca="1" si="34"/>
        <v>148.3451178744248</v>
      </c>
      <c r="S201" s="6"/>
      <c r="T201" s="4">
        <f t="shared" ca="1" si="35"/>
        <v>2.9601354749642483E-2</v>
      </c>
      <c r="U201" s="4">
        <f t="shared" ca="1" si="36"/>
        <v>-4.1193937837242012E-2</v>
      </c>
      <c r="V201" s="4">
        <f t="shared" ca="1" si="37"/>
        <v>-1.2420951807751628E-3</v>
      </c>
      <c r="W201" s="4"/>
      <c r="X201">
        <v>199</v>
      </c>
      <c r="Y201" s="4">
        <f t="shared" ca="1" si="38"/>
        <v>1.3946427533034898E-2</v>
      </c>
      <c r="Z201" s="4">
        <f ca="1"/>
        <v>-1.7777596064916319E-2</v>
      </c>
      <c r="AA201" s="4"/>
    </row>
    <row r="202" spans="1:27" x14ac:dyDescent="0.35">
      <c r="A202">
        <v>200</v>
      </c>
      <c r="B202">
        <f ca="1">_xlfn.NORM.INV(RAND(),Hitorical_Sim!$AB$4,Hitorical_Sim!$AB$5)</f>
        <v>-2.7890890331526186E-2</v>
      </c>
      <c r="C202">
        <f ca="1">_xlfn.NORM.INV(RAND(),Hitorical_Sim!$AB$4,Hitorical_Sim!$AB$5)</f>
        <v>4.3363592061871709E-2</v>
      </c>
      <c r="D202">
        <f ca="1">_xlfn.NORM.INV(RAND(),Hitorical_Sim!$AB$4,Hitorical_Sim!$AB$5)</f>
        <v>2.6250334436875983E-2</v>
      </c>
      <c r="K202">
        <f t="shared" ca="1" si="31"/>
        <v>0.67902882194989256</v>
      </c>
      <c r="L202">
        <f t="shared" ca="1" si="31"/>
        <v>-0.94305147204869788</v>
      </c>
      <c r="M202">
        <f t="shared" ca="1" si="31"/>
        <v>-0.51424258852226779</v>
      </c>
      <c r="O202">
        <v>200</v>
      </c>
      <c r="P202" s="6">
        <f t="shared" ca="1" si="32"/>
        <v>1961.8648813255222</v>
      </c>
      <c r="Q202" s="6">
        <f t="shared" ca="1" si="33"/>
        <v>374.20155190051099</v>
      </c>
      <c r="R202" s="6">
        <f t="shared" ca="1" si="34"/>
        <v>148.42264232642299</v>
      </c>
      <c r="S202" s="6"/>
      <c r="T202" s="4">
        <f t="shared" ca="1" si="35"/>
        <v>-6.4706518640410046E-3</v>
      </c>
      <c r="U202" s="4">
        <f t="shared" ca="1" si="36"/>
        <v>4.5676424353202925E-2</v>
      </c>
      <c r="V202" s="4">
        <f t="shared" ca="1" si="37"/>
        <v>5.2245873142789064E-4</v>
      </c>
      <c r="W202" s="4"/>
      <c r="X202">
        <v>200</v>
      </c>
      <c r="Y202" s="4">
        <f t="shared" ca="1" si="38"/>
        <v>4.2823303540922399E-3</v>
      </c>
      <c r="Z202" s="4">
        <f ca="1"/>
        <v>-1.7735437495640011E-2</v>
      </c>
      <c r="AA202" s="4"/>
    </row>
    <row r="203" spans="1:27" x14ac:dyDescent="0.35">
      <c r="A203">
        <v>201</v>
      </c>
      <c r="B203">
        <f ca="1">_xlfn.NORM.INV(RAND(),Hitorical_Sim!$AB$4,Hitorical_Sim!$AB$5)</f>
        <v>-4.7978973023033643E-4</v>
      </c>
      <c r="C203">
        <f ca="1">_xlfn.NORM.INV(RAND(),Hitorical_Sim!$AB$4,Hitorical_Sim!$AB$5)</f>
        <v>-1.6359078101764429E-2</v>
      </c>
      <c r="D203">
        <f ca="1">_xlfn.NORM.INV(RAND(),Hitorical_Sim!$AB$4,Hitorical_Sim!$AB$5)</f>
        <v>2.6073240566860164E-2</v>
      </c>
      <c r="K203">
        <f t="shared" ca="1" si="31"/>
        <v>0.50422702810225861</v>
      </c>
      <c r="L203">
        <f t="shared" ca="1" si="31"/>
        <v>-1.4391545355131867</v>
      </c>
      <c r="M203">
        <f t="shared" ca="1" si="31"/>
        <v>0.54309284356008103</v>
      </c>
      <c r="O203">
        <v>201</v>
      </c>
      <c r="P203" s="6">
        <f t="shared" ca="1" si="32"/>
        <v>1955.6530702180175</v>
      </c>
      <c r="Q203" s="6">
        <f t="shared" ca="1" si="33"/>
        <v>368.94251154461159</v>
      </c>
      <c r="R203" s="6">
        <f t="shared" ca="1" si="34"/>
        <v>153.28793782622435</v>
      </c>
      <c r="S203" s="6"/>
      <c r="T203" s="4">
        <f t="shared" ca="1" si="35"/>
        <v>-3.1713020287004292E-3</v>
      </c>
      <c r="U203" s="4">
        <f t="shared" ca="1" si="36"/>
        <v>-1.4153724449088386E-2</v>
      </c>
      <c r="V203" s="4">
        <f t="shared" ca="1" si="37"/>
        <v>3.2254203907951418E-2</v>
      </c>
      <c r="W203" s="4"/>
      <c r="X203">
        <v>201</v>
      </c>
      <c r="Y203" s="4">
        <f t="shared" ca="1" si="38"/>
        <v>-3.6098309069132212E-3</v>
      </c>
      <c r="Z203" s="4">
        <f ca="1"/>
        <v>-1.7734396801523031E-2</v>
      </c>
      <c r="AA203" s="4"/>
    </row>
    <row r="204" spans="1:27" x14ac:dyDescent="0.35">
      <c r="A204">
        <v>202</v>
      </c>
      <c r="B204">
        <f ca="1">_xlfn.NORM.INV(RAND(),Hitorical_Sim!$AB$4,Hitorical_Sim!$AB$5)</f>
        <v>-1.2397645501993E-2</v>
      </c>
      <c r="C204">
        <f ca="1">_xlfn.NORM.INV(RAND(),Hitorical_Sim!$AB$4,Hitorical_Sim!$AB$5)</f>
        <v>3.9940985967436178E-3</v>
      </c>
      <c r="D204">
        <f ca="1">_xlfn.NORM.INV(RAND(),Hitorical_Sim!$AB$4,Hitorical_Sim!$AB$5)</f>
        <v>-2.7354275283769856E-2</v>
      </c>
      <c r="K204">
        <f t="shared" ref="K204:M223" ca="1" si="39">_xlfn.NORM.S.INV(RAND())</f>
        <v>-1.5534464659784069</v>
      </c>
      <c r="L204">
        <f t="shared" ca="1" si="39"/>
        <v>-0.12401706373632164</v>
      </c>
      <c r="M204">
        <f t="shared" ca="1" si="39"/>
        <v>0.20724634301677411</v>
      </c>
      <c r="O204">
        <v>202</v>
      </c>
      <c r="P204" s="6">
        <f t="shared" ca="1" si="32"/>
        <v>1883.9927212929322</v>
      </c>
      <c r="Q204" s="6">
        <f t="shared" ca="1" si="33"/>
        <v>383.04843921871105</v>
      </c>
      <c r="R204" s="6">
        <f t="shared" ca="1" si="34"/>
        <v>151.7255114430433</v>
      </c>
      <c r="S204" s="6"/>
      <c r="T204" s="4">
        <f t="shared" ca="1" si="35"/>
        <v>-3.7330876202959655E-2</v>
      </c>
      <c r="U204" s="4">
        <f t="shared" ca="1" si="36"/>
        <v>3.7520617708366358E-2</v>
      </c>
      <c r="V204" s="4">
        <f t="shared" ca="1" si="37"/>
        <v>-1.0245056754564578E-2</v>
      </c>
      <c r="W204" s="4"/>
      <c r="X204">
        <v>202</v>
      </c>
      <c r="Y204" s="4">
        <f t="shared" ca="1" si="38"/>
        <v>-2.1052426115397226E-2</v>
      </c>
      <c r="Z204" s="4">
        <f ca="1"/>
        <v>-1.7668983600397425E-2</v>
      </c>
      <c r="AA204" s="4"/>
    </row>
    <row r="205" spans="1:27" x14ac:dyDescent="0.35">
      <c r="A205">
        <v>203</v>
      </c>
      <c r="B205">
        <f ca="1">_xlfn.NORM.INV(RAND(),Hitorical_Sim!$AB$4,Hitorical_Sim!$AB$5)</f>
        <v>-4.9077965874422223E-3</v>
      </c>
      <c r="C205">
        <f ca="1">_xlfn.NORM.INV(RAND(),Hitorical_Sim!$AB$4,Hitorical_Sim!$AB$5)</f>
        <v>3.2630878550378391E-2</v>
      </c>
      <c r="D205">
        <f ca="1">_xlfn.NORM.INV(RAND(),Hitorical_Sim!$AB$4,Hitorical_Sim!$AB$5)</f>
        <v>1.5710941821838367E-2</v>
      </c>
      <c r="K205">
        <f t="shared" ca="1" si="39"/>
        <v>0.13350586939007739</v>
      </c>
      <c r="L205">
        <f t="shared" ca="1" si="39"/>
        <v>0.74768364691603684</v>
      </c>
      <c r="M205">
        <f t="shared" ca="1" si="39"/>
        <v>-0.38290552785270809</v>
      </c>
      <c r="O205">
        <v>203</v>
      </c>
      <c r="P205" s="6">
        <f t="shared" ca="1" si="32"/>
        <v>1942.5440191837517</v>
      </c>
      <c r="Q205" s="6">
        <f t="shared" ca="1" si="33"/>
        <v>392.69408811657013</v>
      </c>
      <c r="R205" s="6">
        <f t="shared" ca="1" si="34"/>
        <v>149.01848454897384</v>
      </c>
      <c r="S205" s="6"/>
      <c r="T205" s="4">
        <f t="shared" ca="1" si="35"/>
        <v>3.0605151387281045E-2</v>
      </c>
      <c r="U205" s="4">
        <f t="shared" ca="1" si="36"/>
        <v>2.4869452678820594E-2</v>
      </c>
      <c r="V205" s="4">
        <f t="shared" ca="1" si="37"/>
        <v>-1.8002686945045861E-2</v>
      </c>
      <c r="W205" s="4"/>
      <c r="X205">
        <v>203</v>
      </c>
      <c r="Y205" s="4">
        <f t="shared" ca="1" si="38"/>
        <v>2.705488147640495E-2</v>
      </c>
      <c r="Z205" s="4">
        <f ca="1"/>
        <v>-1.7608514958477248E-2</v>
      </c>
      <c r="AA205" s="4"/>
    </row>
    <row r="206" spans="1:27" x14ac:dyDescent="0.35">
      <c r="A206">
        <v>204</v>
      </c>
      <c r="B206">
        <f ca="1">_xlfn.NORM.INV(RAND(),Hitorical_Sim!$AB$4,Hitorical_Sim!$AB$5)</f>
        <v>1.3497819540178646E-2</v>
      </c>
      <c r="C206">
        <f ca="1">_xlfn.NORM.INV(RAND(),Hitorical_Sim!$AB$4,Hitorical_Sim!$AB$5)</f>
        <v>1.4099643137469529E-2</v>
      </c>
      <c r="D206">
        <f ca="1">_xlfn.NORM.INV(RAND(),Hitorical_Sim!$AB$4,Hitorical_Sim!$AB$5)</f>
        <v>1.6697499543710703E-2</v>
      </c>
      <c r="K206">
        <f t="shared" ca="1" si="39"/>
        <v>1.0916737974454502</v>
      </c>
      <c r="L206">
        <f t="shared" ca="1" si="39"/>
        <v>-0.58212727360660677</v>
      </c>
      <c r="M206">
        <f t="shared" ca="1" si="39"/>
        <v>1.6836434436315375</v>
      </c>
      <c r="O206">
        <v>204</v>
      </c>
      <c r="P206" s="6">
        <f t="shared" ca="1" si="32"/>
        <v>1976.6071398282197</v>
      </c>
      <c r="Q206" s="6">
        <f t="shared" ca="1" si="33"/>
        <v>378.07464839738009</v>
      </c>
      <c r="R206" s="6">
        <f t="shared" ca="1" si="34"/>
        <v>158.71510405226257</v>
      </c>
      <c r="S206" s="6"/>
      <c r="T206" s="4">
        <f t="shared" ca="1" si="35"/>
        <v>1.7383345028635196E-2</v>
      </c>
      <c r="U206" s="4">
        <f t="shared" ca="1" si="36"/>
        <v>-3.7939248363084162E-2</v>
      </c>
      <c r="V206" s="4">
        <f t="shared" ca="1" si="37"/>
        <v>6.3040440989240429E-2</v>
      </c>
      <c r="W206" s="4"/>
      <c r="X206">
        <v>204</v>
      </c>
      <c r="Y206" s="4">
        <f t="shared" ca="1" si="38"/>
        <v>8.602295287109759E-3</v>
      </c>
      <c r="Z206" s="4">
        <f ca="1"/>
        <v>-1.755859754869863E-2</v>
      </c>
      <c r="AA206" s="4"/>
    </row>
    <row r="207" spans="1:27" x14ac:dyDescent="0.35">
      <c r="A207">
        <v>205</v>
      </c>
      <c r="B207">
        <f ca="1">_xlfn.NORM.INV(RAND(),Hitorical_Sim!$AB$4,Hitorical_Sim!$AB$5)</f>
        <v>3.2262682190059349E-3</v>
      </c>
      <c r="C207">
        <f ca="1">_xlfn.NORM.INV(RAND(),Hitorical_Sim!$AB$4,Hitorical_Sim!$AB$5)</f>
        <v>-2.230332092318299E-2</v>
      </c>
      <c r="D207">
        <f ca="1">_xlfn.NORM.INV(RAND(),Hitorical_Sim!$AB$4,Hitorical_Sim!$AB$5)</f>
        <v>-7.9509117972046458E-3</v>
      </c>
      <c r="K207">
        <f t="shared" ca="1" si="39"/>
        <v>0.64022971453324995</v>
      </c>
      <c r="L207">
        <f t="shared" ca="1" si="39"/>
        <v>0.45911048701870955</v>
      </c>
      <c r="M207">
        <f t="shared" ca="1" si="39"/>
        <v>-1.0996140663793841</v>
      </c>
      <c r="O207">
        <v>205</v>
      </c>
      <c r="P207" s="6">
        <f t="shared" ca="1" si="32"/>
        <v>1960.4844026381575</v>
      </c>
      <c r="Q207" s="6">
        <f t="shared" ca="1" si="33"/>
        <v>389.4743348477777</v>
      </c>
      <c r="R207" s="6">
        <f t="shared" ca="1" si="34"/>
        <v>145.79580329939611</v>
      </c>
      <c r="S207" s="6"/>
      <c r="T207" s="4">
        <f t="shared" ca="1" si="35"/>
        <v>-8.1902222195285312E-3</v>
      </c>
      <c r="U207" s="4">
        <f t="shared" ca="1" si="36"/>
        <v>2.970631192429949E-2</v>
      </c>
      <c r="V207" s="4">
        <f t="shared" ca="1" si="37"/>
        <v>-8.4903761410350428E-2</v>
      </c>
      <c r="W207" s="4"/>
      <c r="X207">
        <v>205</v>
      </c>
      <c r="Y207" s="4">
        <f t="shared" ca="1" si="38"/>
        <v>-4.4238446642988977E-3</v>
      </c>
      <c r="Z207" s="4">
        <f ca="1"/>
        <v>-1.7448794903656795E-2</v>
      </c>
      <c r="AA207" s="4"/>
    </row>
    <row r="208" spans="1:27" x14ac:dyDescent="0.35">
      <c r="A208">
        <v>206</v>
      </c>
      <c r="B208">
        <f ca="1">_xlfn.NORM.INV(RAND(),Hitorical_Sim!$AB$4,Hitorical_Sim!$AB$5)</f>
        <v>-3.5964783329864594E-2</v>
      </c>
      <c r="C208">
        <f ca="1">_xlfn.NORM.INV(RAND(),Hitorical_Sim!$AB$4,Hitorical_Sim!$AB$5)</f>
        <v>1.3376109160249831E-2</v>
      </c>
      <c r="D208">
        <f ca="1">_xlfn.NORM.INV(RAND(),Hitorical_Sim!$AB$4,Hitorical_Sim!$AB$5)</f>
        <v>-2.7072481315599022E-2</v>
      </c>
      <c r="K208">
        <f t="shared" ca="1" si="39"/>
        <v>-0.76044397209668513</v>
      </c>
      <c r="L208">
        <f t="shared" ca="1" si="39"/>
        <v>1.4449019056117751</v>
      </c>
      <c r="M208">
        <f t="shared" ca="1" si="39"/>
        <v>0.57703042040810126</v>
      </c>
      <c r="O208">
        <v>206</v>
      </c>
      <c r="P208" s="6">
        <f t="shared" ca="1" si="32"/>
        <v>1911.2933914672203</v>
      </c>
      <c r="Q208" s="6">
        <f t="shared" ca="1" si="33"/>
        <v>400.58357007158179</v>
      </c>
      <c r="R208" s="6">
        <f t="shared" ca="1" si="34"/>
        <v>153.44671467528451</v>
      </c>
      <c r="S208" s="6"/>
      <c r="T208" s="4">
        <f t="shared" ca="1" si="35"/>
        <v>-2.5411405719490195E-2</v>
      </c>
      <c r="U208" s="4">
        <f t="shared" ca="1" si="36"/>
        <v>2.8124438510025326E-2</v>
      </c>
      <c r="V208" s="4">
        <f t="shared" ca="1" si="37"/>
        <v>5.1146335890287761E-2</v>
      </c>
      <c r="W208" s="4"/>
      <c r="X208">
        <v>206</v>
      </c>
      <c r="Y208" s="4">
        <f t="shared" ca="1" si="38"/>
        <v>-1.093850838719517E-2</v>
      </c>
      <c r="Z208" s="4">
        <f ca="1"/>
        <v>-1.7332795172386808E-2</v>
      </c>
      <c r="AA208" s="4"/>
    </row>
    <row r="209" spans="1:27" x14ac:dyDescent="0.35">
      <c r="A209">
        <v>207</v>
      </c>
      <c r="B209">
        <f ca="1">_xlfn.NORM.INV(RAND(),Hitorical_Sim!$AB$4,Hitorical_Sim!$AB$5)</f>
        <v>-2.1949975337877529E-3</v>
      </c>
      <c r="C209">
        <f ca="1">_xlfn.NORM.INV(RAND(),Hitorical_Sim!$AB$4,Hitorical_Sim!$AB$5)</f>
        <v>-4.8177447277128792E-3</v>
      </c>
      <c r="D209">
        <f ca="1">_xlfn.NORM.INV(RAND(),Hitorical_Sim!$AB$4,Hitorical_Sim!$AB$5)</f>
        <v>-1.1013171501546612E-2</v>
      </c>
      <c r="K209">
        <f t="shared" ca="1" si="39"/>
        <v>3.6038029955424496E-2</v>
      </c>
      <c r="L209">
        <f t="shared" ca="1" si="39"/>
        <v>-3.8759186720574434E-2</v>
      </c>
      <c r="M209">
        <f t="shared" ca="1" si="39"/>
        <v>1.7033112422437011</v>
      </c>
      <c r="O209">
        <v>207</v>
      </c>
      <c r="P209" s="6">
        <f t="shared" ca="1" si="32"/>
        <v>1939.1120766590113</v>
      </c>
      <c r="Q209" s="6">
        <f t="shared" ca="1" si="33"/>
        <v>383.98129677290774</v>
      </c>
      <c r="R209" s="6">
        <f t="shared" ca="1" si="34"/>
        <v>158.81035687189711</v>
      </c>
      <c r="S209" s="6"/>
      <c r="T209" s="4">
        <f t="shared" ca="1" si="35"/>
        <v>1.4449994667291653E-2</v>
      </c>
      <c r="U209" s="4">
        <f t="shared" ca="1" si="36"/>
        <v>-4.2328564008572829E-2</v>
      </c>
      <c r="V209" s="4">
        <f t="shared" ca="1" si="37"/>
        <v>3.4357395186839092E-2</v>
      </c>
      <c r="W209" s="4"/>
      <c r="X209">
        <v>207</v>
      </c>
      <c r="Y209" s="4">
        <f t="shared" ca="1" si="38"/>
        <v>4.1040255056287722E-3</v>
      </c>
      <c r="Z209" s="4">
        <f ca="1"/>
        <v>-1.7281547632486322E-2</v>
      </c>
      <c r="AA209" s="4"/>
    </row>
    <row r="210" spans="1:27" x14ac:dyDescent="0.35">
      <c r="A210">
        <v>208</v>
      </c>
      <c r="B210">
        <f ca="1">_xlfn.NORM.INV(RAND(),Hitorical_Sim!$AB$4,Hitorical_Sim!$AB$5)</f>
        <v>-9.3586378717380545E-3</v>
      </c>
      <c r="C210">
        <f ca="1">_xlfn.NORM.INV(RAND(),Hitorical_Sim!$AB$4,Hitorical_Sim!$AB$5)</f>
        <v>-7.1883772823983071E-3</v>
      </c>
      <c r="D210">
        <f ca="1">_xlfn.NORM.INV(RAND(),Hitorical_Sim!$AB$4,Hitorical_Sim!$AB$5)</f>
        <v>2.5279624357852557E-2</v>
      </c>
      <c r="K210">
        <f t="shared" ca="1" si="39"/>
        <v>0.89554396587747431</v>
      </c>
      <c r="L210">
        <f t="shared" ca="1" si="39"/>
        <v>0.92850492988451327</v>
      </c>
      <c r="M210">
        <f t="shared" ca="1" si="39"/>
        <v>-0.47180961908353208</v>
      </c>
      <c r="O210">
        <v>208</v>
      </c>
      <c r="P210" s="6">
        <f t="shared" ca="1" si="32"/>
        <v>1969.5863931646295</v>
      </c>
      <c r="Q210" s="6">
        <f t="shared" ca="1" si="33"/>
        <v>394.72515131419237</v>
      </c>
      <c r="R210" s="6">
        <f t="shared" ca="1" si="34"/>
        <v>148.61488873524348</v>
      </c>
      <c r="S210" s="6"/>
      <c r="T210" s="4">
        <f t="shared" ca="1" si="35"/>
        <v>1.5593392140160832E-2</v>
      </c>
      <c r="U210" s="4">
        <f t="shared" ca="1" si="36"/>
        <v>2.7595858167683684E-2</v>
      </c>
      <c r="V210" s="4">
        <f t="shared" ca="1" si="37"/>
        <v>-6.6352445644915825E-2</v>
      </c>
      <c r="W210" s="4"/>
      <c r="X210">
        <v>208</v>
      </c>
      <c r="Y210" s="4">
        <f t="shared" ca="1" si="38"/>
        <v>1.3933192770314353E-2</v>
      </c>
      <c r="Z210" s="4">
        <f ca="1"/>
        <v>-1.7043904359175605E-2</v>
      </c>
      <c r="AA210" s="4"/>
    </row>
    <row r="211" spans="1:27" x14ac:dyDescent="0.35">
      <c r="A211">
        <v>209</v>
      </c>
      <c r="B211">
        <f ca="1">_xlfn.NORM.INV(RAND(),Hitorical_Sim!$AB$4,Hitorical_Sim!$AB$5)</f>
        <v>-1.0076855221389578E-2</v>
      </c>
      <c r="C211">
        <f ca="1">_xlfn.NORM.INV(RAND(),Hitorical_Sim!$AB$4,Hitorical_Sim!$AB$5)</f>
        <v>-2.6201131787155222E-2</v>
      </c>
      <c r="D211">
        <f ca="1">_xlfn.NORM.INV(RAND(),Hitorical_Sim!$AB$4,Hitorical_Sim!$AB$5)</f>
        <v>-1.7930249261642158E-2</v>
      </c>
      <c r="K211">
        <f t="shared" ca="1" si="39"/>
        <v>2.0338533838799417</v>
      </c>
      <c r="L211">
        <f t="shared" ca="1" si="39"/>
        <v>0.75407086458449701</v>
      </c>
      <c r="M211">
        <f t="shared" ca="1" si="39"/>
        <v>0.4957016876451083</v>
      </c>
      <c r="O211">
        <v>209</v>
      </c>
      <c r="P211" s="6">
        <f t="shared" ca="1" si="32"/>
        <v>2010.6842545427644</v>
      </c>
      <c r="Q211" s="6">
        <f t="shared" ca="1" si="33"/>
        <v>392.76565374310655</v>
      </c>
      <c r="R211" s="6">
        <f t="shared" ca="1" si="34"/>
        <v>153.06649330595363</v>
      </c>
      <c r="S211" s="6"/>
      <c r="T211" s="4">
        <f t="shared" ca="1" si="35"/>
        <v>2.0651521286713641E-2</v>
      </c>
      <c r="U211" s="4">
        <f t="shared" ca="1" si="36"/>
        <v>-4.9765701456256457E-3</v>
      </c>
      <c r="V211" s="4">
        <f t="shared" ca="1" si="37"/>
        <v>2.9514103115806566E-2</v>
      </c>
      <c r="W211" s="4"/>
      <c r="X211">
        <v>209</v>
      </c>
      <c r="Y211" s="4">
        <f t="shared" ca="1" si="38"/>
        <v>1.5975582015995769E-2</v>
      </c>
      <c r="Z211" s="4">
        <f ca="1"/>
        <v>-1.6937576745069224E-2</v>
      </c>
      <c r="AA211" s="4"/>
    </row>
    <row r="212" spans="1:27" x14ac:dyDescent="0.35">
      <c r="A212">
        <v>210</v>
      </c>
      <c r="B212">
        <f ca="1">_xlfn.NORM.INV(RAND(),Hitorical_Sim!$AB$4,Hitorical_Sim!$AB$5)</f>
        <v>4.61293795349075E-3</v>
      </c>
      <c r="C212">
        <f ca="1">_xlfn.NORM.INV(RAND(),Hitorical_Sim!$AB$4,Hitorical_Sim!$AB$5)</f>
        <v>2.319036765749535E-3</v>
      </c>
      <c r="D212">
        <f ca="1">_xlfn.NORM.INV(RAND(),Hitorical_Sim!$AB$4,Hitorical_Sim!$AB$5)</f>
        <v>-1.0894931948950394E-2</v>
      </c>
      <c r="K212">
        <f t="shared" ca="1" si="39"/>
        <v>0.66939856642371431</v>
      </c>
      <c r="L212">
        <f t="shared" ca="1" si="39"/>
        <v>0.7371339989665604</v>
      </c>
      <c r="M212">
        <f t="shared" ca="1" si="39"/>
        <v>0.10625538364885807</v>
      </c>
      <c r="O212">
        <v>210</v>
      </c>
      <c r="P212" s="6">
        <f t="shared" ca="1" si="32"/>
        <v>1961.5221445664013</v>
      </c>
      <c r="Q212" s="6">
        <f t="shared" ca="1" si="33"/>
        <v>392.57591306444607</v>
      </c>
      <c r="R212" s="6">
        <f t="shared" ca="1" si="34"/>
        <v>151.25880279844964</v>
      </c>
      <c r="S212" s="6"/>
      <c r="T212" s="4">
        <f t="shared" ca="1" si="35"/>
        <v>-2.4754313073244917E-2</v>
      </c>
      <c r="U212" s="4">
        <f t="shared" ca="1" si="36"/>
        <v>-4.832055003114971E-4</v>
      </c>
      <c r="V212" s="4">
        <f t="shared" ca="1" si="37"/>
        <v>-1.1880128215843996E-2</v>
      </c>
      <c r="W212" s="4"/>
      <c r="X212">
        <v>210</v>
      </c>
      <c r="Y212" s="4">
        <f t="shared" ca="1" si="38"/>
        <v>-1.9273429489888212E-2</v>
      </c>
      <c r="Z212" s="4">
        <f ca="1"/>
        <v>-1.6916502987369506E-2</v>
      </c>
      <c r="AA212" s="4"/>
    </row>
    <row r="213" spans="1:27" x14ac:dyDescent="0.35">
      <c r="A213">
        <v>211</v>
      </c>
      <c r="B213">
        <f ca="1">_xlfn.NORM.INV(RAND(),Hitorical_Sim!$AB$4,Hitorical_Sim!$AB$5)</f>
        <v>-2.3930269511460629E-3</v>
      </c>
      <c r="C213">
        <f ca="1">_xlfn.NORM.INV(RAND(),Hitorical_Sim!$AB$4,Hitorical_Sim!$AB$5)</f>
        <v>9.5023312516464148E-3</v>
      </c>
      <c r="D213">
        <f ca="1">_xlfn.NORM.INV(RAND(),Hitorical_Sim!$AB$4,Hitorical_Sim!$AB$5)</f>
        <v>-8.7060781762257188E-3</v>
      </c>
      <c r="K213">
        <f t="shared" ca="1" si="39"/>
        <v>0.42975012344963753</v>
      </c>
      <c r="L213">
        <f t="shared" ca="1" si="39"/>
        <v>0.70681544119830442</v>
      </c>
      <c r="M213">
        <f t="shared" ca="1" si="39"/>
        <v>1.614774291436446</v>
      </c>
      <c r="O213">
        <v>211</v>
      </c>
      <c r="P213" s="6">
        <f t="shared" ca="1" si="32"/>
        <v>1953.0124145110833</v>
      </c>
      <c r="Q213" s="6">
        <f t="shared" ca="1" si="33"/>
        <v>392.23648855401484</v>
      </c>
      <c r="R213" s="6">
        <f t="shared" ca="1" si="34"/>
        <v>158.38201495404422</v>
      </c>
      <c r="S213" s="6"/>
      <c r="T213" s="4">
        <f t="shared" ca="1" si="35"/>
        <v>-4.3477677010627328E-3</v>
      </c>
      <c r="U213" s="4">
        <f t="shared" ca="1" si="36"/>
        <v>-8.6498258920023204E-4</v>
      </c>
      <c r="V213" s="4">
        <f t="shared" ca="1" si="37"/>
        <v>4.6017635439451858E-2</v>
      </c>
      <c r="W213" s="4"/>
      <c r="X213">
        <v>211</v>
      </c>
      <c r="Y213" s="4">
        <f t="shared" ca="1" si="38"/>
        <v>-1.1601256006154095E-3</v>
      </c>
      <c r="Z213" s="4">
        <f ca="1"/>
        <v>-1.6785234942687414E-2</v>
      </c>
      <c r="AA213" s="4"/>
    </row>
    <row r="214" spans="1:27" x14ac:dyDescent="0.35">
      <c r="A214">
        <v>212</v>
      </c>
      <c r="B214">
        <f ca="1">_xlfn.NORM.INV(RAND(),Hitorical_Sim!$AB$4,Hitorical_Sim!$AB$5)</f>
        <v>-2.9299839264232481E-2</v>
      </c>
      <c r="C214">
        <f ca="1">_xlfn.NORM.INV(RAND(),Hitorical_Sim!$AB$4,Hitorical_Sim!$AB$5)</f>
        <v>-4.4319449235036068E-4</v>
      </c>
      <c r="D214">
        <f ca="1">_xlfn.NORM.INV(RAND(),Hitorical_Sim!$AB$4,Hitorical_Sim!$AB$5)</f>
        <v>1.5640247650506429E-2</v>
      </c>
      <c r="K214">
        <f t="shared" ca="1" si="39"/>
        <v>-0.87233996978881767</v>
      </c>
      <c r="L214">
        <f t="shared" ca="1" si="39"/>
        <v>1.8954982572799894</v>
      </c>
      <c r="M214">
        <f t="shared" ca="1" si="39"/>
        <v>1.0081680427338378</v>
      </c>
      <c r="O214">
        <v>212</v>
      </c>
      <c r="P214" s="6">
        <f t="shared" ca="1" si="32"/>
        <v>1907.4173100877422</v>
      </c>
      <c r="Q214" s="6">
        <f t="shared" ca="1" si="33"/>
        <v>405.76648573743279</v>
      </c>
      <c r="R214" s="6">
        <f t="shared" ca="1" si="34"/>
        <v>155.47816446823941</v>
      </c>
      <c r="S214" s="6"/>
      <c r="T214" s="4">
        <f t="shared" ca="1" si="35"/>
        <v>-2.3622875162467135E-2</v>
      </c>
      <c r="U214" s="4">
        <f t="shared" ca="1" si="36"/>
        <v>3.3912890839043981E-2</v>
      </c>
      <c r="V214" s="4">
        <f t="shared" ca="1" si="37"/>
        <v>-1.8504630643993828E-2</v>
      </c>
      <c r="W214" s="4"/>
      <c r="X214">
        <v>212</v>
      </c>
      <c r="Y214" s="4">
        <f t="shared" ca="1" si="38"/>
        <v>-1.1887269601891385E-2</v>
      </c>
      <c r="Z214" s="4">
        <f ca="1"/>
        <v>-1.6782306525965643E-2</v>
      </c>
      <c r="AA214" s="4"/>
    </row>
    <row r="215" spans="1:27" x14ac:dyDescent="0.35">
      <c r="A215">
        <v>213</v>
      </c>
      <c r="B215">
        <f ca="1">_xlfn.NORM.INV(RAND(),Hitorical_Sim!$AB$4,Hitorical_Sim!$AB$5)</f>
        <v>8.4452312728679844E-3</v>
      </c>
      <c r="C215">
        <f ca="1">_xlfn.NORM.INV(RAND(),Hitorical_Sim!$AB$4,Hitorical_Sim!$AB$5)</f>
        <v>-5.2643169166625308E-4</v>
      </c>
      <c r="D215">
        <f ca="1">_xlfn.NORM.INV(RAND(),Hitorical_Sim!$AB$4,Hitorical_Sim!$AB$5)</f>
        <v>2.5069667752395317E-2</v>
      </c>
      <c r="K215">
        <f t="shared" ca="1" si="39"/>
        <v>0.93906867005165828</v>
      </c>
      <c r="L215">
        <f t="shared" ca="1" si="39"/>
        <v>0.65702121514970435</v>
      </c>
      <c r="M215">
        <f t="shared" ca="1" si="39"/>
        <v>2.0877783910885079</v>
      </c>
      <c r="O215">
        <v>213</v>
      </c>
      <c r="P215" s="6">
        <f t="shared" ca="1" si="32"/>
        <v>1971.1422658710355</v>
      </c>
      <c r="Q215" s="6">
        <f t="shared" ca="1" si="33"/>
        <v>391.67966530612961</v>
      </c>
      <c r="R215" s="6">
        <f t="shared" ca="1" si="34"/>
        <v>160.68388769979578</v>
      </c>
      <c r="S215" s="6"/>
      <c r="T215" s="4">
        <f t="shared" ca="1" si="35"/>
        <v>3.286307175622559E-2</v>
      </c>
      <c r="U215" s="4">
        <f t="shared" ca="1" si="36"/>
        <v>-3.5333510477483419E-2</v>
      </c>
      <c r="V215" s="4">
        <f t="shared" ca="1" si="37"/>
        <v>3.2933704158941028E-2</v>
      </c>
      <c r="W215" s="4"/>
      <c r="X215">
        <v>213</v>
      </c>
      <c r="Y215" s="4">
        <f t="shared" ca="1" si="38"/>
        <v>1.9256705477280634E-2</v>
      </c>
      <c r="Z215" s="4">
        <f ca="1"/>
        <v>-1.6760273580849958E-2</v>
      </c>
      <c r="AA215" s="4"/>
    </row>
    <row r="216" spans="1:27" x14ac:dyDescent="0.35">
      <c r="A216">
        <v>214</v>
      </c>
      <c r="B216">
        <f ca="1">_xlfn.NORM.INV(RAND(),Hitorical_Sim!$AB$4,Hitorical_Sim!$AB$5)</f>
        <v>-5.7010238647891443E-3</v>
      </c>
      <c r="C216">
        <f ca="1">_xlfn.NORM.INV(RAND(),Hitorical_Sim!$AB$4,Hitorical_Sim!$AB$5)</f>
        <v>-2.7673345494326155E-3</v>
      </c>
      <c r="D216">
        <f ca="1">_xlfn.NORM.INV(RAND(),Hitorical_Sim!$AB$4,Hitorical_Sim!$AB$5)</f>
        <v>-7.8505499372510668E-3</v>
      </c>
      <c r="K216">
        <f t="shared" ca="1" si="39"/>
        <v>1.8276115987785559</v>
      </c>
      <c r="L216">
        <f t="shared" ca="1" si="39"/>
        <v>-1.0464884787684876</v>
      </c>
      <c r="M216">
        <f t="shared" ca="1" si="39"/>
        <v>1.167451229352672</v>
      </c>
      <c r="O216">
        <v>214</v>
      </c>
      <c r="P216" s="6">
        <f t="shared" ca="1" si="32"/>
        <v>2003.1749449301531</v>
      </c>
      <c r="Q216" s="6">
        <f t="shared" ca="1" si="33"/>
        <v>373.09889676627023</v>
      </c>
      <c r="R216" s="6">
        <f t="shared" ca="1" si="34"/>
        <v>156.23546527415994</v>
      </c>
      <c r="S216" s="6"/>
      <c r="T216" s="4">
        <f t="shared" ca="1" si="35"/>
        <v>1.6120189217939292E-2</v>
      </c>
      <c r="U216" s="4">
        <f t="shared" ca="1" si="36"/>
        <v>-4.8600802090783435E-2</v>
      </c>
      <c r="V216" s="4">
        <f t="shared" ca="1" si="37"/>
        <v>-2.8074742447808235E-2</v>
      </c>
      <c r="W216" s="4"/>
      <c r="X216">
        <v>214</v>
      </c>
      <c r="Y216" s="4">
        <f t="shared" ca="1" si="38"/>
        <v>1.0167325279276053E-3</v>
      </c>
      <c r="Z216" s="4">
        <f ca="1"/>
        <v>-1.6700299475538152E-2</v>
      </c>
      <c r="AA216" s="4"/>
    </row>
    <row r="217" spans="1:27" x14ac:dyDescent="0.35">
      <c r="A217">
        <v>215</v>
      </c>
      <c r="B217">
        <f ca="1">_xlfn.NORM.INV(RAND(),Hitorical_Sim!$AB$4,Hitorical_Sim!$AB$5)</f>
        <v>-3.1011515302381824E-2</v>
      </c>
      <c r="C217">
        <f ca="1">_xlfn.NORM.INV(RAND(),Hitorical_Sim!$AB$4,Hitorical_Sim!$AB$5)</f>
        <v>3.1850649549846899E-2</v>
      </c>
      <c r="D217">
        <f ca="1">_xlfn.NORM.INV(RAND(),Hitorical_Sim!$AB$4,Hitorical_Sim!$AB$5)</f>
        <v>-6.4250753836780838E-3</v>
      </c>
      <c r="K217">
        <f t="shared" ca="1" si="39"/>
        <v>-0.94878587105567513</v>
      </c>
      <c r="L217">
        <f t="shared" ca="1" si="39"/>
        <v>0.14654588595051732</v>
      </c>
      <c r="M217">
        <f t="shared" ca="1" si="39"/>
        <v>0.51691239125382837</v>
      </c>
      <c r="O217">
        <v>215</v>
      </c>
      <c r="P217" s="6">
        <f t="shared" ca="1" si="32"/>
        <v>1904.7737418952509</v>
      </c>
      <c r="Q217" s="6">
        <f t="shared" ca="1" si="33"/>
        <v>386.01667305089086</v>
      </c>
      <c r="R217" s="6">
        <f t="shared" ca="1" si="34"/>
        <v>153.16556492469743</v>
      </c>
      <c r="S217" s="6"/>
      <c r="T217" s="4">
        <f t="shared" ca="1" si="35"/>
        <v>-5.0370163456325653E-2</v>
      </c>
      <c r="U217" s="4">
        <f t="shared" ca="1" si="36"/>
        <v>3.403703968003171E-2</v>
      </c>
      <c r="V217" s="4">
        <f t="shared" ca="1" si="37"/>
        <v>-1.9844802034826355E-2</v>
      </c>
      <c r="W217" s="4"/>
      <c r="X217">
        <v>215</v>
      </c>
      <c r="Y217" s="4">
        <f t="shared" ca="1" si="38"/>
        <v>-3.2014475319911709E-2</v>
      </c>
      <c r="Z217" s="4">
        <f ca="1"/>
        <v>-1.6589167767844595E-2</v>
      </c>
      <c r="AA217" s="4"/>
    </row>
    <row r="218" spans="1:27" x14ac:dyDescent="0.35">
      <c r="A218">
        <v>216</v>
      </c>
      <c r="B218">
        <f ca="1">_xlfn.NORM.INV(RAND(),Hitorical_Sim!$AB$4,Hitorical_Sim!$AB$5)</f>
        <v>-1.2715217228165534E-2</v>
      </c>
      <c r="C218">
        <f ca="1">_xlfn.NORM.INV(RAND(),Hitorical_Sim!$AB$4,Hitorical_Sim!$AB$5)</f>
        <v>1.6648207720814823E-2</v>
      </c>
      <c r="D218">
        <f ca="1">_xlfn.NORM.INV(RAND(),Hitorical_Sim!$AB$4,Hitorical_Sim!$AB$5)</f>
        <v>5.2176484296702907E-3</v>
      </c>
      <c r="K218">
        <f t="shared" ca="1" si="39"/>
        <v>1.1911676752111195</v>
      </c>
      <c r="L218">
        <f t="shared" ca="1" si="39"/>
        <v>-0.41603240892216509</v>
      </c>
      <c r="M218">
        <f t="shared" ca="1" si="39"/>
        <v>5.1861938576211311E-2</v>
      </c>
      <c r="O218">
        <v>216</v>
      </c>
      <c r="P218" s="6">
        <f t="shared" ca="1" si="32"/>
        <v>1980.1782270468823</v>
      </c>
      <c r="Q218" s="6">
        <f t="shared" ca="1" si="33"/>
        <v>379.87046499697288</v>
      </c>
      <c r="R218" s="6">
        <f t="shared" ca="1" si="34"/>
        <v>151.00802995316664</v>
      </c>
      <c r="S218" s="6"/>
      <c r="T218" s="4">
        <f t="shared" ca="1" si="35"/>
        <v>3.8823623449288837E-2</v>
      </c>
      <c r="U218" s="4">
        <f t="shared" ca="1" si="36"/>
        <v>-1.6050249944155041E-2</v>
      </c>
      <c r="V218" s="4">
        <f t="shared" ca="1" si="37"/>
        <v>-1.4186446110680175E-2</v>
      </c>
      <c r="W218" s="4"/>
      <c r="X218">
        <v>216</v>
      </c>
      <c r="Y218" s="4">
        <f t="shared" ca="1" si="38"/>
        <v>2.524907493722902E-2</v>
      </c>
      <c r="Z218" s="4">
        <f ca="1"/>
        <v>-1.6476039621444429E-2</v>
      </c>
      <c r="AA218" s="4"/>
    </row>
    <row r="219" spans="1:27" x14ac:dyDescent="0.35">
      <c r="A219">
        <v>217</v>
      </c>
      <c r="B219">
        <f ca="1">_xlfn.NORM.INV(RAND(),Hitorical_Sim!$AB$4,Hitorical_Sim!$AB$5)</f>
        <v>1.8686665765416253E-2</v>
      </c>
      <c r="C219">
        <f ca="1">_xlfn.NORM.INV(RAND(),Hitorical_Sim!$AB$4,Hitorical_Sim!$AB$5)</f>
        <v>-2.8590813842788187E-3</v>
      </c>
      <c r="D219">
        <f ca="1">_xlfn.NORM.INV(RAND(),Hitorical_Sim!$AB$4,Hitorical_Sim!$AB$5)</f>
        <v>9.65157261832E-3</v>
      </c>
      <c r="K219">
        <f t="shared" ca="1" si="39"/>
        <v>0.38585615059004441</v>
      </c>
      <c r="L219">
        <f t="shared" ca="1" si="39"/>
        <v>9.9110780524682557E-2</v>
      </c>
      <c r="M219">
        <f t="shared" ca="1" si="39"/>
        <v>1.7631322234826265</v>
      </c>
      <c r="O219">
        <v>217</v>
      </c>
      <c r="P219" s="6">
        <f t="shared" ca="1" si="32"/>
        <v>1951.4577785686963</v>
      </c>
      <c r="Q219" s="6">
        <f t="shared" ca="1" si="33"/>
        <v>385.4946244626455</v>
      </c>
      <c r="R219" s="6">
        <f t="shared" ca="1" si="34"/>
        <v>159.10042647229002</v>
      </c>
      <c r="S219" s="6"/>
      <c r="T219" s="4">
        <f t="shared" ca="1" si="35"/>
        <v>-1.4610182284472676E-2</v>
      </c>
      <c r="U219" s="4">
        <f t="shared" ca="1" si="36"/>
        <v>1.4696935560804409E-2</v>
      </c>
      <c r="V219" s="4">
        <f t="shared" ca="1" si="37"/>
        <v>5.2202601971150848E-2</v>
      </c>
      <c r="W219" s="4"/>
      <c r="X219">
        <v>217</v>
      </c>
      <c r="Y219" s="4">
        <f t="shared" ca="1" si="38"/>
        <v>-5.4548446738786E-3</v>
      </c>
      <c r="Z219" s="4">
        <f ca="1"/>
        <v>-1.6356967353552205E-2</v>
      </c>
      <c r="AA219" s="4"/>
    </row>
    <row r="220" spans="1:27" x14ac:dyDescent="0.35">
      <c r="A220">
        <v>218</v>
      </c>
      <c r="B220">
        <f ca="1">_xlfn.NORM.INV(RAND(),Hitorical_Sim!$AB$4,Hitorical_Sim!$AB$5)</f>
        <v>1.4439348622249252E-2</v>
      </c>
      <c r="C220">
        <f ca="1">_xlfn.NORM.INV(RAND(),Hitorical_Sim!$AB$4,Hitorical_Sim!$AB$5)</f>
        <v>-8.0090127955233289E-3</v>
      </c>
      <c r="D220">
        <f ca="1">_xlfn.NORM.INV(RAND(),Hitorical_Sim!$AB$4,Hitorical_Sim!$AB$5)</f>
        <v>8.0112352690926841E-3</v>
      </c>
      <c r="K220">
        <f t="shared" ca="1" si="39"/>
        <v>0.46159271702219518</v>
      </c>
      <c r="L220">
        <f t="shared" ca="1" si="39"/>
        <v>1.7412774972484137</v>
      </c>
      <c r="M220">
        <f t="shared" ca="1" si="39"/>
        <v>-1.1152946113907749</v>
      </c>
      <c r="O220">
        <v>218</v>
      </c>
      <c r="P220" s="6">
        <f t="shared" ca="1" si="32"/>
        <v>1954.1409899882105</v>
      </c>
      <c r="Q220" s="6">
        <f t="shared" ca="1" si="33"/>
        <v>403.98508032749635</v>
      </c>
      <c r="R220" s="6">
        <f t="shared" ca="1" si="34"/>
        <v>145.72608033362965</v>
      </c>
      <c r="S220" s="6"/>
      <c r="T220" s="4">
        <f t="shared" ca="1" si="35"/>
        <v>1.3740335352762968E-3</v>
      </c>
      <c r="U220" s="4">
        <f t="shared" ca="1" si="36"/>
        <v>4.6850698815802942E-2</v>
      </c>
      <c r="V220" s="4">
        <f t="shared" ca="1" si="37"/>
        <v>-8.7806918456597521E-2</v>
      </c>
      <c r="W220" s="4"/>
      <c r="X220">
        <v>218</v>
      </c>
      <c r="Y220" s="4">
        <f t="shared" ca="1" si="38"/>
        <v>6.036149676959748E-3</v>
      </c>
      <c r="Z220" s="4">
        <f ca="1"/>
        <v>-1.6306707436540616E-2</v>
      </c>
      <c r="AA220" s="4"/>
    </row>
    <row r="221" spans="1:27" x14ac:dyDescent="0.35">
      <c r="A221">
        <v>219</v>
      </c>
      <c r="B221">
        <f ca="1">_xlfn.NORM.INV(RAND(),Hitorical_Sim!$AB$4,Hitorical_Sim!$AB$5)</f>
        <v>-2.6871557101828172E-2</v>
      </c>
      <c r="C221">
        <f ca="1">_xlfn.NORM.INV(RAND(),Hitorical_Sim!$AB$4,Hitorical_Sim!$AB$5)</f>
        <v>-3.6080533143235692E-2</v>
      </c>
      <c r="D221">
        <f ca="1">_xlfn.NORM.INV(RAND(),Hitorical_Sim!$AB$4,Hitorical_Sim!$AB$5)</f>
        <v>6.3874973537828171E-3</v>
      </c>
      <c r="K221">
        <f t="shared" ca="1" si="39"/>
        <v>1.1997240538940528</v>
      </c>
      <c r="L221">
        <f t="shared" ca="1" si="39"/>
        <v>0.38913144244585929</v>
      </c>
      <c r="M221">
        <f t="shared" ca="1" si="39"/>
        <v>-0.13930064864462308</v>
      </c>
      <c r="O221">
        <v>219</v>
      </c>
      <c r="P221" s="6">
        <f t="shared" ca="1" si="32"/>
        <v>1980.4856382615228</v>
      </c>
      <c r="Q221" s="6">
        <f t="shared" ca="1" si="33"/>
        <v>388.69752947510796</v>
      </c>
      <c r="R221" s="6">
        <f t="shared" ca="1" si="34"/>
        <v>150.12999700091288</v>
      </c>
      <c r="S221" s="6"/>
      <c r="T221" s="4">
        <f t="shared" ca="1" si="35"/>
        <v>1.3391380915172618E-2</v>
      </c>
      <c r="U221" s="4">
        <f t="shared" ca="1" si="36"/>
        <v>-3.8576465424239939E-2</v>
      </c>
      <c r="V221" s="4">
        <f t="shared" ca="1" si="37"/>
        <v>2.9772868034268533E-2</v>
      </c>
      <c r="W221" s="4"/>
      <c r="X221">
        <v>219</v>
      </c>
      <c r="Y221" s="4">
        <f t="shared" ca="1" si="38"/>
        <v>3.8309785924124781E-3</v>
      </c>
      <c r="Z221" s="4">
        <f ca="1"/>
        <v>-1.6270878975318662E-2</v>
      </c>
      <c r="AA221" s="4"/>
    </row>
    <row r="222" spans="1:27" x14ac:dyDescent="0.35">
      <c r="A222">
        <v>220</v>
      </c>
      <c r="B222">
        <f ca="1">_xlfn.NORM.INV(RAND(),Hitorical_Sim!$AB$4,Hitorical_Sim!$AB$5)</f>
        <v>3.0330325153266443E-2</v>
      </c>
      <c r="C222">
        <f ca="1">_xlfn.NORM.INV(RAND(),Hitorical_Sim!$AB$4,Hitorical_Sim!$AB$5)</f>
        <v>2.3801322696784977E-2</v>
      </c>
      <c r="D222">
        <f ca="1">_xlfn.NORM.INV(RAND(),Hitorical_Sim!$AB$4,Hitorical_Sim!$AB$5)</f>
        <v>-1.456742122150898E-2</v>
      </c>
      <c r="K222">
        <f t="shared" ca="1" si="39"/>
        <v>-0.81904895728758487</v>
      </c>
      <c r="L222">
        <f t="shared" ca="1" si="39"/>
        <v>-1.3021494489774812</v>
      </c>
      <c r="M222">
        <f t="shared" ca="1" si="39"/>
        <v>0.13159143074694643</v>
      </c>
      <c r="O222">
        <v>220</v>
      </c>
      <c r="P222" s="6">
        <f t="shared" ca="1" si="32"/>
        <v>1909.2623313303689</v>
      </c>
      <c r="Q222" s="6">
        <f t="shared" ca="1" si="33"/>
        <v>370.38742975579896</v>
      </c>
      <c r="R222" s="6">
        <f t="shared" ca="1" si="34"/>
        <v>151.37575297917442</v>
      </c>
      <c r="S222" s="6"/>
      <c r="T222" s="4">
        <f t="shared" ca="1" si="35"/>
        <v>-3.6625132985915403E-2</v>
      </c>
      <c r="U222" s="4">
        <f t="shared" ca="1" si="36"/>
        <v>-4.8251916720784521E-2</v>
      </c>
      <c r="V222" s="4">
        <f t="shared" ca="1" si="37"/>
        <v>8.2636106770176774E-3</v>
      </c>
      <c r="W222" s="4"/>
      <c r="X222">
        <v>220</v>
      </c>
      <c r="Y222" s="4">
        <f t="shared" ca="1" si="38"/>
        <v>-3.6723918869412578E-2</v>
      </c>
      <c r="Z222" s="4">
        <f ca="1"/>
        <v>-1.6151701978971606E-2</v>
      </c>
      <c r="AA222" s="4"/>
    </row>
    <row r="223" spans="1:27" x14ac:dyDescent="0.35">
      <c r="A223">
        <v>221</v>
      </c>
      <c r="B223">
        <f ca="1">_xlfn.NORM.INV(RAND(),Hitorical_Sim!$AB$4,Hitorical_Sim!$AB$5)</f>
        <v>3.0571506615726753E-2</v>
      </c>
      <c r="C223">
        <f ca="1">_xlfn.NORM.INV(RAND(),Hitorical_Sim!$AB$4,Hitorical_Sim!$AB$5)</f>
        <v>-3.5621565062058506E-3</v>
      </c>
      <c r="D223">
        <f ca="1">_xlfn.NORM.INV(RAND(),Hitorical_Sim!$AB$4,Hitorical_Sim!$AB$5)</f>
        <v>-1.1818443007667685E-3</v>
      </c>
      <c r="K223">
        <f t="shared" ca="1" si="39"/>
        <v>-0.52619267029795058</v>
      </c>
      <c r="L223">
        <f t="shared" ca="1" si="39"/>
        <v>1.5198802710732262</v>
      </c>
      <c r="M223">
        <f t="shared" ca="1" si="39"/>
        <v>-1.0213582981452076</v>
      </c>
      <c r="O223">
        <v>221</v>
      </c>
      <c r="P223" s="6">
        <f t="shared" ca="1" si="32"/>
        <v>1919.4333887850216</v>
      </c>
      <c r="Q223" s="6">
        <f t="shared" ca="1" si="33"/>
        <v>401.4413828573837</v>
      </c>
      <c r="R223" s="6">
        <f t="shared" ca="1" si="34"/>
        <v>146.1442636761773</v>
      </c>
      <c r="S223" s="6"/>
      <c r="T223" s="4">
        <f t="shared" ca="1" si="35"/>
        <v>5.3130789828018752E-3</v>
      </c>
      <c r="U223" s="4">
        <f t="shared" ca="1" si="36"/>
        <v>8.0511962102799747E-2</v>
      </c>
      <c r="V223" s="4">
        <f t="shared" ca="1" si="37"/>
        <v>-3.5170934901960958E-2</v>
      </c>
      <c r="W223" s="4"/>
      <c r="X223">
        <v>221</v>
      </c>
      <c r="Y223" s="4">
        <f t="shared" ca="1" si="38"/>
        <v>1.8316818088886345E-2</v>
      </c>
      <c r="Z223" s="4">
        <f ca="1"/>
        <v>-1.6030593533851823E-2</v>
      </c>
      <c r="AA223" s="4"/>
    </row>
    <row r="224" spans="1:27" x14ac:dyDescent="0.35">
      <c r="A224">
        <v>222</v>
      </c>
      <c r="B224">
        <f ca="1">_xlfn.NORM.INV(RAND(),Hitorical_Sim!$AB$4,Hitorical_Sim!$AB$5)</f>
        <v>-5.0679683283133461E-3</v>
      </c>
      <c r="C224">
        <f ca="1">_xlfn.NORM.INV(RAND(),Hitorical_Sim!$AB$4,Hitorical_Sim!$AB$5)</f>
        <v>1.4170047003932455E-2</v>
      </c>
      <c r="D224">
        <f ca="1">_xlfn.NORM.INV(RAND(),Hitorical_Sim!$AB$4,Hitorical_Sim!$AB$5)</f>
        <v>2.3834560421594833E-3</v>
      </c>
      <c r="K224">
        <f t="shared" ref="K224:M243" ca="1" si="40">_xlfn.NORM.S.INV(RAND())</f>
        <v>1.0843832682551315</v>
      </c>
      <c r="L224">
        <f t="shared" ca="1" si="40"/>
        <v>-0.96040512276947387</v>
      </c>
      <c r="M224">
        <f t="shared" ca="1" si="40"/>
        <v>1.6314865982505411</v>
      </c>
      <c r="O224">
        <v>222</v>
      </c>
      <c r="P224" s="6">
        <f t="shared" ca="1" si="32"/>
        <v>1976.3457176601351</v>
      </c>
      <c r="Q224" s="6">
        <f t="shared" ca="1" si="33"/>
        <v>374.01633195184178</v>
      </c>
      <c r="R224" s="6">
        <f t="shared" ca="1" si="34"/>
        <v>158.46278057083447</v>
      </c>
      <c r="S224" s="6"/>
      <c r="T224" s="4">
        <f t="shared" ca="1" si="35"/>
        <v>2.9219509873918519E-2</v>
      </c>
      <c r="U224" s="4">
        <f t="shared" ca="1" si="36"/>
        <v>-7.076206257303462E-2</v>
      </c>
      <c r="V224" s="4">
        <f t="shared" ca="1" si="37"/>
        <v>8.0925501622509569E-2</v>
      </c>
      <c r="W224" s="4"/>
      <c r="X224">
        <v>222</v>
      </c>
      <c r="Y224" s="4">
        <f t="shared" ca="1" si="38"/>
        <v>1.1825313429105588E-2</v>
      </c>
      <c r="Z224" s="4">
        <f ca="1"/>
        <v>-1.5942491593743661E-2</v>
      </c>
      <c r="AA224" s="4"/>
    </row>
    <row r="225" spans="1:27" x14ac:dyDescent="0.35">
      <c r="A225">
        <v>223</v>
      </c>
      <c r="B225">
        <f ca="1">_xlfn.NORM.INV(RAND(),Hitorical_Sim!$AB$4,Hitorical_Sim!$AB$5)</f>
        <v>-6.0270397077211522E-3</v>
      </c>
      <c r="C225">
        <f ca="1">_xlfn.NORM.INV(RAND(),Hitorical_Sim!$AB$4,Hitorical_Sim!$AB$5)</f>
        <v>5.5196583322567145E-3</v>
      </c>
      <c r="D225">
        <f ca="1">_xlfn.NORM.INV(RAND(),Hitorical_Sim!$AB$4,Hitorical_Sim!$AB$5)</f>
        <v>6.5973334778627437E-3</v>
      </c>
      <c r="K225">
        <f t="shared" ca="1" si="40"/>
        <v>-0.30187458388053268</v>
      </c>
      <c r="L225">
        <f t="shared" ca="1" si="40"/>
        <v>0.35703064447915084</v>
      </c>
      <c r="M225">
        <f t="shared" ca="1" si="40"/>
        <v>-0.19031166026668819</v>
      </c>
      <c r="O225">
        <v>223</v>
      </c>
      <c r="P225" s="6">
        <f t="shared" ca="1" si="32"/>
        <v>1927.2607083973301</v>
      </c>
      <c r="Q225" s="6">
        <f t="shared" ca="1" si="33"/>
        <v>388.3417117478084</v>
      </c>
      <c r="R225" s="6">
        <f t="shared" ca="1" si="34"/>
        <v>149.89656139779802</v>
      </c>
      <c r="S225" s="6"/>
      <c r="T225" s="4">
        <f t="shared" ca="1" si="35"/>
        <v>-2.5149869701061815E-2</v>
      </c>
      <c r="U225" s="4">
        <f t="shared" ca="1" si="36"/>
        <v>3.7586187633661172E-2</v>
      </c>
      <c r="V225" s="4">
        <f t="shared" ca="1" si="37"/>
        <v>-5.5574277307287923E-2</v>
      </c>
      <c r="W225" s="4"/>
      <c r="X225">
        <v>223</v>
      </c>
      <c r="Y225" s="4">
        <f t="shared" ca="1" si="38"/>
        <v>-1.4135461652498311E-2</v>
      </c>
      <c r="Z225" s="4">
        <f ca="1"/>
        <v>-1.5867889791782577E-2</v>
      </c>
      <c r="AA225" s="4"/>
    </row>
    <row r="226" spans="1:27" x14ac:dyDescent="0.35">
      <c r="A226">
        <v>224</v>
      </c>
      <c r="B226">
        <f ca="1">_xlfn.NORM.INV(RAND(),Hitorical_Sim!$AB$4,Hitorical_Sim!$AB$5)</f>
        <v>-3.2210589723356033E-2</v>
      </c>
      <c r="C226">
        <f ca="1">_xlfn.NORM.INV(RAND(),Hitorical_Sim!$AB$4,Hitorical_Sim!$AB$5)</f>
        <v>2.7989060198102291E-2</v>
      </c>
      <c r="D226">
        <f ca="1">_xlfn.NORM.INV(RAND(),Hitorical_Sim!$AB$4,Hitorical_Sim!$AB$5)</f>
        <v>4.0549495687854362E-2</v>
      </c>
      <c r="K226">
        <f t="shared" ca="1" si="40"/>
        <v>0.67454517085025811</v>
      </c>
      <c r="L226">
        <f t="shared" ca="1" si="40"/>
        <v>-0.38048250859098137</v>
      </c>
      <c r="M226">
        <f t="shared" ca="1" si="40"/>
        <v>-3.8908640791455687E-2</v>
      </c>
      <c r="O226">
        <v>224</v>
      </c>
      <c r="P226" s="6">
        <f t="shared" ca="1" si="32"/>
        <v>1961.7053026118383</v>
      </c>
      <c r="Q226" s="6">
        <f t="shared" ca="1" si="33"/>
        <v>380.25593714113728</v>
      </c>
      <c r="R226" s="6">
        <f t="shared" ca="1" si="34"/>
        <v>150.59047123618635</v>
      </c>
      <c r="S226" s="6"/>
      <c r="T226" s="4">
        <f t="shared" ca="1" si="35"/>
        <v>1.7714474668035031E-2</v>
      </c>
      <c r="U226" s="4">
        <f t="shared" ca="1" si="36"/>
        <v>-2.1041107614285428E-2</v>
      </c>
      <c r="V226" s="4">
        <f t="shared" ca="1" si="37"/>
        <v>4.6185758220703473E-3</v>
      </c>
      <c r="W226" s="4"/>
      <c r="X226">
        <v>224</v>
      </c>
      <c r="Y226" s="4">
        <f t="shared" ca="1" si="38"/>
        <v>9.3319795543641698E-3</v>
      </c>
      <c r="Z226" s="4">
        <f ca="1"/>
        <v>-1.5740030517932276E-2</v>
      </c>
      <c r="AA226" s="4"/>
    </row>
    <row r="227" spans="1:27" x14ac:dyDescent="0.35">
      <c r="A227">
        <v>225</v>
      </c>
      <c r="B227">
        <f ca="1">_xlfn.NORM.INV(RAND(),Hitorical_Sim!$AB$4,Hitorical_Sim!$AB$5)</f>
        <v>-8.3507769662247971E-3</v>
      </c>
      <c r="C227">
        <f ca="1">_xlfn.NORM.INV(RAND(),Hitorical_Sim!$AB$4,Hitorical_Sim!$AB$5)</f>
        <v>-7.0305636984262501E-3</v>
      </c>
      <c r="D227">
        <f ca="1">_xlfn.NORM.INV(RAND(),Hitorical_Sim!$AB$4,Hitorical_Sim!$AB$5)</f>
        <v>-1.8456268339713533E-2</v>
      </c>
      <c r="K227">
        <f t="shared" ca="1" si="40"/>
        <v>4.7840552801486202E-3</v>
      </c>
      <c r="L227">
        <f t="shared" ca="1" si="40"/>
        <v>1.8690590360570709E-2</v>
      </c>
      <c r="M227">
        <f t="shared" ca="1" si="40"/>
        <v>-0.10098983548987943</v>
      </c>
      <c r="O227">
        <v>225</v>
      </c>
      <c r="P227" s="6">
        <f t="shared" ca="1" si="32"/>
        <v>1938.0128765401894</v>
      </c>
      <c r="Q227" s="6">
        <f t="shared" ca="1" si="33"/>
        <v>384.61117008271259</v>
      </c>
      <c r="R227" s="6">
        <f t="shared" ca="1" si="34"/>
        <v>150.30555320713469</v>
      </c>
      <c r="S227" s="6"/>
      <c r="T227" s="4">
        <f t="shared" ca="1" si="35"/>
        <v>-1.2150989631168207E-2</v>
      </c>
      <c r="U227" s="4">
        <f t="shared" ca="1" si="36"/>
        <v>1.1388331308809561E-2</v>
      </c>
      <c r="V227" s="4">
        <f t="shared" ca="1" si="37"/>
        <v>-1.8937977976474015E-3</v>
      </c>
      <c r="W227" s="4"/>
      <c r="X227">
        <v>225</v>
      </c>
      <c r="Y227" s="4">
        <f t="shared" ca="1" si="38"/>
        <v>-6.9456626849524038E-3</v>
      </c>
      <c r="Z227" s="4">
        <f ca="1"/>
        <v>-1.545303569694698E-2</v>
      </c>
      <c r="AA227" s="4"/>
    </row>
    <row r="228" spans="1:27" x14ac:dyDescent="0.35">
      <c r="A228">
        <v>226</v>
      </c>
      <c r="B228">
        <f ca="1">_xlfn.NORM.INV(RAND(),Hitorical_Sim!$AB$4,Hitorical_Sim!$AB$5)</f>
        <v>1.6790818973617606E-2</v>
      </c>
      <c r="C228">
        <f ca="1">_xlfn.NORM.INV(RAND(),Hitorical_Sim!$AB$4,Hitorical_Sim!$AB$5)</f>
        <v>8.6754883850463215E-3</v>
      </c>
      <c r="D228">
        <f ca="1">_xlfn.NORM.INV(RAND(),Hitorical_Sim!$AB$4,Hitorical_Sim!$AB$5)</f>
        <v>7.0195383119261287E-3</v>
      </c>
      <c r="K228">
        <f t="shared" ca="1" si="40"/>
        <v>0.12702872295381162</v>
      </c>
      <c r="L228">
        <f t="shared" ca="1" si="40"/>
        <v>0.42684169524864163</v>
      </c>
      <c r="M228">
        <f t="shared" ca="1" si="40"/>
        <v>-1.6737226398481557</v>
      </c>
      <c r="O228">
        <v>226</v>
      </c>
      <c r="P228" s="6">
        <f t="shared" ca="1" si="32"/>
        <v>1942.3157639269991</v>
      </c>
      <c r="Q228" s="6">
        <f t="shared" ca="1" si="33"/>
        <v>389.11594105352401</v>
      </c>
      <c r="R228" s="6">
        <f t="shared" ca="1" si="34"/>
        <v>143.26466901862011</v>
      </c>
      <c r="S228" s="6"/>
      <c r="T228" s="4">
        <f t="shared" ca="1" si="35"/>
        <v>2.2177962482994489E-3</v>
      </c>
      <c r="U228" s="4">
        <f t="shared" ca="1" si="36"/>
        <v>1.1644472081737458E-2</v>
      </c>
      <c r="V228" s="4">
        <f t="shared" ca="1" si="37"/>
        <v>-4.7976491683998868E-2</v>
      </c>
      <c r="W228" s="4"/>
      <c r="X228">
        <v>226</v>
      </c>
      <c r="Y228" s="4">
        <f t="shared" ca="1" si="38"/>
        <v>1.6149391295050127E-3</v>
      </c>
      <c r="Z228" s="4">
        <f ca="1"/>
        <v>-1.5397228812141273E-2</v>
      </c>
      <c r="AA228" s="4"/>
    </row>
    <row r="229" spans="1:27" x14ac:dyDescent="0.35">
      <c r="A229">
        <v>227</v>
      </c>
      <c r="B229">
        <f ca="1">_xlfn.NORM.INV(RAND(),Hitorical_Sim!$AB$4,Hitorical_Sim!$AB$5)</f>
        <v>1.7153416882731587E-2</v>
      </c>
      <c r="C229">
        <f ca="1">_xlfn.NORM.INV(RAND(),Hitorical_Sim!$AB$4,Hitorical_Sim!$AB$5)</f>
        <v>-1.2671995252553914E-2</v>
      </c>
      <c r="D229">
        <f ca="1">_xlfn.NORM.INV(RAND(),Hitorical_Sim!$AB$4,Hitorical_Sim!$AB$5)</f>
        <v>5.275135721688127E-3</v>
      </c>
      <c r="K229">
        <f t="shared" ca="1" si="40"/>
        <v>-1.1565046433123687</v>
      </c>
      <c r="L229">
        <f t="shared" ca="1" si="40"/>
        <v>-0.36603984574463938</v>
      </c>
      <c r="M229">
        <f t="shared" ca="1" si="40"/>
        <v>-0.37419297751013703</v>
      </c>
      <c r="O229">
        <v>227</v>
      </c>
      <c r="P229" s="6">
        <f t="shared" ca="1" si="32"/>
        <v>1897.6091278133688</v>
      </c>
      <c r="Q229" s="6">
        <f t="shared" ca="1" si="33"/>
        <v>380.41265250739576</v>
      </c>
      <c r="R229" s="6">
        <f t="shared" ca="1" si="34"/>
        <v>149.05809563032579</v>
      </c>
      <c r="S229" s="6"/>
      <c r="T229" s="4">
        <f t="shared" ca="1" si="35"/>
        <v>-2.3286213938357857E-2</v>
      </c>
      <c r="U229" s="4">
        <f t="shared" ca="1" si="36"/>
        <v>-2.2620757012903989E-2</v>
      </c>
      <c r="V229" s="4">
        <f t="shared" ca="1" si="37"/>
        <v>3.9642381633738115E-2</v>
      </c>
      <c r="W229" s="4"/>
      <c r="X229">
        <v>227</v>
      </c>
      <c r="Y229" s="4">
        <f t="shared" ca="1" si="38"/>
        <v>-2.0039066716482732E-2</v>
      </c>
      <c r="Z229" s="4">
        <f ca="1"/>
        <v>-1.5374855543316584E-2</v>
      </c>
      <c r="AA229" s="4"/>
    </row>
    <row r="230" spans="1:27" x14ac:dyDescent="0.35">
      <c r="A230">
        <v>228</v>
      </c>
      <c r="B230">
        <f ca="1">_xlfn.NORM.INV(RAND(),Hitorical_Sim!$AB$4,Hitorical_Sim!$AB$5)</f>
        <v>2.0399888669205432E-2</v>
      </c>
      <c r="C230">
        <f ca="1">_xlfn.NORM.INV(RAND(),Hitorical_Sim!$AB$4,Hitorical_Sim!$AB$5)</f>
        <v>8.9195591100004346E-3</v>
      </c>
      <c r="D230">
        <f ca="1">_xlfn.NORM.INV(RAND(),Hitorical_Sim!$AB$4,Hitorical_Sim!$AB$5)</f>
        <v>2.6028913305063749E-2</v>
      </c>
      <c r="K230">
        <f t="shared" ca="1" si="40"/>
        <v>-0.13504445350836719</v>
      </c>
      <c r="L230">
        <f t="shared" ca="1" si="40"/>
        <v>-0.52808597247211753</v>
      </c>
      <c r="M230">
        <f t="shared" ca="1" si="40"/>
        <v>1.1247044345364161</v>
      </c>
      <c r="O230">
        <v>228</v>
      </c>
      <c r="P230" s="6">
        <f t="shared" ca="1" si="32"/>
        <v>1933.1027423592764</v>
      </c>
      <c r="Q230" s="6">
        <f t="shared" ca="1" si="33"/>
        <v>378.65800889744713</v>
      </c>
      <c r="R230" s="6">
        <f t="shared" ca="1" si="34"/>
        <v>156.0318672336123</v>
      </c>
      <c r="S230" s="6"/>
      <c r="T230" s="4">
        <f t="shared" ca="1" si="35"/>
        <v>1.8531610579384676E-2</v>
      </c>
      <c r="U230" s="4">
        <f t="shared" ca="1" si="36"/>
        <v>-4.623144654108487E-3</v>
      </c>
      <c r="V230" s="4">
        <f t="shared" ca="1" si="37"/>
        <v>4.5724130014291355E-2</v>
      </c>
      <c r="W230" s="4"/>
      <c r="X230">
        <v>228</v>
      </c>
      <c r="Y230" s="4">
        <f t="shared" ca="1" si="38"/>
        <v>1.5256420916751525E-2</v>
      </c>
      <c r="Z230" s="4">
        <f ca="1"/>
        <v>-1.5299896730102668E-2</v>
      </c>
      <c r="AA230" s="4"/>
    </row>
    <row r="231" spans="1:27" x14ac:dyDescent="0.35">
      <c r="A231">
        <v>229</v>
      </c>
      <c r="B231">
        <f ca="1">_xlfn.NORM.INV(RAND(),Hitorical_Sim!$AB$4,Hitorical_Sim!$AB$5)</f>
        <v>2.1473176260492308E-2</v>
      </c>
      <c r="C231">
        <f ca="1">_xlfn.NORM.INV(RAND(),Hitorical_Sim!$AB$4,Hitorical_Sim!$AB$5)</f>
        <v>-1.2102481248052764E-2</v>
      </c>
      <c r="D231">
        <f ca="1">_xlfn.NORM.INV(RAND(),Hitorical_Sim!$AB$4,Hitorical_Sim!$AB$5)</f>
        <v>3.5388086238449397E-3</v>
      </c>
      <c r="K231">
        <f t="shared" ca="1" si="40"/>
        <v>0.10950301334748073</v>
      </c>
      <c r="L231">
        <f t="shared" ca="1" si="40"/>
        <v>-0.86448771589295315</v>
      </c>
      <c r="M231">
        <f t="shared" ca="1" si="40"/>
        <v>-0.47486143101641415</v>
      </c>
      <c r="O231">
        <v>229</v>
      </c>
      <c r="P231" s="6">
        <f t="shared" ca="1" si="32"/>
        <v>1941.6982907096053</v>
      </c>
      <c r="Q231" s="6">
        <f t="shared" ca="1" si="33"/>
        <v>375.04123122072048</v>
      </c>
      <c r="R231" s="6">
        <f t="shared" ca="1" si="34"/>
        <v>148.60105391842097</v>
      </c>
      <c r="S231" s="6"/>
      <c r="T231" s="4">
        <f t="shared" ca="1" si="35"/>
        <v>4.4366471343509585E-3</v>
      </c>
      <c r="U231" s="4">
        <f t="shared" ca="1" si="36"/>
        <v>-9.5974766761589524E-3</v>
      </c>
      <c r="V231" s="4">
        <f t="shared" ca="1" si="37"/>
        <v>-4.8795038950063013E-2</v>
      </c>
      <c r="W231" s="4"/>
      <c r="X231">
        <v>229</v>
      </c>
      <c r="Y231" s="4">
        <f t="shared" ca="1" si="38"/>
        <v>-9.9855812474027353E-4</v>
      </c>
      <c r="Z231" s="4">
        <f ca="1"/>
        <v>-1.518639415842566E-2</v>
      </c>
      <c r="AA231" s="4"/>
    </row>
    <row r="232" spans="1:27" x14ac:dyDescent="0.35">
      <c r="A232">
        <v>230</v>
      </c>
      <c r="B232">
        <f ca="1">_xlfn.NORM.INV(RAND(),Hitorical_Sim!$AB$4,Hitorical_Sim!$AB$5)</f>
        <v>-3.9069439251476663E-3</v>
      </c>
      <c r="C232">
        <f ca="1">_xlfn.NORM.INV(RAND(),Hitorical_Sim!$AB$4,Hitorical_Sim!$AB$5)</f>
        <v>1.1951442165827372E-2</v>
      </c>
      <c r="D232">
        <f ca="1">_xlfn.NORM.INV(RAND(),Hitorical_Sim!$AB$4,Hitorical_Sim!$AB$5)</f>
        <v>1.7511566155501094E-2</v>
      </c>
      <c r="K232">
        <f t="shared" ca="1" si="40"/>
        <v>-1.8117180797520021</v>
      </c>
      <c r="L232">
        <f t="shared" ca="1" si="40"/>
        <v>-0.31595356957082071</v>
      </c>
      <c r="M232">
        <f t="shared" ca="1" si="40"/>
        <v>-0.84687925294840982</v>
      </c>
      <c r="O232">
        <v>230</v>
      </c>
      <c r="P232" s="6">
        <f t="shared" ca="1" si="32"/>
        <v>1875.1856696755424</v>
      </c>
      <c r="Q232" s="6">
        <f t="shared" ca="1" si="33"/>
        <v>380.95663240925688</v>
      </c>
      <c r="R232" s="6">
        <f t="shared" ca="1" si="34"/>
        <v>146.92419232348129</v>
      </c>
      <c r="S232" s="6"/>
      <c r="T232" s="4">
        <f t="shared" ca="1" si="35"/>
        <v>-3.4855319364968225E-2</v>
      </c>
      <c r="U232" s="4">
        <f t="shared" ca="1" si="36"/>
        <v>1.5649573102293712E-2</v>
      </c>
      <c r="V232" s="4">
        <f t="shared" ca="1" si="37"/>
        <v>-1.134846929545805E-2</v>
      </c>
      <c r="W232" s="4"/>
      <c r="X232">
        <v>230</v>
      </c>
      <c r="Y232" s="4">
        <f t="shared" ca="1" si="38"/>
        <v>-2.3612797611597819E-2</v>
      </c>
      <c r="Z232" s="4">
        <f ca="1"/>
        <v>-1.5170908578956532E-2</v>
      </c>
      <c r="AA232" s="4"/>
    </row>
    <row r="233" spans="1:27" x14ac:dyDescent="0.35">
      <c r="A233">
        <v>231</v>
      </c>
      <c r="B233">
        <f ca="1">_xlfn.NORM.INV(RAND(),Hitorical_Sim!$AB$4,Hitorical_Sim!$AB$5)</f>
        <v>1.4907174127133585E-2</v>
      </c>
      <c r="C233">
        <f ca="1">_xlfn.NORM.INV(RAND(),Hitorical_Sim!$AB$4,Hitorical_Sim!$AB$5)</f>
        <v>6.2499131206870499E-3</v>
      </c>
      <c r="D233">
        <f ca="1">_xlfn.NORM.INV(RAND(),Hitorical_Sim!$AB$4,Hitorical_Sim!$AB$5)</f>
        <v>-1.5453406095574405E-2</v>
      </c>
      <c r="K233">
        <f t="shared" ca="1" si="40"/>
        <v>0.57842778302555364</v>
      </c>
      <c r="L233">
        <f t="shared" ca="1" si="40"/>
        <v>-0.64153192878422782</v>
      </c>
      <c r="M233">
        <f t="shared" ca="1" si="40"/>
        <v>-2.2743397882129903</v>
      </c>
      <c r="O233">
        <v>231</v>
      </c>
      <c r="P233" s="6">
        <f t="shared" ca="1" si="32"/>
        <v>1958.2874853251776</v>
      </c>
      <c r="Q233" s="6">
        <f t="shared" ca="1" si="33"/>
        <v>377.4344289033433</v>
      </c>
      <c r="R233" s="6">
        <f t="shared" ca="1" si="34"/>
        <v>140.66368378129459</v>
      </c>
      <c r="S233" s="6"/>
      <c r="T233" s="4">
        <f t="shared" ca="1" si="35"/>
        <v>4.3362680992413555E-2</v>
      </c>
      <c r="U233" s="4">
        <f t="shared" ca="1" si="36"/>
        <v>-9.2886876180775114E-3</v>
      </c>
      <c r="V233" s="4">
        <f t="shared" ca="1" si="37"/>
        <v>-4.3544935484004087E-2</v>
      </c>
      <c r="W233" s="4"/>
      <c r="X233">
        <v>231</v>
      </c>
      <c r="Y233" s="4">
        <f t="shared" ca="1" si="38"/>
        <v>2.855408018117055E-2</v>
      </c>
      <c r="Z233" s="4">
        <f ca="1"/>
        <v>-1.5147165056533005E-2</v>
      </c>
      <c r="AA233" s="4"/>
    </row>
    <row r="234" spans="1:27" x14ac:dyDescent="0.35">
      <c r="A234">
        <v>232</v>
      </c>
      <c r="B234">
        <f ca="1">_xlfn.NORM.INV(RAND(),Hitorical_Sim!$AB$4,Hitorical_Sim!$AB$5)</f>
        <v>-1.1768913248265126E-2</v>
      </c>
      <c r="C234">
        <f ca="1">_xlfn.NORM.INV(RAND(),Hitorical_Sim!$AB$4,Hitorical_Sim!$AB$5)</f>
        <v>1.61175940428697E-2</v>
      </c>
      <c r="D234">
        <f ca="1">_xlfn.NORM.INV(RAND(),Hitorical_Sim!$AB$4,Hitorical_Sim!$AB$5)</f>
        <v>-1.2748921592625194E-2</v>
      </c>
      <c r="K234">
        <f t="shared" ca="1" si="40"/>
        <v>-0.19850650433399084</v>
      </c>
      <c r="L234">
        <f t="shared" ca="1" si="40"/>
        <v>0.36663652613942588</v>
      </c>
      <c r="M234">
        <f t="shared" ca="1" si="40"/>
        <v>-1.315673291827089</v>
      </c>
      <c r="O234">
        <v>232</v>
      </c>
      <c r="P234" s="6">
        <f t="shared" ca="1" si="32"/>
        <v>1930.8783531883141</v>
      </c>
      <c r="Q234" s="6">
        <f t="shared" ca="1" si="33"/>
        <v>388.44815291091038</v>
      </c>
      <c r="R234" s="6">
        <f t="shared" ca="1" si="34"/>
        <v>144.83803388495659</v>
      </c>
      <c r="S234" s="6"/>
      <c r="T234" s="4">
        <f t="shared" ca="1" si="35"/>
        <v>-1.409535467249241E-2</v>
      </c>
      <c r="U234" s="4">
        <f t="shared" ca="1" si="36"/>
        <v>2.8762851028582604E-2</v>
      </c>
      <c r="V234" s="4">
        <f t="shared" ca="1" si="37"/>
        <v>2.9244290615756237E-2</v>
      </c>
      <c r="W234" s="4"/>
      <c r="X234">
        <v>232</v>
      </c>
      <c r="Y234" s="4">
        <f t="shared" ca="1" si="38"/>
        <v>-3.3973405637326599E-3</v>
      </c>
      <c r="Z234" s="4">
        <f ca="1"/>
        <v>-1.5084853185182757E-2</v>
      </c>
      <c r="AA234" s="4"/>
    </row>
    <row r="235" spans="1:27" x14ac:dyDescent="0.35">
      <c r="A235">
        <v>233</v>
      </c>
      <c r="B235">
        <f ca="1">_xlfn.NORM.INV(RAND(),Hitorical_Sim!$AB$4,Hitorical_Sim!$AB$5)</f>
        <v>-5.7520452423111944E-3</v>
      </c>
      <c r="C235">
        <f ca="1">_xlfn.NORM.INV(RAND(),Hitorical_Sim!$AB$4,Hitorical_Sim!$AB$5)</f>
        <v>-8.8069250981573821E-5</v>
      </c>
      <c r="D235">
        <f ca="1">_xlfn.NORM.INV(RAND(),Hitorical_Sim!$AB$4,Hitorical_Sim!$AB$5)</f>
        <v>-1.1448344005271444E-2</v>
      </c>
      <c r="K235">
        <f t="shared" ca="1" si="40"/>
        <v>-0.31484294438963567</v>
      </c>
      <c r="L235">
        <f t="shared" ca="1" si="40"/>
        <v>-0.3638697985322093</v>
      </c>
      <c r="M235">
        <f t="shared" ca="1" si="40"/>
        <v>0.25790983839934484</v>
      </c>
      <c r="O235">
        <v>233</v>
      </c>
      <c r="P235" s="6">
        <f t="shared" ca="1" si="32"/>
        <v>1926.8073244135155</v>
      </c>
      <c r="Q235" s="6">
        <f t="shared" ca="1" si="33"/>
        <v>380.43620497456664</v>
      </c>
      <c r="R235" s="6">
        <f t="shared" ca="1" si="34"/>
        <v>151.96018434549046</v>
      </c>
      <c r="S235" s="6"/>
      <c r="T235" s="4">
        <f t="shared" ca="1" si="35"/>
        <v>-2.1106075643699605E-3</v>
      </c>
      <c r="U235" s="4">
        <f t="shared" ca="1" si="36"/>
        <v>-2.084120415527067E-2</v>
      </c>
      <c r="V235" s="4">
        <f t="shared" ca="1" si="37"/>
        <v>4.8002431024635285E-2</v>
      </c>
      <c r="W235" s="4"/>
      <c r="X235">
        <v>233</v>
      </c>
      <c r="Y235" s="4">
        <f t="shared" ca="1" si="38"/>
        <v>-3.3685371728383287E-3</v>
      </c>
      <c r="Z235" s="4">
        <f ca="1"/>
        <v>-1.4976377267894646E-2</v>
      </c>
      <c r="AA235" s="4"/>
    </row>
    <row r="236" spans="1:27" x14ac:dyDescent="0.35">
      <c r="A236">
        <v>234</v>
      </c>
      <c r="B236">
        <f ca="1">_xlfn.NORM.INV(RAND(),Hitorical_Sim!$AB$4,Hitorical_Sim!$AB$5)</f>
        <v>1.8370831066947087E-2</v>
      </c>
      <c r="C236">
        <f ca="1">_xlfn.NORM.INV(RAND(),Hitorical_Sim!$AB$4,Hitorical_Sim!$AB$5)</f>
        <v>-1.3553332647072341E-4</v>
      </c>
      <c r="D236">
        <f ca="1">_xlfn.NORM.INV(RAND(),Hitorical_Sim!$AB$4,Hitorical_Sim!$AB$5)</f>
        <v>7.5134241663688765E-4</v>
      </c>
      <c r="K236">
        <f t="shared" ca="1" si="40"/>
        <v>-1.1886233520989891</v>
      </c>
      <c r="L236">
        <f t="shared" ca="1" si="40"/>
        <v>1.6956493526563492</v>
      </c>
      <c r="M236">
        <f t="shared" ca="1" si="40"/>
        <v>-0.89736291092104847</v>
      </c>
      <c r="O236">
        <v>234</v>
      </c>
      <c r="P236" s="6">
        <f t="shared" ca="1" si="32"/>
        <v>1896.503700905577</v>
      </c>
      <c r="Q236" s="6">
        <f t="shared" ca="1" si="33"/>
        <v>403.45952998968295</v>
      </c>
      <c r="R236" s="6">
        <f t="shared" ca="1" si="34"/>
        <v>146.69810130914357</v>
      </c>
      <c r="S236" s="6"/>
      <c r="T236" s="4">
        <f t="shared" ca="1" si="35"/>
        <v>-1.5852363517635314E-2</v>
      </c>
      <c r="U236" s="4">
        <f t="shared" ca="1" si="36"/>
        <v>5.8757683050731604E-2</v>
      </c>
      <c r="V236" s="4">
        <f t="shared" ca="1" si="37"/>
        <v>-3.5241799049989225E-2</v>
      </c>
      <c r="W236" s="4"/>
      <c r="X236">
        <v>234</v>
      </c>
      <c r="Y236" s="4">
        <f t="shared" ca="1" si="38"/>
        <v>-1.9221642343412917E-3</v>
      </c>
      <c r="Z236" s="4">
        <f ca="1"/>
        <v>-1.4970242506234254E-2</v>
      </c>
      <c r="AA236" s="4"/>
    </row>
    <row r="237" spans="1:27" x14ac:dyDescent="0.35">
      <c r="A237">
        <v>235</v>
      </c>
      <c r="B237">
        <f ca="1">_xlfn.NORM.INV(RAND(),Hitorical_Sim!$AB$4,Hitorical_Sim!$AB$5)</f>
        <v>-1.7342241808676696E-2</v>
      </c>
      <c r="C237">
        <f ca="1">_xlfn.NORM.INV(RAND(),Hitorical_Sim!$AB$4,Hitorical_Sim!$AB$5)</f>
        <v>5.9901659075214192E-2</v>
      </c>
      <c r="D237">
        <f ca="1">_xlfn.NORM.INV(RAND(),Hitorical_Sim!$AB$4,Hitorical_Sim!$AB$5)</f>
        <v>1.8597510118754879E-2</v>
      </c>
      <c r="K237">
        <f t="shared" ca="1" si="40"/>
        <v>0.97506856687368448</v>
      </c>
      <c r="L237">
        <f t="shared" ca="1" si="40"/>
        <v>0.29361762292037091</v>
      </c>
      <c r="M237">
        <f t="shared" ca="1" si="40"/>
        <v>-4.0317655885799428E-2</v>
      </c>
      <c r="O237">
        <v>235</v>
      </c>
      <c r="P237" s="6">
        <f t="shared" ca="1" si="32"/>
        <v>1972.4300787901298</v>
      </c>
      <c r="Q237" s="6">
        <f t="shared" ca="1" si="33"/>
        <v>387.6397741255393</v>
      </c>
      <c r="R237" s="6">
        <f t="shared" ca="1" si="34"/>
        <v>150.58399865739753</v>
      </c>
      <c r="S237" s="6"/>
      <c r="T237" s="4">
        <f t="shared" ca="1" si="35"/>
        <v>3.9254291509742668E-2</v>
      </c>
      <c r="U237" s="4">
        <f t="shared" ca="1" si="36"/>
        <v>-3.9999694081675995E-2</v>
      </c>
      <c r="V237" s="4">
        <f t="shared" ca="1" si="37"/>
        <v>2.6144316718685535E-2</v>
      </c>
      <c r="W237" s="4"/>
      <c r="X237">
        <v>235</v>
      </c>
      <c r="Y237" s="4">
        <f t="shared" ca="1" si="38"/>
        <v>2.2788910629751566E-2</v>
      </c>
      <c r="Z237" s="4">
        <f ca="1"/>
        <v>-1.4822308983625769E-2</v>
      </c>
      <c r="AA237" s="4"/>
    </row>
    <row r="238" spans="1:27" x14ac:dyDescent="0.35">
      <c r="A238">
        <v>236</v>
      </c>
      <c r="B238">
        <f ca="1">_xlfn.NORM.INV(RAND(),Hitorical_Sim!$AB$4,Hitorical_Sim!$AB$5)</f>
        <v>-5.7509870904623381E-3</v>
      </c>
      <c r="C238">
        <f ca="1">_xlfn.NORM.INV(RAND(),Hitorical_Sim!$AB$4,Hitorical_Sim!$AB$5)</f>
        <v>1.4519348390818331E-3</v>
      </c>
      <c r="D238">
        <f ca="1">_xlfn.NORM.INV(RAND(),Hitorical_Sim!$AB$4,Hitorical_Sim!$AB$5)</f>
        <v>-2.1856305560011557E-2</v>
      </c>
      <c r="K238">
        <f t="shared" ca="1" si="40"/>
        <v>-0.53359653120997497</v>
      </c>
      <c r="L238">
        <f t="shared" ca="1" si="40"/>
        <v>0.26409477743627435</v>
      </c>
      <c r="M238">
        <f t="shared" ca="1" si="40"/>
        <v>-0.4860458882042768</v>
      </c>
      <c r="O238">
        <v>236</v>
      </c>
      <c r="P238" s="6">
        <f t="shared" ca="1" si="32"/>
        <v>1919.1755822930206</v>
      </c>
      <c r="Q238" s="6">
        <f t="shared" ca="1" si="33"/>
        <v>387.31340994566165</v>
      </c>
      <c r="R238" s="6">
        <f t="shared" ca="1" si="34"/>
        <v>148.55036228831219</v>
      </c>
      <c r="S238" s="6"/>
      <c r="T238" s="4">
        <f t="shared" ca="1" si="35"/>
        <v>-2.7370615488950426E-2</v>
      </c>
      <c r="U238" s="4">
        <f t="shared" ca="1" si="36"/>
        <v>-8.4228107163241848E-4</v>
      </c>
      <c r="V238" s="4">
        <f t="shared" ca="1" si="37"/>
        <v>-1.3597018369485063E-2</v>
      </c>
      <c r="W238" s="4"/>
      <c r="X238">
        <v>236</v>
      </c>
      <c r="Y238" s="4">
        <f t="shared" ca="1" si="38"/>
        <v>-2.13947494242662E-2</v>
      </c>
      <c r="Z238" s="4">
        <f ca="1"/>
        <v>-1.4743228962177911E-2</v>
      </c>
      <c r="AA238" s="4"/>
    </row>
    <row r="239" spans="1:27" x14ac:dyDescent="0.35">
      <c r="A239">
        <v>237</v>
      </c>
      <c r="B239">
        <f ca="1">_xlfn.NORM.INV(RAND(),Hitorical_Sim!$AB$4,Hitorical_Sim!$AB$5)</f>
        <v>-1.4224609088204093E-2</v>
      </c>
      <c r="C239">
        <f ca="1">_xlfn.NORM.INV(RAND(),Hitorical_Sim!$AB$4,Hitorical_Sim!$AB$5)</f>
        <v>4.0889045747135718E-3</v>
      </c>
      <c r="D239">
        <f ca="1">_xlfn.NORM.INV(RAND(),Hitorical_Sim!$AB$4,Hitorical_Sim!$AB$5)</f>
        <v>-1.5604632080783415E-2</v>
      </c>
      <c r="K239">
        <f t="shared" ca="1" si="40"/>
        <v>-1.9919908590094393</v>
      </c>
      <c r="L239">
        <f t="shared" ca="1" si="40"/>
        <v>1.4845390136449275</v>
      </c>
      <c r="M239">
        <f t="shared" ca="1" si="40"/>
        <v>-0.6086289012974383</v>
      </c>
      <c r="O239">
        <v>237</v>
      </c>
      <c r="P239" s="6">
        <f t="shared" ca="1" si="32"/>
        <v>1869.0627839953659</v>
      </c>
      <c r="Q239" s="6">
        <f t="shared" ca="1" si="33"/>
        <v>401.0368218348637</v>
      </c>
      <c r="R239" s="6">
        <f t="shared" ca="1" si="34"/>
        <v>147.99590793498456</v>
      </c>
      <c r="S239" s="6"/>
      <c r="T239" s="4">
        <f t="shared" ca="1" si="35"/>
        <v>-2.6458589403419708E-2</v>
      </c>
      <c r="U239" s="4">
        <f t="shared" ca="1" si="36"/>
        <v>3.4819038012273658E-2</v>
      </c>
      <c r="V239" s="4">
        <f t="shared" ca="1" si="37"/>
        <v>-3.7394164424917119E-3</v>
      </c>
      <c r="W239" s="4"/>
      <c r="X239">
        <v>237</v>
      </c>
      <c r="Y239" s="4">
        <f t="shared" ca="1" si="38"/>
        <v>-1.3105155818368566E-2</v>
      </c>
      <c r="Z239" s="4">
        <f ca="1"/>
        <v>-1.4727808109925623E-2</v>
      </c>
      <c r="AA239" s="4"/>
    </row>
    <row r="240" spans="1:27" x14ac:dyDescent="0.35">
      <c r="A240">
        <v>238</v>
      </c>
      <c r="B240">
        <f ca="1">_xlfn.NORM.INV(RAND(),Hitorical_Sim!$AB$4,Hitorical_Sim!$AB$5)</f>
        <v>1.5237792322195564E-2</v>
      </c>
      <c r="C240">
        <f ca="1">_xlfn.NORM.INV(RAND(),Hitorical_Sim!$AB$4,Hitorical_Sim!$AB$5)</f>
        <v>-1.9299228574501261E-2</v>
      </c>
      <c r="D240">
        <f ca="1">_xlfn.NORM.INV(RAND(),Hitorical_Sim!$AB$4,Hitorical_Sim!$AB$5)</f>
        <v>-2.2048199563294464E-2</v>
      </c>
      <c r="K240">
        <f t="shared" ca="1" si="40"/>
        <v>-0.67803759414382148</v>
      </c>
      <c r="L240">
        <f t="shared" ca="1" si="40"/>
        <v>0.61422221620883333</v>
      </c>
      <c r="M240">
        <f t="shared" ca="1" si="40"/>
        <v>-2.0914618658338227</v>
      </c>
      <c r="O240">
        <v>238</v>
      </c>
      <c r="P240" s="6">
        <f t="shared" ca="1" si="32"/>
        <v>1914.1529868573346</v>
      </c>
      <c r="Q240" s="6">
        <f t="shared" ca="1" si="33"/>
        <v>391.20169783219154</v>
      </c>
      <c r="R240" s="6">
        <f t="shared" ca="1" si="34"/>
        <v>141.45060050429382</v>
      </c>
      <c r="S240" s="6"/>
      <c r="T240" s="4">
        <f t="shared" ca="1" si="35"/>
        <v>2.3838100071891268E-2</v>
      </c>
      <c r="U240" s="4">
        <f t="shared" ca="1" si="36"/>
        <v>-2.4829969902423858E-2</v>
      </c>
      <c r="V240" s="4">
        <f t="shared" ca="1" si="37"/>
        <v>-4.5234081208643126E-2</v>
      </c>
      <c r="W240" s="4"/>
      <c r="X240">
        <v>238</v>
      </c>
      <c r="Y240" s="4">
        <f t="shared" ca="1" si="38"/>
        <v>1.0707116356631838E-2</v>
      </c>
      <c r="Z240" s="4">
        <f ca="1"/>
        <v>-1.462696860485606E-2</v>
      </c>
      <c r="AA240" s="4"/>
    </row>
    <row r="241" spans="1:27" x14ac:dyDescent="0.35">
      <c r="A241">
        <v>239</v>
      </c>
      <c r="B241">
        <f ca="1">_xlfn.NORM.INV(RAND(),Hitorical_Sim!$AB$4,Hitorical_Sim!$AB$5)</f>
        <v>-1.1002977457403562E-2</v>
      </c>
      <c r="C241">
        <f ca="1">_xlfn.NORM.INV(RAND(),Hitorical_Sim!$AB$4,Hitorical_Sim!$AB$5)</f>
        <v>1.5003796507245039E-2</v>
      </c>
      <c r="D241">
        <f ca="1">_xlfn.NORM.INV(RAND(),Hitorical_Sim!$AB$4,Hitorical_Sim!$AB$5)</f>
        <v>-7.8388519233592042E-3</v>
      </c>
      <c r="K241">
        <f t="shared" ca="1" si="40"/>
        <v>-1.6162611967905083</v>
      </c>
      <c r="L241">
        <f t="shared" ca="1" si="40"/>
        <v>-1.1791450493135149</v>
      </c>
      <c r="M241">
        <f t="shared" ca="1" si="40"/>
        <v>1.3239221006538966</v>
      </c>
      <c r="O241">
        <v>239</v>
      </c>
      <c r="P241" s="6">
        <f t="shared" ca="1" si="32"/>
        <v>1881.8469422179639</v>
      </c>
      <c r="Q241" s="6">
        <f t="shared" ca="1" si="33"/>
        <v>371.68951065529609</v>
      </c>
      <c r="R241" s="6">
        <f t="shared" ca="1" si="34"/>
        <v>156.98298655435494</v>
      </c>
      <c r="S241" s="6"/>
      <c r="T241" s="4">
        <f t="shared" ca="1" si="35"/>
        <v>-1.7021509613577766E-2</v>
      </c>
      <c r="U241" s="4">
        <f t="shared" ca="1" si="36"/>
        <v>-5.1164421229250093E-2</v>
      </c>
      <c r="V241" s="4">
        <f t="shared" ca="1" si="37"/>
        <v>0.10418689049518509</v>
      </c>
      <c r="W241" s="4"/>
      <c r="X241">
        <v>239</v>
      </c>
      <c r="Y241" s="4">
        <f t="shared" ca="1" si="38"/>
        <v>-1.7836728160387842E-2</v>
      </c>
      <c r="Z241" s="4">
        <f ca="1"/>
        <v>-1.4485101345502294E-2</v>
      </c>
      <c r="AA241" s="4"/>
    </row>
    <row r="242" spans="1:27" x14ac:dyDescent="0.35">
      <c r="A242">
        <v>240</v>
      </c>
      <c r="B242">
        <f ca="1">_xlfn.NORM.INV(RAND(),Hitorical_Sim!$AB$4,Hitorical_Sim!$AB$5)</f>
        <v>-1.2305450186119357E-2</v>
      </c>
      <c r="C242">
        <f ca="1">_xlfn.NORM.INV(RAND(),Hitorical_Sim!$AB$4,Hitorical_Sim!$AB$5)</f>
        <v>-2.911149970812096E-2</v>
      </c>
      <c r="D242">
        <f ca="1">_xlfn.NORM.INV(RAND(),Hitorical_Sim!$AB$4,Hitorical_Sim!$AB$5)</f>
        <v>-3.4595875734681091E-4</v>
      </c>
      <c r="K242">
        <f t="shared" ca="1" si="40"/>
        <v>0.91452293831411446</v>
      </c>
      <c r="L242">
        <f t="shared" ca="1" si="40"/>
        <v>-1.3326522178219782</v>
      </c>
      <c r="M242">
        <f t="shared" ca="1" si="40"/>
        <v>1.0446784066800028</v>
      </c>
      <c r="O242">
        <v>240</v>
      </c>
      <c r="P242" s="6">
        <f t="shared" ca="1" si="32"/>
        <v>1970.2646813012555</v>
      </c>
      <c r="Q242" s="6">
        <f t="shared" ca="1" si="33"/>
        <v>370.06524471348439</v>
      </c>
      <c r="R242" s="6">
        <f t="shared" ca="1" si="34"/>
        <v>155.65142553319734</v>
      </c>
      <c r="S242" s="6"/>
      <c r="T242" s="4">
        <f t="shared" ca="1" si="35"/>
        <v>4.5914179055028079E-2</v>
      </c>
      <c r="U242" s="4">
        <f t="shared" ca="1" si="36"/>
        <v>-4.3795298276445302E-3</v>
      </c>
      <c r="V242" s="4">
        <f t="shared" ca="1" si="37"/>
        <v>-8.5183781533785356E-3</v>
      </c>
      <c r="W242" s="4"/>
      <c r="X242">
        <v>240</v>
      </c>
      <c r="Y242" s="4">
        <f t="shared" ca="1" si="38"/>
        <v>3.3183286093507111E-2</v>
      </c>
      <c r="Z242" s="4">
        <f ca="1"/>
        <v>-1.4441315785473873E-2</v>
      </c>
      <c r="AA242" s="4"/>
    </row>
    <row r="243" spans="1:27" x14ac:dyDescent="0.35">
      <c r="A243">
        <v>241</v>
      </c>
      <c r="B243">
        <f ca="1">_xlfn.NORM.INV(RAND(),Hitorical_Sim!$AB$4,Hitorical_Sim!$AB$5)</f>
        <v>-1.9642005432608758E-2</v>
      </c>
      <c r="C243">
        <f ca="1">_xlfn.NORM.INV(RAND(),Hitorical_Sim!$AB$4,Hitorical_Sim!$AB$5)</f>
        <v>-4.8589536554909394E-3</v>
      </c>
      <c r="D243">
        <f ca="1">_xlfn.NORM.INV(RAND(),Hitorical_Sim!$AB$4,Hitorical_Sim!$AB$5)</f>
        <v>6.7223254889102876E-3</v>
      </c>
      <c r="K243">
        <f t="shared" ca="1" si="40"/>
        <v>0.5805350756710782</v>
      </c>
      <c r="L243">
        <f t="shared" ca="1" si="40"/>
        <v>-0.24855093708650858</v>
      </c>
      <c r="M243">
        <f t="shared" ca="1" si="40"/>
        <v>0.42574106320800026</v>
      </c>
      <c r="O243">
        <v>241</v>
      </c>
      <c r="P243" s="6">
        <f t="shared" ca="1" si="32"/>
        <v>1958.3623542027058</v>
      </c>
      <c r="Q243" s="6">
        <f t="shared" ca="1" si="33"/>
        <v>381.68991075945951</v>
      </c>
      <c r="R243" s="6">
        <f t="shared" ca="1" si="34"/>
        <v>152.74017306998587</v>
      </c>
      <c r="S243" s="6"/>
      <c r="T243" s="4">
        <f t="shared" ca="1" si="35"/>
        <v>-6.0592992957750518E-3</v>
      </c>
      <c r="U243" s="4">
        <f t="shared" ca="1" si="36"/>
        <v>3.0929199862786139E-2</v>
      </c>
      <c r="V243" s="4">
        <f t="shared" ca="1" si="37"/>
        <v>-1.88807928655862E-2</v>
      </c>
      <c r="W243" s="4"/>
      <c r="X243">
        <v>241</v>
      </c>
      <c r="Y243" s="4">
        <f t="shared" ca="1" si="38"/>
        <v>6.878877396003111E-4</v>
      </c>
      <c r="Z243" s="4">
        <f ca="1"/>
        <v>-1.4260538564947713E-2</v>
      </c>
      <c r="AA243" s="4"/>
    </row>
    <row r="244" spans="1:27" x14ac:dyDescent="0.35">
      <c r="A244">
        <v>242</v>
      </c>
      <c r="B244">
        <f ca="1">_xlfn.NORM.INV(RAND(),Hitorical_Sim!$AB$4,Hitorical_Sim!$AB$5)</f>
        <v>3.3576508509112826E-2</v>
      </c>
      <c r="C244">
        <f ca="1">_xlfn.NORM.INV(RAND(),Hitorical_Sim!$AB$4,Hitorical_Sim!$AB$5)</f>
        <v>-1.2579192962562059E-2</v>
      </c>
      <c r="D244">
        <f ca="1">_xlfn.NORM.INV(RAND(),Hitorical_Sim!$AB$4,Hitorical_Sim!$AB$5)</f>
        <v>1.423201542901587E-2</v>
      </c>
      <c r="K244">
        <f t="shared" ref="K244:M263" ca="1" si="41">_xlfn.NORM.S.INV(RAND())</f>
        <v>0.77539137773599398</v>
      </c>
      <c r="L244">
        <f t="shared" ca="1" si="41"/>
        <v>-1.5939413442675565</v>
      </c>
      <c r="M244">
        <f t="shared" ca="1" si="41"/>
        <v>0.63208498876615715</v>
      </c>
      <c r="O244">
        <v>242</v>
      </c>
      <c r="P244" s="6">
        <f t="shared" ca="1" si="32"/>
        <v>1965.2976837111673</v>
      </c>
      <c r="Q244" s="6">
        <f t="shared" ca="1" si="33"/>
        <v>367.316839654555</v>
      </c>
      <c r="R244" s="6">
        <f t="shared" ca="1" si="34"/>
        <v>153.70463717937798</v>
      </c>
      <c r="S244" s="6"/>
      <c r="T244" s="4">
        <f t="shared" ca="1" si="35"/>
        <v>3.5351364104544434E-3</v>
      </c>
      <c r="U244" s="4">
        <f t="shared" ca="1" si="36"/>
        <v>-3.8383728104211555E-2</v>
      </c>
      <c r="V244" s="4">
        <f t="shared" ca="1" si="37"/>
        <v>6.294557855696146E-3</v>
      </c>
      <c r="W244" s="4"/>
      <c r="X244">
        <v>242</v>
      </c>
      <c r="Y244" s="4">
        <f t="shared" ca="1" si="38"/>
        <v>-4.6939672433012735E-3</v>
      </c>
      <c r="Z244" s="4">
        <f ca="1"/>
        <v>-1.424790246255068E-2</v>
      </c>
      <c r="AA244" s="4"/>
    </row>
    <row r="245" spans="1:27" x14ac:dyDescent="0.35">
      <c r="A245">
        <v>243</v>
      </c>
      <c r="B245">
        <f ca="1">_xlfn.NORM.INV(RAND(),Hitorical_Sim!$AB$4,Hitorical_Sim!$AB$5)</f>
        <v>9.523091331961827E-3</v>
      </c>
      <c r="C245">
        <f ca="1">_xlfn.NORM.INV(RAND(),Hitorical_Sim!$AB$4,Hitorical_Sim!$AB$5)</f>
        <v>1.1538578334486372E-2</v>
      </c>
      <c r="D245">
        <f ca="1">_xlfn.NORM.INV(RAND(),Hitorical_Sim!$AB$4,Hitorical_Sim!$AB$5)</f>
        <v>-1.0964599714384288E-2</v>
      </c>
      <c r="K245">
        <f t="shared" ca="1" si="41"/>
        <v>-1.4760435781341357</v>
      </c>
      <c r="L245">
        <f t="shared" ca="1" si="41"/>
        <v>0.23956790074267137</v>
      </c>
      <c r="M245">
        <f t="shared" ca="1" si="41"/>
        <v>0.59597432881164825</v>
      </c>
      <c r="O245">
        <v>243</v>
      </c>
      <c r="P245" s="6">
        <f t="shared" ca="1" si="32"/>
        <v>1886.6402036390475</v>
      </c>
      <c r="Q245" s="6">
        <f t="shared" ca="1" si="33"/>
        <v>387.04248333138457</v>
      </c>
      <c r="R245" s="6">
        <f t="shared" ca="1" si="34"/>
        <v>153.53541520503384</v>
      </c>
      <c r="S245" s="6"/>
      <c r="T245" s="4">
        <f t="shared" ca="1" si="35"/>
        <v>-4.084614972121943E-2</v>
      </c>
      <c r="U245" s="4">
        <f t="shared" ca="1" si="36"/>
        <v>5.2309664140158106E-2</v>
      </c>
      <c r="V245" s="4">
        <f t="shared" ca="1" si="37"/>
        <v>-1.1015620531409803E-3</v>
      </c>
      <c r="W245" s="4"/>
      <c r="X245">
        <v>243</v>
      </c>
      <c r="Y245" s="4">
        <f t="shared" ca="1" si="38"/>
        <v>-2.0288257627940971E-2</v>
      </c>
      <c r="Z245" s="4">
        <f ca="1"/>
        <v>-1.4179519293066807E-2</v>
      </c>
      <c r="AA245" s="4"/>
    </row>
    <row r="246" spans="1:27" x14ac:dyDescent="0.35">
      <c r="A246">
        <v>244</v>
      </c>
      <c r="B246">
        <f ca="1">_xlfn.NORM.INV(RAND(),Hitorical_Sim!$AB$4,Hitorical_Sim!$AB$5)</f>
        <v>-9.5868752463968022E-3</v>
      </c>
      <c r="C246">
        <f ca="1">_xlfn.NORM.INV(RAND(),Hitorical_Sim!$AB$4,Hitorical_Sim!$AB$5)</f>
        <v>-1.2254833554539959E-2</v>
      </c>
      <c r="D246">
        <f ca="1">_xlfn.NORM.INV(RAND(),Hitorical_Sim!$AB$4,Hitorical_Sim!$AB$5)</f>
        <v>-4.2516891198036207E-2</v>
      </c>
      <c r="K246">
        <f t="shared" ca="1" si="41"/>
        <v>1.3954753146261298</v>
      </c>
      <c r="L246">
        <f t="shared" ca="1" si="41"/>
        <v>-0.45523523306616703</v>
      </c>
      <c r="M246">
        <f t="shared" ca="1" si="41"/>
        <v>0.81278643885569779</v>
      </c>
      <c r="O246">
        <v>244</v>
      </c>
      <c r="P246" s="6">
        <f t="shared" ca="1" si="32"/>
        <v>1987.5315854636044</v>
      </c>
      <c r="Q246" s="6">
        <f t="shared" ca="1" si="33"/>
        <v>379.44583676561552</v>
      </c>
      <c r="R246" s="6">
        <f t="shared" ca="1" si="34"/>
        <v>154.55424731743869</v>
      </c>
      <c r="S246" s="6"/>
      <c r="T246" s="4">
        <f t="shared" ca="1" si="35"/>
        <v>5.2095882368347633E-2</v>
      </c>
      <c r="U246" s="4">
        <f t="shared" ca="1" si="36"/>
        <v>-1.9822599025328184E-2</v>
      </c>
      <c r="V246" s="4">
        <f t="shared" ca="1" si="37"/>
        <v>6.6138916704054536E-3</v>
      </c>
      <c r="W246" s="4"/>
      <c r="X246">
        <v>244</v>
      </c>
      <c r="Y246" s="4">
        <f t="shared" ca="1" si="38"/>
        <v>3.5492339337934116E-2</v>
      </c>
      <c r="Z246" s="4">
        <f ca="1"/>
        <v>-1.4165551323246536E-2</v>
      </c>
      <c r="AA246" s="4"/>
    </row>
    <row r="247" spans="1:27" x14ac:dyDescent="0.35">
      <c r="A247">
        <v>245</v>
      </c>
      <c r="B247">
        <f ca="1">_xlfn.NORM.INV(RAND(),Hitorical_Sim!$AB$4,Hitorical_Sim!$AB$5)</f>
        <v>3.6106636380351359E-2</v>
      </c>
      <c r="C247">
        <f ca="1">_xlfn.NORM.INV(RAND(),Hitorical_Sim!$AB$4,Hitorical_Sim!$AB$5)</f>
        <v>-1.5218534055967533E-2</v>
      </c>
      <c r="D247">
        <f ca="1">_xlfn.NORM.INV(RAND(),Hitorical_Sim!$AB$4,Hitorical_Sim!$AB$5)</f>
        <v>-5.0220467241289951E-3</v>
      </c>
      <c r="K247">
        <f t="shared" ca="1" si="41"/>
        <v>-3.9082588490271311E-2</v>
      </c>
      <c r="L247">
        <f t="shared" ca="1" si="41"/>
        <v>0.13290313404236373</v>
      </c>
      <c r="M247">
        <f t="shared" ca="1" si="41"/>
        <v>-0.47626107198894269</v>
      </c>
      <c r="O247">
        <v>245</v>
      </c>
      <c r="P247" s="6">
        <f t="shared" ca="1" si="32"/>
        <v>1936.4711406473866</v>
      </c>
      <c r="Q247" s="6">
        <f t="shared" ca="1" si="33"/>
        <v>385.86645491926038</v>
      </c>
      <c r="R247" s="6">
        <f t="shared" ca="1" si="34"/>
        <v>148.59470933945911</v>
      </c>
      <c r="S247" s="6"/>
      <c r="T247" s="4">
        <f t="shared" ca="1" si="35"/>
        <v>-2.6026142457135703E-2</v>
      </c>
      <c r="U247" s="4">
        <f t="shared" ca="1" si="36"/>
        <v>1.6779473861456676E-2</v>
      </c>
      <c r="V247" s="4">
        <f t="shared" ca="1" si="37"/>
        <v>-3.9322621753001379E-2</v>
      </c>
      <c r="W247" s="4"/>
      <c r="X247">
        <v>245</v>
      </c>
      <c r="Y247" s="4">
        <f t="shared" ca="1" si="38"/>
        <v>-1.8141551391467572E-2</v>
      </c>
      <c r="Z247" s="4">
        <f ca="1"/>
        <v>-1.4163198580352827E-2</v>
      </c>
      <c r="AA247" s="4"/>
    </row>
    <row r="248" spans="1:27" x14ac:dyDescent="0.35">
      <c r="A248">
        <v>246</v>
      </c>
      <c r="B248">
        <f ca="1">_xlfn.NORM.INV(RAND(),Hitorical_Sim!$AB$4,Hitorical_Sim!$AB$5)</f>
        <v>6.6133279341327135E-3</v>
      </c>
      <c r="C248">
        <f ca="1">_xlfn.NORM.INV(RAND(),Hitorical_Sim!$AB$4,Hitorical_Sim!$AB$5)</f>
        <v>-1.1430109297108144E-2</v>
      </c>
      <c r="D248">
        <f ca="1">_xlfn.NORM.INV(RAND(),Hitorical_Sim!$AB$4,Hitorical_Sim!$AB$5)</f>
        <v>-4.5114980436887879E-3</v>
      </c>
      <c r="K248">
        <f t="shared" ca="1" si="41"/>
        <v>-0.91733859664237449</v>
      </c>
      <c r="L248">
        <f t="shared" ca="1" si="41"/>
        <v>0.39778862910280083</v>
      </c>
      <c r="M248">
        <f t="shared" ca="1" si="41"/>
        <v>0.93278039161084425</v>
      </c>
      <c r="O248">
        <v>246</v>
      </c>
      <c r="P248" s="6">
        <f t="shared" ca="1" si="32"/>
        <v>1905.8607731217328</v>
      </c>
      <c r="Q248" s="6">
        <f t="shared" ca="1" si="33"/>
        <v>388.79354490329689</v>
      </c>
      <c r="R248" s="6">
        <f t="shared" ca="1" si="34"/>
        <v>155.12102004147275</v>
      </c>
      <c r="S248" s="6"/>
      <c r="T248" s="4">
        <f t="shared" ca="1" si="35"/>
        <v>-1.5933561086901197E-2</v>
      </c>
      <c r="U248" s="4">
        <f t="shared" ca="1" si="36"/>
        <v>7.5571319424319761E-3</v>
      </c>
      <c r="V248" s="4">
        <f t="shared" ca="1" si="37"/>
        <v>4.2983058453077941E-2</v>
      </c>
      <c r="W248" s="4"/>
      <c r="X248">
        <v>246</v>
      </c>
      <c r="Y248" s="4">
        <f t="shared" ca="1" si="38"/>
        <v>-8.3297783043260066E-3</v>
      </c>
      <c r="Z248" s="4">
        <f ca="1"/>
        <v>-1.4135461652498311E-2</v>
      </c>
      <c r="AA248" s="4"/>
    </row>
    <row r="249" spans="1:27" x14ac:dyDescent="0.35">
      <c r="A249">
        <v>247</v>
      </c>
      <c r="B249">
        <f ca="1">_xlfn.NORM.INV(RAND(),Hitorical_Sim!$AB$4,Hitorical_Sim!$AB$5)</f>
        <v>-3.1479058192270429E-3</v>
      </c>
      <c r="C249">
        <f ca="1">_xlfn.NORM.INV(RAND(),Hitorical_Sim!$AB$4,Hitorical_Sim!$AB$5)</f>
        <v>3.1093433023484662E-3</v>
      </c>
      <c r="D249">
        <f ca="1">_xlfn.NORM.INV(RAND(),Hitorical_Sim!$AB$4,Hitorical_Sim!$AB$5)</f>
        <v>-6.7046750297142929E-3</v>
      </c>
      <c r="K249">
        <f t="shared" ca="1" si="41"/>
        <v>-0.95457297197227753</v>
      </c>
      <c r="L249">
        <f t="shared" ca="1" si="41"/>
        <v>-0.50571250532594758</v>
      </c>
      <c r="M249">
        <f t="shared" ca="1" si="41"/>
        <v>0.94253195254599587</v>
      </c>
      <c r="O249">
        <v>247</v>
      </c>
      <c r="P249" s="6">
        <f t="shared" ca="1" si="32"/>
        <v>1904.5737679691858</v>
      </c>
      <c r="Q249" s="6">
        <f t="shared" ca="1" si="33"/>
        <v>378.8997875092652</v>
      </c>
      <c r="R249" s="6">
        <f t="shared" ca="1" si="34"/>
        <v>155.16717123416919</v>
      </c>
      <c r="S249" s="6"/>
      <c r="T249" s="4">
        <f t="shared" ca="1" si="35"/>
        <v>-6.755162371161772E-4</v>
      </c>
      <c r="U249" s="4">
        <f t="shared" ca="1" si="36"/>
        <v>-2.5776712618624343E-2</v>
      </c>
      <c r="V249" s="4">
        <f t="shared" ca="1" si="37"/>
        <v>2.9747308685546919E-4</v>
      </c>
      <c r="W249" s="4"/>
      <c r="X249">
        <v>247</v>
      </c>
      <c r="Y249" s="4">
        <f t="shared" ca="1" si="38"/>
        <v>-5.6367606817442559E-3</v>
      </c>
      <c r="Z249" s="4">
        <f ca="1"/>
        <v>-1.4102974380214607E-2</v>
      </c>
      <c r="AA249" s="4"/>
    </row>
    <row r="250" spans="1:27" x14ac:dyDescent="0.35">
      <c r="A250">
        <v>248</v>
      </c>
      <c r="B250">
        <f ca="1">_xlfn.NORM.INV(RAND(),Hitorical_Sim!$AB$4,Hitorical_Sim!$AB$5)</f>
        <v>-4.5317743091392226E-3</v>
      </c>
      <c r="C250">
        <f ca="1">_xlfn.NORM.INV(RAND(),Hitorical_Sim!$AB$4,Hitorical_Sim!$AB$5)</f>
        <v>3.8990191127056726E-3</v>
      </c>
      <c r="D250">
        <f ca="1">_xlfn.NORM.INV(RAND(),Hitorical_Sim!$AB$4,Hitorical_Sim!$AB$5)</f>
        <v>-6.5005245800426551E-3</v>
      </c>
      <c r="K250">
        <f t="shared" ca="1" si="41"/>
        <v>0.48268032452466869</v>
      </c>
      <c r="L250">
        <f t="shared" ca="1" si="41"/>
        <v>-0.41388005569727099</v>
      </c>
      <c r="M250">
        <f t="shared" ca="1" si="41"/>
        <v>-0.65632466887437046</v>
      </c>
      <c r="O250">
        <v>248</v>
      </c>
      <c r="P250" s="6">
        <f t="shared" ca="1" si="32"/>
        <v>1954.8887427101806</v>
      </c>
      <c r="Q250" s="6">
        <f t="shared" ca="1" si="33"/>
        <v>379.89379212298888</v>
      </c>
      <c r="R250" s="6">
        <f t="shared" ca="1" si="34"/>
        <v>147.78073522627909</v>
      </c>
      <c r="S250" s="6"/>
      <c r="T250" s="4">
        <f t="shared" ca="1" si="35"/>
        <v>2.6075043022214174E-2</v>
      </c>
      <c r="U250" s="4">
        <f t="shared" ca="1" si="36"/>
        <v>2.6199620265438912E-3</v>
      </c>
      <c r="V250" s="4">
        <f t="shared" ca="1" si="37"/>
        <v>-4.8773403332665916E-2</v>
      </c>
      <c r="W250" s="4"/>
      <c r="X250">
        <v>248</v>
      </c>
      <c r="Y250" s="4">
        <f t="shared" ca="1" si="38"/>
        <v>1.7689899332645777E-2</v>
      </c>
      <c r="Z250" s="4">
        <f ca="1"/>
        <v>-1.4022164169067037E-2</v>
      </c>
      <c r="AA250" s="4"/>
    </row>
    <row r="251" spans="1:27" x14ac:dyDescent="0.35">
      <c r="A251">
        <v>249</v>
      </c>
      <c r="B251">
        <f ca="1">_xlfn.NORM.INV(RAND(),Hitorical_Sim!$AB$4,Hitorical_Sim!$AB$5)</f>
        <v>-6.6291318567092347E-3</v>
      </c>
      <c r="C251">
        <f ca="1">_xlfn.NORM.INV(RAND(),Hitorical_Sim!$AB$4,Hitorical_Sim!$AB$5)</f>
        <v>4.3528255003408012E-3</v>
      </c>
      <c r="D251">
        <f ca="1">_xlfn.NORM.INV(RAND(),Hitorical_Sim!$AB$4,Hitorical_Sim!$AB$5)</f>
        <v>-1.6700790387203453E-2</v>
      </c>
      <c r="K251">
        <f t="shared" ca="1" si="41"/>
        <v>0.75969053159223654</v>
      </c>
      <c r="L251">
        <f t="shared" ca="1" si="41"/>
        <v>-0.73114219300196548</v>
      </c>
      <c r="M251">
        <f t="shared" ca="1" si="41"/>
        <v>-3.9472272472019704E-2</v>
      </c>
      <c r="O251">
        <v>249</v>
      </c>
      <c r="P251" s="6">
        <f t="shared" ca="1" si="32"/>
        <v>1964.7379502530416</v>
      </c>
      <c r="Q251" s="6">
        <f t="shared" ca="1" si="33"/>
        <v>376.47072622473593</v>
      </c>
      <c r="R251" s="6">
        <f t="shared" ca="1" si="34"/>
        <v>150.58788205349035</v>
      </c>
      <c r="S251" s="6"/>
      <c r="T251" s="4">
        <f t="shared" ca="1" si="35"/>
        <v>5.0255950600246032E-3</v>
      </c>
      <c r="U251" s="4">
        <f t="shared" ca="1" si="36"/>
        <v>-9.051427415466792E-3</v>
      </c>
      <c r="V251" s="4">
        <f t="shared" ca="1" si="37"/>
        <v>1.8817191187366276E-2</v>
      </c>
      <c r="W251" s="4"/>
      <c r="X251">
        <v>249</v>
      </c>
      <c r="Y251" s="4">
        <f t="shared" ca="1" si="38"/>
        <v>2.8988181368258198E-3</v>
      </c>
      <c r="Z251" s="4">
        <f ca="1"/>
        <v>-1.4008741978617557E-2</v>
      </c>
      <c r="AA251" s="4"/>
    </row>
    <row r="252" spans="1:27" x14ac:dyDescent="0.35">
      <c r="A252">
        <v>250</v>
      </c>
      <c r="B252">
        <f ca="1">_xlfn.NORM.INV(RAND(),Hitorical_Sim!$AB$4,Hitorical_Sim!$AB$5)</f>
        <v>-7.3127664571849297E-3</v>
      </c>
      <c r="C252">
        <f ca="1">_xlfn.NORM.INV(RAND(),Hitorical_Sim!$AB$4,Hitorical_Sim!$AB$5)</f>
        <v>1.3678649708337043E-3</v>
      </c>
      <c r="D252">
        <f ca="1">_xlfn.NORM.INV(RAND(),Hitorical_Sim!$AB$4,Hitorical_Sim!$AB$5)</f>
        <v>1.7482880412504991E-2</v>
      </c>
      <c r="K252">
        <f t="shared" ca="1" si="41"/>
        <v>2.1995661883946482</v>
      </c>
      <c r="L252">
        <f t="shared" ca="1" si="41"/>
        <v>0.64718826112147243</v>
      </c>
      <c r="M252">
        <f t="shared" ca="1" si="41"/>
        <v>1.0793544828473429</v>
      </c>
      <c r="O252">
        <v>250</v>
      </c>
      <c r="P252" s="6">
        <f t="shared" ca="1" si="32"/>
        <v>2016.7382858316109</v>
      </c>
      <c r="Q252" s="6">
        <f t="shared" ca="1" si="33"/>
        <v>391.56980192874437</v>
      </c>
      <c r="R252" s="6">
        <f t="shared" ca="1" si="34"/>
        <v>155.81616069641066</v>
      </c>
      <c r="S252" s="6"/>
      <c r="T252" s="4">
        <f t="shared" ca="1" si="35"/>
        <v>2.6122618601238178E-2</v>
      </c>
      <c r="U252" s="4">
        <f t="shared" ca="1" si="36"/>
        <v>3.9323501272526477E-2</v>
      </c>
      <c r="V252" s="4">
        <f t="shared" ca="1" si="37"/>
        <v>3.4130007572593976E-2</v>
      </c>
      <c r="W252" s="4"/>
      <c r="X252">
        <v>250</v>
      </c>
      <c r="Y252" s="4">
        <f t="shared" ca="1" si="38"/>
        <v>2.9153379863158982E-2</v>
      </c>
      <c r="Z252" s="4">
        <f ca="1"/>
        <v>-1.3853814053677112E-2</v>
      </c>
      <c r="AA252" s="4"/>
    </row>
    <row r="253" spans="1:27" x14ac:dyDescent="0.35">
      <c r="A253">
        <v>251</v>
      </c>
      <c r="B253">
        <f ca="1">_xlfn.NORM.INV(RAND(),Hitorical_Sim!$AB$4,Hitorical_Sim!$AB$5)</f>
        <v>-3.0185884549132517E-2</v>
      </c>
      <c r="C253">
        <f ca="1">_xlfn.NORM.INV(RAND(),Hitorical_Sim!$AB$4,Hitorical_Sim!$AB$5)</f>
        <v>1.6174513709070231E-2</v>
      </c>
      <c r="D253">
        <f ca="1">_xlfn.NORM.INV(RAND(),Hitorical_Sim!$AB$4,Hitorical_Sim!$AB$5)</f>
        <v>-1.097893822624099E-3</v>
      </c>
      <c r="K253">
        <f t="shared" ca="1" si="41"/>
        <v>0.43667107434018665</v>
      </c>
      <c r="L253">
        <f t="shared" ca="1" si="41"/>
        <v>0.59567687962091509</v>
      </c>
      <c r="M253">
        <f t="shared" ca="1" si="41"/>
        <v>-5.4614640928255728E-2</v>
      </c>
      <c r="O253">
        <v>251</v>
      </c>
      <c r="P253" s="6">
        <f t="shared" ca="1" si="32"/>
        <v>1953.2576536358179</v>
      </c>
      <c r="Q253" s="6">
        <f t="shared" ca="1" si="33"/>
        <v>390.99476976941702</v>
      </c>
      <c r="R253" s="6">
        <f t="shared" ca="1" si="34"/>
        <v>150.51833846847842</v>
      </c>
      <c r="S253" s="6"/>
      <c r="T253" s="4">
        <f t="shared" ca="1" si="35"/>
        <v>-3.1982926081755569E-2</v>
      </c>
      <c r="U253" s="4">
        <f t="shared" ca="1" si="36"/>
        <v>-1.4696097513678134E-3</v>
      </c>
      <c r="V253" s="4">
        <f t="shared" ca="1" si="37"/>
        <v>-3.4591928194013882E-2</v>
      </c>
      <c r="W253" s="4"/>
      <c r="X253">
        <v>251</v>
      </c>
      <c r="Y253" s="4">
        <f t="shared" ca="1" si="38"/>
        <v>-2.6022561374580613E-2</v>
      </c>
      <c r="Z253" s="4">
        <f ca="1"/>
        <v>-1.3806769093745844E-2</v>
      </c>
      <c r="AA253" s="4"/>
    </row>
    <row r="254" spans="1:27" x14ac:dyDescent="0.35">
      <c r="A254">
        <v>252</v>
      </c>
      <c r="B254">
        <f ca="1">_xlfn.NORM.INV(RAND(),Hitorical_Sim!$AB$4,Hitorical_Sim!$AB$5)</f>
        <v>-1.3437032326288101E-2</v>
      </c>
      <c r="C254">
        <f ca="1">_xlfn.NORM.INV(RAND(),Hitorical_Sim!$AB$4,Hitorical_Sim!$AB$5)</f>
        <v>-5.1243808833038619E-3</v>
      </c>
      <c r="D254">
        <f ca="1">_xlfn.NORM.INV(RAND(),Hitorical_Sim!$AB$4,Hitorical_Sim!$AB$5)</f>
        <v>-1.8805926022106168E-2</v>
      </c>
      <c r="K254">
        <f t="shared" ca="1" si="41"/>
        <v>-1.398683770140013</v>
      </c>
      <c r="L254">
        <f t="shared" ca="1" si="41"/>
        <v>1.3116350075569811</v>
      </c>
      <c r="M254">
        <f t="shared" ca="1" si="41"/>
        <v>-0.99500923333072544</v>
      </c>
      <c r="O254">
        <v>252</v>
      </c>
      <c r="P254" s="6">
        <f t="shared" ca="1" si="32"/>
        <v>1889.289929755756</v>
      </c>
      <c r="Q254" s="6">
        <f t="shared" ca="1" si="33"/>
        <v>399.06341147432255</v>
      </c>
      <c r="R254" s="6">
        <f t="shared" ca="1" si="34"/>
        <v>146.26177915416633</v>
      </c>
      <c r="S254" s="6"/>
      <c r="T254" s="4">
        <f t="shared" ca="1" si="35"/>
        <v>-3.3297510360555942E-2</v>
      </c>
      <c r="U254" s="4">
        <f t="shared" ca="1" si="36"/>
        <v>2.0426146916179416E-2</v>
      </c>
      <c r="V254" s="4">
        <f t="shared" ca="1" si="37"/>
        <v>-2.8686902960915629E-2</v>
      </c>
      <c r="W254" s="4"/>
      <c r="X254">
        <v>252</v>
      </c>
      <c r="Y254" s="4">
        <f t="shared" ca="1" si="38"/>
        <v>-2.2347802988197326E-2</v>
      </c>
      <c r="Z254" s="4">
        <f ca="1"/>
        <v>-1.3802739297077628E-2</v>
      </c>
      <c r="AA254" s="4"/>
    </row>
    <row r="255" spans="1:27" x14ac:dyDescent="0.35">
      <c r="A255">
        <v>253</v>
      </c>
      <c r="B255">
        <f ca="1">_xlfn.NORM.INV(RAND(),Hitorical_Sim!$AB$4,Hitorical_Sim!$AB$5)</f>
        <v>-2.7567231051933302E-2</v>
      </c>
      <c r="C255">
        <f ca="1">_xlfn.NORM.INV(RAND(),Hitorical_Sim!$AB$4,Hitorical_Sim!$AB$5)</f>
        <v>-3.372510614946226E-4</v>
      </c>
      <c r="D255">
        <f ca="1">_xlfn.NORM.INV(RAND(),Hitorical_Sim!$AB$4,Hitorical_Sim!$AB$5)</f>
        <v>1.4356592422886312E-2</v>
      </c>
      <c r="K255">
        <f t="shared" ca="1" si="41"/>
        <v>0.14354930703030075</v>
      </c>
      <c r="L255">
        <f t="shared" ca="1" si="41"/>
        <v>0.16765337296717614</v>
      </c>
      <c r="M255">
        <f t="shared" ca="1" si="41"/>
        <v>0.98587600638710748</v>
      </c>
      <c r="O255">
        <v>253</v>
      </c>
      <c r="P255" s="6">
        <f t="shared" ca="1" si="32"/>
        <v>1942.8980039265205</v>
      </c>
      <c r="Q255" s="6">
        <f t="shared" ca="1" si="33"/>
        <v>386.24919941062763</v>
      </c>
      <c r="R255" s="6">
        <f t="shared" ca="1" si="34"/>
        <v>155.3724717586334</v>
      </c>
      <c r="S255" s="6"/>
      <c r="T255" s="4">
        <f t="shared" ca="1" si="35"/>
        <v>2.7979614961059079E-2</v>
      </c>
      <c r="U255" s="4">
        <f t="shared" ca="1" si="36"/>
        <v>-3.2637574776759951E-2</v>
      </c>
      <c r="V255" s="4">
        <f t="shared" ca="1" si="37"/>
        <v>6.0427253737519886E-2</v>
      </c>
      <c r="W255" s="4"/>
      <c r="X255">
        <v>253</v>
      </c>
      <c r="Y255" s="4">
        <f t="shared" ca="1" si="38"/>
        <v>1.7488195177272528E-2</v>
      </c>
      <c r="Z255" s="4">
        <f ca="1"/>
        <v>-1.3672748880286011E-2</v>
      </c>
      <c r="AA255" s="4"/>
    </row>
    <row r="256" spans="1:27" x14ac:dyDescent="0.35">
      <c r="A256">
        <v>254</v>
      </c>
      <c r="B256">
        <f ca="1">_xlfn.NORM.INV(RAND(),Hitorical_Sim!$AB$4,Hitorical_Sim!$AB$5)</f>
        <v>6.2749318048093729E-3</v>
      </c>
      <c r="C256">
        <f ca="1">_xlfn.NORM.INV(RAND(),Hitorical_Sim!$AB$4,Hitorical_Sim!$AB$5)</f>
        <v>-2.1415209021643719E-2</v>
      </c>
      <c r="D256">
        <f ca="1">_xlfn.NORM.INV(RAND(),Hitorical_Sim!$AB$4,Hitorical_Sim!$AB$5)</f>
        <v>8.4759981546875113E-3</v>
      </c>
      <c r="K256">
        <f t="shared" ca="1" si="41"/>
        <v>0.94418604438473341</v>
      </c>
      <c r="L256">
        <f t="shared" ca="1" si="41"/>
        <v>-3.9571980397904584E-2</v>
      </c>
      <c r="M256">
        <f t="shared" ca="1" si="41"/>
        <v>-0.21251759393815242</v>
      </c>
      <c r="O256">
        <v>254</v>
      </c>
      <c r="P256" s="6">
        <f t="shared" ca="1" si="32"/>
        <v>1971.3252768050011</v>
      </c>
      <c r="Q256" s="6">
        <f t="shared" ca="1" si="33"/>
        <v>383.97239279282894</v>
      </c>
      <c r="R256" s="6">
        <f t="shared" ca="1" si="34"/>
        <v>149.79505646139526</v>
      </c>
      <c r="S256" s="6"/>
      <c r="T256" s="4">
        <f t="shared" ca="1" si="35"/>
        <v>1.4525371013282922E-2</v>
      </c>
      <c r="U256" s="4">
        <f t="shared" ca="1" si="36"/>
        <v>-5.9120992519415836E-3</v>
      </c>
      <c r="V256" s="4">
        <f t="shared" ca="1" si="37"/>
        <v>-3.6557208217972946E-2</v>
      </c>
      <c r="W256" s="4"/>
      <c r="X256">
        <v>254</v>
      </c>
      <c r="Y256" s="4">
        <f t="shared" ca="1" si="38"/>
        <v>7.9186215847231699E-3</v>
      </c>
      <c r="Z256" s="4">
        <f ca="1"/>
        <v>-1.3659820018688285E-2</v>
      </c>
      <c r="AA256" s="4"/>
    </row>
    <row r="257" spans="1:27" x14ac:dyDescent="0.35">
      <c r="A257">
        <v>255</v>
      </c>
      <c r="B257">
        <f ca="1">_xlfn.NORM.INV(RAND(),Hitorical_Sim!$AB$4,Hitorical_Sim!$AB$5)</f>
        <v>-1.6795425424049135E-3</v>
      </c>
      <c r="C257">
        <f ca="1">_xlfn.NORM.INV(RAND(),Hitorical_Sim!$AB$4,Hitorical_Sim!$AB$5)</f>
        <v>6.9350823905251074E-3</v>
      </c>
      <c r="D257">
        <f ca="1">_xlfn.NORM.INV(RAND(),Hitorical_Sim!$AB$4,Hitorical_Sim!$AB$5)</f>
        <v>-7.1988772522124439E-3</v>
      </c>
      <c r="K257">
        <f t="shared" ca="1" si="41"/>
        <v>8.9818831567534778E-3</v>
      </c>
      <c r="L257">
        <f t="shared" ca="1" si="41"/>
        <v>-1.171548364014775</v>
      </c>
      <c r="M257">
        <f t="shared" ca="1" si="41"/>
        <v>-0.51228775207334698</v>
      </c>
      <c r="O257">
        <v>255</v>
      </c>
      <c r="P257" s="6">
        <f t="shared" ca="1" si="32"/>
        <v>1938.1604776229576</v>
      </c>
      <c r="Q257" s="6">
        <f t="shared" ca="1" si="33"/>
        <v>371.77007638257328</v>
      </c>
      <c r="R257" s="6">
        <f t="shared" ca="1" si="34"/>
        <v>148.43149342295644</v>
      </c>
      <c r="S257" s="6"/>
      <c r="T257" s="4">
        <f t="shared" ca="1" si="35"/>
        <v>-1.6966730080222335E-2</v>
      </c>
      <c r="U257" s="4">
        <f t="shared" ca="1" si="36"/>
        <v>-3.2295067288443696E-2</v>
      </c>
      <c r="V257" s="4">
        <f t="shared" ca="1" si="37"/>
        <v>-9.1445415642313396E-3</v>
      </c>
      <c r="W257" s="4"/>
      <c r="X257">
        <v>255</v>
      </c>
      <c r="Y257" s="4">
        <f t="shared" ca="1" si="38"/>
        <v>-1.9638655940572021E-2</v>
      </c>
      <c r="Z257" s="4">
        <f ca="1"/>
        <v>-1.3646433932434782E-2</v>
      </c>
      <c r="AA257" s="4"/>
    </row>
    <row r="258" spans="1:27" x14ac:dyDescent="0.35">
      <c r="A258">
        <v>256</v>
      </c>
      <c r="B258">
        <f ca="1">_xlfn.NORM.INV(RAND(),Hitorical_Sim!$AB$4,Hitorical_Sim!$AB$5)</f>
        <v>1.7470210542980535E-2</v>
      </c>
      <c r="C258">
        <f ca="1">_xlfn.NORM.INV(RAND(),Hitorical_Sim!$AB$4,Hitorical_Sim!$AB$5)</f>
        <v>1.6671127210541238E-2</v>
      </c>
      <c r="D258">
        <f ca="1">_xlfn.NORM.INV(RAND(),Hitorical_Sim!$AB$4,Hitorical_Sim!$AB$5)</f>
        <v>-2.7391868153498384E-2</v>
      </c>
      <c r="K258">
        <f t="shared" ca="1" si="41"/>
        <v>0.83812248591019545</v>
      </c>
      <c r="L258">
        <f t="shared" ca="1" si="41"/>
        <v>-0.3696379998837851</v>
      </c>
      <c r="M258">
        <f t="shared" ca="1" si="41"/>
        <v>-1.064829575716586</v>
      </c>
      <c r="O258">
        <v>256</v>
      </c>
      <c r="P258" s="6">
        <f t="shared" ca="1" si="32"/>
        <v>1967.5356326715287</v>
      </c>
      <c r="Q258" s="6">
        <f t="shared" ca="1" si="33"/>
        <v>380.3736033871873</v>
      </c>
      <c r="R258" s="6">
        <f t="shared" ca="1" si="34"/>
        <v>145.95059035877446</v>
      </c>
      <c r="S258" s="6"/>
      <c r="T258" s="4">
        <f t="shared" ca="1" si="35"/>
        <v>1.5042495947621328E-2</v>
      </c>
      <c r="U258" s="4">
        <f t="shared" ca="1" si="36"/>
        <v>2.2878347590753384E-2</v>
      </c>
      <c r="V258" s="4">
        <f t="shared" ca="1" si="37"/>
        <v>-1.6855385818634324E-2</v>
      </c>
      <c r="W258" s="4"/>
      <c r="X258">
        <v>256</v>
      </c>
      <c r="Y258" s="4">
        <f t="shared" ca="1" si="38"/>
        <v>1.5027652112445857E-2</v>
      </c>
      <c r="Z258" s="4">
        <f ca="1"/>
        <v>-1.353983421693891E-2</v>
      </c>
      <c r="AA258" s="4"/>
    </row>
    <row r="259" spans="1:27" x14ac:dyDescent="0.35">
      <c r="A259">
        <v>257</v>
      </c>
      <c r="B259">
        <f ca="1">_xlfn.NORM.INV(RAND(),Hitorical_Sim!$AB$4,Hitorical_Sim!$AB$5)</f>
        <v>3.4286716459345826E-3</v>
      </c>
      <c r="C259">
        <f ca="1">_xlfn.NORM.INV(RAND(),Hitorical_Sim!$AB$4,Hitorical_Sim!$AB$5)</f>
        <v>-1.2743330511023681E-2</v>
      </c>
      <c r="D259">
        <f ca="1">_xlfn.NORM.INV(RAND(),Hitorical_Sim!$AB$4,Hitorical_Sim!$AB$5)</f>
        <v>2.9413004404278222E-3</v>
      </c>
      <c r="K259">
        <f t="shared" ca="1" si="41"/>
        <v>-0.27202791642029917</v>
      </c>
      <c r="L259">
        <f t="shared" ca="1" si="41"/>
        <v>1.2881707922268175</v>
      </c>
      <c r="M259">
        <f t="shared" ca="1" si="41"/>
        <v>1.7687758116525121</v>
      </c>
      <c r="O259">
        <v>257</v>
      </c>
      <c r="P259" s="6">
        <f t="shared" ref="P259:P322" ca="1" si="42">$G$17*EXP(($G$15-0.5*$G$16)+($G$16*K259))</f>
        <v>1928.3045764879757</v>
      </c>
      <c r="Q259" s="6">
        <f t="shared" ref="Q259:Q322" ca="1" si="43">$H$17*EXP(($H$15-0.5*$H$16^2)+($H$16*L259))</f>
        <v>398.79635604164599</v>
      </c>
      <c r="R259" s="6">
        <f t="shared" ref="R259:R322" ca="1" si="44">$I$17*EXP(($I$15-0.5*$I$16)+($I$16*M259))</f>
        <v>159.12781934527266</v>
      </c>
      <c r="S259" s="6"/>
      <c r="T259" s="4">
        <f t="shared" ca="1" si="35"/>
        <v>-2.01406527105903E-2</v>
      </c>
      <c r="U259" s="4">
        <f t="shared" ca="1" si="36"/>
        <v>4.7296964201248348E-2</v>
      </c>
      <c r="V259" s="4">
        <f t="shared" ca="1" si="37"/>
        <v>8.6439632292351284E-2</v>
      </c>
      <c r="W259" s="4"/>
      <c r="X259">
        <v>257</v>
      </c>
      <c r="Y259" s="4">
        <f t="shared" ca="1" si="38"/>
        <v>-1.407586266081986E-3</v>
      </c>
      <c r="Z259" s="4">
        <f ca="1"/>
        <v>-1.3508020052121364E-2</v>
      </c>
      <c r="AA259" s="4"/>
    </row>
    <row r="260" spans="1:27" x14ac:dyDescent="0.35">
      <c r="A260">
        <v>258</v>
      </c>
      <c r="B260">
        <f ca="1">_xlfn.NORM.INV(RAND(),Hitorical_Sim!$AB$4,Hitorical_Sim!$AB$5)</f>
        <v>1.8537548530592439E-2</v>
      </c>
      <c r="C260">
        <f ca="1">_xlfn.NORM.INV(RAND(),Hitorical_Sim!$AB$4,Hitorical_Sim!$AB$5)</f>
        <v>3.8561282901054018E-3</v>
      </c>
      <c r="D260">
        <f ca="1">_xlfn.NORM.INV(RAND(),Hitorical_Sim!$AB$4,Hitorical_Sim!$AB$5)</f>
        <v>-3.1558744256227678E-2</v>
      </c>
      <c r="K260">
        <f t="shared" ca="1" si="41"/>
        <v>-0.6192951760538894</v>
      </c>
      <c r="L260">
        <f t="shared" ca="1" si="41"/>
        <v>0.34978706022886796</v>
      </c>
      <c r="M260">
        <f t="shared" ca="1" si="41"/>
        <v>0.76575844537128945</v>
      </c>
      <c r="O260">
        <v>258</v>
      </c>
      <c r="P260" s="6">
        <f t="shared" ca="1" si="42"/>
        <v>1916.1940273673197</v>
      </c>
      <c r="Q260" s="6">
        <f t="shared" ca="1" si="43"/>
        <v>388.26146609593525</v>
      </c>
      <c r="R260" s="6">
        <f t="shared" ca="1" si="44"/>
        <v>154.33268318665483</v>
      </c>
      <c r="S260" s="6"/>
      <c r="T260" s="4">
        <f t="shared" ref="T260:T323" ca="1" si="45">LN(P260/P259)</f>
        <v>-6.3002177536988493E-3</v>
      </c>
      <c r="U260" s="4">
        <f t="shared" ref="U260:U323" ca="1" si="46">LN(Q260/Q259)</f>
        <v>-2.6771906380612234E-2</v>
      </c>
      <c r="V260" s="4">
        <f t="shared" ref="V260:V323" ca="1" si="47">LN(R260/R259)</f>
        <v>-3.059722172701328E-2</v>
      </c>
      <c r="W260" s="4"/>
      <c r="X260">
        <v>258</v>
      </c>
      <c r="Y260" s="4">
        <f t="shared" ref="Y260:Y323" ca="1" si="48">($G$18*T260)+($H$18*U260)+($I$18*V260)</f>
        <v>-1.1588174858086846E-2</v>
      </c>
      <c r="Z260" s="4">
        <f ca="1"/>
        <v>-1.3507903682929673E-2</v>
      </c>
      <c r="AA260" s="4"/>
    </row>
    <row r="261" spans="1:27" x14ac:dyDescent="0.35">
      <c r="A261">
        <v>259</v>
      </c>
      <c r="B261">
        <f ca="1">_xlfn.NORM.INV(RAND(),Hitorical_Sim!$AB$4,Hitorical_Sim!$AB$5)</f>
        <v>1.5809322726028852E-2</v>
      </c>
      <c r="C261">
        <f ca="1">_xlfn.NORM.INV(RAND(),Hitorical_Sim!$AB$4,Hitorical_Sim!$AB$5)</f>
        <v>3.6554307683953749E-2</v>
      </c>
      <c r="D261">
        <f ca="1">_xlfn.NORM.INV(RAND(),Hitorical_Sim!$AB$4,Hitorical_Sim!$AB$5)</f>
        <v>-8.0723111632596146E-3</v>
      </c>
      <c r="K261">
        <f t="shared" ca="1" si="41"/>
        <v>-0.92715472845879365</v>
      </c>
      <c r="L261">
        <f t="shared" ca="1" si="41"/>
        <v>-1.1519366454014064</v>
      </c>
      <c r="M261">
        <f t="shared" ca="1" si="41"/>
        <v>1.9198401512334986</v>
      </c>
      <c r="O261">
        <v>259</v>
      </c>
      <c r="P261" s="6">
        <f t="shared" ca="1" si="42"/>
        <v>1905.5213944052734</v>
      </c>
      <c r="Q261" s="6">
        <f t="shared" ca="1" si="43"/>
        <v>371.97814683673755</v>
      </c>
      <c r="R261" s="6">
        <f t="shared" ca="1" si="44"/>
        <v>159.86281142772015</v>
      </c>
      <c r="S261" s="6"/>
      <c r="T261" s="4">
        <f t="shared" ca="1" si="45"/>
        <v>-5.5852723339185487E-3</v>
      </c>
      <c r="U261" s="4">
        <f t="shared" ca="1" si="46"/>
        <v>-4.2843886872462801E-2</v>
      </c>
      <c r="V261" s="4">
        <f t="shared" ca="1" si="47"/>
        <v>3.5205466059154214E-2</v>
      </c>
      <c r="W261" s="4"/>
      <c r="X261">
        <v>259</v>
      </c>
      <c r="Y261" s="4">
        <f t="shared" ca="1" si="48"/>
        <v>-1.1002164704371131E-2</v>
      </c>
      <c r="Z261" s="4">
        <f ca="1"/>
        <v>-1.3481412127178044E-2</v>
      </c>
      <c r="AA261" s="4"/>
    </row>
    <row r="262" spans="1:27" x14ac:dyDescent="0.35">
      <c r="A262">
        <v>260</v>
      </c>
      <c r="B262">
        <f ca="1">_xlfn.NORM.INV(RAND(),Hitorical_Sim!$AB$4,Hitorical_Sim!$AB$5)</f>
        <v>-1.3096835516845956E-2</v>
      </c>
      <c r="C262">
        <f ca="1">_xlfn.NORM.INV(RAND(),Hitorical_Sim!$AB$4,Hitorical_Sim!$AB$5)</f>
        <v>-5.4062930513131243E-3</v>
      </c>
      <c r="D262">
        <f ca="1">_xlfn.NORM.INV(RAND(),Hitorical_Sim!$AB$4,Hitorical_Sim!$AB$5)</f>
        <v>6.8861715005206596E-3</v>
      </c>
      <c r="K262">
        <f t="shared" ca="1" si="41"/>
        <v>-2.0615542371750659</v>
      </c>
      <c r="L262">
        <f t="shared" ca="1" si="41"/>
        <v>-1.3321122999520098E-2</v>
      </c>
      <c r="M262">
        <f t="shared" ca="1" si="41"/>
        <v>-2.8358885547096153</v>
      </c>
      <c r="O262">
        <v>260</v>
      </c>
      <c r="P262" s="6">
        <f t="shared" ca="1" si="42"/>
        <v>1866.7054438333951</v>
      </c>
      <c r="Q262" s="6">
        <f t="shared" ca="1" si="43"/>
        <v>384.26006967226186</v>
      </c>
      <c r="R262" s="6">
        <f t="shared" ca="1" si="44"/>
        <v>138.27461555684025</v>
      </c>
      <c r="S262" s="6"/>
      <c r="T262" s="4">
        <f t="shared" ca="1" si="45"/>
        <v>-2.0580586641373685E-2</v>
      </c>
      <c r="U262" s="4">
        <f t="shared" ca="1" si="46"/>
        <v>3.24844806339009E-2</v>
      </c>
      <c r="V262" s="4">
        <f t="shared" ca="1" si="47"/>
        <v>-0.14507434325764726</v>
      </c>
      <c r="W262" s="4"/>
      <c r="X262">
        <v>260</v>
      </c>
      <c r="Y262" s="4">
        <f t="shared" ca="1" si="48"/>
        <v>-1.6151701978971606E-2</v>
      </c>
      <c r="Z262" s="4">
        <f ca="1"/>
        <v>-1.3458970516841494E-2</v>
      </c>
      <c r="AA262" s="4"/>
    </row>
    <row r="263" spans="1:27" x14ac:dyDescent="0.35">
      <c r="A263">
        <v>261</v>
      </c>
      <c r="B263">
        <f ca="1">_xlfn.NORM.INV(RAND(),Hitorical_Sim!$AB$4,Hitorical_Sim!$AB$5)</f>
        <v>-2.8038321694639104E-3</v>
      </c>
      <c r="C263">
        <f ca="1">_xlfn.NORM.INV(RAND(),Hitorical_Sim!$AB$4,Hitorical_Sim!$AB$5)</f>
        <v>-4.2559691543181703E-3</v>
      </c>
      <c r="D263">
        <f ca="1">_xlfn.NORM.INV(RAND(),Hitorical_Sim!$AB$4,Hitorical_Sim!$AB$5)</f>
        <v>-4.2874729576185006E-3</v>
      </c>
      <c r="K263">
        <f t="shared" ca="1" si="41"/>
        <v>0.26522910160001545</v>
      </c>
      <c r="L263">
        <f t="shared" ca="1" si="41"/>
        <v>1.9079467495631983</v>
      </c>
      <c r="M263">
        <f t="shared" ca="1" si="41"/>
        <v>1.2079547231127281</v>
      </c>
      <c r="O263">
        <v>261</v>
      </c>
      <c r="P263" s="6">
        <f t="shared" ca="1" si="42"/>
        <v>1947.1917824689908</v>
      </c>
      <c r="Q263" s="6">
        <f t="shared" ca="1" si="43"/>
        <v>405.91062054690065</v>
      </c>
      <c r="R263" s="6">
        <f t="shared" ca="1" si="44"/>
        <v>156.42862384348388</v>
      </c>
      <c r="S263" s="6"/>
      <c r="T263" s="4">
        <f t="shared" ca="1" si="45"/>
        <v>4.2213140724607377E-2</v>
      </c>
      <c r="U263" s="4">
        <f t="shared" ca="1" si="46"/>
        <v>5.4813400810788525E-2</v>
      </c>
      <c r="V263" s="4">
        <f t="shared" ca="1" si="47"/>
        <v>0.12335815267044073</v>
      </c>
      <c r="W263" s="4"/>
      <c r="X263">
        <v>261</v>
      </c>
      <c r="Y263" s="4">
        <f t="shared" ca="1" si="48"/>
        <v>4.8743625684920147E-2</v>
      </c>
      <c r="Z263" s="4">
        <f ca="1"/>
        <v>-1.3254667632741021E-2</v>
      </c>
      <c r="AA263" s="4"/>
    </row>
    <row r="264" spans="1:27" x14ac:dyDescent="0.35">
      <c r="A264">
        <v>262</v>
      </c>
      <c r="B264">
        <f ca="1">_xlfn.NORM.INV(RAND(),Hitorical_Sim!$AB$4,Hitorical_Sim!$AB$5)</f>
        <v>-1.2030510426712489E-2</v>
      </c>
      <c r="C264">
        <f ca="1">_xlfn.NORM.INV(RAND(),Hitorical_Sim!$AB$4,Hitorical_Sim!$AB$5)</f>
        <v>8.9489624752229335E-3</v>
      </c>
      <c r="D264">
        <f ca="1">_xlfn.NORM.INV(RAND(),Hitorical_Sim!$AB$4,Hitorical_Sim!$AB$5)</f>
        <v>-1.757091901028586E-2</v>
      </c>
      <c r="K264">
        <f t="shared" ref="K264:M283" ca="1" si="49">_xlfn.NORM.S.INV(RAND())</f>
        <v>-1.3823790956835162</v>
      </c>
      <c r="L264">
        <f t="shared" ca="1" si="49"/>
        <v>1.1952449980159772</v>
      </c>
      <c r="M264">
        <f t="shared" ca="1" si="49"/>
        <v>-1.259803885162593</v>
      </c>
      <c r="O264">
        <v>262</v>
      </c>
      <c r="P264" s="6">
        <f t="shared" ca="1" si="42"/>
        <v>1889.8488716938928</v>
      </c>
      <c r="Q264" s="6">
        <f t="shared" ca="1" si="43"/>
        <v>397.74048537067745</v>
      </c>
      <c r="R264" s="6">
        <f t="shared" ca="1" si="44"/>
        <v>145.0850927028566</v>
      </c>
      <c r="S264" s="6"/>
      <c r="T264" s="4">
        <f t="shared" ca="1" si="45"/>
        <v>-2.9891359256320232E-2</v>
      </c>
      <c r="U264" s="4">
        <f t="shared" ca="1" si="46"/>
        <v>-2.033324312762292E-2</v>
      </c>
      <c r="V264" s="4">
        <f t="shared" ca="1" si="47"/>
        <v>-7.5279411747468591E-2</v>
      </c>
      <c r="W264" s="4"/>
      <c r="X264">
        <v>262</v>
      </c>
      <c r="Y264" s="4">
        <f t="shared" ca="1" si="48"/>
        <v>-3.0230123697903632E-2</v>
      </c>
      <c r="Z264" s="4">
        <f ca="1"/>
        <v>-1.3219162232010069E-2</v>
      </c>
      <c r="AA264" s="4"/>
    </row>
    <row r="265" spans="1:27" x14ac:dyDescent="0.35">
      <c r="A265">
        <v>263</v>
      </c>
      <c r="B265">
        <f ca="1">_xlfn.NORM.INV(RAND(),Hitorical_Sim!$AB$4,Hitorical_Sim!$AB$5)</f>
        <v>7.4356017427034309E-3</v>
      </c>
      <c r="C265">
        <f ca="1">_xlfn.NORM.INV(RAND(),Hitorical_Sim!$AB$4,Hitorical_Sim!$AB$5)</f>
        <v>5.2596725816640823E-3</v>
      </c>
      <c r="D265">
        <f ca="1">_xlfn.NORM.INV(RAND(),Hitorical_Sim!$AB$4,Hitorical_Sim!$AB$5)</f>
        <v>2.8044893385006056E-2</v>
      </c>
      <c r="K265">
        <f t="shared" ca="1" si="49"/>
        <v>5.3181969624245914E-2</v>
      </c>
      <c r="L265">
        <f t="shared" ca="1" si="49"/>
        <v>0.81025669032538328</v>
      </c>
      <c r="M265">
        <f t="shared" ca="1" si="49"/>
        <v>7.0248407076589914E-2</v>
      </c>
      <c r="O265">
        <v>263</v>
      </c>
      <c r="P265" s="6">
        <f t="shared" ca="1" si="42"/>
        <v>1939.7152925891273</v>
      </c>
      <c r="Q265" s="6">
        <f t="shared" ca="1" si="43"/>
        <v>393.39575047269688</v>
      </c>
      <c r="R265" s="6">
        <f t="shared" ca="1" si="44"/>
        <v>151.09275146652331</v>
      </c>
      <c r="S265" s="6"/>
      <c r="T265" s="4">
        <f t="shared" ca="1" si="45"/>
        <v>2.6044342100414897E-2</v>
      </c>
      <c r="U265" s="4">
        <f t="shared" ca="1" si="46"/>
        <v>-1.098364195762239E-2</v>
      </c>
      <c r="V265" s="4">
        <f t="shared" ca="1" si="47"/>
        <v>4.057347984417084E-2</v>
      </c>
      <c r="W265" s="4"/>
      <c r="X265">
        <v>263</v>
      </c>
      <c r="Y265" s="4">
        <f t="shared" ca="1" si="48"/>
        <v>1.9373786465849897E-2</v>
      </c>
      <c r="Z265" s="4">
        <f ca="1"/>
        <v>-1.3142609488082203E-2</v>
      </c>
      <c r="AA265" s="4"/>
    </row>
    <row r="266" spans="1:27" x14ac:dyDescent="0.35">
      <c r="A266">
        <v>264</v>
      </c>
      <c r="B266">
        <f ca="1">_xlfn.NORM.INV(RAND(),Hitorical_Sim!$AB$4,Hitorical_Sim!$AB$5)</f>
        <v>6.6372082101642379E-3</v>
      </c>
      <c r="C266">
        <f ca="1">_xlfn.NORM.INV(RAND(),Hitorical_Sim!$AB$4,Hitorical_Sim!$AB$5)</f>
        <v>6.9469643397204574E-3</v>
      </c>
      <c r="D266">
        <f ca="1">_xlfn.NORM.INV(RAND(),Hitorical_Sim!$AB$4,Hitorical_Sim!$AB$5)</f>
        <v>-7.2280292094857915E-4</v>
      </c>
      <c r="K266">
        <f t="shared" ca="1" si="49"/>
        <v>0.32186561508856149</v>
      </c>
      <c r="L266">
        <f t="shared" ca="1" si="49"/>
        <v>-1.1140741141480073</v>
      </c>
      <c r="M266">
        <f t="shared" ca="1" si="49"/>
        <v>0.67497432551923686</v>
      </c>
      <c r="O266">
        <v>264</v>
      </c>
      <c r="P266" s="6">
        <f t="shared" ca="1" si="42"/>
        <v>1949.1935797733406</v>
      </c>
      <c r="Q266" s="6">
        <f t="shared" ca="1" si="43"/>
        <v>372.38017870922494</v>
      </c>
      <c r="R266" s="6">
        <f t="shared" ca="1" si="44"/>
        <v>153.90586775823903</v>
      </c>
      <c r="S266" s="6"/>
      <c r="T266" s="4">
        <f t="shared" ca="1" si="45"/>
        <v>4.8745322984633374E-3</v>
      </c>
      <c r="U266" s="4">
        <f t="shared" ca="1" si="46"/>
        <v>-5.4900785665796592E-2</v>
      </c>
      <c r="V266" s="4">
        <f t="shared" ca="1" si="47"/>
        <v>1.8447270837655256E-2</v>
      </c>
      <c r="W266" s="4"/>
      <c r="X266">
        <v>264</v>
      </c>
      <c r="Y266" s="4">
        <f t="shared" ca="1" si="48"/>
        <v>-6.3829974190509229E-3</v>
      </c>
      <c r="Z266" s="4">
        <f ca="1"/>
        <v>-1.3105155818368566E-2</v>
      </c>
      <c r="AA266" s="4"/>
    </row>
    <row r="267" spans="1:27" x14ac:dyDescent="0.35">
      <c r="A267">
        <v>265</v>
      </c>
      <c r="B267">
        <f ca="1">_xlfn.NORM.INV(RAND(),Hitorical_Sim!$AB$4,Hitorical_Sim!$AB$5)</f>
        <v>1.38964197493285E-2</v>
      </c>
      <c r="C267">
        <f ca="1">_xlfn.NORM.INV(RAND(),Hitorical_Sim!$AB$4,Hitorical_Sim!$AB$5)</f>
        <v>2.9925528674024357E-2</v>
      </c>
      <c r="D267">
        <f ca="1">_xlfn.NORM.INV(RAND(),Hitorical_Sim!$AB$4,Hitorical_Sim!$AB$5)</f>
        <v>-8.7028353909942603E-3</v>
      </c>
      <c r="K267">
        <f t="shared" ca="1" si="49"/>
        <v>-0.29400068979613647</v>
      </c>
      <c r="L267">
        <f t="shared" ca="1" si="49"/>
        <v>0.49122402674462673</v>
      </c>
      <c r="M267">
        <f t="shared" ca="1" si="49"/>
        <v>-1.0589264662332338</v>
      </c>
      <c r="O267">
        <v>265</v>
      </c>
      <c r="P267" s="6">
        <f t="shared" ca="1" si="42"/>
        <v>1927.5360379163972</v>
      </c>
      <c r="Q267" s="6">
        <f t="shared" ca="1" si="43"/>
        <v>389.83133205135601</v>
      </c>
      <c r="R267" s="6">
        <f t="shared" ca="1" si="44"/>
        <v>145.97687483569808</v>
      </c>
      <c r="S267" s="6"/>
      <c r="T267" s="4">
        <f t="shared" ca="1" si="45"/>
        <v>-1.1173215211919045E-2</v>
      </c>
      <c r="U267" s="4">
        <f t="shared" ca="1" si="46"/>
        <v>4.5798845478112367E-2</v>
      </c>
      <c r="V267" s="4">
        <f t="shared" ca="1" si="47"/>
        <v>-5.2892949575331152E-2</v>
      </c>
      <c r="W267" s="4"/>
      <c r="X267">
        <v>265</v>
      </c>
      <c r="Y267" s="4">
        <f t="shared" ca="1" si="48"/>
        <v>-1.8681240313980258E-3</v>
      </c>
      <c r="Z267" s="4">
        <f ca="1"/>
        <v>-1.3004124233325504E-2</v>
      </c>
      <c r="AA267" s="4"/>
    </row>
    <row r="268" spans="1:27" x14ac:dyDescent="0.35">
      <c r="A268">
        <v>266</v>
      </c>
      <c r="B268">
        <f ca="1">_xlfn.NORM.INV(RAND(),Hitorical_Sim!$AB$4,Hitorical_Sim!$AB$5)</f>
        <v>-2.3977921343876715E-2</v>
      </c>
      <c r="C268">
        <f ca="1">_xlfn.NORM.INV(RAND(),Hitorical_Sim!$AB$4,Hitorical_Sim!$AB$5)</f>
        <v>1.0929318275558699E-2</v>
      </c>
      <c r="D268">
        <f ca="1">_xlfn.NORM.INV(RAND(),Hitorical_Sim!$AB$4,Hitorical_Sim!$AB$5)</f>
        <v>-1.4785476292492101E-2</v>
      </c>
      <c r="K268">
        <f t="shared" ca="1" si="49"/>
        <v>-0.26257150441791005</v>
      </c>
      <c r="L268">
        <f t="shared" ca="1" si="49"/>
        <v>-4.2447038802657225E-2</v>
      </c>
      <c r="M268">
        <f t="shared" ca="1" si="49"/>
        <v>0.41099295256901291</v>
      </c>
      <c r="O268">
        <v>266</v>
      </c>
      <c r="P268" s="6">
        <f t="shared" ca="1" si="42"/>
        <v>1928.6354263761903</v>
      </c>
      <c r="Q268" s="6">
        <f t="shared" ca="1" si="43"/>
        <v>383.94089880264414</v>
      </c>
      <c r="R268" s="6">
        <f t="shared" ca="1" si="44"/>
        <v>152.6714716810867</v>
      </c>
      <c r="S268" s="6"/>
      <c r="T268" s="4">
        <f t="shared" ca="1" si="45"/>
        <v>5.7019689075536685E-4</v>
      </c>
      <c r="U268" s="4">
        <f t="shared" ca="1" si="46"/>
        <v>-1.5225532282463683E-2</v>
      </c>
      <c r="V268" s="4">
        <f t="shared" ca="1" si="47"/>
        <v>4.4840151217605824E-2</v>
      </c>
      <c r="W268" s="4"/>
      <c r="X268">
        <v>266</v>
      </c>
      <c r="Y268" s="4">
        <f t="shared" ca="1" si="48"/>
        <v>-3.9120173522792312E-4</v>
      </c>
      <c r="Z268" s="4">
        <f ca="1"/>
        <v>-1.2897706405344869E-2</v>
      </c>
      <c r="AA268" s="4"/>
    </row>
    <row r="269" spans="1:27" x14ac:dyDescent="0.35">
      <c r="A269">
        <v>267</v>
      </c>
      <c r="B269">
        <f ca="1">_xlfn.NORM.INV(RAND(),Hitorical_Sim!$AB$4,Hitorical_Sim!$AB$5)</f>
        <v>1.2829056085265715E-2</v>
      </c>
      <c r="C269">
        <f ca="1">_xlfn.NORM.INV(RAND(),Hitorical_Sim!$AB$4,Hitorical_Sim!$AB$5)</f>
        <v>-9.092961725103377E-5</v>
      </c>
      <c r="D269">
        <f ca="1">_xlfn.NORM.INV(RAND(),Hitorical_Sim!$AB$4,Hitorical_Sim!$AB$5)</f>
        <v>-1.1512905082432191E-3</v>
      </c>
      <c r="K269">
        <f t="shared" ca="1" si="49"/>
        <v>-1.5824060912005407</v>
      </c>
      <c r="L269">
        <f t="shared" ca="1" si="49"/>
        <v>-0.85679241926725502</v>
      </c>
      <c r="M269">
        <f t="shared" ca="1" si="49"/>
        <v>1.2714746237209349</v>
      </c>
      <c r="O269">
        <v>267</v>
      </c>
      <c r="P269" s="6">
        <f t="shared" ca="1" si="42"/>
        <v>1883.0031438314952</v>
      </c>
      <c r="Q269" s="6">
        <f t="shared" ca="1" si="43"/>
        <v>375.12357880866779</v>
      </c>
      <c r="R269" s="6">
        <f t="shared" ca="1" si="44"/>
        <v>156.7320272180207</v>
      </c>
      <c r="S269" s="6"/>
      <c r="T269" s="4">
        <f t="shared" ca="1" si="45"/>
        <v>-2.394480062522256E-2</v>
      </c>
      <c r="U269" s="4">
        <f t="shared" ca="1" si="46"/>
        <v>-2.3233116201688223E-2</v>
      </c>
      <c r="V269" s="4">
        <f t="shared" ca="1" si="47"/>
        <v>2.6249145198633066E-2</v>
      </c>
      <c r="W269" s="4"/>
      <c r="X269">
        <v>267</v>
      </c>
      <c r="Y269" s="4">
        <f t="shared" ca="1" si="48"/>
        <v>-2.1318667069040464E-2</v>
      </c>
      <c r="Z269" s="4">
        <f ca="1"/>
        <v>-1.2891376829576714E-2</v>
      </c>
      <c r="AA269" s="4"/>
    </row>
    <row r="270" spans="1:27" x14ac:dyDescent="0.35">
      <c r="A270">
        <v>268</v>
      </c>
      <c r="B270">
        <f ca="1">_xlfn.NORM.INV(RAND(),Hitorical_Sim!$AB$4,Hitorical_Sim!$AB$5)</f>
        <v>1.8556260000510267E-2</v>
      </c>
      <c r="C270">
        <f ca="1">_xlfn.NORM.INV(RAND(),Hitorical_Sim!$AB$4,Hitorical_Sim!$AB$5)</f>
        <v>-3.0024834114338705E-2</v>
      </c>
      <c r="D270">
        <f ca="1">_xlfn.NORM.INV(RAND(),Hitorical_Sim!$AB$4,Hitorical_Sim!$AB$5)</f>
        <v>2.8105701298993613E-3</v>
      </c>
      <c r="K270">
        <f t="shared" ca="1" si="49"/>
        <v>-1.7152439221906202</v>
      </c>
      <c r="L270">
        <f t="shared" ca="1" si="49"/>
        <v>-8.1555924477138414E-2</v>
      </c>
      <c r="M270">
        <f t="shared" ca="1" si="49"/>
        <v>-0.55663819015736837</v>
      </c>
      <c r="O270">
        <v>268</v>
      </c>
      <c r="P270" s="6">
        <f t="shared" ca="1" si="42"/>
        <v>1878.4706071699807</v>
      </c>
      <c r="Q270" s="6">
        <f t="shared" ca="1" si="43"/>
        <v>383.51274837423733</v>
      </c>
      <c r="R270" s="6">
        <f t="shared" ca="1" si="44"/>
        <v>148.23081357511822</v>
      </c>
      <c r="S270" s="6"/>
      <c r="T270" s="4">
        <f t="shared" ca="1" si="45"/>
        <v>-2.409980319047714E-3</v>
      </c>
      <c r="U270" s="4">
        <f t="shared" ca="1" si="46"/>
        <v>2.2117347257465468E-2</v>
      </c>
      <c r="V270" s="4">
        <f t="shared" ca="1" si="47"/>
        <v>-5.5766903932693936E-2</v>
      </c>
      <c r="W270" s="4"/>
      <c r="X270">
        <v>268</v>
      </c>
      <c r="Y270" s="4">
        <f t="shared" ca="1" si="48"/>
        <v>-1.5574836950367965E-4</v>
      </c>
      <c r="Z270" s="4">
        <f ca="1"/>
        <v>-1.2735329704956586E-2</v>
      </c>
      <c r="AA270" s="4"/>
    </row>
    <row r="271" spans="1:27" x14ac:dyDescent="0.35">
      <c r="A271">
        <v>269</v>
      </c>
      <c r="B271">
        <f ca="1">_xlfn.NORM.INV(RAND(),Hitorical_Sim!$AB$4,Hitorical_Sim!$AB$5)</f>
        <v>-2.4485742356823215E-2</v>
      </c>
      <c r="C271">
        <f ca="1">_xlfn.NORM.INV(RAND(),Hitorical_Sim!$AB$4,Hitorical_Sim!$AB$5)</f>
        <v>-4.3490720564040297E-3</v>
      </c>
      <c r="D271">
        <f ca="1">_xlfn.NORM.INV(RAND(),Hitorical_Sim!$AB$4,Hitorical_Sim!$AB$5)</f>
        <v>5.9799612205012412E-3</v>
      </c>
      <c r="K271">
        <f t="shared" ca="1" si="49"/>
        <v>-1.0391810191862303</v>
      </c>
      <c r="L271">
        <f t="shared" ca="1" si="49"/>
        <v>0.57125180912613349</v>
      </c>
      <c r="M271">
        <f t="shared" ca="1" si="49"/>
        <v>-0.95414051782989573</v>
      </c>
      <c r="O271">
        <v>269</v>
      </c>
      <c r="P271" s="6">
        <f t="shared" ca="1" si="42"/>
        <v>1901.6525234163</v>
      </c>
      <c r="Q271" s="6">
        <f t="shared" ca="1" si="43"/>
        <v>390.72240289147311</v>
      </c>
      <c r="R271" s="6">
        <f t="shared" ca="1" si="44"/>
        <v>146.44423850629937</v>
      </c>
      <c r="S271" s="6"/>
      <c r="T271" s="4">
        <f t="shared" ca="1" si="45"/>
        <v>1.2265318385095038E-2</v>
      </c>
      <c r="U271" s="4">
        <f t="shared" ca="1" si="46"/>
        <v>1.8624478379815727E-2</v>
      </c>
      <c r="V271" s="4">
        <f t="shared" ca="1" si="47"/>
        <v>-1.2125878639463267E-2</v>
      </c>
      <c r="W271" s="4"/>
      <c r="X271">
        <v>269</v>
      </c>
      <c r="Y271" s="4">
        <f t="shared" ca="1" si="48"/>
        <v>1.2327280689368048E-2</v>
      </c>
      <c r="Z271" s="4">
        <f ca="1"/>
        <v>-1.2679820451594966E-2</v>
      </c>
      <c r="AA271" s="4"/>
    </row>
    <row r="272" spans="1:27" x14ac:dyDescent="0.35">
      <c r="A272">
        <v>270</v>
      </c>
      <c r="B272">
        <f ca="1">_xlfn.NORM.INV(RAND(),Hitorical_Sim!$AB$4,Hitorical_Sim!$AB$5)</f>
        <v>-1.6107119961997412E-2</v>
      </c>
      <c r="C272">
        <f ca="1">_xlfn.NORM.INV(RAND(),Hitorical_Sim!$AB$4,Hitorical_Sim!$AB$5)</f>
        <v>3.8555952519094223E-2</v>
      </c>
      <c r="D272">
        <f ca="1">_xlfn.NORM.INV(RAND(),Hitorical_Sim!$AB$4,Hitorical_Sim!$AB$5)</f>
        <v>7.8311651935738212E-4</v>
      </c>
      <c r="K272">
        <f t="shared" ca="1" si="49"/>
        <v>7.0532850636335923E-2</v>
      </c>
      <c r="L272">
        <f t="shared" ca="1" si="49"/>
        <v>2.3908115845839197</v>
      </c>
      <c r="M272">
        <f t="shared" ca="1" si="49"/>
        <v>-0.16399364700577576</v>
      </c>
      <c r="O272">
        <v>270</v>
      </c>
      <c r="P272" s="6">
        <f t="shared" ca="1" si="42"/>
        <v>1940.3259808867729</v>
      </c>
      <c r="Q272" s="6">
        <f t="shared" ca="1" si="43"/>
        <v>411.54115582918672</v>
      </c>
      <c r="R272" s="6">
        <f t="shared" ca="1" si="44"/>
        <v>150.01695201977259</v>
      </c>
      <c r="S272" s="6"/>
      <c r="T272" s="4">
        <f t="shared" ca="1" si="45"/>
        <v>2.013273301824893E-2</v>
      </c>
      <c r="U272" s="4">
        <f t="shared" ca="1" si="46"/>
        <v>5.1911688471800908E-2</v>
      </c>
      <c r="V272" s="4">
        <f t="shared" ca="1" si="47"/>
        <v>2.4103569705026227E-2</v>
      </c>
      <c r="W272" s="4"/>
      <c r="X272">
        <v>270</v>
      </c>
      <c r="Y272" s="4">
        <f t="shared" ca="1" si="48"/>
        <v>2.6671315404157927E-2</v>
      </c>
      <c r="Z272" s="4">
        <f ca="1"/>
        <v>-1.2562963601629481E-2</v>
      </c>
      <c r="AA272" s="4"/>
    </row>
    <row r="273" spans="1:27" x14ac:dyDescent="0.35">
      <c r="A273">
        <v>271</v>
      </c>
      <c r="B273">
        <f ca="1">_xlfn.NORM.INV(RAND(),Hitorical_Sim!$AB$4,Hitorical_Sim!$AB$5)</f>
        <v>1.4477790488585477E-2</v>
      </c>
      <c r="C273">
        <f ca="1">_xlfn.NORM.INV(RAND(),Hitorical_Sim!$AB$4,Hitorical_Sim!$AB$5)</f>
        <v>6.1179338694539098E-3</v>
      </c>
      <c r="D273">
        <f ca="1">_xlfn.NORM.INV(RAND(),Hitorical_Sim!$AB$4,Hitorical_Sim!$AB$5)</f>
        <v>-8.5008907172659989E-3</v>
      </c>
      <c r="K273">
        <f t="shared" ca="1" si="49"/>
        <v>0.92067862951674684</v>
      </c>
      <c r="L273">
        <f t="shared" ca="1" si="49"/>
        <v>-0.13651576334000229</v>
      </c>
      <c r="M273">
        <f t="shared" ca="1" si="49"/>
        <v>0.7972907239433239</v>
      </c>
      <c r="O273">
        <v>271</v>
      </c>
      <c r="P273" s="6">
        <f t="shared" ca="1" si="42"/>
        <v>1970.4847292725124</v>
      </c>
      <c r="Q273" s="6">
        <f t="shared" ca="1" si="43"/>
        <v>382.91187405628722</v>
      </c>
      <c r="R273" s="6">
        <f t="shared" ca="1" si="44"/>
        <v>154.48120686377209</v>
      </c>
      <c r="S273" s="6"/>
      <c r="T273" s="4">
        <f t="shared" ca="1" si="45"/>
        <v>1.5423577607016223E-2</v>
      </c>
      <c r="U273" s="4">
        <f t="shared" ca="1" si="46"/>
        <v>-7.2104160424562941E-2</v>
      </c>
      <c r="V273" s="4">
        <f t="shared" ca="1" si="47"/>
        <v>2.9324149341194428E-2</v>
      </c>
      <c r="W273" s="4"/>
      <c r="X273">
        <v>271</v>
      </c>
      <c r="Y273" s="4">
        <f t="shared" ca="1" si="48"/>
        <v>-1.3562251425572795E-3</v>
      </c>
      <c r="Z273" s="4">
        <f ca="1"/>
        <v>-1.248035239304909E-2</v>
      </c>
      <c r="AA273" s="4"/>
    </row>
    <row r="274" spans="1:27" x14ac:dyDescent="0.35">
      <c r="A274">
        <v>272</v>
      </c>
      <c r="B274">
        <f ca="1">_xlfn.NORM.INV(RAND(),Hitorical_Sim!$AB$4,Hitorical_Sim!$AB$5)</f>
        <v>2.4567465707376807E-2</v>
      </c>
      <c r="C274">
        <f ca="1">_xlfn.NORM.INV(RAND(),Hitorical_Sim!$AB$4,Hitorical_Sim!$AB$5)</f>
        <v>1.9970220663648685E-2</v>
      </c>
      <c r="D274">
        <f ca="1">_xlfn.NORM.INV(RAND(),Hitorical_Sim!$AB$4,Hitorical_Sim!$AB$5)</f>
        <v>-8.2123764701787271E-5</v>
      </c>
      <c r="K274">
        <f t="shared" ca="1" si="49"/>
        <v>0.48009700128242716</v>
      </c>
      <c r="L274">
        <f t="shared" ca="1" si="49"/>
        <v>1.7409316298435837</v>
      </c>
      <c r="M274">
        <f t="shared" ca="1" si="49"/>
        <v>-7.7544722793212006E-2</v>
      </c>
      <c r="O274">
        <v>272</v>
      </c>
      <c r="P274" s="6">
        <f t="shared" ca="1" si="42"/>
        <v>1954.7971243867355</v>
      </c>
      <c r="Q274" s="6">
        <f t="shared" ca="1" si="43"/>
        <v>403.98109401219739</v>
      </c>
      <c r="R274" s="6">
        <f t="shared" ca="1" si="44"/>
        <v>150.4130897832207</v>
      </c>
      <c r="S274" s="6"/>
      <c r="T274" s="4">
        <f t="shared" ca="1" si="45"/>
        <v>-7.9931525911316713E-3</v>
      </c>
      <c r="U274" s="4">
        <f t="shared" ca="1" si="46"/>
        <v>5.3563211009443647E-2</v>
      </c>
      <c r="V274" s="4">
        <f t="shared" ca="1" si="47"/>
        <v>-2.6687009655367716E-2</v>
      </c>
      <c r="W274" s="4"/>
      <c r="X274">
        <v>272</v>
      </c>
      <c r="Y274" s="4">
        <f t="shared" ca="1" si="48"/>
        <v>3.3663723129861269E-3</v>
      </c>
      <c r="Z274" s="4">
        <f ca="1"/>
        <v>-1.243746020427456E-2</v>
      </c>
      <c r="AA274" s="4"/>
    </row>
    <row r="275" spans="1:27" x14ac:dyDescent="0.35">
      <c r="A275">
        <v>273</v>
      </c>
      <c r="B275">
        <f ca="1">_xlfn.NORM.INV(RAND(),Hitorical_Sim!$AB$4,Hitorical_Sim!$AB$5)</f>
        <v>-2.5240747087984894E-3</v>
      </c>
      <c r="C275">
        <f ca="1">_xlfn.NORM.INV(RAND(),Hitorical_Sim!$AB$4,Hitorical_Sim!$AB$5)</f>
        <v>1.8249404577779051E-2</v>
      </c>
      <c r="D275">
        <f ca="1">_xlfn.NORM.INV(RAND(),Hitorical_Sim!$AB$4,Hitorical_Sim!$AB$5)</f>
        <v>-4.1524447095203755E-3</v>
      </c>
      <c r="K275">
        <f t="shared" ca="1" si="49"/>
        <v>-0.47976611683089415</v>
      </c>
      <c r="L275">
        <f t="shared" ca="1" si="49"/>
        <v>-1.3418384773782308</v>
      </c>
      <c r="M275">
        <f t="shared" ca="1" si="49"/>
        <v>-1.1808699670539522</v>
      </c>
      <c r="O275">
        <v>273</v>
      </c>
      <c r="P275" s="6">
        <f t="shared" ca="1" si="42"/>
        <v>1921.050776433372</v>
      </c>
      <c r="Q275" s="6">
        <f t="shared" ca="1" si="43"/>
        <v>369.96826990513119</v>
      </c>
      <c r="R275" s="6">
        <f t="shared" ca="1" si="44"/>
        <v>145.43486303208618</v>
      </c>
      <c r="S275" s="6"/>
      <c r="T275" s="4">
        <f t="shared" ca="1" si="45"/>
        <v>-1.741409963104211E-2</v>
      </c>
      <c r="U275" s="4">
        <f t="shared" ca="1" si="46"/>
        <v>-8.7950834918856594E-2</v>
      </c>
      <c r="V275" s="4">
        <f t="shared" ca="1" si="47"/>
        <v>-3.3657131242722294E-2</v>
      </c>
      <c r="W275" s="4"/>
      <c r="X275">
        <v>273</v>
      </c>
      <c r="Y275" s="4">
        <f t="shared" ca="1" si="48"/>
        <v>-3.2294850367700072E-2</v>
      </c>
      <c r="Z275" s="4">
        <f ca="1"/>
        <v>-1.2306080871721234E-2</v>
      </c>
      <c r="AA275" s="4"/>
    </row>
    <row r="276" spans="1:27" x14ac:dyDescent="0.35">
      <c r="A276">
        <v>274</v>
      </c>
      <c r="B276">
        <f ca="1">_xlfn.NORM.INV(RAND(),Hitorical_Sim!$AB$4,Hitorical_Sim!$AB$5)</f>
        <v>-8.9737711210036274E-3</v>
      </c>
      <c r="C276">
        <f ca="1">_xlfn.NORM.INV(RAND(),Hitorical_Sim!$AB$4,Hitorical_Sim!$AB$5)</f>
        <v>-1.2628098391279187E-2</v>
      </c>
      <c r="D276">
        <f ca="1">_xlfn.NORM.INV(RAND(),Hitorical_Sim!$AB$4,Hitorical_Sim!$AB$5)</f>
        <v>8.6525866753461387E-3</v>
      </c>
      <c r="K276">
        <f t="shared" ca="1" si="49"/>
        <v>-1.2095396351314243</v>
      </c>
      <c r="L276">
        <f t="shared" ca="1" si="49"/>
        <v>-0.30115317740047459</v>
      </c>
      <c r="M276">
        <f t="shared" ca="1" si="49"/>
        <v>1.935810201403763</v>
      </c>
      <c r="O276">
        <v>274</v>
      </c>
      <c r="P276" s="6">
        <f t="shared" ca="1" si="42"/>
        <v>1895.7841731909252</v>
      </c>
      <c r="Q276" s="6">
        <f t="shared" ca="1" si="43"/>
        <v>381.11752619992097</v>
      </c>
      <c r="R276" s="6">
        <f t="shared" ca="1" si="44"/>
        <v>159.94071063888313</v>
      </c>
      <c r="S276" s="6"/>
      <c r="T276" s="4">
        <f t="shared" ca="1" si="45"/>
        <v>-1.3239751081133969E-2</v>
      </c>
      <c r="U276" s="4">
        <f t="shared" ca="1" si="46"/>
        <v>2.969055032887619E-2</v>
      </c>
      <c r="V276" s="4">
        <f t="shared" ca="1" si="47"/>
        <v>9.5074878434107224E-2</v>
      </c>
      <c r="W276" s="4"/>
      <c r="X276">
        <v>274</v>
      </c>
      <c r="Y276" s="4">
        <f t="shared" ca="1" si="48"/>
        <v>6.8827007809332819E-4</v>
      </c>
      <c r="Z276" s="4">
        <f ca="1"/>
        <v>-1.2229962308330365E-2</v>
      </c>
      <c r="AA276" s="4"/>
    </row>
    <row r="277" spans="1:27" x14ac:dyDescent="0.35">
      <c r="A277">
        <v>275</v>
      </c>
      <c r="B277">
        <f ca="1">_xlfn.NORM.INV(RAND(),Hitorical_Sim!$AB$4,Hitorical_Sim!$AB$5)</f>
        <v>6.2943962949538711E-3</v>
      </c>
      <c r="C277">
        <f ca="1">_xlfn.NORM.INV(RAND(),Hitorical_Sim!$AB$4,Hitorical_Sim!$AB$5)</f>
        <v>2.6301297284144896E-2</v>
      </c>
      <c r="D277">
        <f ca="1">_xlfn.NORM.INV(RAND(),Hitorical_Sim!$AB$4,Hitorical_Sim!$AB$5)</f>
        <v>1.1525214324900704E-2</v>
      </c>
      <c r="K277">
        <f t="shared" ca="1" si="49"/>
        <v>-0.20817357798462793</v>
      </c>
      <c r="L277">
        <f t="shared" ca="1" si="49"/>
        <v>7.1337849924029098E-2</v>
      </c>
      <c r="M277">
        <f t="shared" ca="1" si="49"/>
        <v>1.1364995366076719E-2</v>
      </c>
      <c r="O277">
        <v>275</v>
      </c>
      <c r="P277" s="6">
        <f t="shared" ca="1" si="42"/>
        <v>1930.5397402268588</v>
      </c>
      <c r="Q277" s="6">
        <f t="shared" ca="1" si="43"/>
        <v>385.18929633382396</v>
      </c>
      <c r="R277" s="6">
        <f t="shared" ca="1" si="44"/>
        <v>150.82159488868894</v>
      </c>
      <c r="S277" s="6"/>
      <c r="T277" s="4">
        <f t="shared" ca="1" si="45"/>
        <v>1.8167057320186916E-2</v>
      </c>
      <c r="U277" s="4">
        <f t="shared" ca="1" si="46"/>
        <v>1.0627096965883188E-2</v>
      </c>
      <c r="V277" s="4">
        <f t="shared" ca="1" si="47"/>
        <v>-5.8705540552040122E-2</v>
      </c>
      <c r="W277" s="4"/>
      <c r="X277">
        <v>275</v>
      </c>
      <c r="Y277" s="4">
        <f t="shared" ca="1" si="48"/>
        <v>1.2857888433959299E-2</v>
      </c>
      <c r="Z277" s="4">
        <f ca="1"/>
        <v>-1.2179858678212651E-2</v>
      </c>
      <c r="AA277" s="4"/>
    </row>
    <row r="278" spans="1:27" x14ac:dyDescent="0.35">
      <c r="A278">
        <v>276</v>
      </c>
      <c r="B278">
        <f ca="1">_xlfn.NORM.INV(RAND(),Hitorical_Sim!$AB$4,Hitorical_Sim!$AB$5)</f>
        <v>8.0225683499666051E-3</v>
      </c>
      <c r="C278">
        <f ca="1">_xlfn.NORM.INV(RAND(),Hitorical_Sim!$AB$4,Hitorical_Sim!$AB$5)</f>
        <v>1.5118759735426382E-2</v>
      </c>
      <c r="D278">
        <f ca="1">_xlfn.NORM.INV(RAND(),Hitorical_Sim!$AB$4,Hitorical_Sim!$AB$5)</f>
        <v>2.5173892711511502E-2</v>
      </c>
      <c r="K278">
        <f t="shared" ca="1" si="49"/>
        <v>-0.54050087322432183</v>
      </c>
      <c r="L278">
        <f t="shared" ca="1" si="49"/>
        <v>-0.74822445927233772</v>
      </c>
      <c r="M278">
        <f t="shared" ca="1" si="49"/>
        <v>-0.4921218476534131</v>
      </c>
      <c r="O278">
        <v>276</v>
      </c>
      <c r="P278" s="6">
        <f t="shared" ca="1" si="42"/>
        <v>1918.9352005242188</v>
      </c>
      <c r="Q278" s="6">
        <f t="shared" ca="1" si="43"/>
        <v>376.28729650470137</v>
      </c>
      <c r="R278" s="6">
        <f t="shared" ca="1" si="44"/>
        <v>148.52283129531119</v>
      </c>
      <c r="S278" s="6"/>
      <c r="T278" s="4">
        <f t="shared" ca="1" si="45"/>
        <v>-6.0291728270526288E-3</v>
      </c>
      <c r="U278" s="4">
        <f t="shared" ca="1" si="46"/>
        <v>-2.3381954169396625E-2</v>
      </c>
      <c r="V278" s="4">
        <f t="shared" ca="1" si="47"/>
        <v>-1.5358954979631018E-2</v>
      </c>
      <c r="W278" s="4"/>
      <c r="X278">
        <v>276</v>
      </c>
      <c r="Y278" s="4">
        <f t="shared" ca="1" si="48"/>
        <v>-9.953966126544601E-3</v>
      </c>
      <c r="Z278" s="4">
        <f ca="1"/>
        <v>-1.2149658913572963E-2</v>
      </c>
      <c r="AA278" s="4"/>
    </row>
    <row r="279" spans="1:27" x14ac:dyDescent="0.35">
      <c r="A279">
        <v>277</v>
      </c>
      <c r="B279">
        <f ca="1">_xlfn.NORM.INV(RAND(),Hitorical_Sim!$AB$4,Hitorical_Sim!$AB$5)</f>
        <v>3.2200104306950347E-2</v>
      </c>
      <c r="C279">
        <f ca="1">_xlfn.NORM.INV(RAND(),Hitorical_Sim!$AB$4,Hitorical_Sim!$AB$5)</f>
        <v>-6.3700954910195246E-3</v>
      </c>
      <c r="D279">
        <f ca="1">_xlfn.NORM.INV(RAND(),Hitorical_Sim!$AB$4,Hitorical_Sim!$AB$5)</f>
        <v>-6.1393873713825433E-3</v>
      </c>
      <c r="K279">
        <f t="shared" ca="1" si="49"/>
        <v>-0.22511543885383906</v>
      </c>
      <c r="L279">
        <f t="shared" ca="1" si="49"/>
        <v>-1.1181067871516877</v>
      </c>
      <c r="M279">
        <f t="shared" ca="1" si="49"/>
        <v>0.47672098339620134</v>
      </c>
      <c r="O279">
        <v>277</v>
      </c>
      <c r="P279" s="6">
        <f t="shared" ca="1" si="42"/>
        <v>1929.9464532222489</v>
      </c>
      <c r="Q279" s="6">
        <f t="shared" ca="1" si="43"/>
        <v>372.33733831993959</v>
      </c>
      <c r="R279" s="6">
        <f t="shared" ca="1" si="44"/>
        <v>152.97789196968014</v>
      </c>
      <c r="S279" s="6"/>
      <c r="T279" s="4">
        <f t="shared" ca="1" si="45"/>
        <v>5.7218089461572334E-3</v>
      </c>
      <c r="U279" s="4">
        <f t="shared" ca="1" si="46"/>
        <v>-1.0552671275262954E-2</v>
      </c>
      <c r="V279" s="4">
        <f t="shared" ca="1" si="47"/>
        <v>2.955472150014702E-2</v>
      </c>
      <c r="W279" s="4"/>
      <c r="X279">
        <v>277</v>
      </c>
      <c r="Y279" s="4">
        <f t="shared" ca="1" si="48"/>
        <v>3.6534354185812994E-3</v>
      </c>
      <c r="Z279" s="4">
        <f ca="1"/>
        <v>-1.2039122861358265E-2</v>
      </c>
      <c r="AA279" s="4"/>
    </row>
    <row r="280" spans="1:27" x14ac:dyDescent="0.35">
      <c r="A280">
        <v>278</v>
      </c>
      <c r="B280">
        <f ca="1">_xlfn.NORM.INV(RAND(),Hitorical_Sim!$AB$4,Hitorical_Sim!$AB$5)</f>
        <v>-5.6161355185350365E-3</v>
      </c>
      <c r="C280">
        <f ca="1">_xlfn.NORM.INV(RAND(),Hitorical_Sim!$AB$4,Hitorical_Sim!$AB$5)</f>
        <v>1.427175199046667E-2</v>
      </c>
      <c r="D280">
        <f ca="1">_xlfn.NORM.INV(RAND(),Hitorical_Sim!$AB$4,Hitorical_Sim!$AB$5)</f>
        <v>-3.0720700576048025E-2</v>
      </c>
      <c r="K280">
        <f t="shared" ca="1" si="49"/>
        <v>-0.42488180773729212</v>
      </c>
      <c r="L280">
        <f t="shared" ca="1" si="49"/>
        <v>1.9617651092659698</v>
      </c>
      <c r="M280">
        <f t="shared" ca="1" si="49"/>
        <v>-0.31390501022336276</v>
      </c>
      <c r="O280">
        <v>278</v>
      </c>
      <c r="P280" s="6">
        <f t="shared" ca="1" si="42"/>
        <v>1922.9645696150487</v>
      </c>
      <c r="Q280" s="6">
        <f t="shared" ca="1" si="43"/>
        <v>406.53434555260469</v>
      </c>
      <c r="R280" s="6">
        <f t="shared" ca="1" si="44"/>
        <v>149.33247987251227</v>
      </c>
      <c r="S280" s="6"/>
      <c r="T280" s="4">
        <f t="shared" ca="1" si="45"/>
        <v>-3.6242161877266428E-3</v>
      </c>
      <c r="U280" s="4">
        <f t="shared" ca="1" si="46"/>
        <v>8.7868149525158409E-2</v>
      </c>
      <c r="V280" s="4">
        <f t="shared" ca="1" si="47"/>
        <v>-2.4118185430435899E-2</v>
      </c>
      <c r="W280" s="4"/>
      <c r="X280">
        <v>278</v>
      </c>
      <c r="Y280" s="4">
        <f t="shared" ca="1" si="48"/>
        <v>1.3620491670678362E-2</v>
      </c>
      <c r="Z280" s="4">
        <f ca="1"/>
        <v>-1.2037967614678749E-2</v>
      </c>
      <c r="AA280" s="4"/>
    </row>
    <row r="281" spans="1:27" x14ac:dyDescent="0.35">
      <c r="A281">
        <v>279</v>
      </c>
      <c r="B281">
        <f ca="1">_xlfn.NORM.INV(RAND(),Hitorical_Sim!$AB$4,Hitorical_Sim!$AB$5)</f>
        <v>-9.081745455162292E-3</v>
      </c>
      <c r="C281">
        <f ca="1">_xlfn.NORM.INV(RAND(),Hitorical_Sim!$AB$4,Hitorical_Sim!$AB$5)</f>
        <v>-2.1286427806791779E-2</v>
      </c>
      <c r="D281">
        <f ca="1">_xlfn.NORM.INV(RAND(),Hitorical_Sim!$AB$4,Hitorical_Sim!$AB$5)</f>
        <v>-6.9720328271284729E-3</v>
      </c>
      <c r="K281">
        <f t="shared" ca="1" si="49"/>
        <v>-2.1791823891312574</v>
      </c>
      <c r="L281">
        <f t="shared" ca="1" si="49"/>
        <v>1.9686446015185373</v>
      </c>
      <c r="M281">
        <f t="shared" ca="1" si="49"/>
        <v>0.222792404896796</v>
      </c>
      <c r="O281">
        <v>279</v>
      </c>
      <c r="P281" s="6">
        <f t="shared" ca="1" si="42"/>
        <v>1862.7260633174271</v>
      </c>
      <c r="Q281" s="6">
        <f t="shared" ca="1" si="43"/>
        <v>406.61414411657751</v>
      </c>
      <c r="R281" s="6">
        <f t="shared" ca="1" si="44"/>
        <v>151.79748210983411</v>
      </c>
      <c r="S281" s="6"/>
      <c r="T281" s="4">
        <f t="shared" ca="1" si="45"/>
        <v>-3.1827001715866297E-2</v>
      </c>
      <c r="U281" s="4">
        <f t="shared" ca="1" si="46"/>
        <v>1.9627058339969177E-4</v>
      </c>
      <c r="V281" s="4">
        <f t="shared" ca="1" si="47"/>
        <v>1.6372049341109841E-2</v>
      </c>
      <c r="W281" s="4"/>
      <c r="X281">
        <v>279</v>
      </c>
      <c r="Y281" s="4">
        <f t="shared" ca="1" si="48"/>
        <v>-2.3050801890633261E-2</v>
      </c>
      <c r="Z281" s="4">
        <f ca="1"/>
        <v>-1.1887269601891385E-2</v>
      </c>
      <c r="AA281" s="4"/>
    </row>
    <row r="282" spans="1:27" x14ac:dyDescent="0.35">
      <c r="A282">
        <v>280</v>
      </c>
      <c r="B282">
        <f ca="1">_xlfn.NORM.INV(RAND(),Hitorical_Sim!$AB$4,Hitorical_Sim!$AB$5)</f>
        <v>-1.1916824706458634E-2</v>
      </c>
      <c r="C282">
        <f ca="1">_xlfn.NORM.INV(RAND(),Hitorical_Sim!$AB$4,Hitorical_Sim!$AB$5)</f>
        <v>-2.5003416738176125E-2</v>
      </c>
      <c r="D282">
        <f ca="1">_xlfn.NORM.INV(RAND(),Hitorical_Sim!$AB$4,Hitorical_Sim!$AB$5)</f>
        <v>7.7626129473338931E-3</v>
      </c>
      <c r="K282">
        <f t="shared" ca="1" si="49"/>
        <v>0.40249262367997346</v>
      </c>
      <c r="L282">
        <f t="shared" ca="1" si="49"/>
        <v>-0.11593879039955628</v>
      </c>
      <c r="M282">
        <f t="shared" ca="1" si="49"/>
        <v>-1.2289048900354553</v>
      </c>
      <c r="O282">
        <v>280</v>
      </c>
      <c r="P282" s="6">
        <f t="shared" ca="1" si="42"/>
        <v>1952.0468631874471</v>
      </c>
      <c r="Q282" s="6">
        <f t="shared" ca="1" si="43"/>
        <v>383.13673117013599</v>
      </c>
      <c r="R282" s="6">
        <f t="shared" ca="1" si="44"/>
        <v>145.22191137879076</v>
      </c>
      <c r="S282" s="6"/>
      <c r="T282" s="4">
        <f t="shared" ca="1" si="45"/>
        <v>4.6837455299286776E-2</v>
      </c>
      <c r="U282" s="4">
        <f t="shared" ca="1" si="46"/>
        <v>-5.9472760991057083E-2</v>
      </c>
      <c r="V282" s="4">
        <f t="shared" ca="1" si="47"/>
        <v>-4.4284282113908752E-2</v>
      </c>
      <c r="W282" s="4"/>
      <c r="X282">
        <v>280</v>
      </c>
      <c r="Y282" s="4">
        <f t="shared" ca="1" si="48"/>
        <v>2.1111703454517978E-2</v>
      </c>
      <c r="Z282" s="4">
        <f ca="1"/>
        <v>-1.1779099250718678E-2</v>
      </c>
      <c r="AA282" s="4"/>
    </row>
    <row r="283" spans="1:27" x14ac:dyDescent="0.35">
      <c r="A283">
        <v>281</v>
      </c>
      <c r="B283">
        <f ca="1">_xlfn.NORM.INV(RAND(),Hitorical_Sim!$AB$4,Hitorical_Sim!$AB$5)</f>
        <v>-2.0071007744732593E-2</v>
      </c>
      <c r="C283">
        <f ca="1">_xlfn.NORM.INV(RAND(),Hitorical_Sim!$AB$4,Hitorical_Sim!$AB$5)</f>
        <v>-4.0982396643508851E-3</v>
      </c>
      <c r="D283">
        <f ca="1">_xlfn.NORM.INV(RAND(),Hitorical_Sim!$AB$4,Hitorical_Sim!$AB$5)</f>
        <v>-4.5267115529535704E-2</v>
      </c>
      <c r="K283">
        <f t="shared" ca="1" si="49"/>
        <v>0.3018293001993439</v>
      </c>
      <c r="L283">
        <f t="shared" ca="1" si="49"/>
        <v>-3.645596238539115</v>
      </c>
      <c r="M283">
        <f t="shared" ca="1" si="49"/>
        <v>0.89039752206628475</v>
      </c>
      <c r="O283">
        <v>281</v>
      </c>
      <c r="P283" s="6">
        <f t="shared" ca="1" si="42"/>
        <v>1948.4851682625376</v>
      </c>
      <c r="Q283" s="6">
        <f t="shared" ca="1" si="43"/>
        <v>346.43370805889407</v>
      </c>
      <c r="R283" s="6">
        <f t="shared" ca="1" si="44"/>
        <v>154.920594146398</v>
      </c>
      <c r="S283" s="6"/>
      <c r="T283" s="4">
        <f t="shared" ca="1" si="45"/>
        <v>-1.8262615900161722E-3</v>
      </c>
      <c r="U283" s="4">
        <f t="shared" ca="1" si="46"/>
        <v>-0.10070044432252515</v>
      </c>
      <c r="V283" s="4">
        <f t="shared" ca="1" si="47"/>
        <v>6.4649694002895344E-2</v>
      </c>
      <c r="W283" s="4"/>
      <c r="X283">
        <v>281</v>
      </c>
      <c r="Y283" s="4">
        <f t="shared" ca="1" si="48"/>
        <v>-1.8268491000707668E-2</v>
      </c>
      <c r="Z283" s="4">
        <f ca="1"/>
        <v>-1.1610446079794457E-2</v>
      </c>
      <c r="AA283" s="4"/>
    </row>
    <row r="284" spans="1:27" x14ac:dyDescent="0.35">
      <c r="A284">
        <v>282</v>
      </c>
      <c r="B284">
        <f ca="1">_xlfn.NORM.INV(RAND(),Hitorical_Sim!$AB$4,Hitorical_Sim!$AB$5)</f>
        <v>3.3329746992737122E-2</v>
      </c>
      <c r="C284">
        <f ca="1">_xlfn.NORM.INV(RAND(),Hitorical_Sim!$AB$4,Hitorical_Sim!$AB$5)</f>
        <v>-2.5526453651184125E-4</v>
      </c>
      <c r="D284">
        <f ca="1">_xlfn.NORM.INV(RAND(),Hitorical_Sim!$AB$4,Hitorical_Sim!$AB$5)</f>
        <v>-2.0377118238820709E-2</v>
      </c>
      <c r="K284">
        <f t="shared" ref="K284:M303" ca="1" si="50">_xlfn.NORM.S.INV(RAND())</f>
        <v>0.14505133093699996</v>
      </c>
      <c r="L284">
        <f t="shared" ca="1" si="50"/>
        <v>1.0499858563908031</v>
      </c>
      <c r="M284">
        <f t="shared" ca="1" si="50"/>
        <v>-0.47557299696408895</v>
      </c>
      <c r="O284">
        <v>282</v>
      </c>
      <c r="P284" s="6">
        <f t="shared" ca="1" si="42"/>
        <v>1942.9509488694775</v>
      </c>
      <c r="Q284" s="6">
        <f t="shared" ca="1" si="43"/>
        <v>396.0955739868229</v>
      </c>
      <c r="R284" s="6">
        <f t="shared" ca="1" si="44"/>
        <v>148.59782835285779</v>
      </c>
      <c r="S284" s="6"/>
      <c r="T284" s="4">
        <f t="shared" ca="1" si="45"/>
        <v>-2.8443088656777489E-3</v>
      </c>
      <c r="U284" s="4">
        <f t="shared" ca="1" si="46"/>
        <v>0.13396404899335732</v>
      </c>
      <c r="V284" s="4">
        <f t="shared" ca="1" si="47"/>
        <v>-4.1669171689712688E-2</v>
      </c>
      <c r="W284" s="4"/>
      <c r="X284">
        <v>282</v>
      </c>
      <c r="Y284" s="4">
        <f t="shared" ca="1" si="48"/>
        <v>2.2536827025918135E-2</v>
      </c>
      <c r="Z284" s="4">
        <f ca="1"/>
        <v>-1.1588174858086846E-2</v>
      </c>
      <c r="AA284" s="4"/>
    </row>
    <row r="285" spans="1:27" x14ac:dyDescent="0.35">
      <c r="A285">
        <v>283</v>
      </c>
      <c r="B285">
        <f ca="1">_xlfn.NORM.INV(RAND(),Hitorical_Sim!$AB$4,Hitorical_Sim!$AB$5)</f>
        <v>1.0705857519684447E-2</v>
      </c>
      <c r="C285">
        <f ca="1">_xlfn.NORM.INV(RAND(),Hitorical_Sim!$AB$4,Hitorical_Sim!$AB$5)</f>
        <v>-5.3490805485916559E-2</v>
      </c>
      <c r="D285">
        <f ca="1">_xlfn.NORM.INV(RAND(),Hitorical_Sim!$AB$4,Hitorical_Sim!$AB$5)</f>
        <v>2.3143389786724693E-2</v>
      </c>
      <c r="K285">
        <f t="shared" ca="1" si="50"/>
        <v>-1.4239352702389572</v>
      </c>
      <c r="L285">
        <f t="shared" ca="1" si="50"/>
        <v>1.3899962150673255E-2</v>
      </c>
      <c r="M285">
        <f t="shared" ca="1" si="50"/>
        <v>0.36468864733659784</v>
      </c>
      <c r="O285">
        <v>283</v>
      </c>
      <c r="P285" s="6">
        <f t="shared" ca="1" si="42"/>
        <v>1888.4246071739321</v>
      </c>
      <c r="Q285" s="6">
        <f t="shared" ca="1" si="43"/>
        <v>384.55860667540009</v>
      </c>
      <c r="R285" s="6">
        <f t="shared" ca="1" si="44"/>
        <v>152.45597225566584</v>
      </c>
      <c r="S285" s="6"/>
      <c r="T285" s="4">
        <f t="shared" ca="1" si="45"/>
        <v>-2.8464984722355636E-2</v>
      </c>
      <c r="U285" s="4">
        <f t="shared" ca="1" si="46"/>
        <v>-2.9559330172755346E-2</v>
      </c>
      <c r="V285" s="4">
        <f t="shared" ca="1" si="47"/>
        <v>2.5632329711990774E-2</v>
      </c>
      <c r="W285" s="4"/>
      <c r="X285">
        <v>283</v>
      </c>
      <c r="Y285" s="4">
        <f t="shared" ca="1" si="48"/>
        <v>-2.6006098920565202E-2</v>
      </c>
      <c r="Z285" s="4">
        <f ca="1"/>
        <v>-1.1587874026576885E-2</v>
      </c>
      <c r="AA285" s="4"/>
    </row>
    <row r="286" spans="1:27" x14ac:dyDescent="0.35">
      <c r="A286">
        <v>284</v>
      </c>
      <c r="B286">
        <f ca="1">_xlfn.NORM.INV(RAND(),Hitorical_Sim!$AB$4,Hitorical_Sim!$AB$5)</f>
        <v>5.777826099141483E-3</v>
      </c>
      <c r="C286">
        <f ca="1">_xlfn.NORM.INV(RAND(),Hitorical_Sim!$AB$4,Hitorical_Sim!$AB$5)</f>
        <v>9.2866718008680349E-3</v>
      </c>
      <c r="D286">
        <f ca="1">_xlfn.NORM.INV(RAND(),Hitorical_Sim!$AB$4,Hitorical_Sim!$AB$5)</f>
        <v>-1.520049331554321E-3</v>
      </c>
      <c r="K286">
        <f t="shared" ca="1" si="50"/>
        <v>0.42220954297194152</v>
      </c>
      <c r="L286">
        <f t="shared" ca="1" si="50"/>
        <v>-0.83666579736133118</v>
      </c>
      <c r="M286">
        <f t="shared" ca="1" si="50"/>
        <v>8.9173617316813433E-2</v>
      </c>
      <c r="O286">
        <v>284</v>
      </c>
      <c r="P286" s="6">
        <f t="shared" ca="1" si="42"/>
        <v>1952.7452542880105</v>
      </c>
      <c r="Q286" s="6">
        <f t="shared" ca="1" si="43"/>
        <v>375.33903985891675</v>
      </c>
      <c r="R286" s="6">
        <f t="shared" ca="1" si="44"/>
        <v>151.18000504606707</v>
      </c>
      <c r="S286" s="6"/>
      <c r="T286" s="4">
        <f t="shared" ca="1" si="45"/>
        <v>3.3493264929042407E-2</v>
      </c>
      <c r="U286" s="4">
        <f t="shared" ca="1" si="46"/>
        <v>-2.4266476610508309E-2</v>
      </c>
      <c r="V286" s="4">
        <f t="shared" ca="1" si="47"/>
        <v>-8.4046346015872742E-3</v>
      </c>
      <c r="W286" s="4"/>
      <c r="X286">
        <v>284</v>
      </c>
      <c r="Y286" s="4">
        <f t="shared" ca="1" si="48"/>
        <v>1.9892731777194028E-2</v>
      </c>
      <c r="Z286" s="4">
        <f ca="1"/>
        <v>-1.1518378096560655E-2</v>
      </c>
      <c r="AA286" s="4"/>
    </row>
    <row r="287" spans="1:27" x14ac:dyDescent="0.35">
      <c r="A287">
        <v>285</v>
      </c>
      <c r="B287">
        <f ca="1">_xlfn.NORM.INV(RAND(),Hitorical_Sim!$AB$4,Hitorical_Sim!$AB$5)</f>
        <v>-1.5213960441392943E-2</v>
      </c>
      <c r="C287">
        <f ca="1">_xlfn.NORM.INV(RAND(),Hitorical_Sim!$AB$4,Hitorical_Sim!$AB$5)</f>
        <v>-9.5268748810390801E-4</v>
      </c>
      <c r="D287">
        <f ca="1">_xlfn.NORM.INV(RAND(),Hitorical_Sim!$AB$4,Hitorical_Sim!$AB$5)</f>
        <v>-6.3522900503960242E-3</v>
      </c>
      <c r="K287">
        <f t="shared" ca="1" si="50"/>
        <v>-7.9442944986388445E-2</v>
      </c>
      <c r="L287">
        <f t="shared" ca="1" si="50"/>
        <v>1.3952092239505984</v>
      </c>
      <c r="M287">
        <f t="shared" ca="1" si="50"/>
        <v>0.23524801822763911</v>
      </c>
      <c r="O287">
        <v>285</v>
      </c>
      <c r="P287" s="6">
        <f t="shared" ca="1" si="42"/>
        <v>1935.0537200117224</v>
      </c>
      <c r="Q287" s="6">
        <f t="shared" ca="1" si="43"/>
        <v>400.01605607618546</v>
      </c>
      <c r="R287" s="6">
        <f t="shared" ca="1" si="44"/>
        <v>151.85517014360309</v>
      </c>
      <c r="S287" s="6"/>
      <c r="T287" s="4">
        <f t="shared" ca="1" si="45"/>
        <v>-9.1011168578257716E-3</v>
      </c>
      <c r="U287" s="4">
        <f t="shared" ca="1" si="46"/>
        <v>6.3674962689912143E-2</v>
      </c>
      <c r="V287" s="4">
        <f t="shared" ca="1" si="47"/>
        <v>4.4560253726015258E-3</v>
      </c>
      <c r="W287" s="4"/>
      <c r="X287">
        <v>285</v>
      </c>
      <c r="Y287" s="4">
        <f t="shared" ca="1" si="48"/>
        <v>6.0936108005038535E-3</v>
      </c>
      <c r="Z287" s="4">
        <f ca="1"/>
        <v>-1.1451307470478896E-2</v>
      </c>
      <c r="AA287" s="4"/>
    </row>
    <row r="288" spans="1:27" x14ac:dyDescent="0.35">
      <c r="A288">
        <v>286</v>
      </c>
      <c r="B288">
        <f ca="1">_xlfn.NORM.INV(RAND(),Hitorical_Sim!$AB$4,Hitorical_Sim!$AB$5)</f>
        <v>-2.7483973164736081E-2</v>
      </c>
      <c r="C288">
        <f ca="1">_xlfn.NORM.INV(RAND(),Hitorical_Sim!$AB$4,Hitorical_Sim!$AB$5)</f>
        <v>1.4737661455727392E-3</v>
      </c>
      <c r="D288">
        <f ca="1">_xlfn.NORM.INV(RAND(),Hitorical_Sim!$AB$4,Hitorical_Sim!$AB$5)</f>
        <v>-9.5477235462783621E-3</v>
      </c>
      <c r="K288">
        <f t="shared" ca="1" si="50"/>
        <v>1.3065782619698461</v>
      </c>
      <c r="L288">
        <f t="shared" ca="1" si="50"/>
        <v>-0.27717172455626754</v>
      </c>
      <c r="M288">
        <f t="shared" ca="1" si="50"/>
        <v>1.4644342687948033</v>
      </c>
      <c r="O288">
        <v>286</v>
      </c>
      <c r="P288" s="6">
        <f t="shared" ca="1" si="42"/>
        <v>1984.3286885950265</v>
      </c>
      <c r="Q288" s="6">
        <f t="shared" ca="1" si="43"/>
        <v>381.37837077921904</v>
      </c>
      <c r="R288" s="6">
        <f t="shared" ca="1" si="44"/>
        <v>157.65731451011297</v>
      </c>
      <c r="S288" s="6"/>
      <c r="T288" s="4">
        <f t="shared" ca="1" si="45"/>
        <v>2.5145576419390404E-2</v>
      </c>
      <c r="U288" s="4">
        <f t="shared" ca="1" si="46"/>
        <v>-4.7712705004825384E-2</v>
      </c>
      <c r="V288" s="4">
        <f t="shared" ca="1" si="47"/>
        <v>3.7496543446541748E-2</v>
      </c>
      <c r="W288" s="4"/>
      <c r="X288">
        <v>286</v>
      </c>
      <c r="Y288" s="4">
        <f t="shared" ca="1" si="48"/>
        <v>1.1216638905871953E-2</v>
      </c>
      <c r="Z288" s="4">
        <f ca="1"/>
        <v>-1.1423959333679436E-2</v>
      </c>
      <c r="AA288" s="4"/>
    </row>
    <row r="289" spans="1:27" x14ac:dyDescent="0.35">
      <c r="A289">
        <v>287</v>
      </c>
      <c r="B289">
        <f ca="1">_xlfn.NORM.INV(RAND(),Hitorical_Sim!$AB$4,Hitorical_Sim!$AB$5)</f>
        <v>-1.2294103417607611E-2</v>
      </c>
      <c r="C289">
        <f ca="1">_xlfn.NORM.INV(RAND(),Hitorical_Sim!$AB$4,Hitorical_Sim!$AB$5)</f>
        <v>5.9230114362631833E-3</v>
      </c>
      <c r="D289">
        <f ca="1">_xlfn.NORM.INV(RAND(),Hitorical_Sim!$AB$4,Hitorical_Sim!$AB$5)</f>
        <v>-2.1444347194180122E-2</v>
      </c>
      <c r="K289">
        <f t="shared" ca="1" si="50"/>
        <v>-0.20982670359876426</v>
      </c>
      <c r="L289">
        <f t="shared" ca="1" si="50"/>
        <v>3.1892173194407333E-2</v>
      </c>
      <c r="M289">
        <f t="shared" ca="1" si="50"/>
        <v>1.1746722996060153</v>
      </c>
      <c r="O289">
        <v>287</v>
      </c>
      <c r="P289" s="6">
        <f t="shared" ca="1" si="42"/>
        <v>1930.4818413940557</v>
      </c>
      <c r="Q289" s="6">
        <f t="shared" ca="1" si="43"/>
        <v>384.75605678049993</v>
      </c>
      <c r="R289" s="6">
        <f t="shared" ca="1" si="44"/>
        <v>156.26988461671667</v>
      </c>
      <c r="S289" s="6"/>
      <c r="T289" s="4">
        <f t="shared" ca="1" si="45"/>
        <v>-2.7511034285100211E-2</v>
      </c>
      <c r="U289" s="4">
        <f t="shared" ca="1" si="46"/>
        <v>8.8175332266163999E-3</v>
      </c>
      <c r="V289" s="4">
        <f t="shared" ca="1" si="47"/>
        <v>-8.8392399946139542E-3</v>
      </c>
      <c r="W289" s="4"/>
      <c r="X289">
        <v>287</v>
      </c>
      <c r="Y289" s="4">
        <f t="shared" ca="1" si="48"/>
        <v>-1.9336942114871775E-2</v>
      </c>
      <c r="Z289" s="4">
        <f ca="1"/>
        <v>-1.1291283839550666E-2</v>
      </c>
      <c r="AA289" s="4"/>
    </row>
    <row r="290" spans="1:27" x14ac:dyDescent="0.35">
      <c r="A290">
        <v>288</v>
      </c>
      <c r="B290">
        <f ca="1">_xlfn.NORM.INV(RAND(),Hitorical_Sim!$AB$4,Hitorical_Sim!$AB$5)</f>
        <v>-1.9104373125111339E-2</v>
      </c>
      <c r="C290">
        <f ca="1">_xlfn.NORM.INV(RAND(),Hitorical_Sim!$AB$4,Hitorical_Sim!$AB$5)</f>
        <v>-9.3448732933903086E-3</v>
      </c>
      <c r="D290">
        <f ca="1">_xlfn.NORM.INV(RAND(),Hitorical_Sim!$AB$4,Hitorical_Sim!$AB$5)</f>
        <v>1.1256427435673099E-2</v>
      </c>
      <c r="K290">
        <f t="shared" ca="1" si="50"/>
        <v>0.87072435844349771</v>
      </c>
      <c r="L290">
        <f t="shared" ca="1" si="50"/>
        <v>0.41193018146218568</v>
      </c>
      <c r="M290">
        <f t="shared" ca="1" si="50"/>
        <v>-0.16606910741590986</v>
      </c>
      <c r="O290">
        <v>288</v>
      </c>
      <c r="P290" s="6">
        <f t="shared" ca="1" si="42"/>
        <v>1968.6997193371203</v>
      </c>
      <c r="Q290" s="6">
        <f t="shared" ca="1" si="43"/>
        <v>388.95043754347597</v>
      </c>
      <c r="R290" s="6">
        <f t="shared" ca="1" si="44"/>
        <v>150.00745440426289</v>
      </c>
      <c r="S290" s="6"/>
      <c r="T290" s="4">
        <f t="shared" ca="1" si="45"/>
        <v>1.9603653370720252E-2</v>
      </c>
      <c r="U290" s="4">
        <f t="shared" ca="1" si="46"/>
        <v>1.084241087252954E-2</v>
      </c>
      <c r="V290" s="4">
        <f t="shared" ca="1" si="47"/>
        <v>-4.0899553176565524E-2</v>
      </c>
      <c r="W290" s="4"/>
      <c r="X290">
        <v>288</v>
      </c>
      <c r="Y290" s="4">
        <f t="shared" ca="1" si="48"/>
        <v>1.4860878490226898E-2</v>
      </c>
      <c r="Z290" s="4">
        <f ca="1"/>
        <v>-1.1285984865063239E-2</v>
      </c>
      <c r="AA290" s="4"/>
    </row>
    <row r="291" spans="1:27" x14ac:dyDescent="0.35">
      <c r="A291">
        <v>289</v>
      </c>
      <c r="B291">
        <f ca="1">_xlfn.NORM.INV(RAND(),Hitorical_Sim!$AB$4,Hitorical_Sim!$AB$5)</f>
        <v>1.2406883157175596E-2</v>
      </c>
      <c r="C291">
        <f ca="1">_xlfn.NORM.INV(RAND(),Hitorical_Sim!$AB$4,Hitorical_Sim!$AB$5)</f>
        <v>2.4377571826303276E-3</v>
      </c>
      <c r="D291">
        <f ca="1">_xlfn.NORM.INV(RAND(),Hitorical_Sim!$AB$4,Hitorical_Sim!$AB$5)</f>
        <v>3.6954132494175722E-2</v>
      </c>
      <c r="K291">
        <f t="shared" ca="1" si="50"/>
        <v>0.3144300605369057</v>
      </c>
      <c r="L291">
        <f t="shared" ca="1" si="50"/>
        <v>0.93747322293999091</v>
      </c>
      <c r="M291">
        <f t="shared" ca="1" si="50"/>
        <v>0.26859608982170891</v>
      </c>
      <c r="O291">
        <v>289</v>
      </c>
      <c r="P291" s="6">
        <f t="shared" ca="1" si="42"/>
        <v>1948.9306554503487</v>
      </c>
      <c r="Q291" s="6">
        <f t="shared" ca="1" si="43"/>
        <v>394.82616006027553</v>
      </c>
      <c r="R291" s="6">
        <f t="shared" ca="1" si="44"/>
        <v>152.00972931092087</v>
      </c>
      <c r="S291" s="6"/>
      <c r="T291" s="4">
        <f t="shared" ca="1" si="45"/>
        <v>-1.0092443542332526E-2</v>
      </c>
      <c r="U291" s="4">
        <f t="shared" ca="1" si="46"/>
        <v>1.4993641327806563E-2</v>
      </c>
      <c r="V291" s="4">
        <f t="shared" ca="1" si="47"/>
        <v>1.3259538532422977E-2</v>
      </c>
      <c r="W291" s="4"/>
      <c r="X291">
        <v>289</v>
      </c>
      <c r="Y291" s="4">
        <f t="shared" ca="1" si="48"/>
        <v>-3.9303692946134868E-3</v>
      </c>
      <c r="Z291" s="4">
        <f ca="1"/>
        <v>-1.1185731881050825E-2</v>
      </c>
      <c r="AA291" s="4"/>
    </row>
    <row r="292" spans="1:27" x14ac:dyDescent="0.35">
      <c r="A292">
        <v>290</v>
      </c>
      <c r="B292">
        <f ca="1">_xlfn.NORM.INV(RAND(),Hitorical_Sim!$AB$4,Hitorical_Sim!$AB$5)</f>
        <v>-8.7399699838551417E-3</v>
      </c>
      <c r="C292">
        <f ca="1">_xlfn.NORM.INV(RAND(),Hitorical_Sim!$AB$4,Hitorical_Sim!$AB$5)</f>
        <v>-3.7591462451202064E-3</v>
      </c>
      <c r="D292">
        <f ca="1">_xlfn.NORM.INV(RAND(),Hitorical_Sim!$AB$4,Hitorical_Sim!$AB$5)</f>
        <v>1.955408956529109E-3</v>
      </c>
      <c r="K292">
        <f t="shared" ca="1" si="50"/>
        <v>0.8940685611497744</v>
      </c>
      <c r="L292">
        <f t="shared" ca="1" si="50"/>
        <v>1.6591826290554529E-2</v>
      </c>
      <c r="M292">
        <f t="shared" ca="1" si="50"/>
        <v>0.96118730386151374</v>
      </c>
      <c r="O292">
        <v>290</v>
      </c>
      <c r="P292" s="6">
        <f t="shared" ca="1" si="42"/>
        <v>1969.533673563732</v>
      </c>
      <c r="Q292" s="6">
        <f t="shared" ca="1" si="43"/>
        <v>384.58814128106661</v>
      </c>
      <c r="R292" s="6">
        <f t="shared" ca="1" si="44"/>
        <v>155.25549964098784</v>
      </c>
      <c r="S292" s="6"/>
      <c r="T292" s="4">
        <f t="shared" ca="1" si="45"/>
        <v>1.0515960462675653E-2</v>
      </c>
      <c r="U292" s="4">
        <f t="shared" ca="1" si="46"/>
        <v>-2.6272568138254862E-2</v>
      </c>
      <c r="V292" s="4">
        <f t="shared" ca="1" si="47"/>
        <v>2.1127617182468285E-2</v>
      </c>
      <c r="W292" s="4"/>
      <c r="X292">
        <v>290</v>
      </c>
      <c r="Y292" s="4">
        <f t="shared" ca="1" si="48"/>
        <v>3.6993160648630345E-3</v>
      </c>
      <c r="Z292" s="4">
        <f ca="1"/>
        <v>-1.1084616915221748E-2</v>
      </c>
      <c r="AA292" s="4"/>
    </row>
    <row r="293" spans="1:27" x14ac:dyDescent="0.35">
      <c r="A293">
        <v>291</v>
      </c>
      <c r="B293">
        <f ca="1">_xlfn.NORM.INV(RAND(),Hitorical_Sim!$AB$4,Hitorical_Sim!$AB$5)</f>
        <v>-3.7420305926607407E-3</v>
      </c>
      <c r="C293">
        <f ca="1">_xlfn.NORM.INV(RAND(),Hitorical_Sim!$AB$4,Hitorical_Sim!$AB$5)</f>
        <v>-3.8319820245167001E-3</v>
      </c>
      <c r="D293">
        <f ca="1">_xlfn.NORM.INV(RAND(),Hitorical_Sim!$AB$4,Hitorical_Sim!$AB$5)</f>
        <v>-7.7538049935862259E-3</v>
      </c>
      <c r="K293">
        <f t="shared" ca="1" si="50"/>
        <v>1.6211216885861177</v>
      </c>
      <c r="L293">
        <f t="shared" ca="1" si="50"/>
        <v>0.14155523252692809</v>
      </c>
      <c r="M293">
        <f t="shared" ca="1" si="50"/>
        <v>-0.50476176848157128</v>
      </c>
      <c r="O293">
        <v>291</v>
      </c>
      <c r="P293" s="6">
        <f t="shared" ca="1" si="42"/>
        <v>1995.684696661373</v>
      </c>
      <c r="Q293" s="6">
        <f t="shared" ca="1" si="43"/>
        <v>385.96171499206952</v>
      </c>
      <c r="R293" s="6">
        <f t="shared" ca="1" si="44"/>
        <v>148.46557445356581</v>
      </c>
      <c r="S293" s="6"/>
      <c r="T293" s="4">
        <f t="shared" ca="1" si="45"/>
        <v>1.3190397004859763E-2</v>
      </c>
      <c r="U293" s="4">
        <f t="shared" ca="1" si="46"/>
        <v>3.5651818106857856E-3</v>
      </c>
      <c r="V293" s="4">
        <f t="shared" ca="1" si="47"/>
        <v>-4.4719035098356147E-2</v>
      </c>
      <c r="W293" s="4"/>
      <c r="X293">
        <v>291</v>
      </c>
      <c r="Y293" s="4">
        <f t="shared" ca="1" si="48"/>
        <v>8.403566978843497E-3</v>
      </c>
      <c r="Z293" s="4">
        <f ca="1"/>
        <v>-1.1035404775697621E-2</v>
      </c>
      <c r="AA293" s="4"/>
    </row>
    <row r="294" spans="1:27" x14ac:dyDescent="0.35">
      <c r="A294">
        <v>292</v>
      </c>
      <c r="B294">
        <f ca="1">_xlfn.NORM.INV(RAND(),Hitorical_Sim!$AB$4,Hitorical_Sim!$AB$5)</f>
        <v>-1.1170301270208616E-2</v>
      </c>
      <c r="C294">
        <f ca="1">_xlfn.NORM.INV(RAND(),Hitorical_Sim!$AB$4,Hitorical_Sim!$AB$5)</f>
        <v>-1.4892296940920344E-2</v>
      </c>
      <c r="D294">
        <f ca="1">_xlfn.NORM.INV(RAND(),Hitorical_Sim!$AB$4,Hitorical_Sim!$AB$5)</f>
        <v>5.7825353267100038E-3</v>
      </c>
      <c r="K294">
        <f t="shared" ca="1" si="50"/>
        <v>-0.47385567726977157</v>
      </c>
      <c r="L294">
        <f t="shared" ca="1" si="50"/>
        <v>-0.94721009409612011</v>
      </c>
      <c r="M294">
        <f t="shared" ca="1" si="50"/>
        <v>-1.8280931797230369</v>
      </c>
      <c r="O294">
        <v>292</v>
      </c>
      <c r="P294" s="6">
        <f t="shared" ca="1" si="42"/>
        <v>1921.2567794735417</v>
      </c>
      <c r="Q294" s="6">
        <f t="shared" ca="1" si="43"/>
        <v>374.15715750975426</v>
      </c>
      <c r="R294" s="6">
        <f t="shared" ca="1" si="44"/>
        <v>142.59160728765198</v>
      </c>
      <c r="S294" s="6"/>
      <c r="T294" s="4">
        <f t="shared" ca="1" si="45"/>
        <v>-3.8007653263624555E-2</v>
      </c>
      <c r="U294" s="4">
        <f t="shared" ca="1" si="46"/>
        <v>-3.1062264189883192E-2</v>
      </c>
      <c r="V294" s="4">
        <f t="shared" ca="1" si="47"/>
        <v>-4.0368458183528542E-2</v>
      </c>
      <c r="W294" s="4"/>
      <c r="X294">
        <v>292</v>
      </c>
      <c r="Y294" s="4">
        <f t="shared" ca="1" si="48"/>
        <v>-3.6738411407850044E-2</v>
      </c>
      <c r="Z294" s="4">
        <f ca="1"/>
        <v>-1.1002164704371131E-2</v>
      </c>
      <c r="AA294" s="4"/>
    </row>
    <row r="295" spans="1:27" x14ac:dyDescent="0.35">
      <c r="A295">
        <v>293</v>
      </c>
      <c r="B295">
        <f ca="1">_xlfn.NORM.INV(RAND(),Hitorical_Sim!$AB$4,Hitorical_Sim!$AB$5)</f>
        <v>6.6850470186266883E-3</v>
      </c>
      <c r="C295">
        <f ca="1">_xlfn.NORM.INV(RAND(),Hitorical_Sim!$AB$4,Hitorical_Sim!$AB$5)</f>
        <v>-1.1897555208651002E-2</v>
      </c>
      <c r="D295">
        <f ca="1">_xlfn.NORM.INV(RAND(),Hitorical_Sim!$AB$4,Hitorical_Sim!$AB$5)</f>
        <v>6.8945505656816085E-3</v>
      </c>
      <c r="K295">
        <f t="shared" ca="1" si="50"/>
        <v>0.21708749677872161</v>
      </c>
      <c r="L295">
        <f t="shared" ca="1" si="50"/>
        <v>0.63441720909353394</v>
      </c>
      <c r="M295">
        <f t="shared" ca="1" si="50"/>
        <v>0.58276549332638783</v>
      </c>
      <c r="O295">
        <v>293</v>
      </c>
      <c r="P295" s="6">
        <f t="shared" ca="1" si="42"/>
        <v>1945.4918511718254</v>
      </c>
      <c r="Q295" s="6">
        <f t="shared" ca="1" si="43"/>
        <v>391.42715724954871</v>
      </c>
      <c r="R295" s="6">
        <f t="shared" ca="1" si="44"/>
        <v>153.47356243610622</v>
      </c>
      <c r="S295" s="6"/>
      <c r="T295" s="4">
        <f t="shared" ca="1" si="45"/>
        <v>1.2535280338637165E-2</v>
      </c>
      <c r="U295" s="4">
        <f t="shared" ca="1" si="46"/>
        <v>4.5123521056635411E-2</v>
      </c>
      <c r="V295" s="4">
        <f t="shared" ca="1" si="47"/>
        <v>7.3543669184192528E-2</v>
      </c>
      <c r="W295" s="4"/>
      <c r="X295">
        <v>293</v>
      </c>
      <c r="Y295" s="4">
        <f t="shared" ca="1" si="48"/>
        <v>2.2058164979098471E-2</v>
      </c>
      <c r="Z295" s="4">
        <f ca="1"/>
        <v>-1.0993020604276723E-2</v>
      </c>
      <c r="AA295" s="4"/>
    </row>
    <row r="296" spans="1:27" x14ac:dyDescent="0.35">
      <c r="A296">
        <v>294</v>
      </c>
      <c r="B296">
        <f ca="1">_xlfn.NORM.INV(RAND(),Hitorical_Sim!$AB$4,Hitorical_Sim!$AB$5)</f>
        <v>-2.6117379109285917E-2</v>
      </c>
      <c r="C296">
        <f ca="1">_xlfn.NORM.INV(RAND(),Hitorical_Sim!$AB$4,Hitorical_Sim!$AB$5)</f>
        <v>-2.4834368133425629E-3</v>
      </c>
      <c r="D296">
        <f ca="1">_xlfn.NORM.INV(RAND(),Hitorical_Sim!$AB$4,Hitorical_Sim!$AB$5)</f>
        <v>-6.1093370476423114E-3</v>
      </c>
      <c r="K296">
        <f t="shared" ca="1" si="50"/>
        <v>-0.68015013678847247</v>
      </c>
      <c r="L296">
        <f t="shared" ca="1" si="50"/>
        <v>-0.59057350616238413</v>
      </c>
      <c r="M296">
        <f t="shared" ca="1" si="50"/>
        <v>-0.51346363443869303</v>
      </c>
      <c r="O296">
        <v>294</v>
      </c>
      <c r="P296" s="6">
        <f t="shared" ca="1" si="42"/>
        <v>1914.0796258091757</v>
      </c>
      <c r="Q296" s="6">
        <f t="shared" ca="1" si="43"/>
        <v>377.98355495910403</v>
      </c>
      <c r="R296" s="6">
        <f t="shared" ca="1" si="44"/>
        <v>148.42616920670832</v>
      </c>
      <c r="S296" s="6"/>
      <c r="T296" s="4">
        <f t="shared" ca="1" si="45"/>
        <v>-1.6277930934955272E-2</v>
      </c>
      <c r="U296" s="4">
        <f t="shared" ca="1" si="46"/>
        <v>-3.4948748180155059E-2</v>
      </c>
      <c r="V296" s="4">
        <f t="shared" ca="1" si="47"/>
        <v>-3.3440662957010418E-2</v>
      </c>
      <c r="W296" s="4"/>
      <c r="X296">
        <v>294</v>
      </c>
      <c r="Y296" s="4">
        <f t="shared" ca="1" si="48"/>
        <v>-2.0853415597281304E-2</v>
      </c>
      <c r="Z296" s="4">
        <f ca="1"/>
        <v>-1.093850838719517E-2</v>
      </c>
      <c r="AA296" s="4"/>
    </row>
    <row r="297" spans="1:27" x14ac:dyDescent="0.35">
      <c r="A297">
        <v>295</v>
      </c>
      <c r="B297">
        <f ca="1">_xlfn.NORM.INV(RAND(),Hitorical_Sim!$AB$4,Hitorical_Sim!$AB$5)</f>
        <v>2.9632044675031626E-3</v>
      </c>
      <c r="C297">
        <f ca="1">_xlfn.NORM.INV(RAND(),Hitorical_Sim!$AB$4,Hitorical_Sim!$AB$5)</f>
        <v>-1.6884025223020283E-2</v>
      </c>
      <c r="D297">
        <f ca="1">_xlfn.NORM.INV(RAND(),Hitorical_Sim!$AB$4,Hitorical_Sim!$AB$5)</f>
        <v>-1.8701321280361369E-2</v>
      </c>
      <c r="K297">
        <f t="shared" ca="1" si="50"/>
        <v>-0.5950835679406673</v>
      </c>
      <c r="L297">
        <f t="shared" ca="1" si="50"/>
        <v>0.76293837127563646</v>
      </c>
      <c r="M297">
        <f t="shared" ca="1" si="50"/>
        <v>-0.30912303044992301</v>
      </c>
      <c r="O297">
        <v>295</v>
      </c>
      <c r="P297" s="6">
        <f t="shared" ca="1" si="42"/>
        <v>1917.0359074294893</v>
      </c>
      <c r="Q297" s="6">
        <f t="shared" ca="1" si="43"/>
        <v>392.86503140899367</v>
      </c>
      <c r="R297" s="6">
        <f t="shared" ca="1" si="44"/>
        <v>149.35426535736957</v>
      </c>
      <c r="S297" s="6"/>
      <c r="T297" s="4">
        <f t="shared" ca="1" si="45"/>
        <v>1.5433009949359215E-3</v>
      </c>
      <c r="U297" s="4">
        <f t="shared" ca="1" si="46"/>
        <v>3.8615432079865286E-2</v>
      </c>
      <c r="V297" s="4">
        <f t="shared" ca="1" si="47"/>
        <v>6.2334461777636564E-3</v>
      </c>
      <c r="W297" s="4"/>
      <c r="X297">
        <v>295</v>
      </c>
      <c r="Y297" s="4">
        <f t="shared" ca="1" si="48"/>
        <v>9.1738311410168132E-3</v>
      </c>
      <c r="Z297" s="4">
        <f ca="1"/>
        <v>-1.0912411942901556E-2</v>
      </c>
      <c r="AA297" s="4"/>
    </row>
    <row r="298" spans="1:27" x14ac:dyDescent="0.35">
      <c r="A298">
        <v>296</v>
      </c>
      <c r="B298">
        <f ca="1">_xlfn.NORM.INV(RAND(),Hitorical_Sim!$AB$4,Hitorical_Sim!$AB$5)</f>
        <v>3.4461467414992758E-3</v>
      </c>
      <c r="C298">
        <f ca="1">_xlfn.NORM.INV(RAND(),Hitorical_Sim!$AB$4,Hitorical_Sim!$AB$5)</f>
        <v>-5.0263172460879588E-3</v>
      </c>
      <c r="D298">
        <f ca="1">_xlfn.NORM.INV(RAND(),Hitorical_Sim!$AB$4,Hitorical_Sim!$AB$5)</f>
        <v>8.1201799399805985E-3</v>
      </c>
      <c r="K298">
        <f t="shared" ca="1" si="50"/>
        <v>-0.34499678540660517</v>
      </c>
      <c r="L298">
        <f t="shared" ca="1" si="50"/>
        <v>0.17176858363423844</v>
      </c>
      <c r="M298">
        <f t="shared" ca="1" si="50"/>
        <v>-0.30259631963510192</v>
      </c>
      <c r="O298">
        <v>296</v>
      </c>
      <c r="P298" s="6">
        <f t="shared" ca="1" si="42"/>
        <v>1925.7535349242307</v>
      </c>
      <c r="Q298" s="6">
        <f t="shared" ca="1" si="43"/>
        <v>386.29455010980917</v>
      </c>
      <c r="R298" s="6">
        <f t="shared" ca="1" si="44"/>
        <v>149.38400452274945</v>
      </c>
      <c r="S298" s="6"/>
      <c r="T298" s="4">
        <f t="shared" ca="1" si="45"/>
        <v>4.5371429168099657E-3</v>
      </c>
      <c r="U298" s="4">
        <f t="shared" ca="1" si="46"/>
        <v>-1.6865959702950573E-2</v>
      </c>
      <c r="V298" s="4">
        <f t="shared" ca="1" si="47"/>
        <v>1.990984649543814E-4</v>
      </c>
      <c r="W298" s="4"/>
      <c r="X298">
        <v>296</v>
      </c>
      <c r="Y298" s="4">
        <f t="shared" ca="1" si="48"/>
        <v>5.1076292865018881E-5</v>
      </c>
      <c r="Z298" s="4">
        <f ca="1"/>
        <v>-1.0846802410392983E-2</v>
      </c>
      <c r="AA298" s="4"/>
    </row>
    <row r="299" spans="1:27" x14ac:dyDescent="0.35">
      <c r="A299">
        <v>297</v>
      </c>
      <c r="B299">
        <f ca="1">_xlfn.NORM.INV(RAND(),Hitorical_Sim!$AB$4,Hitorical_Sim!$AB$5)</f>
        <v>3.6098808336019639E-2</v>
      </c>
      <c r="C299">
        <f ca="1">_xlfn.NORM.INV(RAND(),Hitorical_Sim!$AB$4,Hitorical_Sim!$AB$5)</f>
        <v>-2.5449139275620335E-3</v>
      </c>
      <c r="D299">
        <f ca="1">_xlfn.NORM.INV(RAND(),Hitorical_Sim!$AB$4,Hitorical_Sim!$AB$5)</f>
        <v>1.0624995691627913E-2</v>
      </c>
      <c r="K299">
        <f t="shared" ca="1" si="50"/>
        <v>0.46409927188825822</v>
      </c>
      <c r="L299">
        <f t="shared" ca="1" si="50"/>
        <v>-1.4484125437051303</v>
      </c>
      <c r="M299">
        <f t="shared" ca="1" si="50"/>
        <v>0.37009186037572095</v>
      </c>
      <c r="O299">
        <v>297</v>
      </c>
      <c r="P299" s="6">
        <f t="shared" ca="1" si="42"/>
        <v>1954.2298557984345</v>
      </c>
      <c r="Q299" s="6">
        <f t="shared" ca="1" si="43"/>
        <v>368.84507592878032</v>
      </c>
      <c r="R299" s="6">
        <f t="shared" ca="1" si="44"/>
        <v>152.48110302977531</v>
      </c>
      <c r="S299" s="6"/>
      <c r="T299" s="4">
        <f t="shared" ca="1" si="45"/>
        <v>1.4678842312964725E-2</v>
      </c>
      <c r="U299" s="4">
        <f t="shared" ca="1" si="46"/>
        <v>-4.6223454202911483E-2</v>
      </c>
      <c r="V299" s="4">
        <f t="shared" ca="1" si="47"/>
        <v>2.0520471617797881E-2</v>
      </c>
      <c r="W299" s="4"/>
      <c r="X299">
        <v>297</v>
      </c>
      <c r="Y299" s="4">
        <f t="shared" ca="1" si="48"/>
        <v>2.8137901170530132E-3</v>
      </c>
      <c r="Z299" s="4">
        <f ca="1"/>
        <v>-1.0782481556674963E-2</v>
      </c>
      <c r="AA299" s="4"/>
    </row>
    <row r="300" spans="1:27" x14ac:dyDescent="0.35">
      <c r="A300">
        <v>298</v>
      </c>
      <c r="B300">
        <f ca="1">_xlfn.NORM.INV(RAND(),Hitorical_Sim!$AB$4,Hitorical_Sim!$AB$5)</f>
        <v>7.7836373657800316E-3</v>
      </c>
      <c r="C300">
        <f ca="1">_xlfn.NORM.INV(RAND(),Hitorical_Sim!$AB$4,Hitorical_Sim!$AB$5)</f>
        <v>3.5543613629229914E-3</v>
      </c>
      <c r="D300">
        <f ca="1">_xlfn.NORM.INV(RAND(),Hitorical_Sim!$AB$4,Hitorical_Sim!$AB$5)</f>
        <v>1.1546528552530124E-2</v>
      </c>
      <c r="K300">
        <f t="shared" ca="1" si="50"/>
        <v>0.62828655086690077</v>
      </c>
      <c r="L300">
        <f t="shared" ca="1" si="50"/>
        <v>-1.191386654121676</v>
      </c>
      <c r="M300">
        <f t="shared" ca="1" si="50"/>
        <v>-0.59869421893202446</v>
      </c>
      <c r="O300">
        <v>298</v>
      </c>
      <c r="P300" s="6">
        <f t="shared" ca="1" si="42"/>
        <v>1960.0596584493421</v>
      </c>
      <c r="Q300" s="6">
        <f t="shared" ca="1" si="43"/>
        <v>371.55972053013335</v>
      </c>
      <c r="R300" s="6">
        <f t="shared" ca="1" si="44"/>
        <v>148.04076625915033</v>
      </c>
      <c r="S300" s="6"/>
      <c r="T300" s="4">
        <f t="shared" ca="1" si="45"/>
        <v>2.9787305922365937E-3</v>
      </c>
      <c r="U300" s="4">
        <f t="shared" ca="1" si="46"/>
        <v>7.3328989183040188E-3</v>
      </c>
      <c r="V300" s="4">
        <f t="shared" ca="1" si="47"/>
        <v>-2.9552990278248044E-2</v>
      </c>
      <c r="W300" s="4"/>
      <c r="X300">
        <v>298</v>
      </c>
      <c r="Y300" s="4">
        <f t="shared" ca="1" si="48"/>
        <v>2.237685206338721E-3</v>
      </c>
      <c r="Z300" s="4">
        <f ca="1"/>
        <v>-1.0514028930611874E-2</v>
      </c>
      <c r="AA300" s="4"/>
    </row>
    <row r="301" spans="1:27" x14ac:dyDescent="0.35">
      <c r="A301">
        <v>299</v>
      </c>
      <c r="B301">
        <f ca="1">_xlfn.NORM.INV(RAND(),Hitorical_Sim!$AB$4,Hitorical_Sim!$AB$5)</f>
        <v>8.745630939916026E-3</v>
      </c>
      <c r="C301">
        <f ca="1">_xlfn.NORM.INV(RAND(),Hitorical_Sim!$AB$4,Hitorical_Sim!$AB$5)</f>
        <v>8.1498824027893615E-3</v>
      </c>
      <c r="D301">
        <f ca="1">_xlfn.NORM.INV(RAND(),Hitorical_Sim!$AB$4,Hitorical_Sim!$AB$5)</f>
        <v>-1.3833101163708934E-3</v>
      </c>
      <c r="K301">
        <f t="shared" ca="1" si="50"/>
        <v>0.73909310410174645</v>
      </c>
      <c r="L301">
        <f t="shared" ca="1" si="50"/>
        <v>1.1026781723103323</v>
      </c>
      <c r="M301">
        <f t="shared" ca="1" si="50"/>
        <v>0.75859045324598029</v>
      </c>
      <c r="O301">
        <v>299</v>
      </c>
      <c r="P301" s="6">
        <f t="shared" ca="1" si="42"/>
        <v>1964.0038959398144</v>
      </c>
      <c r="Q301" s="6">
        <f t="shared" ca="1" si="43"/>
        <v>396.69147288545008</v>
      </c>
      <c r="R301" s="6">
        <f t="shared" ca="1" si="44"/>
        <v>154.29894035798483</v>
      </c>
      <c r="S301" s="6"/>
      <c r="T301" s="4">
        <f t="shared" ca="1" si="45"/>
        <v>2.0102828428251855E-3</v>
      </c>
      <c r="U301" s="4">
        <f t="shared" ca="1" si="46"/>
        <v>6.5449225801825175E-2</v>
      </c>
      <c r="V301" s="4">
        <f t="shared" ca="1" si="47"/>
        <v>4.1404208398983199E-2</v>
      </c>
      <c r="W301" s="4"/>
      <c r="X301">
        <v>299</v>
      </c>
      <c r="Y301" s="4">
        <f t="shared" ca="1" si="48"/>
        <v>1.6620281123637719E-2</v>
      </c>
      <c r="Z301" s="4">
        <f ca="1"/>
        <v>-1.0511664718706444E-2</v>
      </c>
      <c r="AA301" s="4"/>
    </row>
    <row r="302" spans="1:27" x14ac:dyDescent="0.35">
      <c r="A302">
        <v>300</v>
      </c>
      <c r="B302">
        <f ca="1">_xlfn.NORM.INV(RAND(),Hitorical_Sim!$AB$4,Hitorical_Sim!$AB$5)</f>
        <v>-1.6733921413631002E-3</v>
      </c>
      <c r="C302">
        <f ca="1">_xlfn.NORM.INV(RAND(),Hitorical_Sim!$AB$4,Hitorical_Sim!$AB$5)</f>
        <v>-1.9509623576477082E-2</v>
      </c>
      <c r="D302">
        <f ca="1">_xlfn.NORM.INV(RAND(),Hitorical_Sim!$AB$4,Hitorical_Sim!$AB$5)</f>
        <v>-6.8233429741172335E-3</v>
      </c>
      <c r="K302">
        <f t="shared" ca="1" si="50"/>
        <v>-1.5844739457414967</v>
      </c>
      <c r="L302">
        <f t="shared" ca="1" si="50"/>
        <v>-0.68527252535235939</v>
      </c>
      <c r="M302">
        <f t="shared" ca="1" si="50"/>
        <v>1.3715045900160445</v>
      </c>
      <c r="O302">
        <v>300</v>
      </c>
      <c r="P302" s="6">
        <f t="shared" ca="1" si="42"/>
        <v>1882.932503194809</v>
      </c>
      <c r="Q302" s="6">
        <f t="shared" ca="1" si="43"/>
        <v>376.96371818181888</v>
      </c>
      <c r="R302" s="6">
        <f t="shared" ca="1" si="44"/>
        <v>157.21101473256275</v>
      </c>
      <c r="S302" s="6"/>
      <c r="T302" s="4">
        <f t="shared" ca="1" si="45"/>
        <v>-4.2154789929744564E-2</v>
      </c>
      <c r="U302" s="4">
        <f t="shared" ca="1" si="46"/>
        <v>-5.1009887595835496E-2</v>
      </c>
      <c r="V302" s="4">
        <f t="shared" ca="1" si="47"/>
        <v>1.8697053882431574E-2</v>
      </c>
      <c r="W302" s="4"/>
      <c r="X302">
        <v>300</v>
      </c>
      <c r="Y302" s="4">
        <f t="shared" ca="1" si="48"/>
        <v>-4.0910420106591121E-2</v>
      </c>
      <c r="Z302" s="4">
        <f ca="1"/>
        <v>-1.0467721272267163E-2</v>
      </c>
      <c r="AA302" s="4"/>
    </row>
    <row r="303" spans="1:27" x14ac:dyDescent="0.35">
      <c r="A303">
        <v>301</v>
      </c>
      <c r="B303">
        <f ca="1">_xlfn.NORM.INV(RAND(),Hitorical_Sim!$AB$4,Hitorical_Sim!$AB$5)</f>
        <v>-2.3392785294642154E-2</v>
      </c>
      <c r="C303">
        <f ca="1">_xlfn.NORM.INV(RAND(),Hitorical_Sim!$AB$4,Hitorical_Sim!$AB$5)</f>
        <v>2.5895675316361624E-2</v>
      </c>
      <c r="D303">
        <f ca="1">_xlfn.NORM.INV(RAND(),Hitorical_Sim!$AB$4,Hitorical_Sim!$AB$5)</f>
        <v>-2.5473063179875077E-2</v>
      </c>
      <c r="K303">
        <f t="shared" ca="1" si="50"/>
        <v>-0.50417042705933468</v>
      </c>
      <c r="L303">
        <f t="shared" ca="1" si="50"/>
        <v>-0.58943149605802359</v>
      </c>
      <c r="M303">
        <f t="shared" ca="1" si="50"/>
        <v>1.3198995931103796</v>
      </c>
      <c r="O303">
        <v>301</v>
      </c>
      <c r="P303" s="6">
        <f t="shared" ca="1" si="42"/>
        <v>1920.2004200755218</v>
      </c>
      <c r="Q303" s="6">
        <f t="shared" ca="1" si="43"/>
        <v>377.99587036568522</v>
      </c>
      <c r="R303" s="6">
        <f t="shared" ca="1" si="44"/>
        <v>156.9637247773675</v>
      </c>
      <c r="S303" s="6"/>
      <c r="T303" s="4">
        <f t="shared" ca="1" si="45"/>
        <v>1.9599162371270008E-2</v>
      </c>
      <c r="U303" s="4">
        <f t="shared" ca="1" si="46"/>
        <v>2.7343260291037251E-3</v>
      </c>
      <c r="V303" s="4">
        <f t="shared" ca="1" si="47"/>
        <v>-1.5742195355985462E-3</v>
      </c>
      <c r="W303" s="4"/>
      <c r="X303">
        <v>301</v>
      </c>
      <c r="Y303" s="4">
        <f t="shared" ca="1" si="48"/>
        <v>1.5185606062180635E-2</v>
      </c>
      <c r="Z303" s="4">
        <f ca="1"/>
        <v>-1.0464046588318777E-2</v>
      </c>
      <c r="AA303" s="4"/>
    </row>
    <row r="304" spans="1:27" x14ac:dyDescent="0.35">
      <c r="A304">
        <v>302</v>
      </c>
      <c r="B304">
        <f ca="1">_xlfn.NORM.INV(RAND(),Hitorical_Sim!$AB$4,Hitorical_Sim!$AB$5)</f>
        <v>6.292121131639317E-3</v>
      </c>
      <c r="C304">
        <f ca="1">_xlfn.NORM.INV(RAND(),Hitorical_Sim!$AB$4,Hitorical_Sim!$AB$5)</f>
        <v>1.8343190254492204E-2</v>
      </c>
      <c r="D304">
        <f ca="1">_xlfn.NORM.INV(RAND(),Hitorical_Sim!$AB$4,Hitorical_Sim!$AB$5)</f>
        <v>3.3129030877499131E-3</v>
      </c>
      <c r="K304">
        <f t="shared" ref="K304:M323" ca="1" si="51">_xlfn.NORM.S.INV(RAND())</f>
        <v>0.6875600652239644</v>
      </c>
      <c r="L304">
        <f t="shared" ca="1" si="51"/>
        <v>1.8112608073795649</v>
      </c>
      <c r="M304">
        <f t="shared" ca="1" si="51"/>
        <v>0.9531976467002421</v>
      </c>
      <c r="O304">
        <v>302</v>
      </c>
      <c r="P304" s="6">
        <f t="shared" ca="1" si="42"/>
        <v>1962.1685547236791</v>
      </c>
      <c r="Q304" s="6">
        <f t="shared" ca="1" si="43"/>
        <v>404.79248687083526</v>
      </c>
      <c r="R304" s="6">
        <f t="shared" ca="1" si="44"/>
        <v>155.21766446528869</v>
      </c>
      <c r="S304" s="6"/>
      <c r="T304" s="4">
        <f t="shared" ca="1" si="45"/>
        <v>2.1620701050337053E-2</v>
      </c>
      <c r="U304" s="4">
        <f t="shared" ca="1" si="46"/>
        <v>6.8491287097918324E-2</v>
      </c>
      <c r="V304" s="4">
        <f t="shared" ca="1" si="47"/>
        <v>-1.118630757475088E-2</v>
      </c>
      <c r="W304" s="4"/>
      <c r="X304">
        <v>302</v>
      </c>
      <c r="Y304" s="4">
        <f t="shared" ca="1" si="48"/>
        <v>2.9350951728872404E-2</v>
      </c>
      <c r="Z304" s="4">
        <f ca="1"/>
        <v>-1.0338482368857951E-2</v>
      </c>
      <c r="AA304" s="4"/>
    </row>
    <row r="305" spans="1:27" x14ac:dyDescent="0.35">
      <c r="A305">
        <v>303</v>
      </c>
      <c r="B305">
        <f ca="1">_xlfn.NORM.INV(RAND(),Hitorical_Sim!$AB$4,Hitorical_Sim!$AB$5)</f>
        <v>-5.0489880216555609E-3</v>
      </c>
      <c r="C305">
        <f ca="1">_xlfn.NORM.INV(RAND(),Hitorical_Sim!$AB$4,Hitorical_Sim!$AB$5)</f>
        <v>-2.6853419938931013E-2</v>
      </c>
      <c r="D305">
        <f ca="1">_xlfn.NORM.INV(RAND(),Hitorical_Sim!$AB$4,Hitorical_Sim!$AB$5)</f>
        <v>-3.6364950739308194E-3</v>
      </c>
      <c r="K305">
        <f t="shared" ca="1" si="51"/>
        <v>-0.60455357917282471</v>
      </c>
      <c r="L305">
        <f t="shared" ca="1" si="51"/>
        <v>0.72312524564499747</v>
      </c>
      <c r="M305">
        <f t="shared" ca="1" si="51"/>
        <v>-0.71778162485183472</v>
      </c>
      <c r="O305">
        <v>303</v>
      </c>
      <c r="P305" s="6">
        <f t="shared" ca="1" si="42"/>
        <v>1916.7065745017983</v>
      </c>
      <c r="Q305" s="6">
        <f t="shared" ca="1" si="43"/>
        <v>392.41904476766985</v>
      </c>
      <c r="R305" s="6">
        <f t="shared" ca="1" si="44"/>
        <v>147.50394205264743</v>
      </c>
      <c r="S305" s="6"/>
      <c r="T305" s="4">
        <f t="shared" ca="1" si="45"/>
        <v>-2.3441879694661012E-2</v>
      </c>
      <c r="U305" s="4">
        <f t="shared" ca="1" si="46"/>
        <v>-3.1044297119418161E-2</v>
      </c>
      <c r="V305" s="4">
        <f t="shared" ca="1" si="47"/>
        <v>-5.0973517499982135E-2</v>
      </c>
      <c r="W305" s="4"/>
      <c r="X305">
        <v>303</v>
      </c>
      <c r="Y305" s="4">
        <f t="shared" ca="1" si="48"/>
        <v>-2.6321623171614024E-2</v>
      </c>
      <c r="Z305" s="4">
        <f ca="1"/>
        <v>-1.0304325636580305E-2</v>
      </c>
      <c r="AA305" s="4"/>
    </row>
    <row r="306" spans="1:27" x14ac:dyDescent="0.35">
      <c r="A306">
        <v>304</v>
      </c>
      <c r="B306">
        <f ca="1">_xlfn.NORM.INV(RAND(),Hitorical_Sim!$AB$4,Hitorical_Sim!$AB$5)</f>
        <v>-3.0676049871636579E-2</v>
      </c>
      <c r="C306">
        <f ca="1">_xlfn.NORM.INV(RAND(),Hitorical_Sim!$AB$4,Hitorical_Sim!$AB$5)</f>
        <v>-1.6012623357165936E-2</v>
      </c>
      <c r="D306">
        <f ca="1">_xlfn.NORM.INV(RAND(),Hitorical_Sim!$AB$4,Hitorical_Sim!$AB$5)</f>
        <v>3.9166957165747231E-2</v>
      </c>
      <c r="K306">
        <f t="shared" ca="1" si="51"/>
        <v>2.3209599167892887</v>
      </c>
      <c r="L306">
        <f t="shared" ca="1" si="51"/>
        <v>0.7619106433180316</v>
      </c>
      <c r="M306">
        <f t="shared" ca="1" si="51"/>
        <v>-2.1397796667439479</v>
      </c>
      <c r="O306">
        <v>304</v>
      </c>
      <c r="P306" s="6">
        <f t="shared" ca="1" si="42"/>
        <v>2021.1847606515578</v>
      </c>
      <c r="Q306" s="6">
        <f t="shared" ca="1" si="43"/>
        <v>392.85351242948184</v>
      </c>
      <c r="R306" s="6">
        <f t="shared" ca="1" si="44"/>
        <v>141.24226395174946</v>
      </c>
      <c r="S306" s="6"/>
      <c r="T306" s="4">
        <f t="shared" ca="1" si="45"/>
        <v>5.3075467250766818E-2</v>
      </c>
      <c r="U306" s="4">
        <f t="shared" ca="1" si="46"/>
        <v>1.1065398941077344E-3</v>
      </c>
      <c r="V306" s="4">
        <f t="shared" ca="1" si="47"/>
        <v>-4.3378301159895147E-2</v>
      </c>
      <c r="W306" s="4"/>
      <c r="X306">
        <v>304</v>
      </c>
      <c r="Y306" s="4">
        <f t="shared" ca="1" si="48"/>
        <v>3.7930619753863429E-2</v>
      </c>
      <c r="Z306" s="4">
        <f ca="1"/>
        <v>-1.0124839037319651E-2</v>
      </c>
      <c r="AA306" s="4"/>
    </row>
    <row r="307" spans="1:27" x14ac:dyDescent="0.35">
      <c r="A307">
        <v>305</v>
      </c>
      <c r="B307">
        <f ca="1">_xlfn.NORM.INV(RAND(),Hitorical_Sim!$AB$4,Hitorical_Sim!$AB$5)</f>
        <v>8.7558252124089585E-3</v>
      </c>
      <c r="C307">
        <f ca="1">_xlfn.NORM.INV(RAND(),Hitorical_Sim!$AB$4,Hitorical_Sim!$AB$5)</f>
        <v>-1.9788408255873625E-2</v>
      </c>
      <c r="D307">
        <f ca="1">_xlfn.NORM.INV(RAND(),Hitorical_Sim!$AB$4,Hitorical_Sim!$AB$5)</f>
        <v>8.2382711634624152E-4</v>
      </c>
      <c r="K307">
        <f t="shared" ca="1" si="51"/>
        <v>1.7718409213984165</v>
      </c>
      <c r="L307">
        <f t="shared" ca="1" si="51"/>
        <v>-1.488154408708767</v>
      </c>
      <c r="M307">
        <f t="shared" ca="1" si="51"/>
        <v>0.1996631352664027</v>
      </c>
      <c r="O307">
        <v>305</v>
      </c>
      <c r="P307" s="6">
        <f t="shared" ca="1" si="42"/>
        <v>2001.1491437182108</v>
      </c>
      <c r="Q307" s="6">
        <f t="shared" ca="1" si="43"/>
        <v>368.42710615418343</v>
      </c>
      <c r="R307" s="6">
        <f t="shared" ca="1" si="44"/>
        <v>151.69041728121678</v>
      </c>
      <c r="S307" s="6"/>
      <c r="T307" s="4">
        <f t="shared" ca="1" si="45"/>
        <v>-9.9622672385101686E-3</v>
      </c>
      <c r="U307" s="4">
        <f t="shared" ca="1" si="46"/>
        <v>-6.4193920748063737E-2</v>
      </c>
      <c r="V307" s="4">
        <f t="shared" ca="1" si="47"/>
        <v>7.1365115437798179E-2</v>
      </c>
      <c r="W307" s="4"/>
      <c r="X307">
        <v>305</v>
      </c>
      <c r="Y307" s="4">
        <f t="shared" ca="1" si="48"/>
        <v>-1.6760273580849958E-2</v>
      </c>
      <c r="Z307" s="4">
        <f ca="1"/>
        <v>-1.0078519424882639E-2</v>
      </c>
      <c r="AA307" s="4"/>
    </row>
    <row r="308" spans="1:27" x14ac:dyDescent="0.35">
      <c r="A308">
        <v>306</v>
      </c>
      <c r="B308">
        <f ca="1">_xlfn.NORM.INV(RAND(),Hitorical_Sim!$AB$4,Hitorical_Sim!$AB$5)</f>
        <v>1.4259903600054134E-2</v>
      </c>
      <c r="C308">
        <f ca="1">_xlfn.NORM.INV(RAND(),Hitorical_Sim!$AB$4,Hitorical_Sim!$AB$5)</f>
        <v>1.6134244802294834E-2</v>
      </c>
      <c r="D308">
        <f ca="1">_xlfn.NORM.INV(RAND(),Hitorical_Sim!$AB$4,Hitorical_Sim!$AB$5)</f>
        <v>4.3275915732634259E-3</v>
      </c>
      <c r="K308">
        <f t="shared" ca="1" si="51"/>
        <v>-2.1335655602941532</v>
      </c>
      <c r="L308">
        <f t="shared" ca="1" si="51"/>
        <v>-6.5641274463644247E-2</v>
      </c>
      <c r="M308">
        <f t="shared" ca="1" si="51"/>
        <v>-0.39007036899140246</v>
      </c>
      <c r="O308">
        <v>306</v>
      </c>
      <c r="P308" s="6">
        <f t="shared" ca="1" si="42"/>
        <v>1864.2682804535254</v>
      </c>
      <c r="Q308" s="6">
        <f t="shared" ca="1" si="43"/>
        <v>383.68691876346423</v>
      </c>
      <c r="R308" s="6">
        <f t="shared" ca="1" si="44"/>
        <v>148.98591792127317</v>
      </c>
      <c r="S308" s="6"/>
      <c r="T308" s="4">
        <f t="shared" ca="1" si="45"/>
        <v>-7.0852954227045045E-2</v>
      </c>
      <c r="U308" s="4">
        <f t="shared" ca="1" si="46"/>
        <v>4.0584024591002556E-2</v>
      </c>
      <c r="V308" s="4">
        <f t="shared" ca="1" si="47"/>
        <v>-1.7989924597741552E-2</v>
      </c>
      <c r="W308" s="4"/>
      <c r="X308">
        <v>306</v>
      </c>
      <c r="Y308" s="4">
        <f t="shared" ca="1" si="48"/>
        <v>-4.5997491597375907E-2</v>
      </c>
      <c r="Z308" s="4">
        <f ca="1"/>
        <v>-1.0063906259814771E-2</v>
      </c>
      <c r="AA308" s="4"/>
    </row>
    <row r="309" spans="1:27" x14ac:dyDescent="0.35">
      <c r="A309">
        <v>307</v>
      </c>
      <c r="B309">
        <f ca="1">_xlfn.NORM.INV(RAND(),Hitorical_Sim!$AB$4,Hitorical_Sim!$AB$5)</f>
        <v>8.0334886457747207E-4</v>
      </c>
      <c r="C309">
        <f ca="1">_xlfn.NORM.INV(RAND(),Hitorical_Sim!$AB$4,Hitorical_Sim!$AB$5)</f>
        <v>4.8838559774624889E-2</v>
      </c>
      <c r="D309">
        <f ca="1">_xlfn.NORM.INV(RAND(),Hitorical_Sim!$AB$4,Hitorical_Sim!$AB$5)</f>
        <v>4.3114123003707208E-4</v>
      </c>
      <c r="K309">
        <f t="shared" ca="1" si="51"/>
        <v>0.56220264538542086</v>
      </c>
      <c r="L309">
        <f t="shared" ca="1" si="51"/>
        <v>-0.74556926956020297</v>
      </c>
      <c r="M309">
        <f t="shared" ca="1" si="51"/>
        <v>-1.3760536862095896</v>
      </c>
      <c r="O309">
        <v>307</v>
      </c>
      <c r="P309" s="6">
        <f t="shared" ca="1" si="42"/>
        <v>1957.711126907572</v>
      </c>
      <c r="Q309" s="6">
        <f t="shared" ca="1" si="43"/>
        <v>376.31580211806948</v>
      </c>
      <c r="R309" s="6">
        <f t="shared" ca="1" si="44"/>
        <v>144.57150013958747</v>
      </c>
      <c r="S309" s="6"/>
      <c r="T309" s="4">
        <f t="shared" ca="1" si="45"/>
        <v>4.8907365258675707E-2</v>
      </c>
      <c r="U309" s="4">
        <f t="shared" ca="1" si="46"/>
        <v>-1.9398214194875092E-2</v>
      </c>
      <c r="V309" s="4">
        <f t="shared" ca="1" si="47"/>
        <v>-3.00775950549221E-2</v>
      </c>
      <c r="W309" s="4"/>
      <c r="X309">
        <v>307</v>
      </c>
      <c r="Y309" s="4">
        <f t="shared" ca="1" si="48"/>
        <v>3.1366776572180809E-2</v>
      </c>
      <c r="Z309" s="4">
        <f ca="1"/>
        <v>-9.953966126544601E-3</v>
      </c>
      <c r="AA309" s="4"/>
    </row>
    <row r="310" spans="1:27" x14ac:dyDescent="0.35">
      <c r="A310">
        <v>308</v>
      </c>
      <c r="B310">
        <f ca="1">_xlfn.NORM.INV(RAND(),Hitorical_Sim!$AB$4,Hitorical_Sim!$AB$5)</f>
        <v>3.3196195601668706E-2</v>
      </c>
      <c r="C310">
        <f ca="1">_xlfn.NORM.INV(RAND(),Hitorical_Sim!$AB$4,Hitorical_Sim!$AB$5)</f>
        <v>3.4265129966236617E-2</v>
      </c>
      <c r="D310">
        <f ca="1">_xlfn.NORM.INV(RAND(),Hitorical_Sim!$AB$4,Hitorical_Sim!$AB$5)</f>
        <v>2.1935155697967796E-2</v>
      </c>
      <c r="K310">
        <f t="shared" ca="1" si="51"/>
        <v>-1.360968516822106</v>
      </c>
      <c r="L310">
        <f t="shared" ca="1" si="51"/>
        <v>0.45301034944669094</v>
      </c>
      <c r="M310">
        <f t="shared" ca="1" si="51"/>
        <v>-1.1458244688695594</v>
      </c>
      <c r="O310">
        <v>308</v>
      </c>
      <c r="P310" s="6">
        <f t="shared" ca="1" si="42"/>
        <v>1890.5831007307697</v>
      </c>
      <c r="Q310" s="6">
        <f t="shared" ca="1" si="43"/>
        <v>389.40655828965856</v>
      </c>
      <c r="R310" s="6">
        <f t="shared" ca="1" si="44"/>
        <v>145.59042609001679</v>
      </c>
      <c r="S310" s="6"/>
      <c r="T310" s="4">
        <f t="shared" ca="1" si="45"/>
        <v>-3.4890698052922824E-2</v>
      </c>
      <c r="U310" s="4">
        <f t="shared" ca="1" si="46"/>
        <v>3.4195244712354585E-2</v>
      </c>
      <c r="V310" s="4">
        <f t="shared" ca="1" si="47"/>
        <v>7.0231828957333887E-3</v>
      </c>
      <c r="W310" s="4"/>
      <c r="X310">
        <v>308</v>
      </c>
      <c r="Y310" s="4">
        <f t="shared" ca="1" si="48"/>
        <v>-1.9029025630751657E-2</v>
      </c>
      <c r="Z310" s="4">
        <f ca="1"/>
        <v>-9.9485720016750517E-3</v>
      </c>
      <c r="AA310" s="4"/>
    </row>
    <row r="311" spans="1:27" x14ac:dyDescent="0.35">
      <c r="A311">
        <v>309</v>
      </c>
      <c r="B311">
        <f ca="1">_xlfn.NORM.INV(RAND(),Hitorical_Sim!$AB$4,Hitorical_Sim!$AB$5)</f>
        <v>2.0002741517555555E-2</v>
      </c>
      <c r="C311">
        <f ca="1">_xlfn.NORM.INV(RAND(),Hitorical_Sim!$AB$4,Hitorical_Sim!$AB$5)</f>
        <v>-3.8075182977788759E-2</v>
      </c>
      <c r="D311">
        <f ca="1">_xlfn.NORM.INV(RAND(),Hitorical_Sim!$AB$4,Hitorical_Sim!$AB$5)</f>
        <v>-4.1529700509341325E-3</v>
      </c>
      <c r="K311">
        <f t="shared" ca="1" si="51"/>
        <v>-0.65902770176573799</v>
      </c>
      <c r="L311">
        <f t="shared" ca="1" si="51"/>
        <v>0.68431616824555974</v>
      </c>
      <c r="M311">
        <f t="shared" ca="1" si="51"/>
        <v>1.5052799041583165</v>
      </c>
      <c r="O311">
        <v>309</v>
      </c>
      <c r="P311" s="6">
        <f t="shared" ca="1" si="42"/>
        <v>1914.8132589115296</v>
      </c>
      <c r="Q311" s="6">
        <f t="shared" ca="1" si="43"/>
        <v>391.98479277937133</v>
      </c>
      <c r="R311" s="6">
        <f t="shared" ca="1" si="44"/>
        <v>157.85387848062493</v>
      </c>
      <c r="S311" s="6"/>
      <c r="T311" s="4">
        <f t="shared" ca="1" si="45"/>
        <v>1.2734802554465142E-2</v>
      </c>
      <c r="U311" s="4">
        <f t="shared" ca="1" si="46"/>
        <v>6.59911027335196E-3</v>
      </c>
      <c r="V311" s="4">
        <f t="shared" ca="1" si="47"/>
        <v>8.0872406650081025E-2</v>
      </c>
      <c r="W311" s="4"/>
      <c r="X311">
        <v>309</v>
      </c>
      <c r="Y311" s="4">
        <f t="shared" ca="1" si="48"/>
        <v>1.4882451519041863E-2</v>
      </c>
      <c r="Z311" s="4">
        <f ca="1"/>
        <v>-9.9188337770254147E-3</v>
      </c>
      <c r="AA311" s="4"/>
    </row>
    <row r="312" spans="1:27" x14ac:dyDescent="0.35">
      <c r="A312">
        <v>310</v>
      </c>
      <c r="B312">
        <f ca="1">_xlfn.NORM.INV(RAND(),Hitorical_Sim!$AB$4,Hitorical_Sim!$AB$5)</f>
        <v>-1.0721175575697791E-2</v>
      </c>
      <c r="C312">
        <f ca="1">_xlfn.NORM.INV(RAND(),Hitorical_Sim!$AB$4,Hitorical_Sim!$AB$5)</f>
        <v>7.8756464813289802E-3</v>
      </c>
      <c r="D312">
        <f ca="1">_xlfn.NORM.INV(RAND(),Hitorical_Sim!$AB$4,Hitorical_Sim!$AB$5)</f>
        <v>-1.3196312841781428E-2</v>
      </c>
      <c r="K312">
        <f t="shared" ca="1" si="51"/>
        <v>0.36413855921390587</v>
      </c>
      <c r="L312">
        <f t="shared" ca="1" si="51"/>
        <v>-4.6783211751430701E-2</v>
      </c>
      <c r="M312">
        <f t="shared" ca="1" si="51"/>
        <v>1.0173505811878971</v>
      </c>
      <c r="O312">
        <v>310</v>
      </c>
      <c r="P312" s="6">
        <f t="shared" ca="1" si="42"/>
        <v>1950.6890429884213</v>
      </c>
      <c r="Q312" s="6">
        <f t="shared" ca="1" si="43"/>
        <v>383.8934043444803</v>
      </c>
      <c r="R312" s="6">
        <f t="shared" ca="1" si="44"/>
        <v>155.52172232770678</v>
      </c>
      <c r="S312" s="6"/>
      <c r="T312" s="4">
        <f t="shared" ca="1" si="45"/>
        <v>1.8562562590009699E-2</v>
      </c>
      <c r="U312" s="4">
        <f t="shared" ca="1" si="46"/>
        <v>-2.08581239090001E-2</v>
      </c>
      <c r="V312" s="4">
        <f t="shared" ca="1" si="47"/>
        <v>-1.4884370085623783E-2</v>
      </c>
      <c r="W312" s="4"/>
      <c r="X312">
        <v>310</v>
      </c>
      <c r="Y312" s="4">
        <f t="shared" ca="1" si="48"/>
        <v>9.0401590080139097E-3</v>
      </c>
      <c r="Z312" s="4">
        <f ca="1"/>
        <v>-9.8661095619952469E-3</v>
      </c>
      <c r="AA312" s="4"/>
    </row>
    <row r="313" spans="1:27" x14ac:dyDescent="0.35">
      <c r="A313">
        <v>311</v>
      </c>
      <c r="B313">
        <f ca="1">_xlfn.NORM.INV(RAND(),Hitorical_Sim!$AB$4,Hitorical_Sim!$AB$5)</f>
        <v>2.815802456072367E-3</v>
      </c>
      <c r="C313">
        <f ca="1">_xlfn.NORM.INV(RAND(),Hitorical_Sim!$AB$4,Hitorical_Sim!$AB$5)</f>
        <v>-8.8767910325112109E-3</v>
      </c>
      <c r="D313">
        <f ca="1">_xlfn.NORM.INV(RAND(),Hitorical_Sim!$AB$4,Hitorical_Sim!$AB$5)</f>
        <v>2.7510710170798435E-2</v>
      </c>
      <c r="K313">
        <f t="shared" ca="1" si="51"/>
        <v>1.2084991024431686</v>
      </c>
      <c r="L313">
        <f t="shared" ca="1" si="51"/>
        <v>-1.1833873224636917</v>
      </c>
      <c r="M313">
        <f t="shared" ca="1" si="51"/>
        <v>0.40407662684055407</v>
      </c>
      <c r="O313">
        <v>311</v>
      </c>
      <c r="P313" s="6">
        <f t="shared" ca="1" si="42"/>
        <v>1980.8009553557699</v>
      </c>
      <c r="Q313" s="6">
        <f t="shared" ca="1" si="43"/>
        <v>371.64452733797179</v>
      </c>
      <c r="R313" s="6">
        <f t="shared" ca="1" si="44"/>
        <v>152.639263881294</v>
      </c>
      <c r="S313" s="6"/>
      <c r="T313" s="4">
        <f t="shared" ca="1" si="45"/>
        <v>1.5318620277041801E-2</v>
      </c>
      <c r="U313" s="4">
        <f t="shared" ca="1" si="46"/>
        <v>-3.2427095447424101E-2</v>
      </c>
      <c r="V313" s="4">
        <f t="shared" ca="1" si="47"/>
        <v>-1.8708030181111272E-2</v>
      </c>
      <c r="W313" s="4"/>
      <c r="X313">
        <v>311</v>
      </c>
      <c r="Y313" s="4">
        <f t="shared" ca="1" si="48"/>
        <v>4.1061162513747916E-3</v>
      </c>
      <c r="Z313" s="4">
        <f ca="1"/>
        <v>-9.8568599925494878E-3</v>
      </c>
      <c r="AA313" s="4"/>
    </row>
    <row r="314" spans="1:27" x14ac:dyDescent="0.35">
      <c r="A314">
        <v>312</v>
      </c>
      <c r="B314">
        <f ca="1">_xlfn.NORM.INV(RAND(),Hitorical_Sim!$AB$4,Hitorical_Sim!$AB$5)</f>
        <v>-8.4116306631878517E-3</v>
      </c>
      <c r="C314">
        <f ca="1">_xlfn.NORM.INV(RAND(),Hitorical_Sim!$AB$4,Hitorical_Sim!$AB$5)</f>
        <v>-1.8713397951312327E-2</v>
      </c>
      <c r="D314">
        <f ca="1">_xlfn.NORM.INV(RAND(),Hitorical_Sim!$AB$4,Hitorical_Sim!$AB$5)</f>
        <v>-3.1433874012497462E-3</v>
      </c>
      <c r="K314">
        <f t="shared" ca="1" si="51"/>
        <v>-0.34300599317939945</v>
      </c>
      <c r="L314">
        <f t="shared" ca="1" si="51"/>
        <v>-0.77802312649574656</v>
      </c>
      <c r="M314">
        <f t="shared" ca="1" si="51"/>
        <v>-0.36737824803609093</v>
      </c>
      <c r="O314">
        <v>312</v>
      </c>
      <c r="P314" s="6">
        <f t="shared" ca="1" si="42"/>
        <v>1925.8230895796198</v>
      </c>
      <c r="Q314" s="6">
        <f t="shared" ca="1" si="43"/>
        <v>375.96753172292176</v>
      </c>
      <c r="R314" s="6">
        <f t="shared" ca="1" si="44"/>
        <v>149.08908572279768</v>
      </c>
      <c r="S314" s="6"/>
      <c r="T314" s="4">
        <f t="shared" ca="1" si="45"/>
        <v>-2.8147830459771147E-2</v>
      </c>
      <c r="U314" s="4">
        <f t="shared" ca="1" si="46"/>
        <v>1.1564962109263985E-2</v>
      </c>
      <c r="V314" s="4">
        <f t="shared" ca="1" si="47"/>
        <v>-2.3533367070703397E-2</v>
      </c>
      <c r="W314" s="4"/>
      <c r="X314">
        <v>312</v>
      </c>
      <c r="Y314" s="4">
        <f t="shared" ca="1" si="48"/>
        <v>-1.9994053795328197E-2</v>
      </c>
      <c r="Z314" s="4">
        <f ca="1"/>
        <v>-9.6769265765813267E-3</v>
      </c>
      <c r="AA314" s="4"/>
    </row>
    <row r="315" spans="1:27" x14ac:dyDescent="0.35">
      <c r="A315">
        <v>313</v>
      </c>
      <c r="B315">
        <f ca="1">_xlfn.NORM.INV(RAND(),Hitorical_Sim!$AB$4,Hitorical_Sim!$AB$5)</f>
        <v>1.6241392551926543E-2</v>
      </c>
      <c r="C315">
        <f ca="1">_xlfn.NORM.INV(RAND(),Hitorical_Sim!$AB$4,Hitorical_Sim!$AB$5)</f>
        <v>4.7861848100638343E-3</v>
      </c>
      <c r="D315">
        <f ca="1">_xlfn.NORM.INV(RAND(),Hitorical_Sim!$AB$4,Hitorical_Sim!$AB$5)</f>
        <v>-2.0794586139025718E-2</v>
      </c>
      <c r="K315">
        <f t="shared" ca="1" si="51"/>
        <v>-0.41376184058346238</v>
      </c>
      <c r="L315">
        <f t="shared" ca="1" si="51"/>
        <v>1.2523567248356351</v>
      </c>
      <c r="M315">
        <f t="shared" ca="1" si="51"/>
        <v>0.60429303475679019</v>
      </c>
      <c r="O315">
        <v>313</v>
      </c>
      <c r="P315" s="6">
        <f t="shared" ca="1" si="42"/>
        <v>1923.3525504876777</v>
      </c>
      <c r="Q315" s="6">
        <f t="shared" ca="1" si="43"/>
        <v>398.38908662363229</v>
      </c>
      <c r="R315" s="6">
        <f t="shared" ca="1" si="44"/>
        <v>153.57438184753263</v>
      </c>
      <c r="S315" s="6"/>
      <c r="T315" s="4">
        <f t="shared" ca="1" si="45"/>
        <v>-1.2836719662644516E-3</v>
      </c>
      <c r="U315" s="4">
        <f t="shared" ca="1" si="46"/>
        <v>5.792634446165356E-2</v>
      </c>
      <c r="V315" s="4">
        <f t="shared" ca="1" si="47"/>
        <v>2.9641003919616601E-2</v>
      </c>
      <c r="W315" s="4"/>
      <c r="X315">
        <v>313</v>
      </c>
      <c r="Y315" s="4">
        <f t="shared" ca="1" si="48"/>
        <v>1.206322346565045E-2</v>
      </c>
      <c r="Z315" s="4">
        <f ca="1"/>
        <v>-9.6767861979997691E-3</v>
      </c>
      <c r="AA315" s="4"/>
    </row>
    <row r="316" spans="1:27" x14ac:dyDescent="0.35">
      <c r="A316">
        <v>314</v>
      </c>
      <c r="B316">
        <f ca="1">_xlfn.NORM.INV(RAND(),Hitorical_Sim!$AB$4,Hitorical_Sim!$AB$5)</f>
        <v>5.0535950406520279E-3</v>
      </c>
      <c r="C316">
        <f ca="1">_xlfn.NORM.INV(RAND(),Hitorical_Sim!$AB$4,Hitorical_Sim!$AB$5)</f>
        <v>-1.6641741232800499E-2</v>
      </c>
      <c r="D316">
        <f ca="1">_xlfn.NORM.INV(RAND(),Hitorical_Sim!$AB$4,Hitorical_Sim!$AB$5)</f>
        <v>5.6447017235704278E-3</v>
      </c>
      <c r="K316">
        <f t="shared" ca="1" si="51"/>
        <v>-9.902319900696048E-2</v>
      </c>
      <c r="L316">
        <f t="shared" ca="1" si="51"/>
        <v>1.6579820409685395</v>
      </c>
      <c r="M316">
        <f t="shared" ca="1" si="51"/>
        <v>0.20235716212563312</v>
      </c>
      <c r="O316">
        <v>314</v>
      </c>
      <c r="P316" s="6">
        <f t="shared" ca="1" si="42"/>
        <v>1934.3664523123284</v>
      </c>
      <c r="Q316" s="6">
        <f t="shared" ca="1" si="43"/>
        <v>403.02618867453162</v>
      </c>
      <c r="R316" s="6">
        <f t="shared" ca="1" si="44"/>
        <v>151.70288397965234</v>
      </c>
      <c r="S316" s="6"/>
      <c r="T316" s="4">
        <f t="shared" ca="1" si="45"/>
        <v>5.7100746541082102E-3</v>
      </c>
      <c r="U316" s="4">
        <f t="shared" ca="1" si="46"/>
        <v>1.1572411817066579E-2</v>
      </c>
      <c r="V316" s="4">
        <f t="shared" ca="1" si="47"/>
        <v>-1.2261124710664005E-2</v>
      </c>
      <c r="W316" s="4"/>
      <c r="X316">
        <v>314</v>
      </c>
      <c r="Y316" s="4">
        <f t="shared" ca="1" si="48"/>
        <v>5.9906134151026368E-3</v>
      </c>
      <c r="Z316" s="4">
        <f ca="1"/>
        <v>-9.6550120116343889E-3</v>
      </c>
      <c r="AA316" s="4"/>
    </row>
    <row r="317" spans="1:27" x14ac:dyDescent="0.35">
      <c r="A317">
        <v>315</v>
      </c>
      <c r="B317">
        <f ca="1">_xlfn.NORM.INV(RAND(),Hitorical_Sim!$AB$4,Hitorical_Sim!$AB$5)</f>
        <v>1.4818633904662794E-2</v>
      </c>
      <c r="C317">
        <f ca="1">_xlfn.NORM.INV(RAND(),Hitorical_Sim!$AB$4,Hitorical_Sim!$AB$5)</f>
        <v>-1.0468181811485205E-2</v>
      </c>
      <c r="D317">
        <f ca="1">_xlfn.NORM.INV(RAND(),Hitorical_Sim!$AB$4,Hitorical_Sim!$AB$5)</f>
        <v>5.8747674626760974E-3</v>
      </c>
      <c r="K317">
        <f t="shared" ca="1" si="51"/>
        <v>0.90361132508726105</v>
      </c>
      <c r="L317">
        <f t="shared" ca="1" si="51"/>
        <v>5.6123300090554475E-2</v>
      </c>
      <c r="M317">
        <f t="shared" ca="1" si="51"/>
        <v>0.6147965714964404</v>
      </c>
      <c r="O317">
        <v>315</v>
      </c>
      <c r="P317" s="6">
        <f t="shared" ca="1" si="42"/>
        <v>1969.8746833998789</v>
      </c>
      <c r="Q317" s="6">
        <f t="shared" ca="1" si="43"/>
        <v>385.02213420563902</v>
      </c>
      <c r="R317" s="6">
        <f t="shared" ca="1" si="44"/>
        <v>153.62359684357187</v>
      </c>
      <c r="S317" s="6"/>
      <c r="T317" s="4">
        <f t="shared" ca="1" si="45"/>
        <v>1.8190070195027538E-2</v>
      </c>
      <c r="U317" s="4">
        <f t="shared" ca="1" si="46"/>
        <v>-4.5700720060910437E-2</v>
      </c>
      <c r="V317" s="4">
        <f t="shared" ca="1" si="47"/>
        <v>1.2581536952111687E-2</v>
      </c>
      <c r="W317" s="4"/>
      <c r="X317">
        <v>315</v>
      </c>
      <c r="Y317" s="4">
        <f t="shared" ca="1" si="48"/>
        <v>5.1619401909490442E-3</v>
      </c>
      <c r="Z317" s="4">
        <f ca="1"/>
        <v>-9.5641492745658033E-3</v>
      </c>
      <c r="AA317" s="4"/>
    </row>
    <row r="318" spans="1:27" x14ac:dyDescent="0.35">
      <c r="A318">
        <v>316</v>
      </c>
      <c r="B318">
        <f ca="1">_xlfn.NORM.INV(RAND(),Hitorical_Sim!$AB$4,Hitorical_Sim!$AB$5)</f>
        <v>3.543302197965828E-2</v>
      </c>
      <c r="C318">
        <f ca="1">_xlfn.NORM.INV(RAND(),Hitorical_Sim!$AB$4,Hitorical_Sim!$AB$5)</f>
        <v>3.4162755904022582E-2</v>
      </c>
      <c r="D318">
        <f ca="1">_xlfn.NORM.INV(RAND(),Hitorical_Sim!$AB$4,Hitorical_Sim!$AB$5)</f>
        <v>1.6130649027270804E-2</v>
      </c>
      <c r="K318">
        <f t="shared" ca="1" si="51"/>
        <v>-0.44815706480866796</v>
      </c>
      <c r="L318">
        <f t="shared" ca="1" si="51"/>
        <v>-8.7649561179683338E-2</v>
      </c>
      <c r="M318">
        <f t="shared" ca="1" si="51"/>
        <v>1.277345487149282</v>
      </c>
      <c r="O318">
        <v>316</v>
      </c>
      <c r="P318" s="6">
        <f t="shared" ca="1" si="42"/>
        <v>1922.1527383019936</v>
      </c>
      <c r="Q318" s="6">
        <f t="shared" ca="1" si="43"/>
        <v>383.44608037216517</v>
      </c>
      <c r="R318" s="6">
        <f t="shared" ca="1" si="44"/>
        <v>156.76009914074271</v>
      </c>
      <c r="S318" s="6"/>
      <c r="T318" s="4">
        <f t="shared" ca="1" si="45"/>
        <v>-2.452415242916128E-2</v>
      </c>
      <c r="U318" s="4">
        <f t="shared" ca="1" si="46"/>
        <v>-4.1018119248554504E-3</v>
      </c>
      <c r="V318" s="4">
        <f t="shared" ca="1" si="47"/>
        <v>2.0211171569624067E-2</v>
      </c>
      <c r="W318" s="4"/>
      <c r="X318">
        <v>316</v>
      </c>
      <c r="Y318" s="4">
        <f t="shared" ca="1" si="48"/>
        <v>-1.8234548686824795E-2</v>
      </c>
      <c r="Z318" s="4">
        <f ca="1"/>
        <v>-9.561584861640238E-3</v>
      </c>
      <c r="AA318" s="4"/>
    </row>
    <row r="319" spans="1:27" x14ac:dyDescent="0.35">
      <c r="A319">
        <v>317</v>
      </c>
      <c r="B319">
        <f ca="1">_xlfn.NORM.INV(RAND(),Hitorical_Sim!$AB$4,Hitorical_Sim!$AB$5)</f>
        <v>5.9314377541662272E-3</v>
      </c>
      <c r="C319">
        <f ca="1">_xlfn.NORM.INV(RAND(),Hitorical_Sim!$AB$4,Hitorical_Sim!$AB$5)</f>
        <v>-1.5840950392651893E-2</v>
      </c>
      <c r="D319">
        <f ca="1">_xlfn.NORM.INV(RAND(),Hitorical_Sim!$AB$4,Hitorical_Sim!$AB$5)</f>
        <v>1.8401108977009369E-2</v>
      </c>
      <c r="K319">
        <f t="shared" ca="1" si="51"/>
        <v>0.23022643962974254</v>
      </c>
      <c r="L319">
        <f t="shared" ca="1" si="51"/>
        <v>-0.93310000528942449</v>
      </c>
      <c r="M319">
        <f t="shared" ca="1" si="51"/>
        <v>-0.44123426201498572</v>
      </c>
      <c r="O319">
        <v>317</v>
      </c>
      <c r="P319" s="6">
        <f t="shared" ca="1" si="42"/>
        <v>1945.9556539251141</v>
      </c>
      <c r="Q319" s="6">
        <f t="shared" ca="1" si="43"/>
        <v>374.30780782662822</v>
      </c>
      <c r="R319" s="6">
        <f t="shared" ca="1" si="44"/>
        <v>148.75356749528393</v>
      </c>
      <c r="S319" s="6"/>
      <c r="T319" s="4">
        <f t="shared" ca="1" si="45"/>
        <v>1.2307419372010053E-2</v>
      </c>
      <c r="U319" s="4">
        <f t="shared" ca="1" si="46"/>
        <v>-2.4120537651437506E-2</v>
      </c>
      <c r="V319" s="4">
        <f t="shared" ca="1" si="47"/>
        <v>-5.2425578467991049E-2</v>
      </c>
      <c r="W319" s="4"/>
      <c r="X319">
        <v>317</v>
      </c>
      <c r="Y319" s="4">
        <f t="shared" ca="1" si="48"/>
        <v>1.8339183692906887E-3</v>
      </c>
      <c r="Z319" s="4">
        <f ca="1"/>
        <v>-9.5160393305536474E-3</v>
      </c>
      <c r="AA319" s="4"/>
    </row>
    <row r="320" spans="1:27" x14ac:dyDescent="0.35">
      <c r="A320">
        <v>318</v>
      </c>
      <c r="B320">
        <f ca="1">_xlfn.NORM.INV(RAND(),Hitorical_Sim!$AB$4,Hitorical_Sim!$AB$5)</f>
        <v>7.8988602358476684E-3</v>
      </c>
      <c r="C320">
        <f ca="1">_xlfn.NORM.INV(RAND(),Hitorical_Sim!$AB$4,Hitorical_Sim!$AB$5)</f>
        <v>7.8149259953999052E-3</v>
      </c>
      <c r="D320">
        <f ca="1">_xlfn.NORM.INV(RAND(),Hitorical_Sim!$AB$4,Hitorical_Sim!$AB$5)</f>
        <v>-1.4118968718294102E-2</v>
      </c>
      <c r="K320">
        <f t="shared" ca="1" si="51"/>
        <v>0.907849183719311</v>
      </c>
      <c r="L320">
        <f t="shared" ca="1" si="51"/>
        <v>-1.4013153609669207</v>
      </c>
      <c r="M320">
        <f t="shared" ca="1" si="51"/>
        <v>2.494452111944662E-2</v>
      </c>
      <c r="O320">
        <v>318</v>
      </c>
      <c r="P320" s="6">
        <f t="shared" ca="1" si="42"/>
        <v>1970.0261418399618</v>
      </c>
      <c r="Q320" s="6">
        <f t="shared" ca="1" si="43"/>
        <v>369.34101640465832</v>
      </c>
      <c r="R320" s="6">
        <f t="shared" ca="1" si="44"/>
        <v>150.88408504754898</v>
      </c>
      <c r="S320" s="6"/>
      <c r="T320" s="4">
        <f t="shared" ca="1" si="45"/>
        <v>1.2293617449360838E-2</v>
      </c>
      <c r="U320" s="4">
        <f t="shared" ca="1" si="46"/>
        <v>-1.3358093539701589E-2</v>
      </c>
      <c r="V320" s="4">
        <f t="shared" ca="1" si="47"/>
        <v>1.4220866030343587E-2</v>
      </c>
      <c r="W320" s="4"/>
      <c r="X320">
        <v>318</v>
      </c>
      <c r="Y320" s="4">
        <f t="shared" ca="1" si="48"/>
        <v>7.2697341410420876E-3</v>
      </c>
      <c r="Z320" s="4">
        <f ca="1"/>
        <v>-9.4553252152016435E-3</v>
      </c>
      <c r="AA320" s="4"/>
    </row>
    <row r="321" spans="1:27" x14ac:dyDescent="0.35">
      <c r="A321">
        <v>319</v>
      </c>
      <c r="B321">
        <f ca="1">_xlfn.NORM.INV(RAND(),Hitorical_Sim!$AB$4,Hitorical_Sim!$AB$5)</f>
        <v>-1.5638275488348556E-2</v>
      </c>
      <c r="C321">
        <f ca="1">_xlfn.NORM.INV(RAND(),Hitorical_Sim!$AB$4,Hitorical_Sim!$AB$5)</f>
        <v>7.1906553862075336E-3</v>
      </c>
      <c r="D321">
        <f ca="1">_xlfn.NORM.INV(RAND(),Hitorical_Sim!$AB$4,Hitorical_Sim!$AB$5)</f>
        <v>-2.2913286140644532E-2</v>
      </c>
      <c r="K321">
        <f t="shared" ca="1" si="51"/>
        <v>0.49348090566305808</v>
      </c>
      <c r="L321">
        <f t="shared" ca="1" si="51"/>
        <v>-0.44345163616621591</v>
      </c>
      <c r="M321">
        <f t="shared" ca="1" si="51"/>
        <v>0.91093983591950844</v>
      </c>
      <c r="O321">
        <v>319</v>
      </c>
      <c r="P321" s="6">
        <f t="shared" ca="1" si="42"/>
        <v>1955.2718350251371</v>
      </c>
      <c r="Q321" s="6">
        <f t="shared" ca="1" si="43"/>
        <v>379.57342173112431</v>
      </c>
      <c r="R321" s="6">
        <f t="shared" ca="1" si="44"/>
        <v>155.01770508173885</v>
      </c>
      <c r="S321" s="6"/>
      <c r="T321" s="4">
        <f t="shared" ca="1" si="45"/>
        <v>-7.5175828113888529E-3</v>
      </c>
      <c r="U321" s="4">
        <f t="shared" ca="1" si="46"/>
        <v>2.7327666807639164E-2</v>
      </c>
      <c r="V321" s="4">
        <f t="shared" ca="1" si="47"/>
        <v>2.7027443399650717E-2</v>
      </c>
      <c r="W321" s="4"/>
      <c r="X321">
        <v>319</v>
      </c>
      <c r="Y321" s="4">
        <f t="shared" ca="1" si="48"/>
        <v>1.1460542503459274E-3</v>
      </c>
      <c r="Z321" s="4">
        <f ca="1"/>
        <v>-9.4127143091283349E-3</v>
      </c>
      <c r="AA321" s="4"/>
    </row>
    <row r="322" spans="1:27" x14ac:dyDescent="0.35">
      <c r="A322">
        <v>320</v>
      </c>
      <c r="B322">
        <f ca="1">_xlfn.NORM.INV(RAND(),Hitorical_Sim!$AB$4,Hitorical_Sim!$AB$5)</f>
        <v>5.6712149938488972E-3</v>
      </c>
      <c r="C322">
        <f ca="1">_xlfn.NORM.INV(RAND(),Hitorical_Sim!$AB$4,Hitorical_Sim!$AB$5)</f>
        <v>1.0834337971709082E-2</v>
      </c>
      <c r="D322">
        <f ca="1">_xlfn.NORM.INV(RAND(),Hitorical_Sim!$AB$4,Hitorical_Sim!$AB$5)</f>
        <v>-4.1226157470558205E-3</v>
      </c>
      <c r="K322">
        <f t="shared" ca="1" si="51"/>
        <v>1.1282793927862524</v>
      </c>
      <c r="L322">
        <f t="shared" ca="1" si="51"/>
        <v>-0.3711614173279999</v>
      </c>
      <c r="M322">
        <f t="shared" ca="1" si="51"/>
        <v>-0.80847458454606824</v>
      </c>
      <c r="O322">
        <v>320</v>
      </c>
      <c r="P322" s="6">
        <f t="shared" ca="1" si="42"/>
        <v>1977.9202578803061</v>
      </c>
      <c r="Q322" s="6">
        <f t="shared" ca="1" si="43"/>
        <v>380.35707164268206</v>
      </c>
      <c r="R322" s="6">
        <f t="shared" ca="1" si="44"/>
        <v>147.0964209327033</v>
      </c>
      <c r="S322" s="6"/>
      <c r="T322" s="4">
        <f t="shared" ca="1" si="45"/>
        <v>1.1516688048319406E-2</v>
      </c>
      <c r="U322" s="4">
        <f t="shared" ca="1" si="46"/>
        <v>2.062425961765031E-3</v>
      </c>
      <c r="V322" s="4">
        <f t="shared" ca="1" si="47"/>
        <v>-5.2451040263303765E-2</v>
      </c>
      <c r="W322" s="4"/>
      <c r="X322">
        <v>320</v>
      </c>
      <c r="Y322" s="4">
        <f t="shared" ca="1" si="48"/>
        <v>6.4641490815315929E-3</v>
      </c>
      <c r="Z322" s="4">
        <f ca="1"/>
        <v>-9.4011020379120638E-3</v>
      </c>
      <c r="AA322" s="4"/>
    </row>
    <row r="323" spans="1:27" x14ac:dyDescent="0.35">
      <c r="A323">
        <v>321</v>
      </c>
      <c r="B323">
        <f ca="1">_xlfn.NORM.INV(RAND(),Hitorical_Sim!$AB$4,Hitorical_Sim!$AB$5)</f>
        <v>4.3852338653966441E-2</v>
      </c>
      <c r="C323">
        <f ca="1">_xlfn.NORM.INV(RAND(),Hitorical_Sim!$AB$4,Hitorical_Sim!$AB$5)</f>
        <v>3.5117952901543158E-4</v>
      </c>
      <c r="D323">
        <f ca="1">_xlfn.NORM.INV(RAND(),Hitorical_Sim!$AB$4,Hitorical_Sim!$AB$5)</f>
        <v>-2.0542750542486775E-3</v>
      </c>
      <c r="K323">
        <f t="shared" ca="1" si="51"/>
        <v>-0.37965680310822864</v>
      </c>
      <c r="L323">
        <f t="shared" ca="1" si="51"/>
        <v>1.1907678046596553</v>
      </c>
      <c r="M323">
        <f t="shared" ca="1" si="51"/>
        <v>-5.3967440756219114E-2</v>
      </c>
      <c r="O323">
        <v>321</v>
      </c>
      <c r="P323" s="6">
        <f t="shared" ref="P323:P386" ca="1" si="52">$G$17*EXP(($G$15-0.5*$G$16)+($G$16*K323))</f>
        <v>1924.5429795318262</v>
      </c>
      <c r="Q323" s="6">
        <f t="shared" ref="Q323:Q386" ca="1" si="53">$H$17*EXP(($H$15-0.5*$H$16^2)+($H$16*L323))</f>
        <v>397.68968384668864</v>
      </c>
      <c r="R323" s="6">
        <f t="shared" ref="R323:R386" ca="1" si="54">$I$17*EXP(($I$15-0.5*$I$16)+($I$16*M323))</f>
        <v>150.52131017466237</v>
      </c>
      <c r="S323" s="6"/>
      <c r="T323" s="4">
        <f t="shared" ca="1" si="45"/>
        <v>-2.7357391545761087E-2</v>
      </c>
      <c r="U323" s="4">
        <f t="shared" ca="1" si="46"/>
        <v>4.4561538609758859E-2</v>
      </c>
      <c r="V323" s="4">
        <f t="shared" ca="1" si="47"/>
        <v>2.3016373543706711E-2</v>
      </c>
      <c r="W323" s="4"/>
      <c r="X323">
        <v>321</v>
      </c>
      <c r="Y323" s="4">
        <f t="shared" ca="1" si="48"/>
        <v>-1.0511664718706444E-2</v>
      </c>
      <c r="Z323" s="4">
        <f ca="1"/>
        <v>-9.2771465345378428E-3</v>
      </c>
      <c r="AA323" s="4"/>
    </row>
    <row r="324" spans="1:27" x14ac:dyDescent="0.35">
      <c r="A324">
        <v>322</v>
      </c>
      <c r="B324">
        <f ca="1">_xlfn.NORM.INV(RAND(),Hitorical_Sim!$AB$4,Hitorical_Sim!$AB$5)</f>
        <v>-1.1782128586820611E-5</v>
      </c>
      <c r="C324">
        <f ca="1">_xlfn.NORM.INV(RAND(),Hitorical_Sim!$AB$4,Hitorical_Sim!$AB$5)</f>
        <v>2.2648994713642605E-2</v>
      </c>
      <c r="D324">
        <f ca="1">_xlfn.NORM.INV(RAND(),Hitorical_Sim!$AB$4,Hitorical_Sim!$AB$5)</f>
        <v>2.0219774941823372E-2</v>
      </c>
      <c r="K324">
        <f t="shared" ref="K324:M343" ca="1" si="55">_xlfn.NORM.S.INV(RAND())</f>
        <v>-8.5069914405251343E-2</v>
      </c>
      <c r="L324">
        <f t="shared" ca="1" si="55"/>
        <v>0.83857186405083117</v>
      </c>
      <c r="M324">
        <f t="shared" ca="1" si="55"/>
        <v>6.1777148849793399E-2</v>
      </c>
      <c r="O324">
        <v>322</v>
      </c>
      <c r="P324" s="6">
        <f t="shared" ca="1" si="52"/>
        <v>1934.8561881605262</v>
      </c>
      <c r="Q324" s="6">
        <f t="shared" ca="1" si="53"/>
        <v>393.71367435372025</v>
      </c>
      <c r="R324" s="6">
        <f t="shared" ca="1" si="54"/>
        <v>151.05371154120479</v>
      </c>
      <c r="S324" s="6"/>
      <c r="T324" s="4">
        <f t="shared" ref="T324:T387" ca="1" si="56">LN(P324/P323)</f>
        <v>5.3444760331614683E-3</v>
      </c>
      <c r="U324" s="4">
        <f t="shared" ref="U324:U387" ca="1" si="57">LN(Q324/Q323)</f>
        <v>-1.0048082067168302E-2</v>
      </c>
      <c r="V324" s="4">
        <f t="shared" ref="V324:V387" ca="1" si="58">LN(R324/R323)</f>
        <v>3.5308091274707559E-3</v>
      </c>
      <c r="W324" s="4"/>
      <c r="X324">
        <v>322</v>
      </c>
      <c r="Y324" s="4">
        <f t="shared" ref="Y324:Y387" ca="1" si="59">($G$18*T324)+($H$18*U324)+($I$18*V324)</f>
        <v>2.1828540071073812E-3</v>
      </c>
      <c r="Z324" s="4">
        <f ca="1"/>
        <v>-9.1390250627463639E-3</v>
      </c>
      <c r="AA324" s="4"/>
    </row>
    <row r="325" spans="1:27" x14ac:dyDescent="0.35">
      <c r="A325">
        <v>323</v>
      </c>
      <c r="B325">
        <f ca="1">_xlfn.NORM.INV(RAND(),Hitorical_Sim!$AB$4,Hitorical_Sim!$AB$5)</f>
        <v>-2.2969459915407973E-2</v>
      </c>
      <c r="C325">
        <f ca="1">_xlfn.NORM.INV(RAND(),Hitorical_Sim!$AB$4,Hitorical_Sim!$AB$5)</f>
        <v>2.6471312771354184E-3</v>
      </c>
      <c r="D325">
        <f ca="1">_xlfn.NORM.INV(RAND(),Hitorical_Sim!$AB$4,Hitorical_Sim!$AB$5)</f>
        <v>6.362674799882115E-3</v>
      </c>
      <c r="K325">
        <f t="shared" ca="1" si="55"/>
        <v>0.93174706088329606</v>
      </c>
      <c r="L325">
        <f t="shared" ca="1" si="55"/>
        <v>-1.0909410751359163</v>
      </c>
      <c r="M325">
        <f t="shared" ca="1" si="55"/>
        <v>0.16140572678509194</v>
      </c>
      <c r="O325">
        <v>323</v>
      </c>
      <c r="P325" s="6">
        <f t="shared" ca="1" si="52"/>
        <v>1970.8804551725443</v>
      </c>
      <c r="Q325" s="6">
        <f t="shared" ca="1" si="53"/>
        <v>372.62602371753712</v>
      </c>
      <c r="R325" s="6">
        <f t="shared" ca="1" si="54"/>
        <v>151.51349039332376</v>
      </c>
      <c r="S325" s="6"/>
      <c r="T325" s="4">
        <f t="shared" ca="1" si="56"/>
        <v>1.8447372109696214E-2</v>
      </c>
      <c r="U325" s="4">
        <f t="shared" ca="1" si="57"/>
        <v>-5.5048630966889438E-2</v>
      </c>
      <c r="V325" s="4">
        <f t="shared" ca="1" si="58"/>
        <v>3.0391873480070156E-3</v>
      </c>
      <c r="W325" s="4"/>
      <c r="X325">
        <v>323</v>
      </c>
      <c r="Y325" s="4">
        <f t="shared" ca="1" si="59"/>
        <v>3.0173623122965549E-3</v>
      </c>
      <c r="Z325" s="4">
        <f ca="1"/>
        <v>-9.1070340531188947E-3</v>
      </c>
      <c r="AA325" s="4"/>
    </row>
    <row r="326" spans="1:27" x14ac:dyDescent="0.35">
      <c r="A326">
        <v>324</v>
      </c>
      <c r="B326">
        <f ca="1">_xlfn.NORM.INV(RAND(),Hitorical_Sim!$AB$4,Hitorical_Sim!$AB$5)</f>
        <v>-4.8912038526906518E-3</v>
      </c>
      <c r="C326">
        <f ca="1">_xlfn.NORM.INV(RAND(),Hitorical_Sim!$AB$4,Hitorical_Sim!$AB$5)</f>
        <v>2.4435427044786809E-2</v>
      </c>
      <c r="D326">
        <f ca="1">_xlfn.NORM.INV(RAND(),Hitorical_Sim!$AB$4,Hitorical_Sim!$AB$5)</f>
        <v>-3.1652620928240435E-2</v>
      </c>
      <c r="K326">
        <f t="shared" ca="1" si="55"/>
        <v>-0.82089278762354956</v>
      </c>
      <c r="L326">
        <f t="shared" ca="1" si="55"/>
        <v>1.5876001344710944</v>
      </c>
      <c r="M326">
        <f t="shared" ca="1" si="55"/>
        <v>-0.97227887932012613</v>
      </c>
      <c r="O326">
        <v>324</v>
      </c>
      <c r="P326" s="6">
        <f t="shared" ca="1" si="52"/>
        <v>1909.1984651391917</v>
      </c>
      <c r="Q326" s="6">
        <f t="shared" ca="1" si="53"/>
        <v>402.21773122540895</v>
      </c>
      <c r="R326" s="6">
        <f t="shared" ca="1" si="54"/>
        <v>146.36323128427111</v>
      </c>
      <c r="S326" s="6"/>
      <c r="T326" s="4">
        <f t="shared" ca="1" si="56"/>
        <v>-3.1796872244891645E-2</v>
      </c>
      <c r="U326" s="4">
        <f t="shared" ca="1" si="57"/>
        <v>7.6418262652029112E-2</v>
      </c>
      <c r="V326" s="4">
        <f t="shared" ca="1" si="58"/>
        <v>-3.4583248932279598E-2</v>
      </c>
      <c r="W326" s="4"/>
      <c r="X326">
        <v>324</v>
      </c>
      <c r="Y326" s="4">
        <f t="shared" ca="1" si="59"/>
        <v>-1.0338482368857951E-2</v>
      </c>
      <c r="Z326" s="4">
        <f ca="1"/>
        <v>-8.9131499526504693E-3</v>
      </c>
      <c r="AA326" s="4"/>
    </row>
    <row r="327" spans="1:27" x14ac:dyDescent="0.35">
      <c r="A327">
        <v>325</v>
      </c>
      <c r="B327">
        <f ca="1">_xlfn.NORM.INV(RAND(),Hitorical_Sim!$AB$4,Hitorical_Sim!$AB$5)</f>
        <v>7.7812824354034837E-3</v>
      </c>
      <c r="C327">
        <f ca="1">_xlfn.NORM.INV(RAND(),Hitorical_Sim!$AB$4,Hitorical_Sim!$AB$5)</f>
        <v>9.9157327967121286E-3</v>
      </c>
      <c r="D327">
        <f ca="1">_xlfn.NORM.INV(RAND(),Hitorical_Sim!$AB$4,Hitorical_Sim!$AB$5)</f>
        <v>-1.0915755387033436E-2</v>
      </c>
      <c r="K327">
        <f t="shared" ca="1" si="55"/>
        <v>-0.74682120152543729</v>
      </c>
      <c r="L327">
        <f t="shared" ca="1" si="55"/>
        <v>0.41236885071869833</v>
      </c>
      <c r="M327">
        <f t="shared" ca="1" si="55"/>
        <v>-0.68857420737280495</v>
      </c>
      <c r="O327">
        <v>325</v>
      </c>
      <c r="P327" s="6">
        <f t="shared" ca="1" si="52"/>
        <v>1911.7658222519269</v>
      </c>
      <c r="Q327" s="6">
        <f t="shared" ca="1" si="53"/>
        <v>388.95530534663351</v>
      </c>
      <c r="R327" s="6">
        <f t="shared" ca="1" si="54"/>
        <v>147.63542329959878</v>
      </c>
      <c r="S327" s="6"/>
      <c r="T327" s="4">
        <f t="shared" ca="1" si="56"/>
        <v>1.3438270059559305E-3</v>
      </c>
      <c r="U327" s="4">
        <f t="shared" ca="1" si="57"/>
        <v>-3.3529121223357543E-2</v>
      </c>
      <c r="V327" s="4">
        <f t="shared" ca="1" si="58"/>
        <v>8.6544610735362661E-3</v>
      </c>
      <c r="W327" s="4"/>
      <c r="X327">
        <v>325</v>
      </c>
      <c r="Y327" s="4">
        <f t="shared" ca="1" si="59"/>
        <v>-5.2538965705908342E-3</v>
      </c>
      <c r="Z327" s="4">
        <f ca="1"/>
        <v>-8.8346868697878785E-3</v>
      </c>
      <c r="AA327" s="4"/>
    </row>
    <row r="328" spans="1:27" x14ac:dyDescent="0.35">
      <c r="A328">
        <v>326</v>
      </c>
      <c r="B328">
        <f ca="1">_xlfn.NORM.INV(RAND(),Hitorical_Sim!$AB$4,Hitorical_Sim!$AB$5)</f>
        <v>-2.2765870668609103E-2</v>
      </c>
      <c r="C328">
        <f ca="1">_xlfn.NORM.INV(RAND(),Hitorical_Sim!$AB$4,Hitorical_Sim!$AB$5)</f>
        <v>-1.5864941207018597E-2</v>
      </c>
      <c r="D328">
        <f ca="1">_xlfn.NORM.INV(RAND(),Hitorical_Sim!$AB$4,Hitorical_Sim!$AB$5)</f>
        <v>2.0449524460940748E-2</v>
      </c>
      <c r="K328">
        <f t="shared" ca="1" si="55"/>
        <v>0.52344437561260293</v>
      </c>
      <c r="L328">
        <f t="shared" ca="1" si="55"/>
        <v>-1.4994180461179023</v>
      </c>
      <c r="M328">
        <f t="shared" ca="1" si="55"/>
        <v>1.1600202265960962</v>
      </c>
      <c r="O328">
        <v>326</v>
      </c>
      <c r="P328" s="6">
        <f t="shared" ca="1" si="52"/>
        <v>1956.3350204599503</v>
      </c>
      <c r="Q328" s="6">
        <f t="shared" ca="1" si="53"/>
        <v>368.30873134671975</v>
      </c>
      <c r="R328" s="6">
        <f t="shared" ca="1" si="54"/>
        <v>156.20005319993652</v>
      </c>
      <c r="S328" s="6"/>
      <c r="T328" s="4">
        <f t="shared" ca="1" si="56"/>
        <v>2.3045506073453768E-2</v>
      </c>
      <c r="U328" s="4">
        <f t="shared" ca="1" si="57"/>
        <v>-5.4542910407042774E-2</v>
      </c>
      <c r="V328" s="4">
        <f t="shared" ca="1" si="58"/>
        <v>5.6391699367257395E-2</v>
      </c>
      <c r="W328" s="4"/>
      <c r="X328">
        <v>326</v>
      </c>
      <c r="Y328" s="4">
        <f t="shared" ca="1" si="59"/>
        <v>9.2116406004409436E-3</v>
      </c>
      <c r="Z328" s="4">
        <f ca="1"/>
        <v>-8.734516373533464E-3</v>
      </c>
      <c r="AA328" s="4"/>
    </row>
    <row r="329" spans="1:27" x14ac:dyDescent="0.35">
      <c r="A329">
        <v>327</v>
      </c>
      <c r="B329">
        <f ca="1">_xlfn.NORM.INV(RAND(),Hitorical_Sim!$AB$4,Hitorical_Sim!$AB$5)</f>
        <v>1.4025486900468915E-2</v>
      </c>
      <c r="C329">
        <f ca="1">_xlfn.NORM.INV(RAND(),Hitorical_Sim!$AB$4,Hitorical_Sim!$AB$5)</f>
        <v>2.4610693218690527E-2</v>
      </c>
      <c r="D329">
        <f ca="1">_xlfn.NORM.INV(RAND(),Hitorical_Sim!$AB$4,Hitorical_Sim!$AB$5)</f>
        <v>-1.1400000619653274E-2</v>
      </c>
      <c r="K329">
        <f t="shared" ca="1" si="55"/>
        <v>-0.22404826366882766</v>
      </c>
      <c r="L329">
        <f t="shared" ca="1" si="55"/>
        <v>0.82273835235865489</v>
      </c>
      <c r="M329">
        <f t="shared" ca="1" si="55"/>
        <v>0.92029507649696496</v>
      </c>
      <c r="O329">
        <v>327</v>
      </c>
      <c r="P329" s="6">
        <f t="shared" ca="1" si="52"/>
        <v>1929.9838192474235</v>
      </c>
      <c r="Q329" s="6">
        <f t="shared" ca="1" si="53"/>
        <v>393.53586341045411</v>
      </c>
      <c r="R329" s="6">
        <f t="shared" ca="1" si="54"/>
        <v>155.06195085365891</v>
      </c>
      <c r="S329" s="6"/>
      <c r="T329" s="4">
        <f t="shared" ca="1" si="56"/>
        <v>-1.3561216227896097E-2</v>
      </c>
      <c r="U329" s="4">
        <f t="shared" ca="1" si="57"/>
        <v>6.6250672919050291E-2</v>
      </c>
      <c r="V329" s="4">
        <f t="shared" ca="1" si="58"/>
        <v>-7.3128579999760992E-3</v>
      </c>
      <c r="W329" s="4"/>
      <c r="X329">
        <v>327</v>
      </c>
      <c r="Y329" s="4">
        <f t="shared" ca="1" si="59"/>
        <v>2.6759220285725114E-3</v>
      </c>
      <c r="Z329" s="4">
        <f ca="1"/>
        <v>-8.7175580828849665E-3</v>
      </c>
      <c r="AA329" s="4"/>
    </row>
    <row r="330" spans="1:27" x14ac:dyDescent="0.35">
      <c r="A330">
        <v>328</v>
      </c>
      <c r="B330">
        <f ca="1">_xlfn.NORM.INV(RAND(),Hitorical_Sim!$AB$4,Hitorical_Sim!$AB$5)</f>
        <v>-3.9520709918415206E-3</v>
      </c>
      <c r="C330">
        <f ca="1">_xlfn.NORM.INV(RAND(),Hitorical_Sim!$AB$4,Hitorical_Sim!$AB$5)</f>
        <v>-4.7279240916918118E-2</v>
      </c>
      <c r="D330">
        <f ca="1">_xlfn.NORM.INV(RAND(),Hitorical_Sim!$AB$4,Hitorical_Sim!$AB$5)</f>
        <v>2.3234586179091517E-2</v>
      </c>
      <c r="K330">
        <f t="shared" ca="1" si="55"/>
        <v>1.3110317804917884</v>
      </c>
      <c r="L330">
        <f t="shared" ca="1" si="55"/>
        <v>0.96308475396709026</v>
      </c>
      <c r="M330">
        <f t="shared" ca="1" si="55"/>
        <v>-3.8911491624832001E-3</v>
      </c>
      <c r="O330">
        <v>328</v>
      </c>
      <c r="P330" s="6">
        <f t="shared" ca="1" si="52"/>
        <v>1984.4890227840042</v>
      </c>
      <c r="Q330" s="6">
        <f t="shared" ca="1" si="53"/>
        <v>395.11476181400934</v>
      </c>
      <c r="R330" s="6">
        <f t="shared" ca="1" si="54"/>
        <v>150.75142014904841</v>
      </c>
      <c r="S330" s="6"/>
      <c r="T330" s="4">
        <f t="shared" ca="1" si="56"/>
        <v>2.7849842676715454E-2</v>
      </c>
      <c r="U330" s="4">
        <f t="shared" ca="1" si="57"/>
        <v>4.0040556934176309E-3</v>
      </c>
      <c r="V330" s="4">
        <f t="shared" ca="1" si="58"/>
        <v>-2.8192463873676837E-2</v>
      </c>
      <c r="W330" s="4"/>
      <c r="X330">
        <v>328</v>
      </c>
      <c r="Y330" s="4">
        <f t="shared" ca="1" si="59"/>
        <v>2.0317444434415792E-2</v>
      </c>
      <c r="Z330" s="4">
        <f ca="1"/>
        <v>-8.5995433637584395E-3</v>
      </c>
      <c r="AA330" s="4"/>
    </row>
    <row r="331" spans="1:27" x14ac:dyDescent="0.35">
      <c r="A331">
        <v>329</v>
      </c>
      <c r="B331">
        <f ca="1">_xlfn.NORM.INV(RAND(),Hitorical_Sim!$AB$4,Hitorical_Sim!$AB$5)</f>
        <v>1.8810698531899792E-2</v>
      </c>
      <c r="C331">
        <f ca="1">_xlfn.NORM.INV(RAND(),Hitorical_Sim!$AB$4,Hitorical_Sim!$AB$5)</f>
        <v>1.1679267742942088E-2</v>
      </c>
      <c r="D331">
        <f ca="1">_xlfn.NORM.INV(RAND(),Hitorical_Sim!$AB$4,Hitorical_Sim!$AB$5)</f>
        <v>-5.8251407574856709E-3</v>
      </c>
      <c r="K331">
        <f t="shared" ca="1" si="55"/>
        <v>0.3963786452657691</v>
      </c>
      <c r="L331">
        <f t="shared" ca="1" si="55"/>
        <v>-0.56659218449860416</v>
      </c>
      <c r="M331">
        <f t="shared" ca="1" si="55"/>
        <v>-0.714462501236933</v>
      </c>
      <c r="O331">
        <v>329</v>
      </c>
      <c r="P331" s="6">
        <f t="shared" ca="1" si="52"/>
        <v>1951.8303512855907</v>
      </c>
      <c r="Q331" s="6">
        <f t="shared" ca="1" si="53"/>
        <v>378.2422531692107</v>
      </c>
      <c r="R331" s="6">
        <f t="shared" ca="1" si="54"/>
        <v>147.51887764948145</v>
      </c>
      <c r="S331" s="6"/>
      <c r="T331" s="4">
        <f t="shared" ca="1" si="56"/>
        <v>-1.6593887736803783E-2</v>
      </c>
      <c r="U331" s="4">
        <f t="shared" ca="1" si="57"/>
        <v>-4.3641387198808251E-2</v>
      </c>
      <c r="V331" s="4">
        <f t="shared" ca="1" si="58"/>
        <v>-2.1676104465562788E-2</v>
      </c>
      <c r="W331" s="4"/>
      <c r="X331">
        <v>329</v>
      </c>
      <c r="Y331" s="4">
        <f t="shared" ca="1" si="59"/>
        <v>-2.2243224840928673E-2</v>
      </c>
      <c r="Z331" s="4">
        <f ca="1"/>
        <v>-8.5006972642256238E-3</v>
      </c>
      <c r="AA331" s="4"/>
    </row>
    <row r="332" spans="1:27" x14ac:dyDescent="0.35">
      <c r="A332">
        <v>330</v>
      </c>
      <c r="B332">
        <f ca="1">_xlfn.NORM.INV(RAND(),Hitorical_Sim!$AB$4,Hitorical_Sim!$AB$5)</f>
        <v>1.1381637868376884E-2</v>
      </c>
      <c r="C332">
        <f ca="1">_xlfn.NORM.INV(RAND(),Hitorical_Sim!$AB$4,Hitorical_Sim!$AB$5)</f>
        <v>2.9848951023498167E-2</v>
      </c>
      <c r="D332">
        <f ca="1">_xlfn.NORM.INV(RAND(),Hitorical_Sim!$AB$4,Hitorical_Sim!$AB$5)</f>
        <v>5.7801879856452694E-2</v>
      </c>
      <c r="K332">
        <f t="shared" ca="1" si="55"/>
        <v>1.5754555253000981</v>
      </c>
      <c r="L332">
        <f t="shared" ca="1" si="55"/>
        <v>0.36808197339632609</v>
      </c>
      <c r="M332">
        <f t="shared" ca="1" si="55"/>
        <v>-0.17166090621197996</v>
      </c>
      <c r="O332">
        <v>330</v>
      </c>
      <c r="P332" s="6">
        <f t="shared" ca="1" si="52"/>
        <v>1994.0319804729372</v>
      </c>
      <c r="Q332" s="6">
        <f t="shared" ca="1" si="53"/>
        <v>388.46417219459209</v>
      </c>
      <c r="R332" s="6">
        <f t="shared" ca="1" si="54"/>
        <v>149.9818684936381</v>
      </c>
      <c r="S332" s="6"/>
      <c r="T332" s="4">
        <f t="shared" ca="1" si="56"/>
        <v>2.1391135750620356E-2</v>
      </c>
      <c r="U332" s="4">
        <f t="shared" ca="1" si="57"/>
        <v>2.6666072948923775E-2</v>
      </c>
      <c r="V332" s="4">
        <f t="shared" ca="1" si="58"/>
        <v>1.6558258426104241E-2</v>
      </c>
      <c r="W332" s="4"/>
      <c r="X332">
        <v>330</v>
      </c>
      <c r="Y332" s="4">
        <f t="shared" ca="1" si="59"/>
        <v>2.2204665080473748E-2</v>
      </c>
      <c r="Z332" s="4">
        <f ca="1"/>
        <v>-8.4718614620030303E-3</v>
      </c>
      <c r="AA332" s="4"/>
    </row>
    <row r="333" spans="1:27" x14ac:dyDescent="0.35">
      <c r="A333">
        <v>331</v>
      </c>
      <c r="B333">
        <f ca="1">_xlfn.NORM.INV(RAND(),Hitorical_Sim!$AB$4,Hitorical_Sim!$AB$5)</f>
        <v>-1.1706206187613572E-2</v>
      </c>
      <c r="C333">
        <f ca="1">_xlfn.NORM.INV(RAND(),Hitorical_Sim!$AB$4,Hitorical_Sim!$AB$5)</f>
        <v>-7.1771147374956297E-3</v>
      </c>
      <c r="D333">
        <f ca="1">_xlfn.NORM.INV(RAND(),Hitorical_Sim!$AB$4,Hitorical_Sim!$AB$5)</f>
        <v>6.611825305754015E-4</v>
      </c>
      <c r="K333">
        <f t="shared" ca="1" si="55"/>
        <v>-0.15009651137121488</v>
      </c>
      <c r="L333">
        <f t="shared" ca="1" si="55"/>
        <v>0.20474510260228621</v>
      </c>
      <c r="M333">
        <f t="shared" ca="1" si="55"/>
        <v>-0.38683742937923393</v>
      </c>
      <c r="O333">
        <v>331</v>
      </c>
      <c r="P333" s="6">
        <f t="shared" ca="1" si="52"/>
        <v>1932.5749255227415</v>
      </c>
      <c r="Q333" s="6">
        <f t="shared" ca="1" si="53"/>
        <v>386.65815233209503</v>
      </c>
      <c r="R333" s="6">
        <f t="shared" ca="1" si="54"/>
        <v>149.00061184463289</v>
      </c>
      <c r="S333" s="6"/>
      <c r="T333" s="4">
        <f t="shared" ca="1" si="56"/>
        <v>-3.130543774221152E-2</v>
      </c>
      <c r="U333" s="4">
        <f t="shared" ca="1" si="57"/>
        <v>-4.6599693326842152E-3</v>
      </c>
      <c r="V333" s="4">
        <f t="shared" ca="1" si="58"/>
        <v>-6.5639978041520551E-3</v>
      </c>
      <c r="W333" s="4"/>
      <c r="X333">
        <v>331</v>
      </c>
      <c r="Y333" s="4">
        <f t="shared" ca="1" si="59"/>
        <v>-2.4763395699998362E-2</v>
      </c>
      <c r="Z333" s="4">
        <f ca="1"/>
        <v>-8.3297783043260066E-3</v>
      </c>
      <c r="AA333" s="4"/>
    </row>
    <row r="334" spans="1:27" x14ac:dyDescent="0.35">
      <c r="A334">
        <v>332</v>
      </c>
      <c r="B334">
        <f ca="1">_xlfn.NORM.INV(RAND(),Hitorical_Sim!$AB$4,Hitorical_Sim!$AB$5)</f>
        <v>1.9244195699760349E-2</v>
      </c>
      <c r="C334">
        <f ca="1">_xlfn.NORM.INV(RAND(),Hitorical_Sim!$AB$4,Hitorical_Sim!$AB$5)</f>
        <v>-7.6307929064008155E-3</v>
      </c>
      <c r="D334">
        <f ca="1">_xlfn.NORM.INV(RAND(),Hitorical_Sim!$AB$4,Hitorical_Sim!$AB$5)</f>
        <v>-1.0164599685599122E-2</v>
      </c>
      <c r="K334">
        <f t="shared" ca="1" si="55"/>
        <v>0.77669126727758964</v>
      </c>
      <c r="L334">
        <f t="shared" ca="1" si="55"/>
        <v>-1.4244779818600786</v>
      </c>
      <c r="M334">
        <f t="shared" ca="1" si="55"/>
        <v>0.2319747333714153</v>
      </c>
      <c r="O334">
        <v>332</v>
      </c>
      <c r="P334" s="6">
        <f t="shared" ca="1" si="52"/>
        <v>1965.3440317789161</v>
      </c>
      <c r="Q334" s="6">
        <f t="shared" ca="1" si="53"/>
        <v>369.09702721867291</v>
      </c>
      <c r="R334" s="6">
        <f t="shared" ca="1" si="54"/>
        <v>151.840007838106</v>
      </c>
      <c r="S334" s="6"/>
      <c r="T334" s="4">
        <f t="shared" ca="1" si="56"/>
        <v>1.6814037761910258E-2</v>
      </c>
      <c r="U334" s="4">
        <f t="shared" ca="1" si="57"/>
        <v>-4.6481419490820845E-2</v>
      </c>
      <c r="V334" s="4">
        <f t="shared" ca="1" si="58"/>
        <v>1.8876974205594838E-2</v>
      </c>
      <c r="W334" s="4"/>
      <c r="X334">
        <v>332</v>
      </c>
      <c r="Y334" s="4">
        <f t="shared" ca="1" si="59"/>
        <v>4.2843791107472461E-3</v>
      </c>
      <c r="Z334" s="4">
        <f ca="1"/>
        <v>-8.1828657626560244E-3</v>
      </c>
      <c r="AA334" s="4"/>
    </row>
    <row r="335" spans="1:27" x14ac:dyDescent="0.35">
      <c r="A335">
        <v>333</v>
      </c>
      <c r="B335">
        <f ca="1">_xlfn.NORM.INV(RAND(),Hitorical_Sim!$AB$4,Hitorical_Sim!$AB$5)</f>
        <v>1.6320590743193971E-2</v>
      </c>
      <c r="C335">
        <f ca="1">_xlfn.NORM.INV(RAND(),Hitorical_Sim!$AB$4,Hitorical_Sim!$AB$5)</f>
        <v>-2.0660951620660558E-2</v>
      </c>
      <c r="D335">
        <f ca="1">_xlfn.NORM.INV(RAND(),Hitorical_Sim!$AB$4,Hitorical_Sim!$AB$5)</f>
        <v>7.2693350449856324E-3</v>
      </c>
      <c r="K335">
        <f t="shared" ca="1" si="55"/>
        <v>1.6751926975413176</v>
      </c>
      <c r="L335">
        <f t="shared" ca="1" si="55"/>
        <v>5.3222655194119603E-2</v>
      </c>
      <c r="M335">
        <f t="shared" ca="1" si="55"/>
        <v>0.29460186886102252</v>
      </c>
      <c r="O335">
        <v>333</v>
      </c>
      <c r="P335" s="6">
        <f t="shared" ca="1" si="52"/>
        <v>1997.6433661287103</v>
      </c>
      <c r="Q335" s="6">
        <f t="shared" ca="1" si="53"/>
        <v>384.99027307969192</v>
      </c>
      <c r="R335" s="6">
        <f t="shared" ca="1" si="54"/>
        <v>152.13036812845459</v>
      </c>
      <c r="S335" s="6"/>
      <c r="T335" s="4">
        <f t="shared" ca="1" si="56"/>
        <v>1.6300859080825094E-2</v>
      </c>
      <c r="U335" s="4">
        <f t="shared" ca="1" si="57"/>
        <v>4.2158513372301643E-2</v>
      </c>
      <c r="V335" s="4">
        <f t="shared" ca="1" si="58"/>
        <v>1.9104518178063355E-3</v>
      </c>
      <c r="W335" s="4"/>
      <c r="X335">
        <v>333</v>
      </c>
      <c r="Y335" s="4">
        <f t="shared" ca="1" si="59"/>
        <v>2.0749038775503475E-2</v>
      </c>
      <c r="Z335" s="4">
        <f ca="1"/>
        <v>-8.1541821488325932E-3</v>
      </c>
      <c r="AA335" s="4"/>
    </row>
    <row r="336" spans="1:27" x14ac:dyDescent="0.35">
      <c r="A336">
        <v>334</v>
      </c>
      <c r="B336">
        <f ca="1">_xlfn.NORM.INV(RAND(),Hitorical_Sim!$AB$4,Hitorical_Sim!$AB$5)</f>
        <v>6.0577612914578891E-3</v>
      </c>
      <c r="C336">
        <f ca="1">_xlfn.NORM.INV(RAND(),Hitorical_Sim!$AB$4,Hitorical_Sim!$AB$5)</f>
        <v>-1.3036560768617509E-2</v>
      </c>
      <c r="D336">
        <f ca="1">_xlfn.NORM.INV(RAND(),Hitorical_Sim!$AB$4,Hitorical_Sim!$AB$5)</f>
        <v>2.3609263980378797E-3</v>
      </c>
      <c r="K336">
        <f t="shared" ca="1" si="55"/>
        <v>0.94672057691244771</v>
      </c>
      <c r="L336">
        <f t="shared" ca="1" si="55"/>
        <v>0.72806022475623433</v>
      </c>
      <c r="M336">
        <f t="shared" ca="1" si="55"/>
        <v>0.82763672506408104</v>
      </c>
      <c r="O336">
        <v>334</v>
      </c>
      <c r="P336" s="6">
        <f t="shared" ca="1" si="52"/>
        <v>1971.415924729539</v>
      </c>
      <c r="Q336" s="6">
        <f t="shared" ca="1" si="53"/>
        <v>392.47429890412303</v>
      </c>
      <c r="R336" s="6">
        <f t="shared" ca="1" si="54"/>
        <v>154.62427789098845</v>
      </c>
      <c r="S336" s="6"/>
      <c r="T336" s="4">
        <f t="shared" ca="1" si="56"/>
        <v>-1.3216140768073793E-2</v>
      </c>
      <c r="U336" s="4">
        <f t="shared" ca="1" si="57"/>
        <v>1.9252985338919289E-2</v>
      </c>
      <c r="V336" s="4">
        <f t="shared" ca="1" si="58"/>
        <v>1.6260322335135732E-2</v>
      </c>
      <c r="W336" s="4"/>
      <c r="X336">
        <v>334</v>
      </c>
      <c r="Y336" s="4">
        <f t="shared" ca="1" si="59"/>
        <v>-5.2775458278617373E-3</v>
      </c>
      <c r="Z336" s="4">
        <f ca="1"/>
        <v>-8.0682451574806812E-3</v>
      </c>
      <c r="AA336" s="4"/>
    </row>
    <row r="337" spans="1:27" x14ac:dyDescent="0.35">
      <c r="A337">
        <v>335</v>
      </c>
      <c r="B337">
        <f ca="1">_xlfn.NORM.INV(RAND(),Hitorical_Sim!$AB$4,Hitorical_Sim!$AB$5)</f>
        <v>1.0194063263991698E-2</v>
      </c>
      <c r="C337">
        <f ca="1">_xlfn.NORM.INV(RAND(),Hitorical_Sim!$AB$4,Hitorical_Sim!$AB$5)</f>
        <v>2.1619056062191088E-3</v>
      </c>
      <c r="D337">
        <f ca="1">_xlfn.NORM.INV(RAND(),Hitorical_Sim!$AB$4,Hitorical_Sim!$AB$5)</f>
        <v>8.3769273128334164E-3</v>
      </c>
      <c r="K337">
        <f t="shared" ca="1" si="55"/>
        <v>0.80196205327764569</v>
      </c>
      <c r="L337">
        <f t="shared" ca="1" si="55"/>
        <v>1.2415583810883097</v>
      </c>
      <c r="M337">
        <f t="shared" ca="1" si="55"/>
        <v>-0.90003938182142962</v>
      </c>
      <c r="O337">
        <v>335</v>
      </c>
      <c r="P337" s="6">
        <f t="shared" ca="1" si="52"/>
        <v>1966.2452887017962</v>
      </c>
      <c r="Q337" s="6">
        <f t="shared" ca="1" si="53"/>
        <v>398.26637194539347</v>
      </c>
      <c r="R337" s="6">
        <f t="shared" ca="1" si="54"/>
        <v>146.68612445306351</v>
      </c>
      <c r="S337" s="6"/>
      <c r="T337" s="4">
        <f t="shared" ca="1" si="56"/>
        <v>-2.6262487905293953E-3</v>
      </c>
      <c r="U337" s="4">
        <f t="shared" ca="1" si="57"/>
        <v>1.465000308420656E-2</v>
      </c>
      <c r="V337" s="4">
        <f t="shared" ca="1" si="58"/>
        <v>-5.2703064465204598E-2</v>
      </c>
      <c r="W337" s="4"/>
      <c r="X337">
        <v>335</v>
      </c>
      <c r="Y337" s="4">
        <f t="shared" ca="1" si="59"/>
        <v>-1.656767261894761E-3</v>
      </c>
      <c r="Z337" s="4">
        <f ca="1"/>
        <v>-8.0117458120548407E-3</v>
      </c>
      <c r="AA337" s="4"/>
    </row>
    <row r="338" spans="1:27" x14ac:dyDescent="0.35">
      <c r="A338">
        <v>336</v>
      </c>
      <c r="B338">
        <f ca="1">_xlfn.NORM.INV(RAND(),Hitorical_Sim!$AB$4,Hitorical_Sim!$AB$5)</f>
        <v>6.405624349893055E-3</v>
      </c>
      <c r="C338">
        <f ca="1">_xlfn.NORM.INV(RAND(),Hitorical_Sim!$AB$4,Hitorical_Sim!$AB$5)</f>
        <v>2.4264700019687984E-2</v>
      </c>
      <c r="D338">
        <f ca="1">_xlfn.NORM.INV(RAND(),Hitorical_Sim!$AB$4,Hitorical_Sim!$AB$5)</f>
        <v>2.0323097551968455E-2</v>
      </c>
      <c r="K338">
        <f t="shared" ca="1" si="55"/>
        <v>-0.24270467685836497</v>
      </c>
      <c r="L338">
        <f t="shared" ca="1" si="55"/>
        <v>0.17602479565453955</v>
      </c>
      <c r="M338">
        <f t="shared" ca="1" si="55"/>
        <v>-1.4627912825344809</v>
      </c>
      <c r="O338">
        <v>336</v>
      </c>
      <c r="P338" s="6">
        <f t="shared" ca="1" si="52"/>
        <v>1929.3306886284088</v>
      </c>
      <c r="Q338" s="6">
        <f t="shared" ca="1" si="53"/>
        <v>386.34146028239127</v>
      </c>
      <c r="R338" s="6">
        <f t="shared" ca="1" si="54"/>
        <v>144.18947743195341</v>
      </c>
      <c r="S338" s="6"/>
      <c r="T338" s="4">
        <f t="shared" ca="1" si="56"/>
        <v>-1.8952629991223074E-2</v>
      </c>
      <c r="U338" s="4">
        <f t="shared" ca="1" si="57"/>
        <v>-3.039946710701651E-2</v>
      </c>
      <c r="V338" s="4">
        <f t="shared" ca="1" si="58"/>
        <v>-1.7166846021076616E-2</v>
      </c>
      <c r="W338" s="4"/>
      <c r="X338">
        <v>336</v>
      </c>
      <c r="Y338" s="4">
        <f t="shared" ca="1" si="59"/>
        <v>-2.1148674597338442E-2</v>
      </c>
      <c r="Z338" s="4">
        <f ca="1"/>
        <v>-8.0097151850893888E-3</v>
      </c>
      <c r="AA338" s="4"/>
    </row>
    <row r="339" spans="1:27" x14ac:dyDescent="0.35">
      <c r="A339">
        <v>337</v>
      </c>
      <c r="B339">
        <f ca="1">_xlfn.NORM.INV(RAND(),Hitorical_Sim!$AB$4,Hitorical_Sim!$AB$5)</f>
        <v>1.332565091832213E-3</v>
      </c>
      <c r="C339">
        <f ca="1">_xlfn.NORM.INV(RAND(),Hitorical_Sim!$AB$4,Hitorical_Sim!$AB$5)</f>
        <v>-1.7452406295445241E-2</v>
      </c>
      <c r="D339">
        <f ca="1">_xlfn.NORM.INV(RAND(),Hitorical_Sim!$AB$4,Hitorical_Sim!$AB$5)</f>
        <v>-7.8216331993008776E-3</v>
      </c>
      <c r="K339">
        <f t="shared" ca="1" si="55"/>
        <v>-0.86263031057282946</v>
      </c>
      <c r="L339">
        <f t="shared" ca="1" si="55"/>
        <v>-0.3509882822040854</v>
      </c>
      <c r="M339">
        <f t="shared" ca="1" si="55"/>
        <v>-0.54707985880958998</v>
      </c>
      <c r="O339">
        <v>337</v>
      </c>
      <c r="P339" s="6">
        <f t="shared" ca="1" si="52"/>
        <v>1907.753341347114</v>
      </c>
      <c r="Q339" s="6">
        <f t="shared" ca="1" si="53"/>
        <v>380.57604370169548</v>
      </c>
      <c r="R339" s="6">
        <f t="shared" ca="1" si="54"/>
        <v>148.27404080763665</v>
      </c>
      <c r="S339" s="6"/>
      <c r="T339" s="4">
        <f t="shared" ca="1" si="56"/>
        <v>-1.1246860667550068E-2</v>
      </c>
      <c r="U339" s="4">
        <f t="shared" ca="1" si="57"/>
        <v>-1.5035581181430897E-2</v>
      </c>
      <c r="V339" s="4">
        <f t="shared" ca="1" si="58"/>
        <v>2.793393854540091E-2</v>
      </c>
      <c r="W339" s="4"/>
      <c r="X339">
        <v>337</v>
      </c>
      <c r="Y339" s="4">
        <f t="shared" ca="1" si="59"/>
        <v>-1.0063906259814771E-2</v>
      </c>
      <c r="Z339" s="4">
        <f ca="1"/>
        <v>-7.8289612060044398E-3</v>
      </c>
      <c r="AA339" s="4"/>
    </row>
    <row r="340" spans="1:27" x14ac:dyDescent="0.35">
      <c r="A340">
        <v>338</v>
      </c>
      <c r="B340">
        <f ca="1">_xlfn.NORM.INV(RAND(),Hitorical_Sim!$AB$4,Hitorical_Sim!$AB$5)</f>
        <v>-2.0114939390088911E-2</v>
      </c>
      <c r="C340">
        <f ca="1">_xlfn.NORM.INV(RAND(),Hitorical_Sim!$AB$4,Hitorical_Sim!$AB$5)</f>
        <v>1.3787348677223492E-2</v>
      </c>
      <c r="D340">
        <f ca="1">_xlfn.NORM.INV(RAND(),Hitorical_Sim!$AB$4,Hitorical_Sim!$AB$5)</f>
        <v>2.8651796644519633E-3</v>
      </c>
      <c r="K340">
        <f t="shared" ca="1" si="55"/>
        <v>0.90393739775759252</v>
      </c>
      <c r="L340">
        <f t="shared" ca="1" si="55"/>
        <v>0.60712582010518756</v>
      </c>
      <c r="M340">
        <f t="shared" ca="1" si="55"/>
        <v>0.58911679681652296</v>
      </c>
      <c r="O340">
        <v>338</v>
      </c>
      <c r="P340" s="6">
        <f t="shared" ca="1" si="52"/>
        <v>1969.886336621438</v>
      </c>
      <c r="Q340" s="6">
        <f t="shared" ca="1" si="53"/>
        <v>391.12250361968944</v>
      </c>
      <c r="R340" s="6">
        <f t="shared" ca="1" si="54"/>
        <v>153.50330045638574</v>
      </c>
      <c r="S340" s="6"/>
      <c r="T340" s="4">
        <f t="shared" ca="1" si="56"/>
        <v>3.2049555293170232E-2</v>
      </c>
      <c r="U340" s="4">
        <f t="shared" ca="1" si="57"/>
        <v>2.7334810029532929E-2</v>
      </c>
      <c r="V340" s="4">
        <f t="shared" ca="1" si="58"/>
        <v>3.4659879446131032E-2</v>
      </c>
      <c r="W340" s="4"/>
      <c r="X340">
        <v>338</v>
      </c>
      <c r="Y340" s="4">
        <f t="shared" ca="1" si="59"/>
        <v>3.1237827544856808E-2</v>
      </c>
      <c r="Z340" s="4">
        <f ca="1"/>
        <v>-7.8164633293593064E-3</v>
      </c>
      <c r="AA340" s="4"/>
    </row>
    <row r="341" spans="1:27" x14ac:dyDescent="0.35">
      <c r="A341">
        <v>339</v>
      </c>
      <c r="B341">
        <f ca="1">_xlfn.NORM.INV(RAND(),Hitorical_Sim!$AB$4,Hitorical_Sim!$AB$5)</f>
        <v>-1.0497522153555877E-2</v>
      </c>
      <c r="C341">
        <f ca="1">_xlfn.NORM.INV(RAND(),Hitorical_Sim!$AB$4,Hitorical_Sim!$AB$5)</f>
        <v>-2.1205359942332372E-2</v>
      </c>
      <c r="D341">
        <f ca="1">_xlfn.NORM.INV(RAND(),Hitorical_Sim!$AB$4,Hitorical_Sim!$AB$5)</f>
        <v>-5.8674181546272356E-3</v>
      </c>
      <c r="K341">
        <f t="shared" ca="1" si="55"/>
        <v>0.97837668691829527</v>
      </c>
      <c r="L341">
        <f t="shared" ca="1" si="55"/>
        <v>-1.7722850869095319</v>
      </c>
      <c r="M341">
        <f t="shared" ca="1" si="55"/>
        <v>-7.755199790733705E-2</v>
      </c>
      <c r="O341">
        <v>339</v>
      </c>
      <c r="P341" s="6">
        <f t="shared" ca="1" si="52"/>
        <v>1972.5484613236981</v>
      </c>
      <c r="Q341" s="6">
        <f t="shared" ca="1" si="53"/>
        <v>365.45263691557579</v>
      </c>
      <c r="R341" s="6">
        <f t="shared" ca="1" si="54"/>
        <v>150.41305640225195</v>
      </c>
      <c r="S341" s="6"/>
      <c r="T341" s="4">
        <f t="shared" ca="1" si="56"/>
        <v>1.3504979756449294E-3</v>
      </c>
      <c r="U341" s="4">
        <f t="shared" ca="1" si="57"/>
        <v>-6.7884132974019781E-2</v>
      </c>
      <c r="V341" s="4">
        <f t="shared" ca="1" si="58"/>
        <v>-2.033684920758138E-2</v>
      </c>
      <c r="W341" s="4"/>
      <c r="X341">
        <v>339</v>
      </c>
      <c r="Y341" s="4">
        <f t="shared" ca="1" si="59"/>
        <v>-1.353983421693891E-2</v>
      </c>
      <c r="Z341" s="4">
        <f ca="1"/>
        <v>-7.816131121440837E-3</v>
      </c>
      <c r="AA341" s="4"/>
    </row>
    <row r="342" spans="1:27" x14ac:dyDescent="0.35">
      <c r="A342">
        <v>340</v>
      </c>
      <c r="B342">
        <f ca="1">_xlfn.NORM.INV(RAND(),Hitorical_Sim!$AB$4,Hitorical_Sim!$AB$5)</f>
        <v>1.2406969754857404E-2</v>
      </c>
      <c r="C342">
        <f ca="1">_xlfn.NORM.INV(RAND(),Hitorical_Sim!$AB$4,Hitorical_Sim!$AB$5)</f>
        <v>-1.8186007524285588E-3</v>
      </c>
      <c r="D342">
        <f ca="1">_xlfn.NORM.INV(RAND(),Hitorical_Sim!$AB$4,Hitorical_Sim!$AB$5)</f>
        <v>3.8275525256777328E-3</v>
      </c>
      <c r="K342">
        <f t="shared" ca="1" si="55"/>
        <v>7.7093872204970423E-2</v>
      </c>
      <c r="L342">
        <f t="shared" ca="1" si="55"/>
        <v>1.4978846911938488</v>
      </c>
      <c r="M342">
        <f t="shared" ca="1" si="55"/>
        <v>-2.0718667666600035</v>
      </c>
      <c r="O342">
        <v>340</v>
      </c>
      <c r="P342" s="6">
        <f t="shared" ca="1" si="52"/>
        <v>1940.5569552254358</v>
      </c>
      <c r="Q342" s="6">
        <f t="shared" ca="1" si="53"/>
        <v>401.18954551696771</v>
      </c>
      <c r="R342" s="6">
        <f t="shared" ca="1" si="54"/>
        <v>141.53517815335582</v>
      </c>
      <c r="S342" s="6"/>
      <c r="T342" s="4">
        <f t="shared" ca="1" si="56"/>
        <v>-1.6351319719434123E-2</v>
      </c>
      <c r="U342" s="4">
        <f t="shared" ca="1" si="57"/>
        <v>9.3297311284039161E-2</v>
      </c>
      <c r="V342" s="4">
        <f t="shared" ca="1" si="58"/>
        <v>-6.0836923890182956E-2</v>
      </c>
      <c r="W342" s="4"/>
      <c r="X342">
        <v>340</v>
      </c>
      <c r="Y342" s="4">
        <f t="shared" ca="1" si="59"/>
        <v>3.3294507889185163E-3</v>
      </c>
      <c r="Z342" s="4">
        <f ca="1"/>
        <v>-7.6710946449773812E-3</v>
      </c>
      <c r="AA342" s="4"/>
    </row>
    <row r="343" spans="1:27" x14ac:dyDescent="0.35">
      <c r="A343">
        <v>341</v>
      </c>
      <c r="B343">
        <f ca="1">_xlfn.NORM.INV(RAND(),Hitorical_Sim!$AB$4,Hitorical_Sim!$AB$5)</f>
        <v>1.1485684587825947E-2</v>
      </c>
      <c r="C343">
        <f ca="1">_xlfn.NORM.INV(RAND(),Hitorical_Sim!$AB$4,Hitorical_Sim!$AB$5)</f>
        <v>4.2657704215607727E-3</v>
      </c>
      <c r="D343">
        <f ca="1">_xlfn.NORM.INV(RAND(),Hitorical_Sim!$AB$4,Hitorical_Sim!$AB$5)</f>
        <v>-2.6874436293362956E-3</v>
      </c>
      <c r="K343">
        <f t="shared" ca="1" si="55"/>
        <v>1.1108899976249582</v>
      </c>
      <c r="L343">
        <f t="shared" ca="1" si="55"/>
        <v>0.63890204500353009</v>
      </c>
      <c r="M343">
        <f t="shared" ca="1" si="55"/>
        <v>1.5127346250979925</v>
      </c>
      <c r="O343">
        <v>341</v>
      </c>
      <c r="P343" s="6">
        <f t="shared" ca="1" si="52"/>
        <v>1977.2963557466051</v>
      </c>
      <c r="Q343" s="6">
        <f t="shared" ca="1" si="53"/>
        <v>391.47724414616772</v>
      </c>
      <c r="R343" s="6">
        <f t="shared" ca="1" si="54"/>
        <v>157.88977973069015</v>
      </c>
      <c r="S343" s="6"/>
      <c r="T343" s="4">
        <f t="shared" ca="1" si="56"/>
        <v>1.8755412502601865E-2</v>
      </c>
      <c r="U343" s="4">
        <f t="shared" ca="1" si="57"/>
        <v>-2.4506608759526191E-2</v>
      </c>
      <c r="V343" s="4">
        <f t="shared" ca="1" si="58"/>
        <v>0.10934889790914</v>
      </c>
      <c r="W343" s="4"/>
      <c r="X343">
        <v>341</v>
      </c>
      <c r="Y343" s="4">
        <f t="shared" ca="1" si="59"/>
        <v>1.460517489776106E-2</v>
      </c>
      <c r="Z343" s="4">
        <f ca="1"/>
        <v>-7.6665545676840542E-3</v>
      </c>
      <c r="AA343" s="4"/>
    </row>
    <row r="344" spans="1:27" x14ac:dyDescent="0.35">
      <c r="A344">
        <v>342</v>
      </c>
      <c r="B344">
        <f ca="1">_xlfn.NORM.INV(RAND(),Hitorical_Sim!$AB$4,Hitorical_Sim!$AB$5)</f>
        <v>-1.719076939654985E-2</v>
      </c>
      <c r="C344">
        <f ca="1">_xlfn.NORM.INV(RAND(),Hitorical_Sim!$AB$4,Hitorical_Sim!$AB$5)</f>
        <v>-6.1349039942841573E-3</v>
      </c>
      <c r="D344">
        <f ca="1">_xlfn.NORM.INV(RAND(),Hitorical_Sim!$AB$4,Hitorical_Sim!$AB$5)</f>
        <v>9.0671153618406821E-4</v>
      </c>
      <c r="K344">
        <f t="shared" ref="K344:M363" ca="1" si="60">_xlfn.NORM.S.INV(RAND())</f>
        <v>1.8649500319387804</v>
      </c>
      <c r="L344">
        <f t="shared" ca="1" si="60"/>
        <v>0.65079986413352164</v>
      </c>
      <c r="M344">
        <f t="shared" ca="1" si="60"/>
        <v>0.91731797314841468</v>
      </c>
      <c r="O344">
        <v>342</v>
      </c>
      <c r="P344" s="6">
        <f t="shared" ca="1" si="52"/>
        <v>2004.5323635249119</v>
      </c>
      <c r="Q344" s="6">
        <f t="shared" ca="1" si="53"/>
        <v>391.61015070803239</v>
      </c>
      <c r="R344" s="6">
        <f t="shared" ca="1" si="54"/>
        <v>155.04786922214817</v>
      </c>
      <c r="S344" s="6"/>
      <c r="T344" s="4">
        <f t="shared" ca="1" si="56"/>
        <v>1.3680363707627905E-2</v>
      </c>
      <c r="U344" s="4">
        <f t="shared" ca="1" si="57"/>
        <v>3.3944247861527791E-4</v>
      </c>
      <c r="V344" s="4">
        <f t="shared" ca="1" si="58"/>
        <v>-1.8163290020792294E-2</v>
      </c>
      <c r="W344" s="4"/>
      <c r="X344">
        <v>342</v>
      </c>
      <c r="Y344" s="4">
        <f t="shared" ca="1" si="59"/>
        <v>9.4419955383268344E-3</v>
      </c>
      <c r="Z344" s="4">
        <f ca="1"/>
        <v>-7.6624463769631914E-3</v>
      </c>
      <c r="AA344" s="4"/>
    </row>
    <row r="345" spans="1:27" x14ac:dyDescent="0.35">
      <c r="A345">
        <v>343</v>
      </c>
      <c r="B345">
        <f ca="1">_xlfn.NORM.INV(RAND(),Hitorical_Sim!$AB$4,Hitorical_Sim!$AB$5)</f>
        <v>-1.9200093664093785E-2</v>
      </c>
      <c r="C345">
        <f ca="1">_xlfn.NORM.INV(RAND(),Hitorical_Sim!$AB$4,Hitorical_Sim!$AB$5)</f>
        <v>9.1449872728868557E-3</v>
      </c>
      <c r="D345">
        <f ca="1">_xlfn.NORM.INV(RAND(),Hitorical_Sim!$AB$4,Hitorical_Sim!$AB$5)</f>
        <v>-7.9488881488876933E-3</v>
      </c>
      <c r="K345">
        <f t="shared" ca="1" si="60"/>
        <v>-0.29906029110256477</v>
      </c>
      <c r="L345">
        <f t="shared" ca="1" si="60"/>
        <v>-0.82453310066156238</v>
      </c>
      <c r="M345">
        <f t="shared" ca="1" si="60"/>
        <v>0.37555569932871141</v>
      </c>
      <c r="O345">
        <v>343</v>
      </c>
      <c r="P345" s="6">
        <f t="shared" ca="1" si="52"/>
        <v>1927.3591123516976</v>
      </c>
      <c r="Q345" s="6">
        <f t="shared" ca="1" si="53"/>
        <v>375.46898351247921</v>
      </c>
      <c r="R345" s="6">
        <f t="shared" ca="1" si="54"/>
        <v>152.506519992368</v>
      </c>
      <c r="S345" s="6"/>
      <c r="T345" s="4">
        <f t="shared" ca="1" si="56"/>
        <v>-3.9260068083579194E-2</v>
      </c>
      <c r="U345" s="4">
        <f t="shared" ca="1" si="57"/>
        <v>-4.209096414068203E-2</v>
      </c>
      <c r="V345" s="4">
        <f t="shared" ca="1" si="58"/>
        <v>-1.652655374936432E-2</v>
      </c>
      <c r="W345" s="4"/>
      <c r="X345">
        <v>343</v>
      </c>
      <c r="Y345" s="4">
        <f t="shared" ca="1" si="59"/>
        <v>-3.8699940163661947E-2</v>
      </c>
      <c r="Z345" s="4">
        <f ca="1"/>
        <v>-7.4680710069424325E-3</v>
      </c>
      <c r="AA345" s="4"/>
    </row>
    <row r="346" spans="1:27" x14ac:dyDescent="0.35">
      <c r="A346">
        <v>344</v>
      </c>
      <c r="B346">
        <f ca="1">_xlfn.NORM.INV(RAND(),Hitorical_Sim!$AB$4,Hitorical_Sim!$AB$5)</f>
        <v>4.5279643124101245E-3</v>
      </c>
      <c r="C346">
        <f ca="1">_xlfn.NORM.INV(RAND(),Hitorical_Sim!$AB$4,Hitorical_Sim!$AB$5)</f>
        <v>9.22648198989025E-4</v>
      </c>
      <c r="D346">
        <f ca="1">_xlfn.NORM.INV(RAND(),Hitorical_Sim!$AB$4,Hitorical_Sim!$AB$5)</f>
        <v>6.980341367354404E-3</v>
      </c>
      <c r="K346">
        <f t="shared" ca="1" si="60"/>
        <v>-1.0981935591020655</v>
      </c>
      <c r="L346">
        <f t="shared" ca="1" si="60"/>
        <v>-0.12944195308155471</v>
      </c>
      <c r="M346">
        <f t="shared" ca="1" si="60"/>
        <v>-0.21186798367601331</v>
      </c>
      <c r="O346">
        <v>344</v>
      </c>
      <c r="P346" s="6">
        <f t="shared" ca="1" si="52"/>
        <v>1899.6176625031069</v>
      </c>
      <c r="Q346" s="6">
        <f t="shared" ca="1" si="53"/>
        <v>382.98915899950055</v>
      </c>
      <c r="R346" s="6">
        <f t="shared" ca="1" si="54"/>
        <v>149.79802490089773</v>
      </c>
      <c r="S346" s="6"/>
      <c r="T346" s="4">
        <f t="shared" ca="1" si="56"/>
        <v>-1.4498094660389491E-2</v>
      </c>
      <c r="U346" s="4">
        <f t="shared" ca="1" si="57"/>
        <v>1.9830816002514635E-2</v>
      </c>
      <c r="V346" s="4">
        <f t="shared" ca="1" si="58"/>
        <v>-1.7919463092880047E-2</v>
      </c>
      <c r="W346" s="4"/>
      <c r="X346">
        <v>344</v>
      </c>
      <c r="Y346" s="4">
        <f t="shared" ca="1" si="59"/>
        <v>-7.8164633293593064E-3</v>
      </c>
      <c r="Z346" s="4">
        <f ca="1"/>
        <v>-7.4432456241342246E-3</v>
      </c>
      <c r="AA346" s="4"/>
    </row>
    <row r="347" spans="1:27" x14ac:dyDescent="0.35">
      <c r="A347">
        <v>345</v>
      </c>
      <c r="B347">
        <f ca="1">_xlfn.NORM.INV(RAND(),Hitorical_Sim!$AB$4,Hitorical_Sim!$AB$5)</f>
        <v>3.5734468789671409E-3</v>
      </c>
      <c r="C347">
        <f ca="1">_xlfn.NORM.INV(RAND(),Hitorical_Sim!$AB$4,Hitorical_Sim!$AB$5)</f>
        <v>-2.6804451407900823E-3</v>
      </c>
      <c r="D347">
        <f ca="1">_xlfn.NORM.INV(RAND(),Hitorical_Sim!$AB$4,Hitorical_Sim!$AB$5)</f>
        <v>3.6241243324698709E-3</v>
      </c>
      <c r="K347">
        <f t="shared" ca="1" si="60"/>
        <v>-0.30986832603733627</v>
      </c>
      <c r="L347">
        <f t="shared" ca="1" si="60"/>
        <v>-0.81756958764899867</v>
      </c>
      <c r="M347">
        <f t="shared" ca="1" si="60"/>
        <v>-1.7369186169069903</v>
      </c>
      <c r="O347">
        <v>345</v>
      </c>
      <c r="P347" s="6">
        <f t="shared" ca="1" si="52"/>
        <v>1926.9812283346187</v>
      </c>
      <c r="Q347" s="6">
        <f t="shared" ca="1" si="53"/>
        <v>375.54358447428689</v>
      </c>
      <c r="R347" s="6">
        <f t="shared" ca="1" si="54"/>
        <v>142.98874880055175</v>
      </c>
      <c r="S347" s="6"/>
      <c r="T347" s="4">
        <f t="shared" ca="1" si="56"/>
        <v>1.4302012329879732E-2</v>
      </c>
      <c r="U347" s="4">
        <f t="shared" ca="1" si="57"/>
        <v>-1.9632148323082837E-2</v>
      </c>
      <c r="V347" s="4">
        <f t="shared" ca="1" si="58"/>
        <v>-4.6521938640898049E-2</v>
      </c>
      <c r="W347" s="4"/>
      <c r="X347">
        <v>345</v>
      </c>
      <c r="Y347" s="4">
        <f t="shared" ca="1" si="59"/>
        <v>4.5196526425396472E-3</v>
      </c>
      <c r="Z347" s="4">
        <f ca="1"/>
        <v>-7.3367007746417464E-3</v>
      </c>
      <c r="AA347" s="4"/>
    </row>
    <row r="348" spans="1:27" x14ac:dyDescent="0.35">
      <c r="A348">
        <v>346</v>
      </c>
      <c r="B348">
        <f ca="1">_xlfn.NORM.INV(RAND(),Hitorical_Sim!$AB$4,Hitorical_Sim!$AB$5)</f>
        <v>-3.2912712919240736E-2</v>
      </c>
      <c r="C348">
        <f ca="1">_xlfn.NORM.INV(RAND(),Hitorical_Sim!$AB$4,Hitorical_Sim!$AB$5)</f>
        <v>-7.452812493928671E-3</v>
      </c>
      <c r="D348">
        <f ca="1">_xlfn.NORM.INV(RAND(),Hitorical_Sim!$AB$4,Hitorical_Sim!$AB$5)</f>
        <v>1.7729296367389191E-2</v>
      </c>
      <c r="K348">
        <f t="shared" ca="1" si="60"/>
        <v>-0.52687145631825172</v>
      </c>
      <c r="L348">
        <f t="shared" ca="1" si="60"/>
        <v>7.4041102075881174E-2</v>
      </c>
      <c r="M348">
        <f t="shared" ca="1" si="60"/>
        <v>-0.92754009243875524</v>
      </c>
      <c r="O348">
        <v>346</v>
      </c>
      <c r="P348" s="6">
        <f t="shared" ca="1" si="52"/>
        <v>1919.4097516421277</v>
      </c>
      <c r="Q348" s="6">
        <f t="shared" ca="1" si="53"/>
        <v>385.21900453406261</v>
      </c>
      <c r="R348" s="6">
        <f t="shared" ca="1" si="54"/>
        <v>146.56311900803718</v>
      </c>
      <c r="S348" s="6"/>
      <c r="T348" s="4">
        <f t="shared" ca="1" si="56"/>
        <v>-3.9369302347895957E-3</v>
      </c>
      <c r="U348" s="4">
        <f t="shared" ca="1" si="57"/>
        <v>2.5437480530960076E-2</v>
      </c>
      <c r="V348" s="4">
        <f t="shared" ca="1" si="58"/>
        <v>2.4690234692600503E-2</v>
      </c>
      <c r="W348" s="4"/>
      <c r="X348">
        <v>346</v>
      </c>
      <c r="Y348" s="4">
        <f t="shared" ca="1" si="59"/>
        <v>3.3420263401002948E-3</v>
      </c>
      <c r="Z348" s="4">
        <f ca="1"/>
        <v>-7.3309591853688728E-3</v>
      </c>
      <c r="AA348" s="4"/>
    </row>
    <row r="349" spans="1:27" x14ac:dyDescent="0.35">
      <c r="A349">
        <v>347</v>
      </c>
      <c r="B349">
        <f ca="1">_xlfn.NORM.INV(RAND(),Hitorical_Sim!$AB$4,Hitorical_Sim!$AB$5)</f>
        <v>3.4663315796301317E-3</v>
      </c>
      <c r="C349">
        <f ca="1">_xlfn.NORM.INV(RAND(),Hitorical_Sim!$AB$4,Hitorical_Sim!$AB$5)</f>
        <v>5.3532957718168683E-3</v>
      </c>
      <c r="D349">
        <f ca="1">_xlfn.NORM.INV(RAND(),Hitorical_Sim!$AB$4,Hitorical_Sim!$AB$5)</f>
        <v>2.3245974758108277E-2</v>
      </c>
      <c r="K349">
        <f t="shared" ca="1" si="60"/>
        <v>-1.8465411202732236</v>
      </c>
      <c r="L349">
        <f t="shared" ca="1" si="60"/>
        <v>-1.5559034692484086</v>
      </c>
      <c r="M349">
        <f t="shared" ca="1" si="60"/>
        <v>0.18989482688695311</v>
      </c>
      <c r="O349">
        <v>347</v>
      </c>
      <c r="P349" s="6">
        <f t="shared" ca="1" si="52"/>
        <v>1874.0013593815431</v>
      </c>
      <c r="Q349" s="6">
        <f t="shared" ca="1" si="53"/>
        <v>367.71567311444039</v>
      </c>
      <c r="R349" s="6">
        <f t="shared" ca="1" si="54"/>
        <v>151.64522270233803</v>
      </c>
      <c r="S349" s="6"/>
      <c r="T349" s="4">
        <f t="shared" ca="1" si="56"/>
        <v>-2.3941808550104665E-2</v>
      </c>
      <c r="U349" s="4">
        <f t="shared" ca="1" si="57"/>
        <v>-4.6502003371448226E-2</v>
      </c>
      <c r="V349" s="4">
        <f t="shared" ca="1" si="58"/>
        <v>3.4087549370037162E-2</v>
      </c>
      <c r="W349" s="4"/>
      <c r="X349">
        <v>347</v>
      </c>
      <c r="Y349" s="4">
        <f t="shared" ca="1" si="59"/>
        <v>-2.5572224067496586E-2</v>
      </c>
      <c r="Z349" s="4">
        <f ca="1"/>
        <v>-7.1852588781350117E-3</v>
      </c>
      <c r="AA349" s="4"/>
    </row>
    <row r="350" spans="1:27" x14ac:dyDescent="0.35">
      <c r="A350">
        <v>348</v>
      </c>
      <c r="B350">
        <f ca="1">_xlfn.NORM.INV(RAND(),Hitorical_Sim!$AB$4,Hitorical_Sim!$AB$5)</f>
        <v>-1.957480901954561E-2</v>
      </c>
      <c r="C350">
        <f ca="1">_xlfn.NORM.INV(RAND(),Hitorical_Sim!$AB$4,Hitorical_Sim!$AB$5)</f>
        <v>-1.9209097076343314E-4</v>
      </c>
      <c r="D350">
        <f ca="1">_xlfn.NORM.INV(RAND(),Hitorical_Sim!$AB$4,Hitorical_Sim!$AB$5)</f>
        <v>1.0951233626532554E-2</v>
      </c>
      <c r="K350">
        <f t="shared" ca="1" si="60"/>
        <v>0.19174762588873054</v>
      </c>
      <c r="L350">
        <f t="shared" ca="1" si="60"/>
        <v>1.0015996179731439</v>
      </c>
      <c r="M350">
        <f t="shared" ca="1" si="60"/>
        <v>-1.8493709017727278</v>
      </c>
      <c r="O350">
        <v>348</v>
      </c>
      <c r="P350" s="6">
        <f t="shared" ca="1" si="52"/>
        <v>1944.5976696101152</v>
      </c>
      <c r="Q350" s="6">
        <f t="shared" ca="1" si="53"/>
        <v>395.54916107697534</v>
      </c>
      <c r="R350" s="6">
        <f t="shared" ca="1" si="54"/>
        <v>142.49908386316071</v>
      </c>
      <c r="S350" s="6"/>
      <c r="T350" s="4">
        <f t="shared" ca="1" si="56"/>
        <v>3.6979192796014485E-2</v>
      </c>
      <c r="U350" s="4">
        <f t="shared" ca="1" si="57"/>
        <v>7.2965068430418736E-2</v>
      </c>
      <c r="V350" s="4">
        <f t="shared" ca="1" si="58"/>
        <v>-6.2208160853124576E-2</v>
      </c>
      <c r="W350" s="4"/>
      <c r="X350">
        <v>348</v>
      </c>
      <c r="Y350" s="4">
        <f t="shared" ca="1" si="59"/>
        <v>3.925203197173896E-2</v>
      </c>
      <c r="Z350" s="4">
        <f ca="1"/>
        <v>-7.1661126585044503E-3</v>
      </c>
      <c r="AA350" s="4"/>
    </row>
    <row r="351" spans="1:27" x14ac:dyDescent="0.35">
      <c r="A351">
        <v>349</v>
      </c>
      <c r="B351">
        <f ca="1">_xlfn.NORM.INV(RAND(),Hitorical_Sim!$AB$4,Hitorical_Sim!$AB$5)</f>
        <v>-3.7417453042066576E-2</v>
      </c>
      <c r="C351">
        <f ca="1">_xlfn.NORM.INV(RAND(),Hitorical_Sim!$AB$4,Hitorical_Sim!$AB$5)</f>
        <v>-4.0949667477497027E-3</v>
      </c>
      <c r="D351">
        <f ca="1">_xlfn.NORM.INV(RAND(),Hitorical_Sim!$AB$4,Hitorical_Sim!$AB$5)</f>
        <v>-2.1682245403013996E-2</v>
      </c>
      <c r="K351">
        <f t="shared" ca="1" si="60"/>
        <v>-0.84983050247280567</v>
      </c>
      <c r="L351">
        <f t="shared" ca="1" si="60"/>
        <v>-0.86093475570088773</v>
      </c>
      <c r="M351">
        <f t="shared" ca="1" si="60"/>
        <v>-1.004645964933494</v>
      </c>
      <c r="O351">
        <v>349</v>
      </c>
      <c r="P351" s="6">
        <f t="shared" ca="1" si="52"/>
        <v>1908.1964067387314</v>
      </c>
      <c r="Q351" s="6">
        <f t="shared" ca="1" si="53"/>
        <v>375.07924930212045</v>
      </c>
      <c r="R351" s="6">
        <f t="shared" ca="1" si="54"/>
        <v>146.21878886925705</v>
      </c>
      <c r="S351" s="6"/>
      <c r="T351" s="4">
        <f t="shared" ca="1" si="56"/>
        <v>-1.889659573174763E-2</v>
      </c>
      <c r="U351" s="4">
        <f t="shared" ca="1" si="57"/>
        <v>-5.3137745447171161E-2</v>
      </c>
      <c r="V351" s="4">
        <f t="shared" ca="1" si="58"/>
        <v>2.5768483238365728E-2</v>
      </c>
      <c r="W351" s="4"/>
      <c r="X351">
        <v>349</v>
      </c>
      <c r="Y351" s="4">
        <f t="shared" ca="1" si="59"/>
        <v>-2.3519556762628638E-2</v>
      </c>
      <c r="Z351" s="4">
        <f ca="1"/>
        <v>-7.1449273308351975E-3</v>
      </c>
      <c r="AA351" s="4"/>
    </row>
    <row r="352" spans="1:27" x14ac:dyDescent="0.35">
      <c r="A352">
        <v>350</v>
      </c>
      <c r="B352">
        <f ca="1">_xlfn.NORM.INV(RAND(),Hitorical_Sim!$AB$4,Hitorical_Sim!$AB$5)</f>
        <v>3.5253886951833582E-2</v>
      </c>
      <c r="C352">
        <f ca="1">_xlfn.NORM.INV(RAND(),Hitorical_Sim!$AB$4,Hitorical_Sim!$AB$5)</f>
        <v>3.4212097840494463E-2</v>
      </c>
      <c r="D352">
        <f ca="1">_xlfn.NORM.INV(RAND(),Hitorical_Sim!$AB$4,Hitorical_Sim!$AB$5)</f>
        <v>-2.7099764874043412E-2</v>
      </c>
      <c r="K352">
        <f t="shared" ca="1" si="60"/>
        <v>-0.26890340075005137</v>
      </c>
      <c r="L352">
        <f t="shared" ca="1" si="60"/>
        <v>-0.1065501420289317</v>
      </c>
      <c r="M352">
        <f t="shared" ca="1" si="60"/>
        <v>0.83591198921118282</v>
      </c>
      <c r="O352">
        <v>350</v>
      </c>
      <c r="P352" s="6">
        <f t="shared" ca="1" si="52"/>
        <v>1928.4138871107336</v>
      </c>
      <c r="Q352" s="6">
        <f t="shared" ca="1" si="53"/>
        <v>383.23937051151256</v>
      </c>
      <c r="R352" s="6">
        <f t="shared" ca="1" si="54"/>
        <v>154.6633159223386</v>
      </c>
      <c r="S352" s="6"/>
      <c r="T352" s="4">
        <f t="shared" ca="1" si="56"/>
        <v>1.0539338617007111E-2</v>
      </c>
      <c r="U352" s="4">
        <f t="shared" ca="1" si="57"/>
        <v>2.1522447122137571E-2</v>
      </c>
      <c r="V352" s="4">
        <f t="shared" ca="1" si="58"/>
        <v>5.6146545132293356E-2</v>
      </c>
      <c r="W352" s="4"/>
      <c r="X352">
        <v>350</v>
      </c>
      <c r="Y352" s="4">
        <f t="shared" ca="1" si="59"/>
        <v>1.498832212909355E-2</v>
      </c>
      <c r="Z352" s="4">
        <f ca="1"/>
        <v>-7.0226253678635497E-3</v>
      </c>
      <c r="AA352" s="4"/>
    </row>
    <row r="353" spans="1:27" x14ac:dyDescent="0.35">
      <c r="A353">
        <v>351</v>
      </c>
      <c r="B353">
        <f ca="1">_xlfn.NORM.INV(RAND(),Hitorical_Sim!$AB$4,Hitorical_Sim!$AB$5)</f>
        <v>-1.9331437847981248E-2</v>
      </c>
      <c r="C353">
        <f ca="1">_xlfn.NORM.INV(RAND(),Hitorical_Sim!$AB$4,Hitorical_Sim!$AB$5)</f>
        <v>7.0911493987052196E-3</v>
      </c>
      <c r="D353">
        <f ca="1">_xlfn.NORM.INV(RAND(),Hitorical_Sim!$AB$4,Hitorical_Sim!$AB$5)</f>
        <v>2.2916509754498389E-2</v>
      </c>
      <c r="K353">
        <f t="shared" ca="1" si="60"/>
        <v>-0.61951174867859637</v>
      </c>
      <c r="L353">
        <f t="shared" ca="1" si="60"/>
        <v>-5.9515670706947334E-2</v>
      </c>
      <c r="M353">
        <f t="shared" ca="1" si="60"/>
        <v>-1.5977085853868993</v>
      </c>
      <c r="O353">
        <v>351</v>
      </c>
      <c r="P353" s="6">
        <f t="shared" ca="1" si="52"/>
        <v>1916.1864984260549</v>
      </c>
      <c r="Q353" s="6">
        <f t="shared" ca="1" si="53"/>
        <v>383.75397862778948</v>
      </c>
      <c r="R353" s="6">
        <f t="shared" ca="1" si="54"/>
        <v>143.5972597658143</v>
      </c>
      <c r="S353" s="6"/>
      <c r="T353" s="4">
        <f t="shared" ca="1" si="56"/>
        <v>-6.3608326927942858E-3</v>
      </c>
      <c r="U353" s="4">
        <f t="shared" ca="1" si="57"/>
        <v>1.341884369854342E-3</v>
      </c>
      <c r="V353" s="4">
        <f t="shared" ca="1" si="58"/>
        <v>-7.423802500695835E-2</v>
      </c>
      <c r="W353" s="4"/>
      <c r="X353">
        <v>351</v>
      </c>
      <c r="Y353" s="4">
        <f t="shared" ca="1" si="59"/>
        <v>-8.1828657626560244E-3</v>
      </c>
      <c r="Z353" s="4">
        <f ca="1"/>
        <v>-6.9495002414649201E-3</v>
      </c>
      <c r="AA353" s="4"/>
    </row>
    <row r="354" spans="1:27" x14ac:dyDescent="0.35">
      <c r="A354">
        <v>352</v>
      </c>
      <c r="B354">
        <f ca="1">_xlfn.NORM.INV(RAND(),Hitorical_Sim!$AB$4,Hitorical_Sim!$AB$5)</f>
        <v>-1.2177724869701094E-3</v>
      </c>
      <c r="C354">
        <f ca="1">_xlfn.NORM.INV(RAND(),Hitorical_Sim!$AB$4,Hitorical_Sim!$AB$5)</f>
        <v>-1.2691546210509622E-3</v>
      </c>
      <c r="D354">
        <f ca="1">_xlfn.NORM.INV(RAND(),Hitorical_Sim!$AB$4,Hitorical_Sim!$AB$5)</f>
        <v>8.323847939517617E-3</v>
      </c>
      <c r="K354">
        <f t="shared" ca="1" si="60"/>
        <v>-1.428131964814451</v>
      </c>
      <c r="L354">
        <f t="shared" ca="1" si="60"/>
        <v>0.32898660908910304</v>
      </c>
      <c r="M354">
        <f t="shared" ca="1" si="60"/>
        <v>0.76586428408305895</v>
      </c>
      <c r="O354">
        <v>352</v>
      </c>
      <c r="P354" s="6">
        <f t="shared" ca="1" si="52"/>
        <v>1888.2808325627782</v>
      </c>
      <c r="Q354" s="6">
        <f t="shared" ca="1" si="53"/>
        <v>388.03112734039621</v>
      </c>
      <c r="R354" s="6">
        <f t="shared" ca="1" si="54"/>
        <v>154.33318147037042</v>
      </c>
      <c r="S354" s="6"/>
      <c r="T354" s="4">
        <f t="shared" ca="1" si="56"/>
        <v>-1.4670209472307488E-2</v>
      </c>
      <c r="U354" s="4">
        <f t="shared" ca="1" si="57"/>
        <v>1.1083894902151866E-2</v>
      </c>
      <c r="V354" s="4">
        <f t="shared" ca="1" si="58"/>
        <v>7.2101207403071743E-2</v>
      </c>
      <c r="W354" s="4"/>
      <c r="X354">
        <v>352</v>
      </c>
      <c r="Y354" s="4">
        <f t="shared" ca="1" si="59"/>
        <v>-5.2361850655994512E-3</v>
      </c>
      <c r="Z354" s="4">
        <f ca="1"/>
        <v>-6.9456626849524038E-3</v>
      </c>
      <c r="AA354" s="4"/>
    </row>
    <row r="355" spans="1:27" x14ac:dyDescent="0.35">
      <c r="A355">
        <v>353</v>
      </c>
      <c r="B355">
        <f ca="1">_xlfn.NORM.INV(RAND(),Hitorical_Sim!$AB$4,Hitorical_Sim!$AB$5)</f>
        <v>9.5321951693501626E-3</v>
      </c>
      <c r="C355">
        <f ca="1">_xlfn.NORM.INV(RAND(),Hitorical_Sim!$AB$4,Hitorical_Sim!$AB$5)</f>
        <v>-2.5047399060707614E-2</v>
      </c>
      <c r="D355">
        <f ca="1">_xlfn.NORM.INV(RAND(),Hitorical_Sim!$AB$4,Hitorical_Sim!$AB$5)</f>
        <v>2.4580056742861733E-2</v>
      </c>
      <c r="K355">
        <f t="shared" ca="1" si="60"/>
        <v>0.65522720768243947</v>
      </c>
      <c r="L355">
        <f t="shared" ca="1" si="60"/>
        <v>7.7170406607364364E-2</v>
      </c>
      <c r="M355">
        <f t="shared" ca="1" si="60"/>
        <v>0.78174332951334691</v>
      </c>
      <c r="O355">
        <v>353</v>
      </c>
      <c r="P355" s="6">
        <f t="shared" ca="1" si="52"/>
        <v>1961.0179007277029</v>
      </c>
      <c r="Q355" s="6">
        <f t="shared" ca="1" si="53"/>
        <v>385.25339782613719</v>
      </c>
      <c r="R355" s="6">
        <f t="shared" ca="1" si="54"/>
        <v>154.40795750490815</v>
      </c>
      <c r="S355" s="6"/>
      <c r="T355" s="4">
        <f t="shared" ca="1" si="56"/>
        <v>3.7796872817050027E-2</v>
      </c>
      <c r="U355" s="4">
        <f t="shared" ca="1" si="57"/>
        <v>-7.1842675529003664E-3</v>
      </c>
      <c r="V355" s="4">
        <f t="shared" ca="1" si="58"/>
        <v>4.8439308248995617E-4</v>
      </c>
      <c r="W355" s="4"/>
      <c r="X355">
        <v>353</v>
      </c>
      <c r="Y355" s="4">
        <f t="shared" ca="1" si="59"/>
        <v>2.6973473572286934E-2</v>
      </c>
      <c r="Z355" s="4">
        <f ca="1"/>
        <v>-6.9263927351534754E-3</v>
      </c>
      <c r="AA355" s="4"/>
    </row>
    <row r="356" spans="1:27" x14ac:dyDescent="0.35">
      <c r="A356">
        <v>354</v>
      </c>
      <c r="B356">
        <f ca="1">_xlfn.NORM.INV(RAND(),Hitorical_Sim!$AB$4,Hitorical_Sim!$AB$5)</f>
        <v>7.1627010355354778E-3</v>
      </c>
      <c r="C356">
        <f ca="1">_xlfn.NORM.INV(RAND(),Hitorical_Sim!$AB$4,Hitorical_Sim!$AB$5)</f>
        <v>2.4527216182978151E-2</v>
      </c>
      <c r="D356">
        <f ca="1">_xlfn.NORM.INV(RAND(),Hitorical_Sim!$AB$4,Hitorical_Sim!$AB$5)</f>
        <v>-1.6566258255924411E-2</v>
      </c>
      <c r="K356">
        <f t="shared" ca="1" si="60"/>
        <v>5.6099758939431893E-2</v>
      </c>
      <c r="L356">
        <f t="shared" ca="1" si="60"/>
        <v>1.2713751696658069</v>
      </c>
      <c r="M356">
        <f t="shared" ca="1" si="60"/>
        <v>2.6188548113151845E-2</v>
      </c>
      <c r="O356">
        <v>354</v>
      </c>
      <c r="P356" s="6">
        <f t="shared" ca="1" si="52"/>
        <v>1939.8179747818915</v>
      </c>
      <c r="Q356" s="6">
        <f t="shared" ca="1" si="53"/>
        <v>398.60530822989813</v>
      </c>
      <c r="R356" s="6">
        <f t="shared" ca="1" si="54"/>
        <v>150.88981109601406</v>
      </c>
      <c r="S356" s="6"/>
      <c r="T356" s="4">
        <f t="shared" ca="1" si="56"/>
        <v>-1.0869534298400872E-2</v>
      </c>
      <c r="U356" s="4">
        <f t="shared" ca="1" si="57"/>
        <v>3.4070430918288382E-2</v>
      </c>
      <c r="V356" s="4">
        <f t="shared" ca="1" si="58"/>
        <v>-2.3048331913851309E-2</v>
      </c>
      <c r="W356" s="4"/>
      <c r="X356">
        <v>354</v>
      </c>
      <c r="Y356" s="4">
        <f t="shared" ca="1" si="59"/>
        <v>-2.5036812418909012E-3</v>
      </c>
      <c r="Z356" s="4">
        <f ca="1"/>
        <v>-6.9041963838778128E-3</v>
      </c>
      <c r="AA356" s="4"/>
    </row>
    <row r="357" spans="1:27" x14ac:dyDescent="0.35">
      <c r="A357">
        <v>355</v>
      </c>
      <c r="B357">
        <f ca="1">_xlfn.NORM.INV(RAND(),Hitorical_Sim!$AB$4,Hitorical_Sim!$AB$5)</f>
        <v>1.1230326555285939E-2</v>
      </c>
      <c r="C357">
        <f ca="1">_xlfn.NORM.INV(RAND(),Hitorical_Sim!$AB$4,Hitorical_Sim!$AB$5)</f>
        <v>-5.007232458977739E-3</v>
      </c>
      <c r="D357">
        <f ca="1">_xlfn.NORM.INV(RAND(),Hitorical_Sim!$AB$4,Hitorical_Sim!$AB$5)</f>
        <v>-2.6246217459211477E-2</v>
      </c>
      <c r="K357">
        <f t="shared" ca="1" si="60"/>
        <v>-0.6671354550208175</v>
      </c>
      <c r="L357">
        <f t="shared" ca="1" si="60"/>
        <v>-2.3928585754860396</v>
      </c>
      <c r="M357">
        <f t="shared" ca="1" si="60"/>
        <v>1.4698388578221713</v>
      </c>
      <c r="O357">
        <v>355</v>
      </c>
      <c r="P357" s="6">
        <f t="shared" ca="1" si="52"/>
        <v>1914.5316238443547</v>
      </c>
      <c r="Q357" s="6">
        <f t="shared" ca="1" si="53"/>
        <v>359.03929697624926</v>
      </c>
      <c r="R357" s="6">
        <f t="shared" ca="1" si="54"/>
        <v>157.68330928986711</v>
      </c>
      <c r="S357" s="6"/>
      <c r="T357" s="4">
        <f t="shared" ca="1" si="56"/>
        <v>-1.3121131372707767E-2</v>
      </c>
      <c r="U357" s="4">
        <f t="shared" ca="1" si="57"/>
        <v>-0.10453988004781346</v>
      </c>
      <c r="V357" s="4">
        <f t="shared" ca="1" si="58"/>
        <v>4.4038807409894305E-2</v>
      </c>
      <c r="W357" s="4"/>
      <c r="X357">
        <v>355</v>
      </c>
      <c r="Y357" s="4">
        <f t="shared" ca="1" si="59"/>
        <v>-2.8536544646494012E-2</v>
      </c>
      <c r="Z357" s="4">
        <f ca="1"/>
        <v>-6.8807358173678919E-3</v>
      </c>
      <c r="AA357" s="4"/>
    </row>
    <row r="358" spans="1:27" x14ac:dyDescent="0.35">
      <c r="A358">
        <v>356</v>
      </c>
      <c r="B358">
        <f ca="1">_xlfn.NORM.INV(RAND(),Hitorical_Sim!$AB$4,Hitorical_Sim!$AB$5)</f>
        <v>-1.3778290482559444E-2</v>
      </c>
      <c r="C358">
        <f ca="1">_xlfn.NORM.INV(RAND(),Hitorical_Sim!$AB$4,Hitorical_Sim!$AB$5)</f>
        <v>-5.8997152199936898E-3</v>
      </c>
      <c r="D358">
        <f ca="1">_xlfn.NORM.INV(RAND(),Hitorical_Sim!$AB$4,Hitorical_Sim!$AB$5)</f>
        <v>-2.2172892411910623E-2</v>
      </c>
      <c r="K358">
        <f t="shared" ca="1" si="60"/>
        <v>0.71286745092188464</v>
      </c>
      <c r="L358">
        <f t="shared" ca="1" si="60"/>
        <v>0.49399786406395302</v>
      </c>
      <c r="M358">
        <f t="shared" ca="1" si="60"/>
        <v>1.8885932445157601</v>
      </c>
      <c r="O358">
        <v>356</v>
      </c>
      <c r="P358" s="6">
        <f t="shared" ca="1" si="52"/>
        <v>1963.0696589345714</v>
      </c>
      <c r="Q358" s="6">
        <f t="shared" ca="1" si="53"/>
        <v>389.8621833706685</v>
      </c>
      <c r="R358" s="6">
        <f t="shared" ca="1" si="54"/>
        <v>159.71050401109125</v>
      </c>
      <c r="S358" s="6"/>
      <c r="T358" s="4">
        <f t="shared" ca="1" si="56"/>
        <v>2.5036390753766357E-2</v>
      </c>
      <c r="U358" s="4">
        <f t="shared" ca="1" si="57"/>
        <v>8.2361455871944808E-2</v>
      </c>
      <c r="V358" s="4">
        <f t="shared" ca="1" si="58"/>
        <v>1.2774176449533823E-2</v>
      </c>
      <c r="W358" s="4"/>
      <c r="X358">
        <v>356</v>
      </c>
      <c r="Y358" s="4">
        <f t="shared" ca="1" si="59"/>
        <v>3.5869785926181182E-2</v>
      </c>
      <c r="Z358" s="4">
        <f ca="1"/>
        <v>-6.8451044702319431E-3</v>
      </c>
      <c r="AA358" s="4"/>
    </row>
    <row r="359" spans="1:27" x14ac:dyDescent="0.35">
      <c r="A359">
        <v>357</v>
      </c>
      <c r="B359">
        <f ca="1">_xlfn.NORM.INV(RAND(),Hitorical_Sim!$AB$4,Hitorical_Sim!$AB$5)</f>
        <v>-1.064283308022248E-5</v>
      </c>
      <c r="C359">
        <f ca="1">_xlfn.NORM.INV(RAND(),Hitorical_Sim!$AB$4,Hitorical_Sim!$AB$5)</f>
        <v>1.9067359801466421E-3</v>
      </c>
      <c r="D359">
        <f ca="1">_xlfn.NORM.INV(RAND(),Hitorical_Sim!$AB$4,Hitorical_Sim!$AB$5)</f>
        <v>1.9949925022632178E-2</v>
      </c>
      <c r="K359">
        <f t="shared" ca="1" si="60"/>
        <v>0.17322329259605215</v>
      </c>
      <c r="L359">
        <f t="shared" ca="1" si="60"/>
        <v>-0.4987727350741914</v>
      </c>
      <c r="M359">
        <f t="shared" ca="1" si="60"/>
        <v>-0.48583879979097611</v>
      </c>
      <c r="O359">
        <v>357</v>
      </c>
      <c r="P359" s="6">
        <f t="shared" ca="1" si="52"/>
        <v>1943.9442516130057</v>
      </c>
      <c r="Q359" s="6">
        <f t="shared" ca="1" si="53"/>
        <v>378.97481341997906</v>
      </c>
      <c r="R359" s="6">
        <f t="shared" ca="1" si="54"/>
        <v>148.55130072381345</v>
      </c>
      <c r="S359" s="6"/>
      <c r="T359" s="4">
        <f t="shared" ca="1" si="56"/>
        <v>-9.7903721489655399E-3</v>
      </c>
      <c r="U359" s="4">
        <f t="shared" ca="1" si="57"/>
        <v>-2.8323553181129595E-2</v>
      </c>
      <c r="V359" s="4">
        <f t="shared" ca="1" si="58"/>
        <v>-7.2432468447419379E-2</v>
      </c>
      <c r="W359" s="4"/>
      <c r="X359">
        <v>357</v>
      </c>
      <c r="Y359" s="4">
        <f t="shared" ca="1" si="59"/>
        <v>-1.6589167767844595E-2</v>
      </c>
      <c r="Z359" s="4">
        <f ca="1"/>
        <v>-6.641162932609794E-3</v>
      </c>
      <c r="AA359" s="4"/>
    </row>
    <row r="360" spans="1:27" x14ac:dyDescent="0.35">
      <c r="A360">
        <v>358</v>
      </c>
      <c r="B360">
        <f ca="1">_xlfn.NORM.INV(RAND(),Hitorical_Sim!$AB$4,Hitorical_Sim!$AB$5)</f>
        <v>3.9678201790924503E-2</v>
      </c>
      <c r="C360">
        <f ca="1">_xlfn.NORM.INV(RAND(),Hitorical_Sim!$AB$4,Hitorical_Sim!$AB$5)</f>
        <v>-6.9769506757633099E-3</v>
      </c>
      <c r="D360">
        <f ca="1">_xlfn.NORM.INV(RAND(),Hitorical_Sim!$AB$4,Hitorical_Sim!$AB$5)</f>
        <v>5.7155073658557588E-3</v>
      </c>
      <c r="K360">
        <f t="shared" ca="1" si="60"/>
        <v>-0.24261853439120323</v>
      </c>
      <c r="L360">
        <f t="shared" ca="1" si="60"/>
        <v>0.15341108596861386</v>
      </c>
      <c r="M360">
        <f t="shared" ca="1" si="60"/>
        <v>-1.3745678162051358</v>
      </c>
      <c r="O360">
        <v>358</v>
      </c>
      <c r="P360" s="6">
        <f t="shared" ca="1" si="52"/>
        <v>1929.3337038278087</v>
      </c>
      <c r="Q360" s="6">
        <f t="shared" ca="1" si="53"/>
        <v>386.09228677312245</v>
      </c>
      <c r="R360" s="6">
        <f t="shared" ca="1" si="54"/>
        <v>144.5780532409695</v>
      </c>
      <c r="S360" s="6"/>
      <c r="T360" s="4">
        <f t="shared" ca="1" si="56"/>
        <v>-7.5443163397551317E-3</v>
      </c>
      <c r="U360" s="4">
        <f t="shared" ca="1" si="57"/>
        <v>1.8606678275136439E-2</v>
      </c>
      <c r="V360" s="4">
        <f t="shared" ca="1" si="58"/>
        <v>-2.7110835449712715E-2</v>
      </c>
      <c r="W360" s="4"/>
      <c r="X360">
        <v>358</v>
      </c>
      <c r="Y360" s="4">
        <f t="shared" ca="1" si="59"/>
        <v>-3.2937614146070736E-3</v>
      </c>
      <c r="Z360" s="4">
        <f ca="1"/>
        <v>-6.5784613273709523E-3</v>
      </c>
      <c r="AA360" s="4"/>
    </row>
    <row r="361" spans="1:27" x14ac:dyDescent="0.35">
      <c r="A361">
        <v>359</v>
      </c>
      <c r="B361">
        <f ca="1">_xlfn.NORM.INV(RAND(),Hitorical_Sim!$AB$4,Hitorical_Sim!$AB$5)</f>
        <v>-1.6433769957424703E-2</v>
      </c>
      <c r="C361">
        <f ca="1">_xlfn.NORM.INV(RAND(),Hitorical_Sim!$AB$4,Hitorical_Sim!$AB$5)</f>
        <v>-1.7277502924460838E-2</v>
      </c>
      <c r="D361">
        <f ca="1">_xlfn.NORM.INV(RAND(),Hitorical_Sim!$AB$4,Hitorical_Sim!$AB$5)</f>
        <v>-6.6073571598375151E-3</v>
      </c>
      <c r="K361">
        <f t="shared" ca="1" si="60"/>
        <v>0.46735448935514828</v>
      </c>
      <c r="L361">
        <f t="shared" ca="1" si="60"/>
        <v>-0.725720165470922</v>
      </c>
      <c r="M361">
        <f t="shared" ca="1" si="60"/>
        <v>0.70536346846419629</v>
      </c>
      <c r="O361">
        <v>359</v>
      </c>
      <c r="P361" s="6">
        <f t="shared" ca="1" si="52"/>
        <v>1954.3452702508807</v>
      </c>
      <c r="Q361" s="6">
        <f t="shared" ca="1" si="53"/>
        <v>376.52896675876269</v>
      </c>
      <c r="R361" s="6">
        <f t="shared" ca="1" si="54"/>
        <v>154.04860867701018</v>
      </c>
      <c r="S361" s="6"/>
      <c r="T361" s="4">
        <f t="shared" ca="1" si="56"/>
        <v>1.2880525084839917E-2</v>
      </c>
      <c r="U361" s="4">
        <f t="shared" ca="1" si="57"/>
        <v>-2.5081444570333823E-2</v>
      </c>
      <c r="V361" s="4">
        <f t="shared" ca="1" si="58"/>
        <v>6.3448670814076069E-2</v>
      </c>
      <c r="W361" s="4"/>
      <c r="X361">
        <v>359</v>
      </c>
      <c r="Y361" s="4">
        <f t="shared" ca="1" si="59"/>
        <v>7.8071502762880971E-3</v>
      </c>
      <c r="Z361" s="4">
        <f ca="1"/>
        <v>-6.5289317863126001E-3</v>
      </c>
      <c r="AA361" s="4"/>
    </row>
    <row r="362" spans="1:27" x14ac:dyDescent="0.35">
      <c r="A362">
        <v>360</v>
      </c>
      <c r="B362">
        <f ca="1">_xlfn.NORM.INV(RAND(),Hitorical_Sim!$AB$4,Hitorical_Sim!$AB$5)</f>
        <v>-1.0999899116953406E-2</v>
      </c>
      <c r="C362">
        <f ca="1">_xlfn.NORM.INV(RAND(),Hitorical_Sim!$AB$4,Hitorical_Sim!$AB$5)</f>
        <v>5.3989436208865841E-3</v>
      </c>
      <c r="D362">
        <f ca="1">_xlfn.NORM.INV(RAND(),Hitorical_Sim!$AB$4,Hitorical_Sim!$AB$5)</f>
        <v>-3.7493147010117171E-3</v>
      </c>
      <c r="K362">
        <f t="shared" ca="1" si="60"/>
        <v>-0.52158288327655677</v>
      </c>
      <c r="L362">
        <f t="shared" ca="1" si="60"/>
        <v>-0.59709985493075279</v>
      </c>
      <c r="M362">
        <f t="shared" ca="1" si="60"/>
        <v>-0.77140454471050368</v>
      </c>
      <c r="O362">
        <v>360</v>
      </c>
      <c r="P362" s="6">
        <f t="shared" ca="1" si="52"/>
        <v>1919.5939215872834</v>
      </c>
      <c r="Q362" s="6">
        <f t="shared" ca="1" si="53"/>
        <v>377.91318268585792</v>
      </c>
      <c r="R362" s="6">
        <f t="shared" ca="1" si="54"/>
        <v>147.2628557866085</v>
      </c>
      <c r="S362" s="6"/>
      <c r="T362" s="4">
        <f t="shared" ca="1" si="56"/>
        <v>-1.7941572721034939E-2</v>
      </c>
      <c r="U362" s="4">
        <f t="shared" ca="1" si="57"/>
        <v>3.6695125831893278E-3</v>
      </c>
      <c r="V362" s="4">
        <f t="shared" ca="1" si="58"/>
        <v>-4.5049068797277686E-2</v>
      </c>
      <c r="W362" s="4"/>
      <c r="X362">
        <v>360</v>
      </c>
      <c r="Y362" s="4">
        <f t="shared" ca="1" si="59"/>
        <v>-1.4970242506234254E-2</v>
      </c>
      <c r="Z362" s="4">
        <f ca="1"/>
        <v>-6.5269558501175086E-3</v>
      </c>
      <c r="AA362" s="4"/>
    </row>
    <row r="363" spans="1:27" x14ac:dyDescent="0.35">
      <c r="A363">
        <v>361</v>
      </c>
      <c r="B363">
        <f ca="1">_xlfn.NORM.INV(RAND(),Hitorical_Sim!$AB$4,Hitorical_Sim!$AB$5)</f>
        <v>1.2562513657257894E-3</v>
      </c>
      <c r="C363">
        <f ca="1">_xlfn.NORM.INV(RAND(),Hitorical_Sim!$AB$4,Hitorical_Sim!$AB$5)</f>
        <v>1.5647097540409667E-2</v>
      </c>
      <c r="D363">
        <f ca="1">_xlfn.NORM.INV(RAND(),Hitorical_Sim!$AB$4,Hitorical_Sim!$AB$5)</f>
        <v>1.8683402467735786E-2</v>
      </c>
      <c r="K363">
        <f t="shared" ca="1" si="60"/>
        <v>-1.4736337747614374</v>
      </c>
      <c r="L363">
        <f t="shared" ca="1" si="60"/>
        <v>-1.6110232929295647</v>
      </c>
      <c r="M363">
        <f t="shared" ca="1" si="60"/>
        <v>-0.74122253509184699</v>
      </c>
      <c r="O363">
        <v>361</v>
      </c>
      <c r="P363" s="6">
        <f t="shared" ca="1" si="52"/>
        <v>1886.7226880555502</v>
      </c>
      <c r="Q363" s="6">
        <f t="shared" ca="1" si="53"/>
        <v>367.13787335533141</v>
      </c>
      <c r="R363" s="6">
        <f t="shared" ca="1" si="54"/>
        <v>147.39850424331209</v>
      </c>
      <c r="S363" s="6"/>
      <c r="T363" s="4">
        <f t="shared" ca="1" si="56"/>
        <v>-1.7272368075489326E-2</v>
      </c>
      <c r="U363" s="4">
        <f t="shared" ca="1" si="57"/>
        <v>-2.8927039582642623E-2</v>
      </c>
      <c r="V363" s="4">
        <f t="shared" ca="1" si="58"/>
        <v>9.2070752861713042E-4</v>
      </c>
      <c r="W363" s="4"/>
      <c r="X363">
        <v>361</v>
      </c>
      <c r="Y363" s="4">
        <f t="shared" ca="1" si="59"/>
        <v>-1.8697891156051933E-2</v>
      </c>
      <c r="Z363" s="4">
        <f ca="1"/>
        <v>-6.4982972365655728E-3</v>
      </c>
      <c r="AA363" s="4"/>
    </row>
    <row r="364" spans="1:27" x14ac:dyDescent="0.35">
      <c r="A364">
        <v>362</v>
      </c>
      <c r="B364">
        <f ca="1">_xlfn.NORM.INV(RAND(),Hitorical_Sim!$AB$4,Hitorical_Sim!$AB$5)</f>
        <v>-1.7931496885851238E-2</v>
      </c>
      <c r="C364">
        <f ca="1">_xlfn.NORM.INV(RAND(),Hitorical_Sim!$AB$4,Hitorical_Sim!$AB$5)</f>
        <v>2.4322936205409297E-2</v>
      </c>
      <c r="D364">
        <f ca="1">_xlfn.NORM.INV(RAND(),Hitorical_Sim!$AB$4,Hitorical_Sim!$AB$5)</f>
        <v>2.8994731315833567E-2</v>
      </c>
      <c r="K364">
        <f t="shared" ref="K364:M383" ca="1" si="61">_xlfn.NORM.S.INV(RAND())</f>
        <v>4.7059238624156216E-2</v>
      </c>
      <c r="L364">
        <f t="shared" ca="1" si="61"/>
        <v>0.88399920775675411</v>
      </c>
      <c r="M364">
        <f t="shared" ca="1" si="61"/>
        <v>0.77001003474148977</v>
      </c>
      <c r="O364">
        <v>362</v>
      </c>
      <c r="P364" s="6">
        <f t="shared" ca="1" si="52"/>
        <v>1939.4998404706498</v>
      </c>
      <c r="Q364" s="6">
        <f t="shared" ca="1" si="53"/>
        <v>394.22427120187785</v>
      </c>
      <c r="R364" s="6">
        <f t="shared" ca="1" si="54"/>
        <v>154.35270073674292</v>
      </c>
      <c r="S364" s="6"/>
      <c r="T364" s="4">
        <f t="shared" ca="1" si="56"/>
        <v>2.7588829223251701E-2</v>
      </c>
      <c r="U364" s="4">
        <f t="shared" ca="1" si="57"/>
        <v>7.1182509380971565E-2</v>
      </c>
      <c r="V364" s="4">
        <f t="shared" ca="1" si="58"/>
        <v>4.6100416178945829E-2</v>
      </c>
      <c r="W364" s="4"/>
      <c r="X364">
        <v>362</v>
      </c>
      <c r="Y364" s="4">
        <f t="shared" ca="1" si="59"/>
        <v>3.7204876895792154E-2</v>
      </c>
      <c r="Z364" s="4">
        <f ca="1"/>
        <v>-6.409011350669745E-3</v>
      </c>
      <c r="AA364" s="4"/>
    </row>
    <row r="365" spans="1:27" x14ac:dyDescent="0.35">
      <c r="A365">
        <v>363</v>
      </c>
      <c r="B365">
        <f ca="1">_xlfn.NORM.INV(RAND(),Hitorical_Sim!$AB$4,Hitorical_Sim!$AB$5)</f>
        <v>-2.7721964862442187E-3</v>
      </c>
      <c r="C365">
        <f ca="1">_xlfn.NORM.INV(RAND(),Hitorical_Sim!$AB$4,Hitorical_Sim!$AB$5)</f>
        <v>8.7022736230674743E-3</v>
      </c>
      <c r="D365">
        <f ca="1">_xlfn.NORM.INV(RAND(),Hitorical_Sim!$AB$4,Hitorical_Sim!$AB$5)</f>
        <v>-5.2335911704688891E-3</v>
      </c>
      <c r="K365">
        <f t="shared" ca="1" si="61"/>
        <v>-1.2616452521583843</v>
      </c>
      <c r="L365">
        <f t="shared" ca="1" si="61"/>
        <v>-1.1134569548430806</v>
      </c>
      <c r="M365">
        <f t="shared" ca="1" si="61"/>
        <v>1.5828682245432291</v>
      </c>
      <c r="O365">
        <v>363</v>
      </c>
      <c r="P365" s="6">
        <f t="shared" ca="1" si="52"/>
        <v>1893.992907942647</v>
      </c>
      <c r="Q365" s="6">
        <f t="shared" ca="1" si="53"/>
        <v>372.38673542696523</v>
      </c>
      <c r="R365" s="6">
        <f t="shared" ca="1" si="54"/>
        <v>158.22793670157913</v>
      </c>
      <c r="S365" s="6"/>
      <c r="T365" s="4">
        <f t="shared" ca="1" si="56"/>
        <v>-2.3742875374641328E-2</v>
      </c>
      <c r="U365" s="4">
        <f t="shared" ca="1" si="57"/>
        <v>-5.6987037989930364E-2</v>
      </c>
      <c r="V365" s="4">
        <f t="shared" ca="1" si="58"/>
        <v>2.4796382497538121E-2</v>
      </c>
      <c r="W365" s="4"/>
      <c r="X365">
        <v>363</v>
      </c>
      <c r="Y365" s="4">
        <f t="shared" ca="1" si="59"/>
        <v>-2.7975136017531814E-2</v>
      </c>
      <c r="Z365" s="4">
        <f ca="1"/>
        <v>-6.3829974190509229E-3</v>
      </c>
      <c r="AA365" s="4"/>
    </row>
    <row r="366" spans="1:27" x14ac:dyDescent="0.35">
      <c r="A366">
        <v>364</v>
      </c>
      <c r="B366">
        <f ca="1">_xlfn.NORM.INV(RAND(),Hitorical_Sim!$AB$4,Hitorical_Sim!$AB$5)</f>
        <v>1.3312445361563329E-2</v>
      </c>
      <c r="C366">
        <f ca="1">_xlfn.NORM.INV(RAND(),Hitorical_Sim!$AB$4,Hitorical_Sim!$AB$5)</f>
        <v>-1.010579796527737E-2</v>
      </c>
      <c r="D366">
        <f ca="1">_xlfn.NORM.INV(RAND(),Hitorical_Sim!$AB$4,Hitorical_Sim!$AB$5)</f>
        <v>1.2188624343916299E-2</v>
      </c>
      <c r="K366">
        <f t="shared" ca="1" si="61"/>
        <v>-0.33483849180651132</v>
      </c>
      <c r="L366">
        <f t="shared" ca="1" si="61"/>
        <v>0.2116239380815933</v>
      </c>
      <c r="M366">
        <f t="shared" ca="1" si="61"/>
        <v>-0.92690930273609573</v>
      </c>
      <c r="O366">
        <v>364</v>
      </c>
      <c r="P366" s="6">
        <f t="shared" ca="1" si="52"/>
        <v>1926.1084735017871</v>
      </c>
      <c r="Q366" s="6">
        <f t="shared" ca="1" si="53"/>
        <v>386.7340421546935</v>
      </c>
      <c r="R366" s="6">
        <f t="shared" ca="1" si="54"/>
        <v>146.56593925417624</v>
      </c>
      <c r="S366" s="6"/>
      <c r="T366" s="4">
        <f t="shared" ca="1" si="56"/>
        <v>1.6814382133167195E-2</v>
      </c>
      <c r="U366" s="4">
        <f t="shared" ca="1" si="57"/>
        <v>3.7804301590551266E-2</v>
      </c>
      <c r="V366" s="4">
        <f t="shared" ca="1" si="58"/>
        <v>-7.6561206285345421E-2</v>
      </c>
      <c r="W366" s="4"/>
      <c r="X366">
        <v>364</v>
      </c>
      <c r="Y366" s="4">
        <f t="shared" ca="1" si="59"/>
        <v>1.6382132055338106E-2</v>
      </c>
      <c r="Z366" s="4">
        <f ca="1"/>
        <v>-6.2664995885070886E-3</v>
      </c>
      <c r="AA366" s="4"/>
    </row>
    <row r="367" spans="1:27" x14ac:dyDescent="0.35">
      <c r="A367">
        <v>365</v>
      </c>
      <c r="B367">
        <f ca="1">_xlfn.NORM.INV(RAND(),Hitorical_Sim!$AB$4,Hitorical_Sim!$AB$5)</f>
        <v>5.3443605258467848E-3</v>
      </c>
      <c r="C367">
        <f ca="1">_xlfn.NORM.INV(RAND(),Hitorical_Sim!$AB$4,Hitorical_Sim!$AB$5)</f>
        <v>1.365284647529744E-2</v>
      </c>
      <c r="D367">
        <f ca="1">_xlfn.NORM.INV(RAND(),Hitorical_Sim!$AB$4,Hitorical_Sim!$AB$5)</f>
        <v>7.7727795233762803E-3</v>
      </c>
      <c r="K367">
        <f t="shared" ca="1" si="61"/>
        <v>0.8480207929020307</v>
      </c>
      <c r="L367">
        <f t="shared" ca="1" si="61"/>
        <v>-0.22181739211409826</v>
      </c>
      <c r="M367">
        <f t="shared" ca="1" si="61"/>
        <v>0.29834517684203932</v>
      </c>
      <c r="O367">
        <v>365</v>
      </c>
      <c r="P367" s="6">
        <f t="shared" ca="1" si="52"/>
        <v>1967.8889901125108</v>
      </c>
      <c r="Q367" s="6">
        <f t="shared" ca="1" si="53"/>
        <v>381.9811377946267</v>
      </c>
      <c r="R367" s="6">
        <f t="shared" ca="1" si="54"/>
        <v>152.14774092821312</v>
      </c>
      <c r="S367" s="6"/>
      <c r="T367" s="4">
        <f t="shared" ca="1" si="56"/>
        <v>2.1459757172361611E-2</v>
      </c>
      <c r="U367" s="4">
        <f t="shared" ca="1" si="57"/>
        <v>-1.2365997318368301E-2</v>
      </c>
      <c r="V367" s="4">
        <f t="shared" ca="1" si="58"/>
        <v>3.7376604078814379E-2</v>
      </c>
      <c r="W367" s="4"/>
      <c r="X367">
        <v>365</v>
      </c>
      <c r="Y367" s="4">
        <f t="shared" ca="1" si="59"/>
        <v>1.5496942290379866E-2</v>
      </c>
      <c r="Z367" s="4">
        <f ca="1"/>
        <v>-6.2543628794337492E-3</v>
      </c>
      <c r="AA367" s="4"/>
    </row>
    <row r="368" spans="1:27" x14ac:dyDescent="0.35">
      <c r="A368">
        <v>366</v>
      </c>
      <c r="B368">
        <f ca="1">_xlfn.NORM.INV(RAND(),Hitorical_Sim!$AB$4,Hitorical_Sim!$AB$5)</f>
        <v>-3.8247401033144827E-2</v>
      </c>
      <c r="C368">
        <f ca="1">_xlfn.NORM.INV(RAND(),Hitorical_Sim!$AB$4,Hitorical_Sim!$AB$5)</f>
        <v>-1.8850051339038297E-2</v>
      </c>
      <c r="D368">
        <f ca="1">_xlfn.NORM.INV(RAND(),Hitorical_Sim!$AB$4,Hitorical_Sim!$AB$5)</f>
        <v>-1.5084177047353259E-2</v>
      </c>
      <c r="K368">
        <f t="shared" ca="1" si="61"/>
        <v>-0.26574600997031145</v>
      </c>
      <c r="L368">
        <f t="shared" ca="1" si="61"/>
        <v>1.3319874511626895</v>
      </c>
      <c r="M368">
        <f t="shared" ca="1" si="61"/>
        <v>-0.81630478001932261</v>
      </c>
      <c r="O368">
        <v>366</v>
      </c>
      <c r="P368" s="6">
        <f t="shared" ca="1" si="52"/>
        <v>1928.5243541580053</v>
      </c>
      <c r="Q368" s="6">
        <f t="shared" ca="1" si="53"/>
        <v>399.2951954411904</v>
      </c>
      <c r="R368" s="6">
        <f t="shared" ca="1" si="54"/>
        <v>147.06128945771761</v>
      </c>
      <c r="S368" s="6"/>
      <c r="T368" s="4">
        <f t="shared" ca="1" si="56"/>
        <v>-2.0206262439887167E-2</v>
      </c>
      <c r="U368" s="4">
        <f t="shared" ca="1" si="57"/>
        <v>4.4329751656477866E-2</v>
      </c>
      <c r="V368" s="4">
        <f t="shared" ca="1" si="58"/>
        <v>-3.4002593598694085E-2</v>
      </c>
      <c r="W368" s="4"/>
      <c r="X368">
        <v>366</v>
      </c>
      <c r="Y368" s="4">
        <f t="shared" ca="1" si="59"/>
        <v>-8.0097151850893888E-3</v>
      </c>
      <c r="Z368" s="4">
        <f ca="1"/>
        <v>-6.1994494872422406E-3</v>
      </c>
      <c r="AA368" s="4"/>
    </row>
    <row r="369" spans="1:27" x14ac:dyDescent="0.35">
      <c r="A369">
        <v>367</v>
      </c>
      <c r="B369">
        <f ca="1">_xlfn.NORM.INV(RAND(),Hitorical_Sim!$AB$4,Hitorical_Sim!$AB$5)</f>
        <v>-1.9539498927180952E-2</v>
      </c>
      <c r="C369">
        <f ca="1">_xlfn.NORM.INV(RAND(),Hitorical_Sim!$AB$4,Hitorical_Sim!$AB$5)</f>
        <v>-3.6817586212563552E-3</v>
      </c>
      <c r="D369">
        <f ca="1">_xlfn.NORM.INV(RAND(),Hitorical_Sim!$AB$4,Hitorical_Sim!$AB$5)</f>
        <v>3.1086226913789681E-3</v>
      </c>
      <c r="K369">
        <f t="shared" ca="1" si="61"/>
        <v>-1.4022046952635552</v>
      </c>
      <c r="L369">
        <f t="shared" ca="1" si="61"/>
        <v>0.3705257987871049</v>
      </c>
      <c r="M369">
        <f t="shared" ca="1" si="61"/>
        <v>0.95916830722301039</v>
      </c>
      <c r="O369">
        <v>367</v>
      </c>
      <c r="P369" s="6">
        <f t="shared" ca="1" si="52"/>
        <v>1889.1692503262111</v>
      </c>
      <c r="Q369" s="6">
        <f t="shared" ca="1" si="53"/>
        <v>388.49125758566066</v>
      </c>
      <c r="R369" s="6">
        <f t="shared" ca="1" si="54"/>
        <v>155.24593777271798</v>
      </c>
      <c r="S369" s="6"/>
      <c r="T369" s="4">
        <f t="shared" ca="1" si="56"/>
        <v>-2.0617944786918099E-2</v>
      </c>
      <c r="U369" s="4">
        <f t="shared" ca="1" si="57"/>
        <v>-2.7430314985473495E-2</v>
      </c>
      <c r="V369" s="4">
        <f t="shared" ca="1" si="58"/>
        <v>5.4161119784108501E-2</v>
      </c>
      <c r="W369" s="4"/>
      <c r="X369">
        <v>367</v>
      </c>
      <c r="Y369" s="4">
        <f t="shared" ca="1" si="59"/>
        <v>-1.8276652255043588E-2</v>
      </c>
      <c r="Z369" s="4">
        <f ca="1"/>
        <v>-6.1771404101689676E-3</v>
      </c>
      <c r="AA369" s="4"/>
    </row>
    <row r="370" spans="1:27" x14ac:dyDescent="0.35">
      <c r="A370">
        <v>368</v>
      </c>
      <c r="B370">
        <f ca="1">_xlfn.NORM.INV(RAND(),Hitorical_Sim!$AB$4,Hitorical_Sim!$AB$5)</f>
        <v>-2.3427207104561743E-2</v>
      </c>
      <c r="C370">
        <f ca="1">_xlfn.NORM.INV(RAND(),Hitorical_Sim!$AB$4,Hitorical_Sim!$AB$5)</f>
        <v>2.4539723000210435E-2</v>
      </c>
      <c r="D370">
        <f ca="1">_xlfn.NORM.INV(RAND(),Hitorical_Sim!$AB$4,Hitorical_Sim!$AB$5)</f>
        <v>-1.4240343722169422E-2</v>
      </c>
      <c r="K370">
        <f t="shared" ca="1" si="61"/>
        <v>-0.39828504926528141</v>
      </c>
      <c r="L370">
        <f t="shared" ca="1" si="61"/>
        <v>-0.95205066967984753</v>
      </c>
      <c r="M370">
        <f t="shared" ca="1" si="61"/>
        <v>-0.38298356506552322</v>
      </c>
      <c r="O370">
        <v>368</v>
      </c>
      <c r="P370" s="6">
        <f t="shared" ca="1" si="52"/>
        <v>1923.8926732967732</v>
      </c>
      <c r="Q370" s="6">
        <f t="shared" ca="1" si="53"/>
        <v>374.105489717696</v>
      </c>
      <c r="R370" s="6">
        <f t="shared" ca="1" si="54"/>
        <v>149.01812980509001</v>
      </c>
      <c r="S370" s="6"/>
      <c r="T370" s="4">
        <f t="shared" ca="1" si="56"/>
        <v>1.8213385228653435E-2</v>
      </c>
      <c r="U370" s="4">
        <f t="shared" ca="1" si="57"/>
        <v>-3.7732850845154382E-2</v>
      </c>
      <c r="V370" s="4">
        <f t="shared" ca="1" si="58"/>
        <v>-4.0942579668380656E-2</v>
      </c>
      <c r="W370" s="4"/>
      <c r="X370">
        <v>368</v>
      </c>
      <c r="Y370" s="4">
        <f t="shared" ca="1" si="59"/>
        <v>4.1206664900663558E-3</v>
      </c>
      <c r="Z370" s="4">
        <f ca="1"/>
        <v>-6.1212762783398791E-3</v>
      </c>
      <c r="AA370" s="4"/>
    </row>
    <row r="371" spans="1:27" x14ac:dyDescent="0.35">
      <c r="A371">
        <v>369</v>
      </c>
      <c r="B371">
        <f ca="1">_xlfn.NORM.INV(RAND(),Hitorical_Sim!$AB$4,Hitorical_Sim!$AB$5)</f>
        <v>-1.9683246028211233E-2</v>
      </c>
      <c r="C371">
        <f ca="1">_xlfn.NORM.INV(RAND(),Hitorical_Sim!$AB$4,Hitorical_Sim!$AB$5)</f>
        <v>1.0563439760183722E-2</v>
      </c>
      <c r="D371">
        <f ca="1">_xlfn.NORM.INV(RAND(),Hitorical_Sim!$AB$4,Hitorical_Sim!$AB$5)</f>
        <v>4.6438102134681615E-3</v>
      </c>
      <c r="K371">
        <f t="shared" ca="1" si="61"/>
        <v>-0.96243311683470101</v>
      </c>
      <c r="L371">
        <f t="shared" ca="1" si="61"/>
        <v>-1.1558587124019444</v>
      </c>
      <c r="M371">
        <f t="shared" ca="1" si="61"/>
        <v>-0.1349987919076357</v>
      </c>
      <c r="O371">
        <v>369</v>
      </c>
      <c r="P371" s="6">
        <f t="shared" ca="1" si="52"/>
        <v>1904.3021933971684</v>
      </c>
      <c r="Q371" s="6">
        <f t="shared" ca="1" si="53"/>
        <v>371.93652636821673</v>
      </c>
      <c r="R371" s="6">
        <f t="shared" ca="1" si="54"/>
        <v>150.14969968784362</v>
      </c>
      <c r="S371" s="6"/>
      <c r="T371" s="4">
        <f t="shared" ca="1" si="56"/>
        <v>-1.0234928782995336E-2</v>
      </c>
      <c r="U371" s="4">
        <f t="shared" ca="1" si="57"/>
        <v>-5.8146040402411569E-3</v>
      </c>
      <c r="V371" s="4">
        <f t="shared" ca="1" si="58"/>
        <v>7.5648192586804082E-3</v>
      </c>
      <c r="W371" s="4"/>
      <c r="X371">
        <v>369</v>
      </c>
      <c r="Y371" s="4">
        <f t="shared" ca="1" si="59"/>
        <v>-8.4718614620030303E-3</v>
      </c>
      <c r="Z371" s="4">
        <f ca="1"/>
        <v>-6.1082402811130018E-3</v>
      </c>
      <c r="AA371" s="4"/>
    </row>
    <row r="372" spans="1:27" x14ac:dyDescent="0.35">
      <c r="A372">
        <v>370</v>
      </c>
      <c r="B372">
        <f ca="1">_xlfn.NORM.INV(RAND(),Hitorical_Sim!$AB$4,Hitorical_Sim!$AB$5)</f>
        <v>-1.7845817019739675E-2</v>
      </c>
      <c r="C372">
        <f ca="1">_xlfn.NORM.INV(RAND(),Hitorical_Sim!$AB$4,Hitorical_Sim!$AB$5)</f>
        <v>-2.6169924836109658E-2</v>
      </c>
      <c r="D372">
        <f ca="1">_xlfn.NORM.INV(RAND(),Hitorical_Sim!$AB$4,Hitorical_Sim!$AB$5)</f>
        <v>1.2389022348673189E-2</v>
      </c>
      <c r="K372">
        <f t="shared" ca="1" si="61"/>
        <v>-1.5520612960532659E-3</v>
      </c>
      <c r="L372">
        <f t="shared" ca="1" si="61"/>
        <v>1.6640287502832412</v>
      </c>
      <c r="M372">
        <f t="shared" ca="1" si="61"/>
        <v>0.56102580490182563</v>
      </c>
      <c r="O372">
        <v>370</v>
      </c>
      <c r="P372" s="6">
        <f t="shared" ca="1" si="52"/>
        <v>1937.7901117354731</v>
      </c>
      <c r="Q372" s="6">
        <f t="shared" ca="1" si="53"/>
        <v>403.09572130303479</v>
      </c>
      <c r="R372" s="6">
        <f t="shared" ca="1" si="54"/>
        <v>153.3718166497776</v>
      </c>
      <c r="S372" s="6"/>
      <c r="T372" s="4">
        <f t="shared" ca="1" si="56"/>
        <v>1.7432567330663392E-2</v>
      </c>
      <c r="U372" s="4">
        <f t="shared" ca="1" si="57"/>
        <v>8.0450843914496778E-2</v>
      </c>
      <c r="V372" s="4">
        <f t="shared" ca="1" si="58"/>
        <v>2.1232353129629511E-2</v>
      </c>
      <c r="W372" s="4"/>
      <c r="X372">
        <v>370</v>
      </c>
      <c r="Y372" s="4">
        <f t="shared" ca="1" si="59"/>
        <v>3.0197056037800232E-2</v>
      </c>
      <c r="Z372" s="4">
        <f ca="1"/>
        <v>-6.0355782384729521E-3</v>
      </c>
      <c r="AA372" s="4"/>
    </row>
    <row r="373" spans="1:27" x14ac:dyDescent="0.35">
      <c r="A373">
        <v>371</v>
      </c>
      <c r="B373">
        <f ca="1">_xlfn.NORM.INV(RAND(),Hitorical_Sim!$AB$4,Hitorical_Sim!$AB$5)</f>
        <v>3.4385479397350438E-3</v>
      </c>
      <c r="C373">
        <f ca="1">_xlfn.NORM.INV(RAND(),Hitorical_Sim!$AB$4,Hitorical_Sim!$AB$5)</f>
        <v>-1.9833582987873765E-3</v>
      </c>
      <c r="D373">
        <f ca="1">_xlfn.NORM.INV(RAND(),Hitorical_Sim!$AB$4,Hitorical_Sim!$AB$5)</f>
        <v>2.5488143742955115E-2</v>
      </c>
      <c r="K373">
        <f t="shared" ca="1" si="61"/>
        <v>1.0623954419133217</v>
      </c>
      <c r="L373">
        <f t="shared" ca="1" si="61"/>
        <v>9.3736955075833142E-2</v>
      </c>
      <c r="M373">
        <f t="shared" ca="1" si="61"/>
        <v>0.43074057235340329</v>
      </c>
      <c r="O373">
        <v>371</v>
      </c>
      <c r="P373" s="6">
        <f t="shared" ca="1" si="52"/>
        <v>1975.5574924582697</v>
      </c>
      <c r="Q373" s="6">
        <f t="shared" ca="1" si="53"/>
        <v>385.43552719276249</v>
      </c>
      <c r="R373" s="6">
        <f t="shared" ca="1" si="54"/>
        <v>152.76346938898294</v>
      </c>
      <c r="S373" s="6"/>
      <c r="T373" s="4">
        <f t="shared" ca="1" si="56"/>
        <v>1.9302427058041412E-2</v>
      </c>
      <c r="U373" s="4">
        <f t="shared" ca="1" si="57"/>
        <v>-4.4800121206308482E-2</v>
      </c>
      <c r="V373" s="4">
        <f t="shared" ca="1" si="58"/>
        <v>-3.9743740059248857E-3</v>
      </c>
      <c r="W373" s="4"/>
      <c r="X373">
        <v>371</v>
      </c>
      <c r="Y373" s="4">
        <f t="shared" ca="1" si="59"/>
        <v>5.3576324022397486E-3</v>
      </c>
      <c r="Z373" s="4">
        <f ca="1"/>
        <v>-5.9829368947869905E-3</v>
      </c>
      <c r="AA373" s="4"/>
    </row>
    <row r="374" spans="1:27" x14ac:dyDescent="0.35">
      <c r="A374">
        <v>372</v>
      </c>
      <c r="B374">
        <f ca="1">_xlfn.NORM.INV(RAND(),Hitorical_Sim!$AB$4,Hitorical_Sim!$AB$5)</f>
        <v>-1.0987546946247605E-2</v>
      </c>
      <c r="C374">
        <f ca="1">_xlfn.NORM.INV(RAND(),Hitorical_Sim!$AB$4,Hitorical_Sim!$AB$5)</f>
        <v>-9.5891984336269644E-3</v>
      </c>
      <c r="D374">
        <f ca="1">_xlfn.NORM.INV(RAND(),Hitorical_Sim!$AB$4,Hitorical_Sim!$AB$5)</f>
        <v>2.1881217283494611E-2</v>
      </c>
      <c r="K374">
        <f t="shared" ca="1" si="61"/>
        <v>-0.2466103830217109</v>
      </c>
      <c r="L374">
        <f t="shared" ca="1" si="61"/>
        <v>0.89551177423315464</v>
      </c>
      <c r="M374">
        <f t="shared" ca="1" si="61"/>
        <v>0.51419853920386405</v>
      </c>
      <c r="O374">
        <v>372</v>
      </c>
      <c r="P374" s="6">
        <f t="shared" ca="1" si="52"/>
        <v>1929.1939842032327</v>
      </c>
      <c r="Q374" s="6">
        <f t="shared" ca="1" si="53"/>
        <v>394.35377594107842</v>
      </c>
      <c r="R374" s="6">
        <f t="shared" ca="1" si="54"/>
        <v>153.15288540305727</v>
      </c>
      <c r="S374" s="6"/>
      <c r="T374" s="4">
        <f t="shared" ca="1" si="56"/>
        <v>-2.3748342261382647E-2</v>
      </c>
      <c r="U374" s="4">
        <f t="shared" ca="1" si="57"/>
        <v>2.2874480518870477E-2</v>
      </c>
      <c r="V374" s="4">
        <f t="shared" ca="1" si="58"/>
        <v>2.5459000037826398E-3</v>
      </c>
      <c r="W374" s="4"/>
      <c r="X374">
        <v>372</v>
      </c>
      <c r="Y374" s="4">
        <f t="shared" ca="1" si="59"/>
        <v>-1.3142609488082203E-2</v>
      </c>
      <c r="Z374" s="4">
        <f ca="1"/>
        <v>-5.9311915963556755E-3</v>
      </c>
      <c r="AA374" s="4"/>
    </row>
    <row r="375" spans="1:27" x14ac:dyDescent="0.35">
      <c r="A375">
        <v>373</v>
      </c>
      <c r="B375">
        <f ca="1">_xlfn.NORM.INV(RAND(),Hitorical_Sim!$AB$4,Hitorical_Sim!$AB$5)</f>
        <v>-2.897502150646946E-3</v>
      </c>
      <c r="C375">
        <f ca="1">_xlfn.NORM.INV(RAND(),Hitorical_Sim!$AB$4,Hitorical_Sim!$AB$5)</f>
        <v>9.4721722697359602E-3</v>
      </c>
      <c r="D375">
        <f ca="1">_xlfn.NORM.INV(RAND(),Hitorical_Sim!$AB$4,Hitorical_Sim!$AB$5)</f>
        <v>2.636453385549354E-2</v>
      </c>
      <c r="K375">
        <f t="shared" ca="1" si="61"/>
        <v>-0.77811955366457353</v>
      </c>
      <c r="L375">
        <f t="shared" ca="1" si="61"/>
        <v>-1.5320217949727697</v>
      </c>
      <c r="M375">
        <f t="shared" ca="1" si="61"/>
        <v>1.1177499648967146</v>
      </c>
      <c r="O375">
        <v>373</v>
      </c>
      <c r="P375" s="6">
        <f t="shared" ca="1" si="52"/>
        <v>1910.680585255983</v>
      </c>
      <c r="Q375" s="6">
        <f t="shared" ca="1" si="53"/>
        <v>367.96629771552637</v>
      </c>
      <c r="R375" s="6">
        <f t="shared" ca="1" si="54"/>
        <v>155.99876900159157</v>
      </c>
      <c r="S375" s="6"/>
      <c r="T375" s="4">
        <f t="shared" ca="1" si="56"/>
        <v>-9.6427849739452263E-3</v>
      </c>
      <c r="U375" s="4">
        <f t="shared" ca="1" si="57"/>
        <v>-6.9257063218905415E-2</v>
      </c>
      <c r="V375" s="4">
        <f t="shared" ca="1" si="58"/>
        <v>1.8411442729099378E-2</v>
      </c>
      <c r="W375" s="4"/>
      <c r="X375">
        <v>373</v>
      </c>
      <c r="Y375" s="4">
        <f t="shared" ca="1" si="59"/>
        <v>-2.0151485701258576E-2</v>
      </c>
      <c r="Z375" s="4">
        <f ca="1"/>
        <v>-5.9089793231196014E-3</v>
      </c>
      <c r="AA375" s="4"/>
    </row>
    <row r="376" spans="1:27" x14ac:dyDescent="0.35">
      <c r="A376">
        <v>374</v>
      </c>
      <c r="B376">
        <f ca="1">_xlfn.NORM.INV(RAND(),Hitorical_Sim!$AB$4,Hitorical_Sim!$AB$5)</f>
        <v>1.4157304890694377E-2</v>
      </c>
      <c r="C376">
        <f ca="1">_xlfn.NORM.INV(RAND(),Hitorical_Sim!$AB$4,Hitorical_Sim!$AB$5)</f>
        <v>-1.3451718892683285E-3</v>
      </c>
      <c r="D376">
        <f ca="1">_xlfn.NORM.INV(RAND(),Hitorical_Sim!$AB$4,Hitorical_Sim!$AB$5)</f>
        <v>-1.0460200771103621E-2</v>
      </c>
      <c r="K376">
        <f t="shared" ca="1" si="61"/>
        <v>0.29750928942127369</v>
      </c>
      <c r="L376">
        <f t="shared" ca="1" si="61"/>
        <v>1.1199561284863586</v>
      </c>
      <c r="M376">
        <f t="shared" ca="1" si="61"/>
        <v>0.75608047202388706</v>
      </c>
      <c r="O376">
        <v>374</v>
      </c>
      <c r="P376" s="6">
        <f t="shared" ca="1" si="52"/>
        <v>1948.3324620744913</v>
      </c>
      <c r="Q376" s="6">
        <f t="shared" ca="1" si="53"/>
        <v>396.8870648933227</v>
      </c>
      <c r="R376" s="6">
        <f t="shared" ca="1" si="54"/>
        <v>154.28712653849061</v>
      </c>
      <c r="S376" s="6"/>
      <c r="T376" s="4">
        <f t="shared" ca="1" si="56"/>
        <v>1.951435312603414E-2</v>
      </c>
      <c r="U376" s="4">
        <f t="shared" ca="1" si="57"/>
        <v>7.5660417235849153E-2</v>
      </c>
      <c r="V376" s="4">
        <f t="shared" ca="1" si="58"/>
        <v>-1.1032791691688098E-2</v>
      </c>
      <c r="W376" s="4"/>
      <c r="X376">
        <v>374</v>
      </c>
      <c r="Y376" s="4">
        <f t="shared" ca="1" si="59"/>
        <v>2.9207534161866236E-2</v>
      </c>
      <c r="Z376" s="4">
        <f ca="1"/>
        <v>-5.8097002806175397E-3</v>
      </c>
      <c r="AA376" s="4"/>
    </row>
    <row r="377" spans="1:27" x14ac:dyDescent="0.35">
      <c r="A377">
        <v>375</v>
      </c>
      <c r="B377">
        <f ca="1">_xlfn.NORM.INV(RAND(),Hitorical_Sim!$AB$4,Hitorical_Sim!$AB$5)</f>
        <v>2.1779465136180583E-3</v>
      </c>
      <c r="C377">
        <f ca="1">_xlfn.NORM.INV(RAND(),Hitorical_Sim!$AB$4,Hitorical_Sim!$AB$5)</f>
        <v>-2.7749446537019495E-2</v>
      </c>
      <c r="D377">
        <f ca="1">_xlfn.NORM.INV(RAND(),Hitorical_Sim!$AB$4,Hitorical_Sim!$AB$5)</f>
        <v>-2.923448492803846E-2</v>
      </c>
      <c r="K377">
        <f t="shared" ca="1" si="61"/>
        <v>1.0188409636871463</v>
      </c>
      <c r="L377">
        <f t="shared" ca="1" si="61"/>
        <v>-1.1566648725013413</v>
      </c>
      <c r="M377">
        <f t="shared" ca="1" si="61"/>
        <v>0.8513729555000954</v>
      </c>
      <c r="O377">
        <v>375</v>
      </c>
      <c r="P377" s="6">
        <f t="shared" ca="1" si="52"/>
        <v>1973.9970684089369</v>
      </c>
      <c r="Q377" s="6">
        <f t="shared" ca="1" si="53"/>
        <v>371.927972078339</v>
      </c>
      <c r="R377" s="6">
        <f t="shared" ca="1" si="54"/>
        <v>154.73627845668156</v>
      </c>
      <c r="S377" s="6"/>
      <c r="T377" s="4">
        <f t="shared" ca="1" si="56"/>
        <v>1.3086596834122034E-2</v>
      </c>
      <c r="U377" s="4">
        <f t="shared" ca="1" si="57"/>
        <v>-6.495155683571846E-2</v>
      </c>
      <c r="V377" s="4">
        <f t="shared" ca="1" si="58"/>
        <v>2.9069140214885159E-3</v>
      </c>
      <c r="W377" s="4"/>
      <c r="X377">
        <v>375</v>
      </c>
      <c r="Y377" s="4">
        <f t="shared" ca="1" si="59"/>
        <v>-2.9911221008377164E-3</v>
      </c>
      <c r="Z377" s="4">
        <f ca="1"/>
        <v>-5.7904474845202423E-3</v>
      </c>
      <c r="AA377" s="4"/>
    </row>
    <row r="378" spans="1:27" x14ac:dyDescent="0.35">
      <c r="A378">
        <v>376</v>
      </c>
      <c r="B378">
        <f ca="1">_xlfn.NORM.INV(RAND(),Hitorical_Sim!$AB$4,Hitorical_Sim!$AB$5)</f>
        <v>-2.1512701282001098E-2</v>
      </c>
      <c r="C378">
        <f ca="1">_xlfn.NORM.INV(RAND(),Hitorical_Sim!$AB$4,Hitorical_Sim!$AB$5)</f>
        <v>-7.2521357491338897E-4</v>
      </c>
      <c r="D378">
        <f ca="1">_xlfn.NORM.INV(RAND(),Hitorical_Sim!$AB$4,Hitorical_Sim!$AB$5)</f>
        <v>-2.8192135505851725E-2</v>
      </c>
      <c r="K378">
        <f t="shared" ca="1" si="61"/>
        <v>-0.70041448981437515</v>
      </c>
      <c r="L378">
        <f t="shared" ca="1" si="61"/>
        <v>-0.9481596025164013</v>
      </c>
      <c r="M378">
        <f t="shared" ca="1" si="61"/>
        <v>-0.62713829878994132</v>
      </c>
      <c r="O378">
        <v>376</v>
      </c>
      <c r="P378" s="6">
        <f t="shared" ca="1" si="52"/>
        <v>1913.3760601499503</v>
      </c>
      <c r="Q378" s="6">
        <f t="shared" ca="1" si="53"/>
        <v>374.14702199469821</v>
      </c>
      <c r="R378" s="6">
        <f t="shared" ca="1" si="54"/>
        <v>147.91236823176661</v>
      </c>
      <c r="S378" s="6"/>
      <c r="T378" s="4">
        <f t="shared" ca="1" si="56"/>
        <v>-3.1191203405476976E-2</v>
      </c>
      <c r="U378" s="4">
        <f t="shared" ca="1" si="57"/>
        <v>5.9486150255568526E-3</v>
      </c>
      <c r="V378" s="4">
        <f t="shared" ca="1" si="58"/>
        <v>-4.5102246675071914E-2</v>
      </c>
      <c r="W378" s="4"/>
      <c r="X378">
        <v>376</v>
      </c>
      <c r="Y378" s="4">
        <f t="shared" ca="1" si="59"/>
        <v>-2.4467739592171876E-2</v>
      </c>
      <c r="Z378" s="4">
        <f ca="1"/>
        <v>-5.7261352252590469E-3</v>
      </c>
      <c r="AA378" s="4"/>
    </row>
    <row r="379" spans="1:27" x14ac:dyDescent="0.35">
      <c r="A379">
        <v>377</v>
      </c>
      <c r="B379">
        <f ca="1">_xlfn.NORM.INV(RAND(),Hitorical_Sim!$AB$4,Hitorical_Sim!$AB$5)</f>
        <v>1.3747477754024727E-2</v>
      </c>
      <c r="C379">
        <f ca="1">_xlfn.NORM.INV(RAND(),Hitorical_Sim!$AB$4,Hitorical_Sim!$AB$5)</f>
        <v>1.7542298542609695E-2</v>
      </c>
      <c r="D379">
        <f ca="1">_xlfn.NORM.INV(RAND(),Hitorical_Sim!$AB$4,Hitorical_Sim!$AB$5)</f>
        <v>-2.7219434468677903E-2</v>
      </c>
      <c r="K379">
        <f t="shared" ca="1" si="61"/>
        <v>-1.3652882561798074</v>
      </c>
      <c r="L379">
        <f t="shared" ca="1" si="61"/>
        <v>-2.1442432551550028</v>
      </c>
      <c r="M379">
        <f t="shared" ca="1" si="61"/>
        <v>1.2699521463030803</v>
      </c>
      <c r="O379">
        <v>377</v>
      </c>
      <c r="P379" s="6">
        <f t="shared" ca="1" si="52"/>
        <v>1890.4349417377996</v>
      </c>
      <c r="Q379" s="6">
        <f t="shared" ca="1" si="53"/>
        <v>361.59499668870546</v>
      </c>
      <c r="R379" s="6">
        <f t="shared" ca="1" si="54"/>
        <v>156.72474821219797</v>
      </c>
      <c r="S379" s="6"/>
      <c r="T379" s="4">
        <f t="shared" ca="1" si="56"/>
        <v>-1.2062322003070031E-2</v>
      </c>
      <c r="U379" s="4">
        <f t="shared" ca="1" si="57"/>
        <v>-3.4124035274613287E-2</v>
      </c>
      <c r="V379" s="4">
        <f t="shared" ca="1" si="58"/>
        <v>5.7871078743052314E-2</v>
      </c>
      <c r="W379" s="4"/>
      <c r="X379">
        <v>377</v>
      </c>
      <c r="Y379" s="4">
        <f t="shared" ca="1" si="59"/>
        <v>-1.3004124233325504E-2</v>
      </c>
      <c r="Z379" s="4">
        <f ca="1"/>
        <v>-5.6426159907395105E-3</v>
      </c>
      <c r="AA379" s="4"/>
    </row>
    <row r="380" spans="1:27" x14ac:dyDescent="0.35">
      <c r="A380">
        <v>378</v>
      </c>
      <c r="B380">
        <f ca="1">_xlfn.NORM.INV(RAND(),Hitorical_Sim!$AB$4,Hitorical_Sim!$AB$5)</f>
        <v>-9.0478910695169033E-3</v>
      </c>
      <c r="C380">
        <f ca="1">_xlfn.NORM.INV(RAND(),Hitorical_Sim!$AB$4,Hitorical_Sim!$AB$5)</f>
        <v>4.3396290689246685E-2</v>
      </c>
      <c r="D380">
        <f ca="1">_xlfn.NORM.INV(RAND(),Hitorical_Sim!$AB$4,Hitorical_Sim!$AB$5)</f>
        <v>6.9568246564773529E-3</v>
      </c>
      <c r="K380">
        <f t="shared" ca="1" si="61"/>
        <v>0.35397554201473597</v>
      </c>
      <c r="L380">
        <f t="shared" ca="1" si="61"/>
        <v>1.304277611999727</v>
      </c>
      <c r="M380">
        <f t="shared" ca="1" si="61"/>
        <v>0.17381441987991242</v>
      </c>
      <c r="O380">
        <v>378</v>
      </c>
      <c r="P380" s="6">
        <f t="shared" ca="1" si="52"/>
        <v>1950.3294076263455</v>
      </c>
      <c r="Q380" s="6">
        <f t="shared" ca="1" si="53"/>
        <v>398.97965483088404</v>
      </c>
      <c r="R380" s="6">
        <f t="shared" ca="1" si="54"/>
        <v>151.57085355585829</v>
      </c>
      <c r="S380" s="6"/>
      <c r="T380" s="4">
        <f t="shared" ca="1" si="56"/>
        <v>3.1191354797183487E-2</v>
      </c>
      <c r="U380" s="4">
        <f t="shared" ca="1" si="57"/>
        <v>9.8385633359696412E-2</v>
      </c>
      <c r="V380" s="4">
        <f t="shared" ca="1" si="58"/>
        <v>-3.3437874742948813E-2</v>
      </c>
      <c r="W380" s="4"/>
      <c r="X380">
        <v>378</v>
      </c>
      <c r="Y380" s="4">
        <f t="shared" ca="1" si="59"/>
        <v>4.1402680691594508E-2</v>
      </c>
      <c r="Z380" s="4">
        <f ca="1"/>
        <v>-5.6367606817442559E-3</v>
      </c>
      <c r="AA380" s="4"/>
    </row>
    <row r="381" spans="1:27" x14ac:dyDescent="0.35">
      <c r="A381">
        <v>379</v>
      </c>
      <c r="B381">
        <f ca="1">_xlfn.NORM.INV(RAND(),Hitorical_Sim!$AB$4,Hitorical_Sim!$AB$5)</f>
        <v>8.722822575844863E-3</v>
      </c>
      <c r="C381">
        <f ca="1">_xlfn.NORM.INV(RAND(),Hitorical_Sim!$AB$4,Hitorical_Sim!$AB$5)</f>
        <v>-5.1964547461950993E-3</v>
      </c>
      <c r="D381">
        <f ca="1">_xlfn.NORM.INV(RAND(),Hitorical_Sim!$AB$4,Hitorical_Sim!$AB$5)</f>
        <v>-8.2910307527875021E-3</v>
      </c>
      <c r="K381">
        <f t="shared" ca="1" si="61"/>
        <v>0.25579586178684471</v>
      </c>
      <c r="L381">
        <f t="shared" ca="1" si="61"/>
        <v>-1.5132332532597226</v>
      </c>
      <c r="M381">
        <f t="shared" ca="1" si="61"/>
        <v>-1.7954484710167584E-2</v>
      </c>
      <c r="O381">
        <v>379</v>
      </c>
      <c r="P381" s="6">
        <f t="shared" ca="1" si="52"/>
        <v>1946.8585677620149</v>
      </c>
      <c r="Q381" s="6">
        <f t="shared" ca="1" si="53"/>
        <v>368.16359283735471</v>
      </c>
      <c r="R381" s="6">
        <f t="shared" ca="1" si="54"/>
        <v>150.68676097710491</v>
      </c>
      <c r="S381" s="6"/>
      <c r="T381" s="4">
        <f t="shared" ca="1" si="56"/>
        <v>-1.7812026537625848E-3</v>
      </c>
      <c r="U381" s="4">
        <f t="shared" ca="1" si="57"/>
        <v>-8.03830400495993E-2</v>
      </c>
      <c r="V381" s="4">
        <f t="shared" ca="1" si="58"/>
        <v>-5.8499442695033391E-3</v>
      </c>
      <c r="W381" s="4"/>
      <c r="X381">
        <v>379</v>
      </c>
      <c r="Y381" s="4">
        <f t="shared" ca="1" si="59"/>
        <v>-1.7668983600397425E-2</v>
      </c>
      <c r="Z381" s="4">
        <f ca="1"/>
        <v>-5.4655190321538996E-3</v>
      </c>
      <c r="AA381" s="4"/>
    </row>
    <row r="382" spans="1:27" x14ac:dyDescent="0.35">
      <c r="A382">
        <v>380</v>
      </c>
      <c r="B382">
        <f ca="1">_xlfn.NORM.INV(RAND(),Hitorical_Sim!$AB$4,Hitorical_Sim!$AB$5)</f>
        <v>-6.8108255956048497E-3</v>
      </c>
      <c r="C382">
        <f ca="1">_xlfn.NORM.INV(RAND(),Hitorical_Sim!$AB$4,Hitorical_Sim!$AB$5)</f>
        <v>-3.2136382901252092E-2</v>
      </c>
      <c r="D382">
        <f ca="1">_xlfn.NORM.INV(RAND(),Hitorical_Sim!$AB$4,Hitorical_Sim!$AB$5)</f>
        <v>5.5759314578021401E-3</v>
      </c>
      <c r="K382">
        <f t="shared" ca="1" si="61"/>
        <v>-0.79673663451687349</v>
      </c>
      <c r="L382">
        <f t="shared" ca="1" si="61"/>
        <v>-0.47652406373022582</v>
      </c>
      <c r="M382">
        <f t="shared" ca="1" si="61"/>
        <v>1.2660970678338634</v>
      </c>
      <c r="O382">
        <v>380</v>
      </c>
      <c r="P382" s="6">
        <f t="shared" ca="1" si="52"/>
        <v>1910.035350051128</v>
      </c>
      <c r="Q382" s="6">
        <f t="shared" ca="1" si="53"/>
        <v>379.21544415495504</v>
      </c>
      <c r="R382" s="6">
        <f t="shared" ca="1" si="54"/>
        <v>156.70631848918015</v>
      </c>
      <c r="S382" s="6"/>
      <c r="T382" s="4">
        <f t="shared" ca="1" si="56"/>
        <v>-1.9095332875763774E-2</v>
      </c>
      <c r="U382" s="4">
        <f t="shared" ca="1" si="57"/>
        <v>2.9577112666809031E-2</v>
      </c>
      <c r="V382" s="4">
        <f t="shared" ca="1" si="58"/>
        <v>3.9170219163572939E-2</v>
      </c>
      <c r="W382" s="4"/>
      <c r="X382">
        <v>380</v>
      </c>
      <c r="Y382" s="4">
        <f t="shared" ca="1" si="59"/>
        <v>-6.4982972365655728E-3</v>
      </c>
      <c r="Z382" s="4">
        <f ca="1"/>
        <v>-5.4548446738786E-3</v>
      </c>
      <c r="AA382" s="4"/>
    </row>
    <row r="383" spans="1:27" x14ac:dyDescent="0.35">
      <c r="A383">
        <v>381</v>
      </c>
      <c r="B383">
        <f ca="1">_xlfn.NORM.INV(RAND(),Hitorical_Sim!$AB$4,Hitorical_Sim!$AB$5)</f>
        <v>-3.0045035803332315E-2</v>
      </c>
      <c r="C383">
        <f ca="1">_xlfn.NORM.INV(RAND(),Hitorical_Sim!$AB$4,Hitorical_Sim!$AB$5)</f>
        <v>1.7314737913554097E-2</v>
      </c>
      <c r="D383">
        <f ca="1">_xlfn.NORM.INV(RAND(),Hitorical_Sim!$AB$4,Hitorical_Sim!$AB$5)</f>
        <v>2.7361116309633029E-2</v>
      </c>
      <c r="K383">
        <f t="shared" ca="1" si="61"/>
        <v>-0.17713718437911924</v>
      </c>
      <c r="L383">
        <f t="shared" ca="1" si="61"/>
        <v>1.501659651565062</v>
      </c>
      <c r="M383">
        <f t="shared" ca="1" si="61"/>
        <v>-1.6251560000956502</v>
      </c>
      <c r="O383">
        <v>381</v>
      </c>
      <c r="P383" s="6">
        <f t="shared" ca="1" si="52"/>
        <v>1931.6270767905692</v>
      </c>
      <c r="Q383" s="6">
        <f t="shared" ca="1" si="53"/>
        <v>401.23275551220058</v>
      </c>
      <c r="R383" s="6">
        <f t="shared" ca="1" si="54"/>
        <v>143.4770777910781</v>
      </c>
      <c r="S383" s="6"/>
      <c r="T383" s="4">
        <f t="shared" ca="1" si="56"/>
        <v>1.1240942955747513E-2</v>
      </c>
      <c r="U383" s="4">
        <f t="shared" ca="1" si="57"/>
        <v>5.643719879582574E-2</v>
      </c>
      <c r="V383" s="4">
        <f t="shared" ca="1" si="58"/>
        <v>-8.8198184958986459E-2</v>
      </c>
      <c r="W383" s="4"/>
      <c r="X383">
        <v>381</v>
      </c>
      <c r="Y383" s="4">
        <f t="shared" ca="1" si="59"/>
        <v>1.5339419992392411E-2</v>
      </c>
      <c r="Z383" s="4">
        <f ca="1"/>
        <v>-5.3316848036814943E-3</v>
      </c>
      <c r="AA383" s="4"/>
    </row>
    <row r="384" spans="1:27" x14ac:dyDescent="0.35">
      <c r="A384">
        <v>382</v>
      </c>
      <c r="B384">
        <f ca="1">_xlfn.NORM.INV(RAND(),Hitorical_Sim!$AB$4,Hitorical_Sim!$AB$5)</f>
        <v>-1.1528679950969623E-2</v>
      </c>
      <c r="C384">
        <f ca="1">_xlfn.NORM.INV(RAND(),Hitorical_Sim!$AB$4,Hitorical_Sim!$AB$5)</f>
        <v>-1.0756343946984779E-2</v>
      </c>
      <c r="D384">
        <f ca="1">_xlfn.NORM.INV(RAND(),Hitorical_Sim!$AB$4,Hitorical_Sim!$AB$5)</f>
        <v>4.4240231625792001E-3</v>
      </c>
      <c r="K384">
        <f t="shared" ref="K384:M403" ca="1" si="62">_xlfn.NORM.S.INV(RAND())</f>
        <v>-0.99624209460525914</v>
      </c>
      <c r="L384">
        <f t="shared" ca="1" si="62"/>
        <v>-0.185643142672102</v>
      </c>
      <c r="M384">
        <f t="shared" ca="1" si="62"/>
        <v>-0.84529833714254166</v>
      </c>
      <c r="O384">
        <v>382</v>
      </c>
      <c r="P384" s="6">
        <f t="shared" ca="1" si="52"/>
        <v>1903.1345064041668</v>
      </c>
      <c r="Q384" s="6">
        <f t="shared" ca="1" si="53"/>
        <v>382.37556276293151</v>
      </c>
      <c r="R384" s="6">
        <f t="shared" ca="1" si="54"/>
        <v>146.9312780774209</v>
      </c>
      <c r="S384" s="6"/>
      <c r="T384" s="4">
        <f t="shared" ca="1" si="56"/>
        <v>-1.4860425664641264E-2</v>
      </c>
      <c r="U384" s="4">
        <f t="shared" ca="1" si="57"/>
        <v>-4.8138422377468779E-2</v>
      </c>
      <c r="V384" s="4">
        <f t="shared" ca="1" si="58"/>
        <v>2.3789695603532085E-2</v>
      </c>
      <c r="W384" s="4"/>
      <c r="X384">
        <v>382</v>
      </c>
      <c r="Y384" s="4">
        <f t="shared" ca="1" si="59"/>
        <v>-1.9588853038055985E-2</v>
      </c>
      <c r="Z384" s="4">
        <f ca="1"/>
        <v>-5.326130411292351E-3</v>
      </c>
      <c r="AA384" s="4"/>
    </row>
    <row r="385" spans="1:27" x14ac:dyDescent="0.35">
      <c r="A385">
        <v>383</v>
      </c>
      <c r="B385">
        <f ca="1">_xlfn.NORM.INV(RAND(),Hitorical_Sim!$AB$4,Hitorical_Sim!$AB$5)</f>
        <v>-4.6552633547868864E-2</v>
      </c>
      <c r="C385">
        <f ca="1">_xlfn.NORM.INV(RAND(),Hitorical_Sim!$AB$4,Hitorical_Sim!$AB$5)</f>
        <v>-2.3631036827845907E-3</v>
      </c>
      <c r="D385">
        <f ca="1">_xlfn.NORM.INV(RAND(),Hitorical_Sim!$AB$4,Hitorical_Sim!$AB$5)</f>
        <v>4.2706797311557014E-3</v>
      </c>
      <c r="K385">
        <f t="shared" ca="1" si="62"/>
        <v>0.12205397999251048</v>
      </c>
      <c r="L385">
        <f t="shared" ca="1" si="62"/>
        <v>0.2218864200209261</v>
      </c>
      <c r="M385">
        <f t="shared" ca="1" si="62"/>
        <v>0.40445960723599822</v>
      </c>
      <c r="O385">
        <v>383</v>
      </c>
      <c r="P385" s="6">
        <f t="shared" ca="1" si="52"/>
        <v>1942.1404717222988</v>
      </c>
      <c r="Q385" s="6">
        <f t="shared" ca="1" si="53"/>
        <v>386.84728928742726</v>
      </c>
      <c r="R385" s="6">
        <f t="shared" ca="1" si="54"/>
        <v>152.64104715860626</v>
      </c>
      <c r="S385" s="6"/>
      <c r="T385" s="4">
        <f t="shared" ca="1" si="56"/>
        <v>2.0288433728265901E-2</v>
      </c>
      <c r="U385" s="4">
        <f t="shared" ca="1" si="57"/>
        <v>1.1626739603125881E-2</v>
      </c>
      <c r="V385" s="4">
        <f t="shared" ca="1" si="58"/>
        <v>3.8124086595849566E-2</v>
      </c>
      <c r="W385" s="4"/>
      <c r="X385">
        <v>383</v>
      </c>
      <c r="Y385" s="4">
        <f t="shared" ca="1" si="59"/>
        <v>1.9442524215777628E-2</v>
      </c>
      <c r="Z385" s="4">
        <f ca="1"/>
        <v>-5.2990685387770122E-3</v>
      </c>
      <c r="AA385" s="4"/>
    </row>
    <row r="386" spans="1:27" x14ac:dyDescent="0.35">
      <c r="A386">
        <v>384</v>
      </c>
      <c r="B386">
        <f ca="1">_xlfn.NORM.INV(RAND(),Hitorical_Sim!$AB$4,Hitorical_Sim!$AB$5)</f>
        <v>1.5590453436786148E-2</v>
      </c>
      <c r="C386">
        <f ca="1">_xlfn.NORM.INV(RAND(),Hitorical_Sim!$AB$4,Hitorical_Sim!$AB$5)</f>
        <v>-1.0364470001917448E-2</v>
      </c>
      <c r="D386">
        <f ca="1">_xlfn.NORM.INV(RAND(),Hitorical_Sim!$AB$4,Hitorical_Sim!$AB$5)</f>
        <v>-1.2870199035739006E-2</v>
      </c>
      <c r="K386">
        <f t="shared" ca="1" si="62"/>
        <v>0.34446716584903614</v>
      </c>
      <c r="L386">
        <f t="shared" ca="1" si="62"/>
        <v>-0.24313257397528551</v>
      </c>
      <c r="M386">
        <f t="shared" ca="1" si="62"/>
        <v>-0.1777624378393825</v>
      </c>
      <c r="O386">
        <v>384</v>
      </c>
      <c r="P386" s="6">
        <f t="shared" ca="1" si="52"/>
        <v>1949.9929978671937</v>
      </c>
      <c r="Q386" s="6">
        <f t="shared" ca="1" si="53"/>
        <v>381.74891879842647</v>
      </c>
      <c r="R386" s="6">
        <f t="shared" ca="1" si="54"/>
        <v>149.95395522140626</v>
      </c>
      <c r="S386" s="6"/>
      <c r="T386" s="4">
        <f t="shared" ca="1" si="56"/>
        <v>4.0350809450580907E-3</v>
      </c>
      <c r="U386" s="4">
        <f t="shared" ca="1" si="57"/>
        <v>-1.3266901959144645E-2</v>
      </c>
      <c r="V386" s="4">
        <f t="shared" ca="1" si="58"/>
        <v>-1.7760786210088204E-2</v>
      </c>
      <c r="W386" s="4"/>
      <c r="X386">
        <v>384</v>
      </c>
      <c r="Y386" s="4">
        <f t="shared" ca="1" si="59"/>
        <v>-4.9652259881973729E-4</v>
      </c>
      <c r="Z386" s="4">
        <f ca="1"/>
        <v>-5.2775458278617373E-3</v>
      </c>
      <c r="AA386" s="4"/>
    </row>
    <row r="387" spans="1:27" x14ac:dyDescent="0.35">
      <c r="A387">
        <v>385</v>
      </c>
      <c r="B387">
        <f ca="1">_xlfn.NORM.INV(RAND(),Hitorical_Sim!$AB$4,Hitorical_Sim!$AB$5)</f>
        <v>5.0791307468225546E-3</v>
      </c>
      <c r="C387">
        <f ca="1">_xlfn.NORM.INV(RAND(),Hitorical_Sim!$AB$4,Hitorical_Sim!$AB$5)</f>
        <v>7.2055858496359072E-3</v>
      </c>
      <c r="D387">
        <f ca="1">_xlfn.NORM.INV(RAND(),Hitorical_Sim!$AB$4,Hitorical_Sim!$AB$5)</f>
        <v>-5.6712491086036388E-3</v>
      </c>
      <c r="K387">
        <f t="shared" ca="1" si="62"/>
        <v>-8.2716622612498417E-2</v>
      </c>
      <c r="L387">
        <f t="shared" ca="1" si="62"/>
        <v>-1.5659568859248945</v>
      </c>
      <c r="M387">
        <f t="shared" ca="1" si="62"/>
        <v>0.12285309865422511</v>
      </c>
      <c r="O387">
        <v>385</v>
      </c>
      <c r="P387" s="6">
        <f t="shared" ref="P387:P450" ca="1" si="63">$G$17*EXP(($G$15-0.5*$G$16)+($G$16*K387))</f>
        <v>1934.9387967985845</v>
      </c>
      <c r="Q387" s="6">
        <f t="shared" ref="Q387:Q450" ca="1" si="64">$H$17*EXP(($H$15-0.5*$H$16^2)+($H$16*L387))</f>
        <v>367.61021928134971</v>
      </c>
      <c r="R387" s="6">
        <f t="shared" ref="R387:R450" ca="1" si="65">$I$17*EXP(($I$15-0.5*$I$16)+($I$16*M387))</f>
        <v>151.33540697576413</v>
      </c>
      <c r="S387" s="6"/>
      <c r="T387" s="4">
        <f t="shared" ca="1" si="56"/>
        <v>-7.7500853118068888E-3</v>
      </c>
      <c r="U387" s="4">
        <f t="shared" ca="1" si="57"/>
        <v>-3.7739921771779143E-2</v>
      </c>
      <c r="V387" s="4">
        <f t="shared" ca="1" si="58"/>
        <v>9.1703299802101297E-3</v>
      </c>
      <c r="W387" s="4"/>
      <c r="X387">
        <v>385</v>
      </c>
      <c r="Y387" s="4">
        <f t="shared" ca="1" si="59"/>
        <v>-1.2897706405344869E-2</v>
      </c>
      <c r="Z387" s="4">
        <f ca="1"/>
        <v>-5.2538965705908342E-3</v>
      </c>
      <c r="AA387" s="4"/>
    </row>
    <row r="388" spans="1:27" x14ac:dyDescent="0.35">
      <c r="A388">
        <v>386</v>
      </c>
      <c r="B388">
        <f ca="1">_xlfn.NORM.INV(RAND(),Hitorical_Sim!$AB$4,Hitorical_Sim!$AB$5)</f>
        <v>1.8069517606755781E-2</v>
      </c>
      <c r="C388">
        <f ca="1">_xlfn.NORM.INV(RAND(),Hitorical_Sim!$AB$4,Hitorical_Sim!$AB$5)</f>
        <v>2.8445774102820458E-3</v>
      </c>
      <c r="D388">
        <f ca="1">_xlfn.NORM.INV(RAND(),Hitorical_Sim!$AB$4,Hitorical_Sim!$AB$5)</f>
        <v>-7.7096482576738722E-3</v>
      </c>
      <c r="K388">
        <f t="shared" ca="1" si="62"/>
        <v>0.3212631445960753</v>
      </c>
      <c r="L388">
        <f t="shared" ca="1" si="62"/>
        <v>1.2840996439778145</v>
      </c>
      <c r="M388">
        <f t="shared" ca="1" si="62"/>
        <v>-8.5064621489294473E-2</v>
      </c>
      <c r="O388">
        <v>386</v>
      </c>
      <c r="P388" s="6">
        <f t="shared" ca="1" si="63"/>
        <v>1949.1722748439045</v>
      </c>
      <c r="Q388" s="6">
        <f t="shared" ca="1" si="64"/>
        <v>398.75003890481685</v>
      </c>
      <c r="R388" s="6">
        <f t="shared" ca="1" si="65"/>
        <v>150.37858960391839</v>
      </c>
      <c r="S388" s="6"/>
      <c r="T388" s="4">
        <f t="shared" ref="T388:T451" ca="1" si="66">LN(P388/P387)</f>
        <v>7.3291116017906487E-3</v>
      </c>
      <c r="U388" s="4">
        <f t="shared" ref="U388:U451" ca="1" si="67">LN(Q388/Q387)</f>
        <v>8.131156156719771E-2</v>
      </c>
      <c r="V388" s="4">
        <f t="shared" ref="V388:V451" ca="1" si="68">LN(R388/R387)</f>
        <v>-6.3425667371971358E-3</v>
      </c>
      <c r="W388" s="4"/>
      <c r="X388">
        <v>386</v>
      </c>
      <c r="Y388" s="4">
        <f t="shared" ref="Y388:Y451" ca="1" si="69">($G$18*T388)+($H$18*U388)+($I$18*V388)</f>
        <v>2.1417034860502428E-2</v>
      </c>
      <c r="Z388" s="4">
        <f ca="1"/>
        <v>-5.2527944054031822E-3</v>
      </c>
      <c r="AA388" s="4"/>
    </row>
    <row r="389" spans="1:27" x14ac:dyDescent="0.35">
      <c r="A389">
        <v>387</v>
      </c>
      <c r="B389">
        <f ca="1">_xlfn.NORM.INV(RAND(),Hitorical_Sim!$AB$4,Hitorical_Sim!$AB$5)</f>
        <v>-5.5406282344141094E-3</v>
      </c>
      <c r="C389">
        <f ca="1">_xlfn.NORM.INV(RAND(),Hitorical_Sim!$AB$4,Hitorical_Sim!$AB$5)</f>
        <v>-1.9866693057126308E-2</v>
      </c>
      <c r="D389">
        <f ca="1">_xlfn.NORM.INV(RAND(),Hitorical_Sim!$AB$4,Hitorical_Sim!$AB$5)</f>
        <v>-3.5737722193969493E-2</v>
      </c>
      <c r="K389">
        <f t="shared" ca="1" si="62"/>
        <v>1.1929799372231991</v>
      </c>
      <c r="L389">
        <f t="shared" ca="1" si="62"/>
        <v>1.7398069792986879</v>
      </c>
      <c r="M389">
        <f t="shared" ca="1" si="62"/>
        <v>-0.33366923666164217</v>
      </c>
      <c r="O389">
        <v>387</v>
      </c>
      <c r="P389" s="6">
        <f t="shared" ca="1" si="63"/>
        <v>1980.2433335136882</v>
      </c>
      <c r="Q389" s="6">
        <f t="shared" ca="1" si="64"/>
        <v>403.9681320575055</v>
      </c>
      <c r="R389" s="6">
        <f t="shared" ca="1" si="65"/>
        <v>149.24247278155806</v>
      </c>
      <c r="S389" s="6"/>
      <c r="T389" s="4">
        <f t="shared" ca="1" si="66"/>
        <v>1.5814924847512617E-2</v>
      </c>
      <c r="U389" s="4">
        <f t="shared" ca="1" si="67"/>
        <v>1.3001242138109919E-2</v>
      </c>
      <c r="V389" s="4">
        <f t="shared" ca="1" si="68"/>
        <v>-7.5837276486940492E-3</v>
      </c>
      <c r="W389" s="4"/>
      <c r="X389">
        <v>387</v>
      </c>
      <c r="Y389" s="4">
        <f t="shared" ca="1" si="69"/>
        <v>1.4095401567746179E-2</v>
      </c>
      <c r="Z389" s="4">
        <f ca="1"/>
        <v>-5.2361850655994512E-3</v>
      </c>
      <c r="AA389" s="4"/>
    </row>
    <row r="390" spans="1:27" x14ac:dyDescent="0.35">
      <c r="A390">
        <v>388</v>
      </c>
      <c r="B390">
        <f ca="1">_xlfn.NORM.INV(RAND(),Hitorical_Sim!$AB$4,Hitorical_Sim!$AB$5)</f>
        <v>-2.6125456009301945E-3</v>
      </c>
      <c r="C390">
        <f ca="1">_xlfn.NORM.INV(RAND(),Hitorical_Sim!$AB$4,Hitorical_Sim!$AB$5)</f>
        <v>-1.3676719831527798E-2</v>
      </c>
      <c r="D390">
        <f ca="1">_xlfn.NORM.INV(RAND(),Hitorical_Sim!$AB$4,Hitorical_Sim!$AB$5)</f>
        <v>2.2528673147762964E-2</v>
      </c>
      <c r="K390">
        <f t="shared" ca="1" si="62"/>
        <v>-2.3572020101626885</v>
      </c>
      <c r="L390">
        <f t="shared" ca="1" si="62"/>
        <v>1.6237808737650248</v>
      </c>
      <c r="M390">
        <f t="shared" ca="1" si="62"/>
        <v>1.5086731499867516</v>
      </c>
      <c r="O390">
        <v>388</v>
      </c>
      <c r="P390" s="6">
        <f t="shared" ca="1" si="63"/>
        <v>1856.7197572900093</v>
      </c>
      <c r="Q390" s="6">
        <f t="shared" ca="1" si="64"/>
        <v>402.63312658550598</v>
      </c>
      <c r="R390" s="6">
        <f t="shared" ca="1" si="65"/>
        <v>157.87021902796602</v>
      </c>
      <c r="S390" s="6"/>
      <c r="T390" s="4">
        <f t="shared" ca="1" si="66"/>
        <v>-6.4408373416433476E-2</v>
      </c>
      <c r="U390" s="4">
        <f t="shared" ca="1" si="67"/>
        <v>-3.3102023502055767E-3</v>
      </c>
      <c r="V390" s="4">
        <f t="shared" ca="1" si="68"/>
        <v>5.6200979560657664E-2</v>
      </c>
      <c r="W390" s="4"/>
      <c r="X390">
        <v>388</v>
      </c>
      <c r="Y390" s="4">
        <f t="shared" ca="1" si="69"/>
        <v>-4.6246157586176471E-2</v>
      </c>
      <c r="Z390" s="4">
        <f ca="1"/>
        <v>-5.1817620132738919E-3</v>
      </c>
      <c r="AA390" s="4"/>
    </row>
    <row r="391" spans="1:27" x14ac:dyDescent="0.35">
      <c r="A391">
        <v>389</v>
      </c>
      <c r="B391">
        <f ca="1">_xlfn.NORM.INV(RAND(),Hitorical_Sim!$AB$4,Hitorical_Sim!$AB$5)</f>
        <v>8.4772063030199131E-4</v>
      </c>
      <c r="C391">
        <f ca="1">_xlfn.NORM.INV(RAND(),Hitorical_Sim!$AB$4,Hitorical_Sim!$AB$5)</f>
        <v>-1.0523232012002249E-2</v>
      </c>
      <c r="D391">
        <f ca="1">_xlfn.NORM.INV(RAND(),Hitorical_Sim!$AB$4,Hitorical_Sim!$AB$5)</f>
        <v>9.9548231901227541E-3</v>
      </c>
      <c r="K391">
        <f t="shared" ca="1" si="62"/>
        <v>0.8450558744320108</v>
      </c>
      <c r="L391">
        <f t="shared" ca="1" si="62"/>
        <v>-0.91926567527400427</v>
      </c>
      <c r="M391">
        <f t="shared" ca="1" si="62"/>
        <v>-1.1183249821793722</v>
      </c>
      <c r="O391">
        <v>389</v>
      </c>
      <c r="P391" s="6">
        <f t="shared" ca="1" si="63"/>
        <v>1967.7831394961195</v>
      </c>
      <c r="Q391" s="6">
        <f t="shared" ca="1" si="64"/>
        <v>374.4555728184568</v>
      </c>
      <c r="R391" s="6">
        <f t="shared" ca="1" si="65"/>
        <v>145.71260974659012</v>
      </c>
      <c r="S391" s="6"/>
      <c r="T391" s="4">
        <f t="shared" ca="1" si="66"/>
        <v>5.80962397599264E-2</v>
      </c>
      <c r="U391" s="4">
        <f t="shared" ca="1" si="67"/>
        <v>-7.25526261921179E-2</v>
      </c>
      <c r="V391" s="4">
        <f t="shared" ca="1" si="68"/>
        <v>-8.0137041519379101E-2</v>
      </c>
      <c r="W391" s="4"/>
      <c r="X391">
        <v>389</v>
      </c>
      <c r="Y391" s="4">
        <f t="shared" ca="1" si="69"/>
        <v>2.5181714569862367E-2</v>
      </c>
      <c r="Z391" s="4">
        <f ca="1"/>
        <v>-5.167147770608155E-3</v>
      </c>
      <c r="AA391" s="4"/>
    </row>
    <row r="392" spans="1:27" x14ac:dyDescent="0.35">
      <c r="A392">
        <v>390</v>
      </c>
      <c r="B392">
        <f ca="1">_xlfn.NORM.INV(RAND(),Hitorical_Sim!$AB$4,Hitorical_Sim!$AB$5)</f>
        <v>-4.8011915797249866E-3</v>
      </c>
      <c r="C392">
        <f ca="1">_xlfn.NORM.INV(RAND(),Hitorical_Sim!$AB$4,Hitorical_Sim!$AB$5)</f>
        <v>7.2908553260437933E-3</v>
      </c>
      <c r="D392">
        <f ca="1">_xlfn.NORM.INV(RAND(),Hitorical_Sim!$AB$4,Hitorical_Sim!$AB$5)</f>
        <v>3.037076545242524E-3</v>
      </c>
      <c r="K392">
        <f t="shared" ca="1" si="62"/>
        <v>-0.2188171873171123</v>
      </c>
      <c r="L392">
        <f t="shared" ca="1" si="62"/>
        <v>6.5515964004316862E-2</v>
      </c>
      <c r="M392">
        <f t="shared" ca="1" si="62"/>
        <v>2.528886322911863</v>
      </c>
      <c r="O392">
        <v>390</v>
      </c>
      <c r="P392" s="6">
        <f t="shared" ca="1" si="63"/>
        <v>1930.1669903903837</v>
      </c>
      <c r="Q392" s="6">
        <f t="shared" ca="1" si="64"/>
        <v>385.12532275276294</v>
      </c>
      <c r="R392" s="6">
        <f t="shared" ca="1" si="65"/>
        <v>162.86067485102697</v>
      </c>
      <c r="S392" s="6"/>
      <c r="T392" s="4">
        <f t="shared" ca="1" si="66"/>
        <v>-1.930107652067722E-2</v>
      </c>
      <c r="U392" s="4">
        <f t="shared" ca="1" si="67"/>
        <v>2.8095629701477824E-2</v>
      </c>
      <c r="V392" s="4">
        <f t="shared" ca="1" si="68"/>
        <v>0.11125882436202746</v>
      </c>
      <c r="W392" s="4"/>
      <c r="X392">
        <v>390</v>
      </c>
      <c r="Y392" s="4">
        <f t="shared" ca="1" si="69"/>
        <v>-3.3807825303121168E-3</v>
      </c>
      <c r="Z392" s="4">
        <f ca="1"/>
        <v>-5.089156946825369E-3</v>
      </c>
      <c r="AA392" s="4"/>
    </row>
    <row r="393" spans="1:27" x14ac:dyDescent="0.35">
      <c r="A393">
        <v>391</v>
      </c>
      <c r="B393">
        <f ca="1">_xlfn.NORM.INV(RAND(),Hitorical_Sim!$AB$4,Hitorical_Sim!$AB$5)</f>
        <v>8.30434996153313E-3</v>
      </c>
      <c r="C393">
        <f ca="1">_xlfn.NORM.INV(RAND(),Hitorical_Sim!$AB$4,Hitorical_Sim!$AB$5)</f>
        <v>-1.8107685577163361E-2</v>
      </c>
      <c r="D393">
        <f ca="1">_xlfn.NORM.INV(RAND(),Hitorical_Sim!$AB$4,Hitorical_Sim!$AB$5)</f>
        <v>-3.3047382865026456E-3</v>
      </c>
      <c r="K393">
        <f t="shared" ca="1" si="62"/>
        <v>1.1519514009734755</v>
      </c>
      <c r="L393">
        <f t="shared" ca="1" si="62"/>
        <v>-0.69645093644726441</v>
      </c>
      <c r="M393">
        <f t="shared" ca="1" si="62"/>
        <v>0.19606240797686397</v>
      </c>
      <c r="O393">
        <v>391</v>
      </c>
      <c r="P393" s="6">
        <f t="shared" ca="1" si="63"/>
        <v>1978.7698859683312</v>
      </c>
      <c r="Q393" s="6">
        <f t="shared" ca="1" si="64"/>
        <v>376.84351687017829</v>
      </c>
      <c r="R393" s="6">
        <f t="shared" ca="1" si="65"/>
        <v>151.67375639624382</v>
      </c>
      <c r="S393" s="6"/>
      <c r="T393" s="4">
        <f t="shared" ca="1" si="66"/>
        <v>2.4868859233298637E-2</v>
      </c>
      <c r="U393" s="4">
        <f t="shared" ca="1" si="67"/>
        <v>-2.1738768297466134E-2</v>
      </c>
      <c r="V393" s="4">
        <f t="shared" ca="1" si="68"/>
        <v>-7.1163205119753256E-2</v>
      </c>
      <c r="W393" s="4"/>
      <c r="X393">
        <v>391</v>
      </c>
      <c r="Y393" s="4">
        <f t="shared" ca="1" si="69"/>
        <v>1.081482651741383E-2</v>
      </c>
      <c r="Z393" s="4">
        <f ca="1"/>
        <v>-5.0728445461227425E-3</v>
      </c>
      <c r="AA393" s="4"/>
    </row>
    <row r="394" spans="1:27" x14ac:dyDescent="0.35">
      <c r="A394">
        <v>392</v>
      </c>
      <c r="B394">
        <f ca="1">_xlfn.NORM.INV(RAND(),Hitorical_Sim!$AB$4,Hitorical_Sim!$AB$5)</f>
        <v>1.5371206326484277E-2</v>
      </c>
      <c r="C394">
        <f ca="1">_xlfn.NORM.INV(RAND(),Hitorical_Sim!$AB$4,Hitorical_Sim!$AB$5)</f>
        <v>-2.235022088404209E-3</v>
      </c>
      <c r="D394">
        <f ca="1">_xlfn.NORM.INV(RAND(),Hitorical_Sim!$AB$4,Hitorical_Sim!$AB$5)</f>
        <v>4.6897942288591195E-4</v>
      </c>
      <c r="K394">
        <f t="shared" ca="1" si="62"/>
        <v>0.56631121708653198</v>
      </c>
      <c r="L394">
        <f t="shared" ca="1" si="62"/>
        <v>-0.30987341808315516</v>
      </c>
      <c r="M394">
        <f t="shared" ca="1" si="62"/>
        <v>0.4951120878204508</v>
      </c>
      <c r="O394">
        <v>392</v>
      </c>
      <c r="P394" s="6">
        <f t="shared" ca="1" si="63"/>
        <v>1957.8570578495883</v>
      </c>
      <c r="Q394" s="6">
        <f t="shared" ca="1" si="64"/>
        <v>381.0227209913719</v>
      </c>
      <c r="R394" s="6">
        <f t="shared" ca="1" si="65"/>
        <v>153.06374030023113</v>
      </c>
      <c r="S394" s="6"/>
      <c r="T394" s="4">
        <f t="shared" ca="1" si="66"/>
        <v>-1.0624844644718514E-2</v>
      </c>
      <c r="U394" s="4">
        <f t="shared" ca="1" si="67"/>
        <v>1.1028981830767653E-2</v>
      </c>
      <c r="V394" s="4">
        <f t="shared" ca="1" si="68"/>
        <v>9.1225632468273244E-3</v>
      </c>
      <c r="W394" s="4"/>
      <c r="X394">
        <v>392</v>
      </c>
      <c r="Y394" s="4">
        <f t="shared" ca="1" si="69"/>
        <v>-5.326130411292351E-3</v>
      </c>
      <c r="Z394" s="4">
        <f ca="1"/>
        <v>-5.0570488194312327E-3</v>
      </c>
      <c r="AA394" s="4"/>
    </row>
    <row r="395" spans="1:27" x14ac:dyDescent="0.35">
      <c r="A395">
        <v>393</v>
      </c>
      <c r="B395">
        <f ca="1">_xlfn.NORM.INV(RAND(),Hitorical_Sim!$AB$4,Hitorical_Sim!$AB$5)</f>
        <v>6.6190049489162238E-3</v>
      </c>
      <c r="C395">
        <f ca="1">_xlfn.NORM.INV(RAND(),Hitorical_Sim!$AB$4,Hitorical_Sim!$AB$5)</f>
        <v>2.6454335772413771E-3</v>
      </c>
      <c r="D395">
        <f ca="1">_xlfn.NORM.INV(RAND(),Hitorical_Sim!$AB$4,Hitorical_Sim!$AB$5)</f>
        <v>1.0552803864591582E-2</v>
      </c>
      <c r="K395">
        <f t="shared" ca="1" si="62"/>
        <v>1.1824316428843786</v>
      </c>
      <c r="L395">
        <f t="shared" ca="1" si="62"/>
        <v>0.60541064253977295</v>
      </c>
      <c r="M395">
        <f t="shared" ca="1" si="62"/>
        <v>-0.12682605737368044</v>
      </c>
      <c r="O395">
        <v>393</v>
      </c>
      <c r="P395" s="6">
        <f t="shared" ca="1" si="63"/>
        <v>1979.864410515333</v>
      </c>
      <c r="Q395" s="6">
        <f t="shared" ca="1" si="64"/>
        <v>391.10336502287549</v>
      </c>
      <c r="R395" s="6">
        <f t="shared" ca="1" si="65"/>
        <v>150.18713828264501</v>
      </c>
      <c r="S395" s="6"/>
      <c r="T395" s="4">
        <f t="shared" ca="1" si="66"/>
        <v>1.1177825543138575E-2</v>
      </c>
      <c r="U395" s="4">
        <f t="shared" ca="1" si="67"/>
        <v>2.6112877224002413E-2</v>
      </c>
      <c r="V395" s="4">
        <f t="shared" ca="1" si="68"/>
        <v>-1.8972332851569854E-2</v>
      </c>
      <c r="W395" s="4"/>
      <c r="X395">
        <v>393</v>
      </c>
      <c r="Y395" s="4">
        <f t="shared" ca="1" si="69"/>
        <v>1.2666250547282914E-2</v>
      </c>
      <c r="Z395" s="4">
        <f ca="1"/>
        <v>-5.053440794685983E-3</v>
      </c>
      <c r="AA395" s="4"/>
    </row>
    <row r="396" spans="1:27" x14ac:dyDescent="0.35">
      <c r="A396">
        <v>394</v>
      </c>
      <c r="B396">
        <f ca="1">_xlfn.NORM.INV(RAND(),Hitorical_Sim!$AB$4,Hitorical_Sim!$AB$5)</f>
        <v>2.0890610850116953E-2</v>
      </c>
      <c r="C396">
        <f ca="1">_xlfn.NORM.INV(RAND(),Hitorical_Sim!$AB$4,Hitorical_Sim!$AB$5)</f>
        <v>-1.5703960866383242E-2</v>
      </c>
      <c r="D396">
        <f ca="1">_xlfn.NORM.INV(RAND(),Hitorical_Sim!$AB$4,Hitorical_Sim!$AB$5)</f>
        <v>-3.4041423220519507E-2</v>
      </c>
      <c r="K396">
        <f t="shared" ca="1" si="62"/>
        <v>-0.31725588644783737</v>
      </c>
      <c r="L396">
        <f t="shared" ca="1" si="62"/>
        <v>-0.10059890819636755</v>
      </c>
      <c r="M396">
        <f t="shared" ca="1" si="62"/>
        <v>-0.48362968837863141</v>
      </c>
      <c r="O396">
        <v>394</v>
      </c>
      <c r="P396" s="6">
        <f t="shared" ca="1" si="63"/>
        <v>1926.7229778493784</v>
      </c>
      <c r="Q396" s="6">
        <f t="shared" ca="1" si="64"/>
        <v>383.30444530966537</v>
      </c>
      <c r="R396" s="6">
        <f t="shared" ca="1" si="65"/>
        <v>148.56131183426228</v>
      </c>
      <c r="S396" s="6"/>
      <c r="T396" s="4">
        <f t="shared" ca="1" si="66"/>
        <v>-2.7207741977371372E-2</v>
      </c>
      <c r="U396" s="4">
        <f t="shared" ca="1" si="67"/>
        <v>-2.0142315932824839E-2</v>
      </c>
      <c r="V396" s="4">
        <f t="shared" ca="1" si="68"/>
        <v>-1.0884357716894241E-2</v>
      </c>
      <c r="W396" s="4"/>
      <c r="X396">
        <v>394</v>
      </c>
      <c r="Y396" s="4">
        <f t="shared" ca="1" si="69"/>
        <v>-2.4989862104340902E-2</v>
      </c>
      <c r="Z396" s="4">
        <f ca="1"/>
        <v>-5.0519901006140892E-3</v>
      </c>
      <c r="AA396" s="4"/>
    </row>
    <row r="397" spans="1:27" x14ac:dyDescent="0.35">
      <c r="A397">
        <v>395</v>
      </c>
      <c r="B397">
        <f ca="1">_xlfn.NORM.INV(RAND(),Hitorical_Sim!$AB$4,Hitorical_Sim!$AB$5)</f>
        <v>-7.2506346402946877E-3</v>
      </c>
      <c r="C397">
        <f ca="1">_xlfn.NORM.INV(RAND(),Hitorical_Sim!$AB$4,Hitorical_Sim!$AB$5)</f>
        <v>-2.0913014182882848E-2</v>
      </c>
      <c r="D397">
        <f ca="1">_xlfn.NORM.INV(RAND(),Hitorical_Sim!$AB$4,Hitorical_Sim!$AB$5)</f>
        <v>1.1434561438619423E-2</v>
      </c>
      <c r="K397">
        <f t="shared" ca="1" si="62"/>
        <v>-0.73667735185092476</v>
      </c>
      <c r="L397">
        <f t="shared" ca="1" si="62"/>
        <v>0.77210050179498257</v>
      </c>
      <c r="M397">
        <f t="shared" ca="1" si="62"/>
        <v>1.2645447237673584</v>
      </c>
      <c r="O397">
        <v>395</v>
      </c>
      <c r="P397" s="6">
        <f t="shared" ca="1" si="63"/>
        <v>1912.1176816705852</v>
      </c>
      <c r="Q397" s="6">
        <f t="shared" ca="1" si="64"/>
        <v>392.96773731978334</v>
      </c>
      <c r="R397" s="6">
        <f t="shared" ca="1" si="65"/>
        <v>156.69889791087712</v>
      </c>
      <c r="S397" s="6"/>
      <c r="T397" s="4">
        <f t="shared" ca="1" si="66"/>
        <v>-7.6092591204913263E-3</v>
      </c>
      <c r="U397" s="4">
        <f t="shared" ca="1" si="67"/>
        <v>2.489794537780305E-2</v>
      </c>
      <c r="V397" s="4">
        <f t="shared" ca="1" si="68"/>
        <v>5.332836888381938E-2</v>
      </c>
      <c r="W397" s="4"/>
      <c r="X397">
        <v>395</v>
      </c>
      <c r="Y397" s="4">
        <f t="shared" ca="1" si="69"/>
        <v>1.8939514856883199E-3</v>
      </c>
      <c r="Z397" s="4">
        <f ca="1"/>
        <v>-5.0196732152779731E-3</v>
      </c>
      <c r="AA397" s="4"/>
    </row>
    <row r="398" spans="1:27" x14ac:dyDescent="0.35">
      <c r="A398">
        <v>396</v>
      </c>
      <c r="B398">
        <f ca="1">_xlfn.NORM.INV(RAND(),Hitorical_Sim!$AB$4,Hitorical_Sim!$AB$5)</f>
        <v>6.7770323994359918E-3</v>
      </c>
      <c r="C398">
        <f ca="1">_xlfn.NORM.INV(RAND(),Hitorical_Sim!$AB$4,Hitorical_Sim!$AB$5)</f>
        <v>-1.6411767764853064E-2</v>
      </c>
      <c r="D398">
        <f ca="1">_xlfn.NORM.INV(RAND(),Hitorical_Sim!$AB$4,Hitorical_Sim!$AB$5)</f>
        <v>1.4539619511281921E-2</v>
      </c>
      <c r="K398">
        <f t="shared" ca="1" si="62"/>
        <v>-0.42617286518178199</v>
      </c>
      <c r="L398">
        <f t="shared" ca="1" si="62"/>
        <v>-1.7812249482196874</v>
      </c>
      <c r="M398">
        <f t="shared" ca="1" si="62"/>
        <v>-0.95599256028353063</v>
      </c>
      <c r="O398">
        <v>396</v>
      </c>
      <c r="P398" s="6">
        <f t="shared" ca="1" si="63"/>
        <v>1922.9195290860321</v>
      </c>
      <c r="Q398" s="6">
        <f t="shared" ca="1" si="64"/>
        <v>365.35943918740298</v>
      </c>
      <c r="R398" s="6">
        <f t="shared" ca="1" si="65"/>
        <v>146.43596509717702</v>
      </c>
      <c r="S398" s="6"/>
      <c r="T398" s="4">
        <f t="shared" ca="1" si="66"/>
        <v>5.6332574558861726E-3</v>
      </c>
      <c r="U398" s="4">
        <f t="shared" ca="1" si="67"/>
        <v>-7.2845881248905439E-2</v>
      </c>
      <c r="V398" s="4">
        <f t="shared" ca="1" si="68"/>
        <v>-6.7737881633203614E-2</v>
      </c>
      <c r="W398" s="4"/>
      <c r="X398">
        <v>396</v>
      </c>
      <c r="Y398" s="4">
        <f t="shared" ca="1" si="69"/>
        <v>-1.3659820018688285E-2</v>
      </c>
      <c r="Z398" s="4">
        <f ca="1"/>
        <v>-4.8801494534294878E-3</v>
      </c>
      <c r="AA398" s="4"/>
    </row>
    <row r="399" spans="1:27" x14ac:dyDescent="0.35">
      <c r="A399">
        <v>397</v>
      </c>
      <c r="B399">
        <f ca="1">_xlfn.NORM.INV(RAND(),Hitorical_Sim!$AB$4,Hitorical_Sim!$AB$5)</f>
        <v>1.0478039437409206E-2</v>
      </c>
      <c r="C399">
        <f ca="1">_xlfn.NORM.INV(RAND(),Hitorical_Sim!$AB$4,Hitorical_Sim!$AB$5)</f>
        <v>5.6485578047550866E-3</v>
      </c>
      <c r="D399">
        <f ca="1">_xlfn.NORM.INV(RAND(),Hitorical_Sim!$AB$4,Hitorical_Sim!$AB$5)</f>
        <v>-1.7268035113192026E-2</v>
      </c>
      <c r="K399">
        <f t="shared" ca="1" si="62"/>
        <v>0.14252607373082785</v>
      </c>
      <c r="L399">
        <f t="shared" ca="1" si="62"/>
        <v>2.2758262882280107</v>
      </c>
      <c r="M399">
        <f t="shared" ca="1" si="62"/>
        <v>-9.6473502840003889E-2</v>
      </c>
      <c r="O399">
        <v>397</v>
      </c>
      <c r="P399" s="6">
        <f t="shared" ca="1" si="63"/>
        <v>1942.861936732477</v>
      </c>
      <c r="Q399" s="6">
        <f t="shared" ca="1" si="64"/>
        <v>410.19330369462949</v>
      </c>
      <c r="R399" s="6">
        <f t="shared" ca="1" si="65"/>
        <v>150.32626245885501</v>
      </c>
      <c r="S399" s="6"/>
      <c r="T399" s="4">
        <f t="shared" ca="1" si="66"/>
        <v>1.0317491937556617E-2</v>
      </c>
      <c r="U399" s="4">
        <f t="shared" ca="1" si="67"/>
        <v>0.11574688709944743</v>
      </c>
      <c r="V399" s="4">
        <f t="shared" ca="1" si="68"/>
        <v>2.6219780497618674E-2</v>
      </c>
      <c r="W399" s="4"/>
      <c r="X399">
        <v>397</v>
      </c>
      <c r="Y399" s="4">
        <f t="shared" ca="1" si="69"/>
        <v>3.2144840781312099E-2</v>
      </c>
      <c r="Z399" s="4">
        <f ca="1"/>
        <v>-4.8551111503730982E-3</v>
      </c>
      <c r="AA399" s="4"/>
    </row>
    <row r="400" spans="1:27" x14ac:dyDescent="0.35">
      <c r="A400">
        <v>398</v>
      </c>
      <c r="B400">
        <f ca="1">_xlfn.NORM.INV(RAND(),Hitorical_Sim!$AB$4,Hitorical_Sim!$AB$5)</f>
        <v>5.2504910113429426E-3</v>
      </c>
      <c r="C400">
        <f ca="1">_xlfn.NORM.INV(RAND(),Hitorical_Sim!$AB$4,Hitorical_Sim!$AB$5)</f>
        <v>-4.484307923073709E-2</v>
      </c>
      <c r="D400">
        <f ca="1">_xlfn.NORM.INV(RAND(),Hitorical_Sim!$AB$4,Hitorical_Sim!$AB$5)</f>
        <v>1.3945865574412505E-2</v>
      </c>
      <c r="K400">
        <f t="shared" ca="1" si="62"/>
        <v>0.79456915658691829</v>
      </c>
      <c r="L400">
        <f t="shared" ca="1" si="62"/>
        <v>3.7751960177746541E-2</v>
      </c>
      <c r="M400">
        <f t="shared" ca="1" si="62"/>
        <v>-0.10598538043252294</v>
      </c>
      <c r="O400">
        <v>398</v>
      </c>
      <c r="P400" s="6">
        <f t="shared" ca="1" si="63"/>
        <v>1965.9815857881704</v>
      </c>
      <c r="Q400" s="6">
        <f t="shared" ca="1" si="64"/>
        <v>384.82038513230509</v>
      </c>
      <c r="R400" s="6">
        <f t="shared" ca="1" si="65"/>
        <v>150.2826498920692</v>
      </c>
      <c r="S400" s="6"/>
      <c r="T400" s="4">
        <f t="shared" ca="1" si="66"/>
        <v>1.1829544228041965E-2</v>
      </c>
      <c r="U400" s="4">
        <f t="shared" ca="1" si="67"/>
        <v>-6.3851827712145509E-2</v>
      </c>
      <c r="V400" s="4">
        <f t="shared" ca="1" si="68"/>
        <v>-2.9016150419980088E-4</v>
      </c>
      <c r="W400" s="4"/>
      <c r="X400">
        <v>398</v>
      </c>
      <c r="Y400" s="4">
        <f t="shared" ca="1" si="69"/>
        <v>-3.8738482156846126E-3</v>
      </c>
      <c r="Z400" s="4">
        <f ca="1"/>
        <v>-4.726252109824425E-3</v>
      </c>
      <c r="AA400" s="4"/>
    </row>
    <row r="401" spans="1:27" x14ac:dyDescent="0.35">
      <c r="A401">
        <v>399</v>
      </c>
      <c r="B401">
        <f ca="1">_xlfn.NORM.INV(RAND(),Hitorical_Sim!$AB$4,Hitorical_Sim!$AB$5)</f>
        <v>5.3101452694796708E-3</v>
      </c>
      <c r="C401">
        <f ca="1">_xlfn.NORM.INV(RAND(),Hitorical_Sim!$AB$4,Hitorical_Sim!$AB$5)</f>
        <v>-2.1553622353960831E-2</v>
      </c>
      <c r="D401">
        <f ca="1">_xlfn.NORM.INV(RAND(),Hitorical_Sim!$AB$4,Hitorical_Sim!$AB$5)</f>
        <v>-2.2601941985050396E-4</v>
      </c>
      <c r="K401">
        <f t="shared" ca="1" si="62"/>
        <v>-0.46535976346635444</v>
      </c>
      <c r="L401">
        <f t="shared" ca="1" si="62"/>
        <v>-0.32056036989168729</v>
      </c>
      <c r="M401">
        <f t="shared" ca="1" si="62"/>
        <v>-0.11307573483861448</v>
      </c>
      <c r="O401">
        <v>399</v>
      </c>
      <c r="P401" s="6">
        <f t="shared" ca="1" si="63"/>
        <v>1921.5529355864371</v>
      </c>
      <c r="Q401" s="6">
        <f t="shared" ca="1" si="64"/>
        <v>380.90656614177351</v>
      </c>
      <c r="R401" s="6">
        <f t="shared" ca="1" si="65"/>
        <v>150.25014839523291</v>
      </c>
      <c r="S401" s="6"/>
      <c r="T401" s="4">
        <f t="shared" ca="1" si="66"/>
        <v>-2.2857975609027074E-2</v>
      </c>
      <c r="U401" s="4">
        <f t="shared" ca="1" si="67"/>
        <v>-1.0222581475505485E-2</v>
      </c>
      <c r="V401" s="4">
        <f t="shared" ca="1" si="68"/>
        <v>-2.1629251215323674E-4</v>
      </c>
      <c r="W401" s="4"/>
      <c r="X401">
        <v>399</v>
      </c>
      <c r="Y401" s="4">
        <f t="shared" ca="1" si="69"/>
        <v>-1.9215814586162797E-2</v>
      </c>
      <c r="Z401" s="4">
        <f ca="1"/>
        <v>-4.7150353543926283E-3</v>
      </c>
      <c r="AA401" s="4"/>
    </row>
    <row r="402" spans="1:27" x14ac:dyDescent="0.35">
      <c r="A402">
        <v>400</v>
      </c>
      <c r="B402">
        <f ca="1">_xlfn.NORM.INV(RAND(),Hitorical_Sim!$AB$4,Hitorical_Sim!$AB$5)</f>
        <v>-5.3534628537993678E-3</v>
      </c>
      <c r="C402">
        <f ca="1">_xlfn.NORM.INV(RAND(),Hitorical_Sim!$AB$4,Hitorical_Sim!$AB$5)</f>
        <v>-2.0408229766566678E-2</v>
      </c>
      <c r="D402">
        <f ca="1">_xlfn.NORM.INV(RAND(),Hitorical_Sim!$AB$4,Hitorical_Sim!$AB$5)</f>
        <v>4.5970192401819628E-3</v>
      </c>
      <c r="K402">
        <f t="shared" ca="1" si="62"/>
        <v>0.92222027420860608</v>
      </c>
      <c r="L402">
        <f t="shared" ca="1" si="62"/>
        <v>-0.29247745778307416</v>
      </c>
      <c r="M402">
        <f t="shared" ca="1" si="62"/>
        <v>-1.452317331222823</v>
      </c>
      <c r="O402">
        <v>400</v>
      </c>
      <c r="P402" s="6">
        <f t="shared" ca="1" si="63"/>
        <v>1970.5398424130187</v>
      </c>
      <c r="Q402" s="6">
        <f t="shared" ca="1" si="64"/>
        <v>381.21187079068346</v>
      </c>
      <c r="R402" s="6">
        <f t="shared" ca="1" si="65"/>
        <v>144.23555473403383</v>
      </c>
      <c r="S402" s="6"/>
      <c r="T402" s="4">
        <f t="shared" ca="1" si="66"/>
        <v>2.5173857153311632E-2</v>
      </c>
      <c r="U402" s="4">
        <f t="shared" ca="1" si="67"/>
        <v>8.0120005092802792E-4</v>
      </c>
      <c r="V402" s="4">
        <f t="shared" ca="1" si="68"/>
        <v>-4.0853801188440952E-2</v>
      </c>
      <c r="W402" s="4"/>
      <c r="X402">
        <v>400</v>
      </c>
      <c r="Y402" s="4">
        <f t="shared" ca="1" si="69"/>
        <v>1.7042136321763175E-2</v>
      </c>
      <c r="Z402" s="4">
        <f ca="1"/>
        <v>-4.6939672433012735E-3</v>
      </c>
      <c r="AA402" s="4"/>
    </row>
    <row r="403" spans="1:27" x14ac:dyDescent="0.35">
      <c r="A403">
        <v>401</v>
      </c>
      <c r="B403">
        <f ca="1">_xlfn.NORM.INV(RAND(),Hitorical_Sim!$AB$4,Hitorical_Sim!$AB$5)</f>
        <v>2.5162221118654873E-2</v>
      </c>
      <c r="C403">
        <f ca="1">_xlfn.NORM.INV(RAND(),Hitorical_Sim!$AB$4,Hitorical_Sim!$AB$5)</f>
        <v>1.8177209998119941E-2</v>
      </c>
      <c r="D403">
        <f ca="1">_xlfn.NORM.INV(RAND(),Hitorical_Sim!$AB$4,Hitorical_Sim!$AB$5)</f>
        <v>-9.1321908482882817E-3</v>
      </c>
      <c r="K403">
        <f t="shared" ca="1" si="62"/>
        <v>1.1084786003335692</v>
      </c>
      <c r="L403">
        <f t="shared" ca="1" si="62"/>
        <v>1.0710023286197943</v>
      </c>
      <c r="M403">
        <f t="shared" ca="1" si="62"/>
        <v>0.44855291710456113</v>
      </c>
      <c r="O403">
        <v>401</v>
      </c>
      <c r="P403" s="6">
        <f t="shared" ca="1" si="63"/>
        <v>1977.209854422551</v>
      </c>
      <c r="Q403" s="6">
        <f t="shared" ca="1" si="64"/>
        <v>396.33314247962352</v>
      </c>
      <c r="R403" s="6">
        <f t="shared" ca="1" si="65"/>
        <v>152.84649883547155</v>
      </c>
      <c r="S403" s="6"/>
      <c r="T403" s="4">
        <f t="shared" ca="1" si="66"/>
        <v>3.3791495756462595E-3</v>
      </c>
      <c r="U403" s="4">
        <f t="shared" ca="1" si="67"/>
        <v>3.8899814594733864E-2</v>
      </c>
      <c r="V403" s="4">
        <f t="shared" ca="1" si="68"/>
        <v>5.7986382307610669E-2</v>
      </c>
      <c r="W403" s="4"/>
      <c r="X403">
        <v>401</v>
      </c>
      <c r="Y403" s="4">
        <f t="shared" ca="1" si="69"/>
        <v>1.3170458694171007E-2</v>
      </c>
      <c r="Z403" s="4">
        <f ca="1"/>
        <v>-4.6356677971159466E-3</v>
      </c>
      <c r="AA403" s="4"/>
    </row>
    <row r="404" spans="1:27" x14ac:dyDescent="0.35">
      <c r="A404">
        <v>402</v>
      </c>
      <c r="B404">
        <f ca="1">_xlfn.NORM.INV(RAND(),Hitorical_Sim!$AB$4,Hitorical_Sim!$AB$5)</f>
        <v>9.8806646338751841E-3</v>
      </c>
      <c r="C404">
        <f ca="1">_xlfn.NORM.INV(RAND(),Hitorical_Sim!$AB$4,Hitorical_Sim!$AB$5)</f>
        <v>2.1096253641206073E-2</v>
      </c>
      <c r="D404">
        <f ca="1">_xlfn.NORM.INV(RAND(),Hitorical_Sim!$AB$4,Hitorical_Sim!$AB$5)</f>
        <v>-6.2360240417500719E-3</v>
      </c>
      <c r="K404">
        <f t="shared" ref="K404:M423" ca="1" si="70">_xlfn.NORM.S.INV(RAND())</f>
        <v>-0.81908201628000887</v>
      </c>
      <c r="L404">
        <f t="shared" ca="1" si="70"/>
        <v>-0.83469581091171263</v>
      </c>
      <c r="M404">
        <f t="shared" ca="1" si="70"/>
        <v>1.0657996727262407</v>
      </c>
      <c r="O404">
        <v>402</v>
      </c>
      <c r="P404" s="6">
        <f t="shared" ca="1" si="63"/>
        <v>1909.2611862214235</v>
      </c>
      <c r="Q404" s="6">
        <f t="shared" ca="1" si="64"/>
        <v>375.36013575655778</v>
      </c>
      <c r="R404" s="6">
        <f t="shared" ca="1" si="65"/>
        <v>155.75174529861707</v>
      </c>
      <c r="S404" s="6"/>
      <c r="T404" s="4">
        <f t="shared" ca="1" si="66"/>
        <v>-3.4970332737192321E-2</v>
      </c>
      <c r="U404" s="4">
        <f t="shared" ca="1" si="67"/>
        <v>-5.4369199338758202E-2</v>
      </c>
      <c r="V404" s="4">
        <f t="shared" ca="1" si="68"/>
        <v>1.8829221184931185E-2</v>
      </c>
      <c r="W404" s="4"/>
      <c r="X404">
        <v>402</v>
      </c>
      <c r="Y404" s="4">
        <f t="shared" ca="1" si="69"/>
        <v>-3.6179181389984438E-2</v>
      </c>
      <c r="Z404" s="4">
        <f ca="1"/>
        <v>-4.6014957565135919E-3</v>
      </c>
      <c r="AA404" s="4"/>
    </row>
    <row r="405" spans="1:27" x14ac:dyDescent="0.35">
      <c r="A405">
        <v>403</v>
      </c>
      <c r="B405">
        <f ca="1">_xlfn.NORM.INV(RAND(),Hitorical_Sim!$AB$4,Hitorical_Sim!$AB$5)</f>
        <v>1.3828620512388794E-2</v>
      </c>
      <c r="C405">
        <f ca="1">_xlfn.NORM.INV(RAND(),Hitorical_Sim!$AB$4,Hitorical_Sim!$AB$5)</f>
        <v>-1.6652025950625607E-2</v>
      </c>
      <c r="D405">
        <f ca="1">_xlfn.NORM.INV(RAND(),Hitorical_Sim!$AB$4,Hitorical_Sim!$AB$5)</f>
        <v>5.1791479856166172E-3</v>
      </c>
      <c r="K405">
        <f t="shared" ca="1" si="70"/>
        <v>0.74174591815921775</v>
      </c>
      <c r="L405">
        <f t="shared" ca="1" si="70"/>
        <v>3.4144961110583537E-2</v>
      </c>
      <c r="M405">
        <f t="shared" ca="1" si="70"/>
        <v>-2.2267922581522166</v>
      </c>
      <c r="O405">
        <v>403</v>
      </c>
      <c r="P405" s="6">
        <f t="shared" ca="1" si="63"/>
        <v>1964.0984219497923</v>
      </c>
      <c r="Q405" s="6">
        <f t="shared" ca="1" si="64"/>
        <v>384.78078646393897</v>
      </c>
      <c r="R405" s="6">
        <f t="shared" ca="1" si="65"/>
        <v>140.86785686494935</v>
      </c>
      <c r="S405" s="6"/>
      <c r="T405" s="4">
        <f t="shared" ca="1" si="66"/>
        <v>2.831696795545539E-2</v>
      </c>
      <c r="U405" s="4">
        <f t="shared" ca="1" si="67"/>
        <v>2.4787859182847247E-2</v>
      </c>
      <c r="V405" s="4">
        <f t="shared" ca="1" si="68"/>
        <v>-0.10044109778396081</v>
      </c>
      <c r="W405" s="4"/>
      <c r="X405">
        <v>403</v>
      </c>
      <c r="Y405" s="4">
        <f t="shared" ca="1" si="69"/>
        <v>2.1240419506424552E-2</v>
      </c>
      <c r="Z405" s="4">
        <f ca="1"/>
        <v>-4.4238446642988977E-3</v>
      </c>
      <c r="AA405" s="4"/>
    </row>
    <row r="406" spans="1:27" x14ac:dyDescent="0.35">
      <c r="A406">
        <v>404</v>
      </c>
      <c r="B406">
        <f ca="1">_xlfn.NORM.INV(RAND(),Hitorical_Sim!$AB$4,Hitorical_Sim!$AB$5)</f>
        <v>-2.8296241985053109E-3</v>
      </c>
      <c r="C406">
        <f ca="1">_xlfn.NORM.INV(RAND(),Hitorical_Sim!$AB$4,Hitorical_Sim!$AB$5)</f>
        <v>4.4453249836123448E-3</v>
      </c>
      <c r="D406">
        <f ca="1">_xlfn.NORM.INV(RAND(),Hitorical_Sim!$AB$4,Hitorical_Sim!$AB$5)</f>
        <v>2.3455198110894946E-2</v>
      </c>
      <c r="K406">
        <f t="shared" ca="1" si="70"/>
        <v>-1.0031242084343301</v>
      </c>
      <c r="L406">
        <f t="shared" ca="1" si="70"/>
        <v>2.6070159873514966</v>
      </c>
      <c r="M406">
        <f t="shared" ca="1" si="70"/>
        <v>0.45578823481458697</v>
      </c>
      <c r="O406">
        <v>404</v>
      </c>
      <c r="P406" s="6">
        <f t="shared" ca="1" si="63"/>
        <v>1902.8969012028867</v>
      </c>
      <c r="Q406" s="6">
        <f t="shared" ca="1" si="64"/>
        <v>414.08749789892141</v>
      </c>
      <c r="R406" s="6">
        <f t="shared" ca="1" si="65"/>
        <v>152.88023801917319</v>
      </c>
      <c r="S406" s="6"/>
      <c r="T406" s="4">
        <f t="shared" ca="1" si="66"/>
        <v>-3.1655911821524767E-2</v>
      </c>
      <c r="U406" s="4">
        <f t="shared" ca="1" si="67"/>
        <v>7.3403512758319814E-2</v>
      </c>
      <c r="V406" s="4">
        <f t="shared" ca="1" si="68"/>
        <v>8.1832591242346139E-2</v>
      </c>
      <c r="W406" s="4"/>
      <c r="X406">
        <v>404</v>
      </c>
      <c r="Y406" s="4">
        <f t="shared" ca="1" si="69"/>
        <v>-5.0728445461227425E-3</v>
      </c>
      <c r="Z406" s="4">
        <f ca="1"/>
        <v>-4.4041292612005574E-3</v>
      </c>
      <c r="AA406" s="4"/>
    </row>
    <row r="407" spans="1:27" x14ac:dyDescent="0.35">
      <c r="A407">
        <v>405</v>
      </c>
      <c r="B407">
        <f ca="1">_xlfn.NORM.INV(RAND(),Hitorical_Sim!$AB$4,Hitorical_Sim!$AB$5)</f>
        <v>-2.5471748389944756E-2</v>
      </c>
      <c r="C407">
        <f ca="1">_xlfn.NORM.INV(RAND(),Hitorical_Sim!$AB$4,Hitorical_Sim!$AB$5)</f>
        <v>2.9124852005823001E-3</v>
      </c>
      <c r="D407">
        <f ca="1">_xlfn.NORM.INV(RAND(),Hitorical_Sim!$AB$4,Hitorical_Sim!$AB$5)</f>
        <v>2.4171909081018562E-2</v>
      </c>
      <c r="K407">
        <f t="shared" ca="1" si="70"/>
        <v>0.60335059373566002</v>
      </c>
      <c r="L407">
        <f t="shared" ca="1" si="70"/>
        <v>0.90843815647511605</v>
      </c>
      <c r="M407">
        <f t="shared" ca="1" si="70"/>
        <v>0.61676149770532041</v>
      </c>
      <c r="O407">
        <v>405</v>
      </c>
      <c r="P407" s="6">
        <f t="shared" ca="1" si="63"/>
        <v>1959.1731378722859</v>
      </c>
      <c r="Q407" s="6">
        <f t="shared" ca="1" si="64"/>
        <v>394.49923538024626</v>
      </c>
      <c r="R407" s="6">
        <f t="shared" ca="1" si="65"/>
        <v>153.63280538257308</v>
      </c>
      <c r="S407" s="6"/>
      <c r="T407" s="4">
        <f t="shared" ca="1" si="66"/>
        <v>2.9145105934202858E-2</v>
      </c>
      <c r="U407" s="4">
        <f t="shared" ca="1" si="67"/>
        <v>-4.8460096992074861E-2</v>
      </c>
      <c r="V407" s="4">
        <f t="shared" ca="1" si="68"/>
        <v>4.9105177859976555E-3</v>
      </c>
      <c r="W407" s="4"/>
      <c r="X407">
        <v>405</v>
      </c>
      <c r="Y407" s="4">
        <f t="shared" ca="1" si="69"/>
        <v>1.245821121780806E-2</v>
      </c>
      <c r="Z407" s="4">
        <f ca="1"/>
        <v>-4.3421353748789417E-3</v>
      </c>
      <c r="AA407" s="4"/>
    </row>
    <row r="408" spans="1:27" x14ac:dyDescent="0.35">
      <c r="A408">
        <v>406</v>
      </c>
      <c r="B408">
        <f ca="1">_xlfn.NORM.INV(RAND(),Hitorical_Sim!$AB$4,Hitorical_Sim!$AB$5)</f>
        <v>-1.3112014340662023E-2</v>
      </c>
      <c r="C408">
        <f ca="1">_xlfn.NORM.INV(RAND(),Hitorical_Sim!$AB$4,Hitorical_Sim!$AB$5)</f>
        <v>-2.6039269026167194E-2</v>
      </c>
      <c r="D408">
        <f ca="1">_xlfn.NORM.INV(RAND(),Hitorical_Sim!$AB$4,Hitorical_Sim!$AB$5)</f>
        <v>3.6987125350543396E-3</v>
      </c>
      <c r="K408">
        <f t="shared" ca="1" si="70"/>
        <v>0.17308901609988103</v>
      </c>
      <c r="L408">
        <f t="shared" ca="1" si="70"/>
        <v>1.1983139282168924</v>
      </c>
      <c r="M408">
        <f t="shared" ca="1" si="70"/>
        <v>1.8101103131954757</v>
      </c>
      <c r="O408">
        <v>406</v>
      </c>
      <c r="P408" s="6">
        <f t="shared" ca="1" si="63"/>
        <v>1943.9395160131626</v>
      </c>
      <c r="Q408" s="6">
        <f t="shared" ca="1" si="64"/>
        <v>397.77531145526956</v>
      </c>
      <c r="R408" s="6">
        <f t="shared" ca="1" si="65"/>
        <v>159.32859275312336</v>
      </c>
      <c r="S408" s="6"/>
      <c r="T408" s="4">
        <f t="shared" ca="1" si="66"/>
        <v>-7.805923406127002E-3</v>
      </c>
      <c r="U408" s="4">
        <f t="shared" ca="1" si="67"/>
        <v>8.270099702767859E-3</v>
      </c>
      <c r="V408" s="4">
        <f t="shared" ca="1" si="68"/>
        <v>3.6403316166495524E-2</v>
      </c>
      <c r="W408" s="4"/>
      <c r="X408">
        <v>406</v>
      </c>
      <c r="Y408" s="4">
        <f t="shared" ca="1" si="69"/>
        <v>-2.4097420389091176E-3</v>
      </c>
      <c r="Z408" s="4">
        <f ca="1"/>
        <v>-4.2198735454128146E-3</v>
      </c>
      <c r="AA408" s="4"/>
    </row>
    <row r="409" spans="1:27" x14ac:dyDescent="0.35">
      <c r="A409">
        <v>407</v>
      </c>
      <c r="B409">
        <f ca="1">_xlfn.NORM.INV(RAND(),Hitorical_Sim!$AB$4,Hitorical_Sim!$AB$5)</f>
        <v>-6.6893902006435338E-3</v>
      </c>
      <c r="C409">
        <f ca="1">_xlfn.NORM.INV(RAND(),Hitorical_Sim!$AB$4,Hitorical_Sim!$AB$5)</f>
        <v>4.6812911206896681E-3</v>
      </c>
      <c r="D409">
        <f ca="1">_xlfn.NORM.INV(RAND(),Hitorical_Sim!$AB$4,Hitorical_Sim!$AB$5)</f>
        <v>2.5341077709260244E-2</v>
      </c>
      <c r="K409">
        <f t="shared" ca="1" si="70"/>
        <v>1.6286776607768654</v>
      </c>
      <c r="L409">
        <f t="shared" ca="1" si="70"/>
        <v>0.99040784878380872</v>
      </c>
      <c r="M409">
        <f t="shared" ca="1" si="70"/>
        <v>-1.6675446797283064</v>
      </c>
      <c r="O409">
        <v>407</v>
      </c>
      <c r="P409" s="6">
        <f t="shared" ca="1" si="63"/>
        <v>1995.9582888953491</v>
      </c>
      <c r="Q409" s="6">
        <f t="shared" ca="1" si="64"/>
        <v>395.42288278263248</v>
      </c>
      <c r="R409" s="6">
        <f t="shared" ca="1" si="65"/>
        <v>143.29167118858862</v>
      </c>
      <c r="S409" s="6"/>
      <c r="T409" s="4">
        <f t="shared" ca="1" si="66"/>
        <v>2.6407687931630654E-2</v>
      </c>
      <c r="U409" s="4">
        <f t="shared" ca="1" si="67"/>
        <v>-5.9315202350019997E-3</v>
      </c>
      <c r="V409" s="4">
        <f t="shared" ca="1" si="68"/>
        <v>-0.10608647914348245</v>
      </c>
      <c r="W409" s="4"/>
      <c r="X409">
        <v>407</v>
      </c>
      <c r="Y409" s="4">
        <f t="shared" ca="1" si="69"/>
        <v>1.3396662950995338E-2</v>
      </c>
      <c r="Z409" s="4">
        <f ca="1"/>
        <v>-3.9303692946134868E-3</v>
      </c>
      <c r="AA409" s="4"/>
    </row>
    <row r="410" spans="1:27" x14ac:dyDescent="0.35">
      <c r="A410">
        <v>408</v>
      </c>
      <c r="B410">
        <f ca="1">_xlfn.NORM.INV(RAND(),Hitorical_Sim!$AB$4,Hitorical_Sim!$AB$5)</f>
        <v>1.2145904560447847E-2</v>
      </c>
      <c r="C410">
        <f ca="1">_xlfn.NORM.INV(RAND(),Hitorical_Sim!$AB$4,Hitorical_Sim!$AB$5)</f>
        <v>-9.6745752852155191E-3</v>
      </c>
      <c r="D410">
        <f ca="1">_xlfn.NORM.INV(RAND(),Hitorical_Sim!$AB$4,Hitorical_Sim!$AB$5)</f>
        <v>-1.875577784434607E-2</v>
      </c>
      <c r="K410">
        <f t="shared" ca="1" si="70"/>
        <v>-0.59144617622793683</v>
      </c>
      <c r="L410">
        <f t="shared" ca="1" si="70"/>
        <v>-0.13855712239610213</v>
      </c>
      <c r="M410">
        <f t="shared" ca="1" si="70"/>
        <v>0.61742582068724228</v>
      </c>
      <c r="O410">
        <v>408</v>
      </c>
      <c r="P410" s="6">
        <f t="shared" ca="1" si="63"/>
        <v>1917.1624178707602</v>
      </c>
      <c r="Q410" s="6">
        <f t="shared" ca="1" si="64"/>
        <v>382.88957407930582</v>
      </c>
      <c r="R410" s="6">
        <f t="shared" ca="1" si="65"/>
        <v>153.63591882744032</v>
      </c>
      <c r="S410" s="6"/>
      <c r="T410" s="4">
        <f t="shared" ca="1" si="66"/>
        <v>-4.027809482548407E-2</v>
      </c>
      <c r="U410" s="4">
        <f t="shared" ca="1" si="67"/>
        <v>-3.2209152274056269E-2</v>
      </c>
      <c r="V410" s="4">
        <f t="shared" ca="1" si="68"/>
        <v>6.9703428266761208E-2</v>
      </c>
      <c r="W410" s="4"/>
      <c r="X410">
        <v>408</v>
      </c>
      <c r="Y410" s="4">
        <f t="shared" ca="1" si="69"/>
        <v>-3.3224793465644588E-2</v>
      </c>
      <c r="Z410" s="4">
        <f ca="1"/>
        <v>-3.9024291747361763E-3</v>
      </c>
      <c r="AA410" s="4"/>
    </row>
    <row r="411" spans="1:27" x14ac:dyDescent="0.35">
      <c r="A411">
        <v>409</v>
      </c>
      <c r="B411">
        <f ca="1">_xlfn.NORM.INV(RAND(),Hitorical_Sim!$AB$4,Hitorical_Sim!$AB$5)</f>
        <v>8.5083418843609274E-3</v>
      </c>
      <c r="C411">
        <f ca="1">_xlfn.NORM.INV(RAND(),Hitorical_Sim!$AB$4,Hitorical_Sim!$AB$5)</f>
        <v>-1.8902897517132134E-2</v>
      </c>
      <c r="D411">
        <f ca="1">_xlfn.NORM.INV(RAND(),Hitorical_Sim!$AB$4,Hitorical_Sim!$AB$5)</f>
        <v>3.3463469638753112E-3</v>
      </c>
      <c r="K411">
        <f t="shared" ca="1" si="70"/>
        <v>0.37982316166859598</v>
      </c>
      <c r="L411">
        <f t="shared" ca="1" si="70"/>
        <v>0.97491108492352863</v>
      </c>
      <c r="M411">
        <f t="shared" ca="1" si="70"/>
        <v>-0.39185379899822537</v>
      </c>
      <c r="O411">
        <v>409</v>
      </c>
      <c r="P411" s="6">
        <f t="shared" ca="1" si="63"/>
        <v>1951.2441990318348</v>
      </c>
      <c r="Q411" s="6">
        <f t="shared" ca="1" si="64"/>
        <v>395.24809718685617</v>
      </c>
      <c r="R411" s="6">
        <f t="shared" ca="1" si="65"/>
        <v>148.97781273466515</v>
      </c>
      <c r="S411" s="6"/>
      <c r="T411" s="4">
        <f t="shared" ca="1" si="66"/>
        <v>1.7621034394937094E-2</v>
      </c>
      <c r="U411" s="4">
        <f t="shared" ca="1" si="67"/>
        <v>3.1767032598359626E-2</v>
      </c>
      <c r="V411" s="4">
        <f t="shared" ca="1" si="68"/>
        <v>-3.0788252871998167E-2</v>
      </c>
      <c r="W411" s="4"/>
      <c r="X411">
        <v>409</v>
      </c>
      <c r="Y411" s="4">
        <f t="shared" ca="1" si="69"/>
        <v>1.8048343170604605E-2</v>
      </c>
      <c r="Z411" s="4">
        <f ca="1"/>
        <v>-3.888538613263672E-3</v>
      </c>
      <c r="AA411" s="4"/>
    </row>
    <row r="412" spans="1:27" x14ac:dyDescent="0.35">
      <c r="A412">
        <v>410</v>
      </c>
      <c r="B412">
        <f ca="1">_xlfn.NORM.INV(RAND(),Hitorical_Sim!$AB$4,Hitorical_Sim!$AB$5)</f>
        <v>3.1500399896611596E-2</v>
      </c>
      <c r="C412">
        <f ca="1">_xlfn.NORM.INV(RAND(),Hitorical_Sim!$AB$4,Hitorical_Sim!$AB$5)</f>
        <v>4.7809521947690626E-3</v>
      </c>
      <c r="D412">
        <f ca="1">_xlfn.NORM.INV(RAND(),Hitorical_Sim!$AB$4,Hitorical_Sim!$AB$5)</f>
        <v>-2.5887641507828015E-2</v>
      </c>
      <c r="K412">
        <f t="shared" ca="1" si="70"/>
        <v>-0.12114078532025714</v>
      </c>
      <c r="L412">
        <f t="shared" ca="1" si="70"/>
        <v>-0.17176450236153512</v>
      </c>
      <c r="M412">
        <f t="shared" ca="1" si="70"/>
        <v>-0.30268199720362104</v>
      </c>
      <c r="O412">
        <v>410</v>
      </c>
      <c r="P412" s="6">
        <f t="shared" ca="1" si="63"/>
        <v>1933.5904177349651</v>
      </c>
      <c r="Q412" s="6">
        <f t="shared" ca="1" si="64"/>
        <v>382.52699622817727</v>
      </c>
      <c r="R412" s="6">
        <f t="shared" ca="1" si="65"/>
        <v>149.38361409182957</v>
      </c>
      <c r="S412" s="6"/>
      <c r="T412" s="4">
        <f t="shared" ca="1" si="66"/>
        <v>-9.0886251589405373E-3</v>
      </c>
      <c r="U412" s="4">
        <f t="shared" ca="1" si="67"/>
        <v>-3.27144327261168E-2</v>
      </c>
      <c r="V412" s="4">
        <f t="shared" ca="1" si="68"/>
        <v>2.7202015468810151E-3</v>
      </c>
      <c r="W412" s="4"/>
      <c r="X412">
        <v>410</v>
      </c>
      <c r="Y412" s="4">
        <f t="shared" ca="1" si="69"/>
        <v>-1.3219162232010069E-2</v>
      </c>
      <c r="Z412" s="4">
        <f ca="1"/>
        <v>-3.874027455754687E-3</v>
      </c>
      <c r="AA412" s="4"/>
    </row>
    <row r="413" spans="1:27" x14ac:dyDescent="0.35">
      <c r="A413">
        <v>411</v>
      </c>
      <c r="B413">
        <f ca="1">_xlfn.NORM.INV(RAND(),Hitorical_Sim!$AB$4,Hitorical_Sim!$AB$5)</f>
        <v>6.1857882830089169E-3</v>
      </c>
      <c r="C413">
        <f ca="1">_xlfn.NORM.INV(RAND(),Hitorical_Sim!$AB$4,Hitorical_Sim!$AB$5)</f>
        <v>2.6175880221591102E-2</v>
      </c>
      <c r="D413">
        <f ca="1">_xlfn.NORM.INV(RAND(),Hitorical_Sim!$AB$4,Hitorical_Sim!$AB$5)</f>
        <v>2.6838205808393644E-2</v>
      </c>
      <c r="K413">
        <f t="shared" ca="1" si="70"/>
        <v>0.78398647025287183</v>
      </c>
      <c r="L413">
        <f t="shared" ca="1" si="70"/>
        <v>-0.20925656602453543</v>
      </c>
      <c r="M413">
        <f t="shared" ca="1" si="70"/>
        <v>-1.2469645840408143</v>
      </c>
      <c r="O413">
        <v>411</v>
      </c>
      <c r="P413" s="6">
        <f t="shared" ca="1" si="63"/>
        <v>1965.6041653628595</v>
      </c>
      <c r="Q413" s="6">
        <f t="shared" ca="1" si="64"/>
        <v>382.11804829789816</v>
      </c>
      <c r="R413" s="6">
        <f t="shared" ca="1" si="65"/>
        <v>145.14192860647265</v>
      </c>
      <c r="S413" s="6"/>
      <c r="T413" s="4">
        <f t="shared" ca="1" si="66"/>
        <v>1.6421066618648176E-2</v>
      </c>
      <c r="U413" s="4">
        <f t="shared" ca="1" si="67"/>
        <v>-1.0696413249456451E-3</v>
      </c>
      <c r="V413" s="4">
        <f t="shared" ca="1" si="68"/>
        <v>-2.8805506917129985E-2</v>
      </c>
      <c r="W413" s="4"/>
      <c r="X413">
        <v>411</v>
      </c>
      <c r="Y413" s="4">
        <f t="shared" ca="1" si="69"/>
        <v>1.0692211260268552E-2</v>
      </c>
      <c r="Z413" s="4">
        <f ca="1"/>
        <v>-3.8738482156846126E-3</v>
      </c>
      <c r="AA413" s="4"/>
    </row>
    <row r="414" spans="1:27" x14ac:dyDescent="0.35">
      <c r="A414">
        <v>412</v>
      </c>
      <c r="B414">
        <f ca="1">_xlfn.NORM.INV(RAND(),Hitorical_Sim!$AB$4,Hitorical_Sim!$AB$5)</f>
        <v>-1.8748351807245333E-2</v>
      </c>
      <c r="C414">
        <f ca="1">_xlfn.NORM.INV(RAND(),Hitorical_Sim!$AB$4,Hitorical_Sim!$AB$5)</f>
        <v>-1.7990679958951986E-2</v>
      </c>
      <c r="D414">
        <f ca="1">_xlfn.NORM.INV(RAND(),Hitorical_Sim!$AB$4,Hitorical_Sim!$AB$5)</f>
        <v>6.5388682442007176E-3</v>
      </c>
      <c r="K414">
        <f t="shared" ca="1" si="70"/>
        <v>0.64813514660417648</v>
      </c>
      <c r="L414">
        <f t="shared" ca="1" si="70"/>
        <v>-1.4138200343638092E-2</v>
      </c>
      <c r="M414">
        <f t="shared" ca="1" si="70"/>
        <v>2.6729979824962458</v>
      </c>
      <c r="O414">
        <v>412</v>
      </c>
      <c r="P414" s="6">
        <f t="shared" ca="1" si="63"/>
        <v>1960.765600404842</v>
      </c>
      <c r="Q414" s="6">
        <f t="shared" ca="1" si="64"/>
        <v>384.25111226766523</v>
      </c>
      <c r="R414" s="6">
        <f t="shared" ca="1" si="65"/>
        <v>163.57821111118807</v>
      </c>
      <c r="S414" s="6"/>
      <c r="T414" s="4">
        <f t="shared" ca="1" si="66"/>
        <v>-2.4646519283680912E-3</v>
      </c>
      <c r="U414" s="4">
        <f t="shared" ca="1" si="67"/>
        <v>5.5666892349307421E-3</v>
      </c>
      <c r="V414" s="4">
        <f t="shared" ca="1" si="68"/>
        <v>0.11957914971563736</v>
      </c>
      <c r="W414" s="4"/>
      <c r="X414">
        <v>412</v>
      </c>
      <c r="Y414" s="4">
        <f t="shared" ca="1" si="69"/>
        <v>5.1781085542348514E-3</v>
      </c>
      <c r="Z414" s="4">
        <f ca="1"/>
        <v>-3.8358028161293279E-3</v>
      </c>
      <c r="AA414" s="4"/>
    </row>
    <row r="415" spans="1:27" x14ac:dyDescent="0.35">
      <c r="A415">
        <v>413</v>
      </c>
      <c r="B415">
        <f ca="1">_xlfn.NORM.INV(RAND(),Hitorical_Sim!$AB$4,Hitorical_Sim!$AB$5)</f>
        <v>2.0537236952348527E-2</v>
      </c>
      <c r="C415">
        <f ca="1">_xlfn.NORM.INV(RAND(),Hitorical_Sim!$AB$4,Hitorical_Sim!$AB$5)</f>
        <v>-8.3837642063528187E-4</v>
      </c>
      <c r="D415">
        <f ca="1">_xlfn.NORM.INV(RAND(),Hitorical_Sim!$AB$4,Hitorical_Sim!$AB$5)</f>
        <v>-8.957598166264685E-3</v>
      </c>
      <c r="K415">
        <f t="shared" ca="1" si="70"/>
        <v>9.682056942905963E-2</v>
      </c>
      <c r="L415">
        <f t="shared" ca="1" si="70"/>
        <v>0.46822797681193717</v>
      </c>
      <c r="M415">
        <f t="shared" ca="1" si="70"/>
        <v>1.7373418326391123</v>
      </c>
      <c r="O415">
        <v>413</v>
      </c>
      <c r="P415" s="6">
        <f t="shared" ca="1" si="63"/>
        <v>1941.2515799048958</v>
      </c>
      <c r="Q415" s="6">
        <f t="shared" ca="1" si="64"/>
        <v>389.57565817514336</v>
      </c>
      <c r="R415" s="6">
        <f t="shared" ca="1" si="65"/>
        <v>158.9753049609904</v>
      </c>
      <c r="S415" s="6"/>
      <c r="T415" s="4">
        <f t="shared" ca="1" si="66"/>
        <v>-1.0002100084691228E-2</v>
      </c>
      <c r="U415" s="4">
        <f t="shared" ca="1" si="67"/>
        <v>1.3761813739553552E-2</v>
      </c>
      <c r="V415" s="4">
        <f t="shared" ca="1" si="68"/>
        <v>-2.8542355935037261E-2</v>
      </c>
      <c r="W415" s="4"/>
      <c r="X415">
        <v>413</v>
      </c>
      <c r="Y415" s="4">
        <f t="shared" ca="1" si="69"/>
        <v>-6.1771404101689676E-3</v>
      </c>
      <c r="Z415" s="4">
        <f ca="1"/>
        <v>-3.6783395676564488E-3</v>
      </c>
      <c r="AA415" s="4"/>
    </row>
    <row r="416" spans="1:27" x14ac:dyDescent="0.35">
      <c r="A416">
        <v>414</v>
      </c>
      <c r="B416">
        <f ca="1">_xlfn.NORM.INV(RAND(),Hitorical_Sim!$AB$4,Hitorical_Sim!$AB$5)</f>
        <v>-1.1741528282255874E-2</v>
      </c>
      <c r="C416">
        <f ca="1">_xlfn.NORM.INV(RAND(),Hitorical_Sim!$AB$4,Hitorical_Sim!$AB$5)</f>
        <v>3.3215729844027646E-2</v>
      </c>
      <c r="D416">
        <f ca="1">_xlfn.NORM.INV(RAND(),Hitorical_Sim!$AB$4,Hitorical_Sim!$AB$5)</f>
        <v>-8.30155029728963E-3</v>
      </c>
      <c r="K416">
        <f t="shared" ca="1" si="70"/>
        <v>-1.6266846344876955</v>
      </c>
      <c r="L416">
        <f t="shared" ca="1" si="70"/>
        <v>2.0213980916057857</v>
      </c>
      <c r="M416">
        <f t="shared" ca="1" si="70"/>
        <v>1.4410141965807004</v>
      </c>
      <c r="O416">
        <v>414</v>
      </c>
      <c r="P416" s="6">
        <f t="shared" ca="1" si="63"/>
        <v>1881.4911094574322</v>
      </c>
      <c r="Q416" s="6">
        <f t="shared" ca="1" si="64"/>
        <v>407.22657821652251</v>
      </c>
      <c r="R416" s="6">
        <f t="shared" ca="1" si="65"/>
        <v>157.54471907910772</v>
      </c>
      <c r="S416" s="6"/>
      <c r="T416" s="4">
        <f t="shared" ca="1" si="66"/>
        <v>-3.1268303541674959E-2</v>
      </c>
      <c r="U416" s="4">
        <f t="shared" ca="1" si="67"/>
        <v>4.4311642975622685E-2</v>
      </c>
      <c r="V416" s="4">
        <f t="shared" ca="1" si="68"/>
        <v>-9.0395268208933663E-3</v>
      </c>
      <c r="W416" s="4"/>
      <c r="X416">
        <v>414</v>
      </c>
      <c r="Y416" s="4">
        <f t="shared" ca="1" si="69"/>
        <v>-1.5084853185182757E-2</v>
      </c>
      <c r="Z416" s="4">
        <f ca="1"/>
        <v>-3.6549327142658536E-3</v>
      </c>
      <c r="AA416" s="4"/>
    </row>
    <row r="417" spans="1:27" x14ac:dyDescent="0.35">
      <c r="A417">
        <v>415</v>
      </c>
      <c r="B417">
        <f ca="1">_xlfn.NORM.INV(RAND(),Hitorical_Sim!$AB$4,Hitorical_Sim!$AB$5)</f>
        <v>2.0769117476058391E-2</v>
      </c>
      <c r="C417">
        <f ca="1">_xlfn.NORM.INV(RAND(),Hitorical_Sim!$AB$4,Hitorical_Sim!$AB$5)</f>
        <v>-1.2176916544005743E-2</v>
      </c>
      <c r="D417">
        <f ca="1">_xlfn.NORM.INV(RAND(),Hitorical_Sim!$AB$4,Hitorical_Sim!$AB$5)</f>
        <v>2.2286256405820222E-2</v>
      </c>
      <c r="K417">
        <f t="shared" ca="1" si="70"/>
        <v>-0.43643701157211401</v>
      </c>
      <c r="L417">
        <f t="shared" ca="1" si="70"/>
        <v>0.93036417718775632</v>
      </c>
      <c r="M417">
        <f t="shared" ca="1" si="70"/>
        <v>-0.41561215099132326</v>
      </c>
      <c r="O417">
        <v>415</v>
      </c>
      <c r="P417" s="6">
        <f t="shared" ca="1" si="63"/>
        <v>1922.5614860489252</v>
      </c>
      <c r="Q417" s="6">
        <f t="shared" ca="1" si="64"/>
        <v>394.74608965700503</v>
      </c>
      <c r="R417" s="6">
        <f t="shared" ca="1" si="65"/>
        <v>148.86987977683469</v>
      </c>
      <c r="S417" s="6"/>
      <c r="T417" s="4">
        <f t="shared" ca="1" si="66"/>
        <v>2.1593798428054506E-2</v>
      </c>
      <c r="U417" s="4">
        <f t="shared" ca="1" si="67"/>
        <v>-3.1126986560905325E-2</v>
      </c>
      <c r="V417" s="4">
        <f t="shared" ca="1" si="68"/>
        <v>-5.6636714308841277E-2</v>
      </c>
      <c r="W417" s="4"/>
      <c r="X417">
        <v>415</v>
      </c>
      <c r="Y417" s="4">
        <f t="shared" ca="1" si="69"/>
        <v>7.2007753178785217E-3</v>
      </c>
      <c r="Z417" s="4">
        <f ca="1"/>
        <v>-3.6520635365208287E-3</v>
      </c>
      <c r="AA417" s="4"/>
    </row>
    <row r="418" spans="1:27" x14ac:dyDescent="0.35">
      <c r="A418">
        <v>416</v>
      </c>
      <c r="B418">
        <f ca="1">_xlfn.NORM.INV(RAND(),Hitorical_Sim!$AB$4,Hitorical_Sim!$AB$5)</f>
        <v>-5.5140828326893029E-3</v>
      </c>
      <c r="C418">
        <f ca="1">_xlfn.NORM.INV(RAND(),Hitorical_Sim!$AB$4,Hitorical_Sim!$AB$5)</f>
        <v>5.0779973285001298E-3</v>
      </c>
      <c r="D418">
        <f ca="1">_xlfn.NORM.INV(RAND(),Hitorical_Sim!$AB$4,Hitorical_Sim!$AB$5)</f>
        <v>-7.9910753027500649E-3</v>
      </c>
      <c r="K418">
        <f t="shared" ca="1" si="70"/>
        <v>7.5603348214797667E-2</v>
      </c>
      <c r="L418">
        <f t="shared" ca="1" si="70"/>
        <v>0.94061101180838247</v>
      </c>
      <c r="M418">
        <f t="shared" ca="1" si="70"/>
        <v>-1.7058991096815803</v>
      </c>
      <c r="O418">
        <v>416</v>
      </c>
      <c r="P418" s="6">
        <f t="shared" ca="1" si="63"/>
        <v>1940.5044803746296</v>
      </c>
      <c r="Q418" s="6">
        <f t="shared" ca="1" si="64"/>
        <v>394.86150668140164</v>
      </c>
      <c r="R418" s="6">
        <f t="shared" ca="1" si="65"/>
        <v>143.12411673261437</v>
      </c>
      <c r="S418" s="6"/>
      <c r="T418" s="4">
        <f t="shared" ca="1" si="66"/>
        <v>9.2895764741647638E-3</v>
      </c>
      <c r="U418" s="4">
        <f t="shared" ca="1" si="67"/>
        <v>2.9234020988092854E-4</v>
      </c>
      <c r="V418" s="4">
        <f t="shared" ca="1" si="68"/>
        <v>-3.9360431328215414E-2</v>
      </c>
      <c r="W418" s="4"/>
      <c r="X418">
        <v>416</v>
      </c>
      <c r="Y418" s="4">
        <f t="shared" ca="1" si="69"/>
        <v>5.0863209547260726E-3</v>
      </c>
      <c r="Z418" s="4">
        <f ca="1"/>
        <v>-3.6252730418414388E-3</v>
      </c>
      <c r="AA418" s="4"/>
    </row>
    <row r="419" spans="1:27" x14ac:dyDescent="0.35">
      <c r="A419">
        <v>417</v>
      </c>
      <c r="B419">
        <f ca="1">_xlfn.NORM.INV(RAND(),Hitorical_Sim!$AB$4,Hitorical_Sim!$AB$5)</f>
        <v>1.7357794750201279E-2</v>
      </c>
      <c r="C419">
        <f ca="1">_xlfn.NORM.INV(RAND(),Hitorical_Sim!$AB$4,Hitorical_Sim!$AB$5)</f>
        <v>9.0312582895061139E-3</v>
      </c>
      <c r="D419">
        <f ca="1">_xlfn.NORM.INV(RAND(),Hitorical_Sim!$AB$4,Hitorical_Sim!$AB$5)</f>
        <v>-3.5775525007823647E-3</v>
      </c>
      <c r="K419">
        <f t="shared" ca="1" si="70"/>
        <v>0.81043425918999468</v>
      </c>
      <c r="L419">
        <f t="shared" ca="1" si="70"/>
        <v>-0.94977385842141315</v>
      </c>
      <c r="M419">
        <f t="shared" ca="1" si="70"/>
        <v>0.60997045837494179</v>
      </c>
      <c r="O419">
        <v>417</v>
      </c>
      <c r="P419" s="6">
        <f t="shared" ca="1" si="63"/>
        <v>1966.5475338199169</v>
      </c>
      <c r="Q419" s="6">
        <f t="shared" ca="1" si="64"/>
        <v>374.12979127159088</v>
      </c>
      <c r="R419" s="6">
        <f t="shared" ca="1" si="65"/>
        <v>153.60098182236246</v>
      </c>
      <c r="S419" s="6"/>
      <c r="T419" s="4">
        <f t="shared" ca="1" si="66"/>
        <v>1.3331503684445797E-2</v>
      </c>
      <c r="U419" s="4">
        <f t="shared" ca="1" si="67"/>
        <v>-5.3932314727327957E-2</v>
      </c>
      <c r="V419" s="4">
        <f t="shared" ca="1" si="68"/>
        <v>7.0646009776864249E-2</v>
      </c>
      <c r="W419" s="4"/>
      <c r="X419">
        <v>417</v>
      </c>
      <c r="Y419" s="4">
        <f t="shared" ca="1" si="69"/>
        <v>2.7442930161892237E-3</v>
      </c>
      <c r="Z419" s="4">
        <f ca="1"/>
        <v>-3.618996463928771E-3</v>
      </c>
      <c r="AA419" s="4"/>
    </row>
    <row r="420" spans="1:27" x14ac:dyDescent="0.35">
      <c r="A420">
        <v>418</v>
      </c>
      <c r="B420">
        <f ca="1">_xlfn.NORM.INV(RAND(),Hitorical_Sim!$AB$4,Hitorical_Sim!$AB$5)</f>
        <v>-1.1629650240494485E-4</v>
      </c>
      <c r="C420">
        <f ca="1">_xlfn.NORM.INV(RAND(),Hitorical_Sim!$AB$4,Hitorical_Sim!$AB$5)</f>
        <v>-1.4045996385127792E-2</v>
      </c>
      <c r="D420">
        <f ca="1">_xlfn.NORM.INV(RAND(),Hitorical_Sim!$AB$4,Hitorical_Sim!$AB$5)</f>
        <v>-6.508445668828796E-3</v>
      </c>
      <c r="K420">
        <f t="shared" ca="1" si="70"/>
        <v>-0.60988160992913498</v>
      </c>
      <c r="L420">
        <f t="shared" ca="1" si="70"/>
        <v>-0.54687726187428598</v>
      </c>
      <c r="M420">
        <f t="shared" ca="1" si="70"/>
        <v>0.84567243652043578</v>
      </c>
      <c r="O420">
        <v>418</v>
      </c>
      <c r="P420" s="6">
        <f t="shared" ca="1" si="63"/>
        <v>1916.5213096275129</v>
      </c>
      <c r="Q420" s="6">
        <f t="shared" ca="1" si="64"/>
        <v>378.45506025738916</v>
      </c>
      <c r="R420" s="6">
        <f t="shared" ca="1" si="65"/>
        <v>154.70937287879923</v>
      </c>
      <c r="S420" s="6"/>
      <c r="T420" s="4">
        <f t="shared" ca="1" si="66"/>
        <v>-2.5767759574933932E-2</v>
      </c>
      <c r="U420" s="4">
        <f t="shared" ca="1" si="67"/>
        <v>1.1494561975047637E-2</v>
      </c>
      <c r="V420" s="4">
        <f t="shared" ca="1" si="68"/>
        <v>7.1901304296974455E-3</v>
      </c>
      <c r="W420" s="4"/>
      <c r="X420">
        <v>418</v>
      </c>
      <c r="Y420" s="4">
        <f t="shared" ca="1" si="69"/>
        <v>-1.6700299475538152E-2</v>
      </c>
      <c r="Z420" s="4">
        <f ca="1"/>
        <v>-3.6098309069132212E-3</v>
      </c>
      <c r="AA420" s="4"/>
    </row>
    <row r="421" spans="1:27" x14ac:dyDescent="0.35">
      <c r="A421">
        <v>419</v>
      </c>
      <c r="B421">
        <f ca="1">_xlfn.NORM.INV(RAND(),Hitorical_Sim!$AB$4,Hitorical_Sim!$AB$5)</f>
        <v>1.1990325616555261E-2</v>
      </c>
      <c r="C421">
        <f ca="1">_xlfn.NORM.INV(RAND(),Hitorical_Sim!$AB$4,Hitorical_Sim!$AB$5)</f>
        <v>-2.249888755284285E-2</v>
      </c>
      <c r="D421">
        <f ca="1">_xlfn.NORM.INV(RAND(),Hitorical_Sim!$AB$4,Hitorical_Sim!$AB$5)</f>
        <v>1.5273543424227421E-2</v>
      </c>
      <c r="K421">
        <f t="shared" ca="1" si="70"/>
        <v>1.2002703745070467</v>
      </c>
      <c r="L421">
        <f t="shared" ca="1" si="70"/>
        <v>0.45247184768424109</v>
      </c>
      <c r="M421">
        <f t="shared" ca="1" si="70"/>
        <v>1.5689421715414287</v>
      </c>
      <c r="O421">
        <v>419</v>
      </c>
      <c r="P421" s="6">
        <f t="shared" ca="1" si="63"/>
        <v>1980.5052679386777</v>
      </c>
      <c r="Q421" s="6">
        <f t="shared" ca="1" si="64"/>
        <v>389.40057574592691</v>
      </c>
      <c r="R421" s="6">
        <f t="shared" ca="1" si="65"/>
        <v>158.16073310666332</v>
      </c>
      <c r="S421" s="6"/>
      <c r="T421" s="4">
        <f t="shared" ca="1" si="66"/>
        <v>3.2840273169635927E-2</v>
      </c>
      <c r="U421" s="4">
        <f t="shared" ca="1" si="67"/>
        <v>2.8511236811069828E-2</v>
      </c>
      <c r="V421" s="4">
        <f t="shared" ca="1" si="68"/>
        <v>2.206347087780177E-2</v>
      </c>
      <c r="W421" s="4"/>
      <c r="X421">
        <v>419</v>
      </c>
      <c r="Y421" s="4">
        <f t="shared" ca="1" si="69"/>
        <v>3.1442990256170006E-2</v>
      </c>
      <c r="Z421" s="4">
        <f ca="1"/>
        <v>-3.5631538378491315E-3</v>
      </c>
      <c r="AA421" s="4"/>
    </row>
    <row r="422" spans="1:27" x14ac:dyDescent="0.35">
      <c r="A422">
        <v>420</v>
      </c>
      <c r="B422">
        <f ca="1">_xlfn.NORM.INV(RAND(),Hitorical_Sim!$AB$4,Hitorical_Sim!$AB$5)</f>
        <v>2.7789525208853998E-3</v>
      </c>
      <c r="C422">
        <f ca="1">_xlfn.NORM.INV(RAND(),Hitorical_Sim!$AB$4,Hitorical_Sim!$AB$5)</f>
        <v>-1.4760561810823122E-2</v>
      </c>
      <c r="D422">
        <f ca="1">_xlfn.NORM.INV(RAND(),Hitorical_Sim!$AB$4,Hitorical_Sim!$AB$5)</f>
        <v>7.5231976743730342E-5</v>
      </c>
      <c r="K422">
        <f t="shared" ca="1" si="70"/>
        <v>1.099259249960131</v>
      </c>
      <c r="L422">
        <f t="shared" ca="1" si="70"/>
        <v>-2.3149283450217188</v>
      </c>
      <c r="M422">
        <f t="shared" ca="1" si="70"/>
        <v>-0.40870884646231265</v>
      </c>
      <c r="O422">
        <v>420</v>
      </c>
      <c r="P422" s="6">
        <f t="shared" ca="1" si="63"/>
        <v>1976.8791739974199</v>
      </c>
      <c r="Q422" s="6">
        <f t="shared" ca="1" si="64"/>
        <v>359.83844945951512</v>
      </c>
      <c r="R422" s="6">
        <f t="shared" ca="1" si="65"/>
        <v>148.90123306831873</v>
      </c>
      <c r="S422" s="6"/>
      <c r="T422" s="4">
        <f t="shared" ca="1" si="66"/>
        <v>-1.8325714922362922E-3</v>
      </c>
      <c r="U422" s="4">
        <f t="shared" ca="1" si="67"/>
        <v>-7.8953392253579571E-2</v>
      </c>
      <c r="V422" s="4">
        <f t="shared" ca="1" si="68"/>
        <v>-6.0328593233497714E-2</v>
      </c>
      <c r="W422" s="4"/>
      <c r="X422">
        <v>420</v>
      </c>
      <c r="Y422" s="4">
        <f t="shared" ca="1" si="69"/>
        <v>-2.0118400807298008E-2</v>
      </c>
      <c r="Z422" s="4">
        <f ca="1"/>
        <v>-3.5265931592102333E-3</v>
      </c>
      <c r="AA422" s="4"/>
    </row>
    <row r="423" spans="1:27" x14ac:dyDescent="0.35">
      <c r="A423">
        <v>421</v>
      </c>
      <c r="B423">
        <f ca="1">_xlfn.NORM.INV(RAND(),Hitorical_Sim!$AB$4,Hitorical_Sim!$AB$5)</f>
        <v>-3.2551481100195664E-2</v>
      </c>
      <c r="C423">
        <f ca="1">_xlfn.NORM.INV(RAND(),Hitorical_Sim!$AB$4,Hitorical_Sim!$AB$5)</f>
        <v>8.5734524691329621E-3</v>
      </c>
      <c r="D423">
        <f ca="1">_xlfn.NORM.INV(RAND(),Hitorical_Sim!$AB$4,Hitorical_Sim!$AB$5)</f>
        <v>6.9179865073587914E-3</v>
      </c>
      <c r="K423">
        <f t="shared" ca="1" si="70"/>
        <v>0.58494509096689529</v>
      </c>
      <c r="L423">
        <f t="shared" ca="1" si="70"/>
        <v>-0.11848266849990106</v>
      </c>
      <c r="M423">
        <f t="shared" ca="1" si="70"/>
        <v>0.90396559297401413</v>
      </c>
      <c r="O423">
        <v>421</v>
      </c>
      <c r="P423" s="6">
        <f t="shared" ca="1" si="63"/>
        <v>1958.5190445494625</v>
      </c>
      <c r="Q423" s="6">
        <f t="shared" ca="1" si="64"/>
        <v>383.10892551359262</v>
      </c>
      <c r="R423" s="6">
        <f t="shared" ca="1" si="65"/>
        <v>154.98472849369901</v>
      </c>
      <c r="S423" s="6"/>
      <c r="T423" s="4">
        <f t="shared" ca="1" si="66"/>
        <v>-9.3308283622440431E-3</v>
      </c>
      <c r="U423" s="4">
        <f t="shared" ca="1" si="67"/>
        <v>6.2664170335458125E-2</v>
      </c>
      <c r="V423" s="4">
        <f t="shared" ca="1" si="68"/>
        <v>4.0043365378337054E-2</v>
      </c>
      <c r="W423" s="4"/>
      <c r="X423">
        <v>421</v>
      </c>
      <c r="Y423" s="4">
        <f t="shared" ca="1" si="69"/>
        <v>7.4806102703507934E-3</v>
      </c>
      <c r="Z423" s="4">
        <f ca="1"/>
        <v>-3.5124003300813695E-3</v>
      </c>
      <c r="AA423" s="4"/>
    </row>
    <row r="424" spans="1:27" x14ac:dyDescent="0.35">
      <c r="A424">
        <v>422</v>
      </c>
      <c r="B424">
        <f ca="1">_xlfn.NORM.INV(RAND(),Hitorical_Sim!$AB$4,Hitorical_Sim!$AB$5)</f>
        <v>1.0954796508785785E-2</v>
      </c>
      <c r="C424">
        <f ca="1">_xlfn.NORM.INV(RAND(),Hitorical_Sim!$AB$4,Hitorical_Sim!$AB$5)</f>
        <v>-1.1890436627352155E-3</v>
      </c>
      <c r="D424">
        <f ca="1">_xlfn.NORM.INV(RAND(),Hitorical_Sim!$AB$4,Hitorical_Sim!$AB$5)</f>
        <v>-1.7552537717919998E-2</v>
      </c>
      <c r="K424">
        <f t="shared" ref="K424:M443" ca="1" si="71">_xlfn.NORM.S.INV(RAND())</f>
        <v>-0.50757075769291449</v>
      </c>
      <c r="L424">
        <f t="shared" ca="1" si="71"/>
        <v>0.36557162373191271</v>
      </c>
      <c r="M424">
        <f t="shared" ca="1" si="71"/>
        <v>0.83654556516119605</v>
      </c>
      <c r="O424">
        <v>422</v>
      </c>
      <c r="P424" s="6">
        <f t="shared" ca="1" si="63"/>
        <v>1920.0819670840892</v>
      </c>
      <c r="Q424" s="6">
        <f t="shared" ca="1" si="64"/>
        <v>388.43635146827171</v>
      </c>
      <c r="R424" s="6">
        <f t="shared" ca="1" si="65"/>
        <v>154.66630518266786</v>
      </c>
      <c r="S424" s="6"/>
      <c r="T424" s="4">
        <f t="shared" ca="1" si="66"/>
        <v>-1.9820721807136288E-2</v>
      </c>
      <c r="U424" s="4">
        <f t="shared" ca="1" si="67"/>
        <v>1.3809975336179454E-2</v>
      </c>
      <c r="V424" s="4">
        <f t="shared" ca="1" si="68"/>
        <v>-2.0566598437657792E-3</v>
      </c>
      <c r="W424" s="4"/>
      <c r="X424">
        <v>422</v>
      </c>
      <c r="Y424" s="4">
        <f t="shared" ca="1" si="69"/>
        <v>-1.2229962308330365E-2</v>
      </c>
      <c r="Z424" s="4">
        <f ca="1"/>
        <v>-3.3973405637326599E-3</v>
      </c>
      <c r="AA424" s="4"/>
    </row>
    <row r="425" spans="1:27" x14ac:dyDescent="0.35">
      <c r="A425">
        <v>423</v>
      </c>
      <c r="B425">
        <f ca="1">_xlfn.NORM.INV(RAND(),Hitorical_Sim!$AB$4,Hitorical_Sim!$AB$5)</f>
        <v>-1.1438275465313924E-2</v>
      </c>
      <c r="C425">
        <f ca="1">_xlfn.NORM.INV(RAND(),Hitorical_Sim!$AB$4,Hitorical_Sim!$AB$5)</f>
        <v>9.0874797392365616E-3</v>
      </c>
      <c r="D425">
        <f ca="1">_xlfn.NORM.INV(RAND(),Hitorical_Sim!$AB$4,Hitorical_Sim!$AB$5)</f>
        <v>-6.3865550338658666E-4</v>
      </c>
      <c r="K425">
        <f t="shared" ca="1" si="71"/>
        <v>-1.0503255748486131</v>
      </c>
      <c r="L425">
        <f t="shared" ca="1" si="71"/>
        <v>0.77850157530421926</v>
      </c>
      <c r="M425">
        <f t="shared" ca="1" si="71"/>
        <v>0.17928202965726095</v>
      </c>
      <c r="O425">
        <v>423</v>
      </c>
      <c r="P425" s="6">
        <f t="shared" ca="1" si="63"/>
        <v>1901.2680717582746</v>
      </c>
      <c r="Q425" s="6">
        <f t="shared" ca="1" si="64"/>
        <v>393.03950818712525</v>
      </c>
      <c r="R425" s="6">
        <f t="shared" ca="1" si="65"/>
        <v>151.59613622768893</v>
      </c>
      <c r="S425" s="6"/>
      <c r="T425" s="4">
        <f t="shared" ca="1" si="66"/>
        <v>-9.8468065735821154E-3</v>
      </c>
      <c r="U425" s="4">
        <f t="shared" ca="1" si="67"/>
        <v>1.1780811653359414E-2</v>
      </c>
      <c r="V425" s="4">
        <f t="shared" ca="1" si="68"/>
        <v>-2.0049940115649072E-2</v>
      </c>
      <c r="W425" s="4"/>
      <c r="X425">
        <v>423</v>
      </c>
      <c r="Y425" s="4">
        <f t="shared" ca="1" si="69"/>
        <v>-6.0355782384729521E-3</v>
      </c>
      <c r="Z425" s="4">
        <f ca="1"/>
        <v>-3.3807825303121168E-3</v>
      </c>
      <c r="AA425" s="4"/>
    </row>
    <row r="426" spans="1:27" x14ac:dyDescent="0.35">
      <c r="A426">
        <v>424</v>
      </c>
      <c r="B426">
        <f ca="1">_xlfn.NORM.INV(RAND(),Hitorical_Sim!$AB$4,Hitorical_Sim!$AB$5)</f>
        <v>-1.7708077103427006E-3</v>
      </c>
      <c r="C426">
        <f ca="1">_xlfn.NORM.INV(RAND(),Hitorical_Sim!$AB$4,Hitorical_Sim!$AB$5)</f>
        <v>-1.5941107786201048E-2</v>
      </c>
      <c r="D426">
        <f ca="1">_xlfn.NORM.INV(RAND(),Hitorical_Sim!$AB$4,Hitorical_Sim!$AB$5)</f>
        <v>3.8060162598185905E-2</v>
      </c>
      <c r="K426">
        <f t="shared" ca="1" si="71"/>
        <v>4.5964774196087368E-2</v>
      </c>
      <c r="L426">
        <f t="shared" ca="1" si="71"/>
        <v>1.0323873208029186</v>
      </c>
      <c r="M426">
        <f t="shared" ca="1" si="71"/>
        <v>-1.2796635213266507</v>
      </c>
      <c r="O426">
        <v>424</v>
      </c>
      <c r="P426" s="6">
        <f t="shared" ca="1" si="63"/>
        <v>1939.4613300016599</v>
      </c>
      <c r="Q426" s="6">
        <f t="shared" ca="1" si="64"/>
        <v>395.89675112234914</v>
      </c>
      <c r="R426" s="6">
        <f t="shared" ca="1" si="65"/>
        <v>144.99722362378949</v>
      </c>
      <c r="S426" s="6"/>
      <c r="T426" s="4">
        <f t="shared" ca="1" si="66"/>
        <v>1.9889199827095024E-2</v>
      </c>
      <c r="U426" s="4">
        <f t="shared" ca="1" si="67"/>
        <v>7.2433112149028374E-3</v>
      </c>
      <c r="V426" s="4">
        <f t="shared" ca="1" si="68"/>
        <v>-4.4505391443619827E-2</v>
      </c>
      <c r="W426" s="4"/>
      <c r="X426">
        <v>424</v>
      </c>
      <c r="Y426" s="4">
        <f t="shared" ca="1" si="69"/>
        <v>1.4178588487733028E-2</v>
      </c>
      <c r="Z426" s="4">
        <f ca="1"/>
        <v>-3.3685371728383287E-3</v>
      </c>
      <c r="AA426" s="4"/>
    </row>
    <row r="427" spans="1:27" x14ac:dyDescent="0.35">
      <c r="A427">
        <v>425</v>
      </c>
      <c r="B427">
        <f ca="1">_xlfn.NORM.INV(RAND(),Hitorical_Sim!$AB$4,Hitorical_Sim!$AB$5)</f>
        <v>-1.5321178793724331E-2</v>
      </c>
      <c r="C427">
        <f ca="1">_xlfn.NORM.INV(RAND(),Hitorical_Sim!$AB$4,Hitorical_Sim!$AB$5)</f>
        <v>-3.615139795774516E-3</v>
      </c>
      <c r="D427">
        <f ca="1">_xlfn.NORM.INV(RAND(),Hitorical_Sim!$AB$4,Hitorical_Sim!$AB$5)</f>
        <v>-8.2632233765262027E-3</v>
      </c>
      <c r="K427">
        <f t="shared" ca="1" si="71"/>
        <v>-0.28160796854990355</v>
      </c>
      <c r="L427">
        <f t="shared" ca="1" si="71"/>
        <v>-1.6285279696687998</v>
      </c>
      <c r="M427">
        <f t="shared" ca="1" si="71"/>
        <v>4.8118761978426003E-2</v>
      </c>
      <c r="O427">
        <v>425</v>
      </c>
      <c r="P427" s="6">
        <f t="shared" ca="1" si="63"/>
        <v>1927.969458697452</v>
      </c>
      <c r="Q427" s="6">
        <f t="shared" ca="1" si="64"/>
        <v>366.95456862581153</v>
      </c>
      <c r="R427" s="6">
        <f t="shared" ca="1" si="65"/>
        <v>150.99078789503346</v>
      </c>
      <c r="S427" s="6"/>
      <c r="T427" s="4">
        <f t="shared" ca="1" si="66"/>
        <v>-5.942914433262966E-3</v>
      </c>
      <c r="U427" s="4">
        <f t="shared" ca="1" si="67"/>
        <v>-7.5915398588137492E-2</v>
      </c>
      <c r="V427" s="4">
        <f t="shared" ca="1" si="68"/>
        <v>4.0504232821124239E-2</v>
      </c>
      <c r="W427" s="4"/>
      <c r="X427">
        <v>425</v>
      </c>
      <c r="Y427" s="4">
        <f t="shared" ca="1" si="69"/>
        <v>-1.7608514958477248E-2</v>
      </c>
      <c r="Z427" s="4">
        <f ca="1"/>
        <v>-3.3620398295506138E-3</v>
      </c>
      <c r="AA427" s="4"/>
    </row>
    <row r="428" spans="1:27" x14ac:dyDescent="0.35">
      <c r="A428">
        <v>426</v>
      </c>
      <c r="B428">
        <f ca="1">_xlfn.NORM.INV(RAND(),Hitorical_Sim!$AB$4,Hitorical_Sim!$AB$5)</f>
        <v>4.7592037669119498E-3</v>
      </c>
      <c r="C428">
        <f ca="1">_xlfn.NORM.INV(RAND(),Hitorical_Sim!$AB$4,Hitorical_Sim!$AB$5)</f>
        <v>-9.8842984502783794E-4</v>
      </c>
      <c r="D428">
        <f ca="1">_xlfn.NORM.INV(RAND(),Hitorical_Sim!$AB$4,Hitorical_Sim!$AB$5)</f>
        <v>1.153836555714532E-2</v>
      </c>
      <c r="K428">
        <f t="shared" ca="1" si="71"/>
        <v>-0.19250032871833969</v>
      </c>
      <c r="L428">
        <f t="shared" ca="1" si="71"/>
        <v>0.80652286286803931</v>
      </c>
      <c r="M428">
        <f t="shared" ca="1" si="71"/>
        <v>0.88155582386254028</v>
      </c>
      <c r="O428">
        <v>426</v>
      </c>
      <c r="P428" s="6">
        <f t="shared" ca="1" si="63"/>
        <v>1931.0887641310821</v>
      </c>
      <c r="Q428" s="6">
        <f t="shared" ca="1" si="64"/>
        <v>393.35384607475754</v>
      </c>
      <c r="R428" s="6">
        <f t="shared" ca="1" si="65"/>
        <v>154.87881497571905</v>
      </c>
      <c r="S428" s="6"/>
      <c r="T428" s="4">
        <f t="shared" ca="1" si="66"/>
        <v>1.6166152117228429E-3</v>
      </c>
      <c r="U428" s="4">
        <f t="shared" ca="1" si="67"/>
        <v>6.9471529287818704E-2</v>
      </c>
      <c r="V428" s="4">
        <f t="shared" ca="1" si="68"/>
        <v>2.5424144621269552E-2</v>
      </c>
      <c r="W428" s="4"/>
      <c r="X428">
        <v>426</v>
      </c>
      <c r="Y428" s="4">
        <f t="shared" ca="1" si="69"/>
        <v>1.6336527968632032E-2</v>
      </c>
      <c r="Z428" s="4">
        <f ca="1"/>
        <v>-3.2937614146070736E-3</v>
      </c>
      <c r="AA428" s="4"/>
    </row>
    <row r="429" spans="1:27" x14ac:dyDescent="0.35">
      <c r="A429">
        <v>427</v>
      </c>
      <c r="B429">
        <f ca="1">_xlfn.NORM.INV(RAND(),Hitorical_Sim!$AB$4,Hitorical_Sim!$AB$5)</f>
        <v>6.0779291168426468E-3</v>
      </c>
      <c r="C429">
        <f ca="1">_xlfn.NORM.INV(RAND(),Hitorical_Sim!$AB$4,Hitorical_Sim!$AB$5)</f>
        <v>-3.2940796071843941E-4</v>
      </c>
      <c r="D429">
        <f ca="1">_xlfn.NORM.INV(RAND(),Hitorical_Sim!$AB$4,Hitorical_Sim!$AB$5)</f>
        <v>-1.3734442359618682E-2</v>
      </c>
      <c r="K429">
        <f t="shared" ca="1" si="71"/>
        <v>-2.173238837755894</v>
      </c>
      <c r="L429">
        <f t="shared" ca="1" si="71"/>
        <v>0.72572788584106485</v>
      </c>
      <c r="M429">
        <f t="shared" ca="1" si="71"/>
        <v>0.5754495658129174</v>
      </c>
      <c r="O429">
        <v>427</v>
      </c>
      <c r="P429" s="6">
        <f t="shared" ca="1" si="63"/>
        <v>1862.9269310363288</v>
      </c>
      <c r="Q429" s="6">
        <f t="shared" ca="1" si="64"/>
        <v>392.44818407074553</v>
      </c>
      <c r="R429" s="6">
        <f t="shared" ca="1" si="65"/>
        <v>153.43931500123139</v>
      </c>
      <c r="S429" s="6"/>
      <c r="T429" s="4">
        <f t="shared" ca="1" si="66"/>
        <v>-3.5935100628951853E-2</v>
      </c>
      <c r="U429" s="4">
        <f t="shared" ca="1" si="67"/>
        <v>-2.3050650679807211E-3</v>
      </c>
      <c r="V429" s="4">
        <f t="shared" ca="1" si="68"/>
        <v>-9.3378254100385128E-3</v>
      </c>
      <c r="W429" s="4"/>
      <c r="X429">
        <v>427</v>
      </c>
      <c r="Y429" s="4">
        <f t="shared" ca="1" si="69"/>
        <v>-2.7907316336818672E-2</v>
      </c>
      <c r="Z429" s="4">
        <f ca="1"/>
        <v>-3.2234790454677446E-3</v>
      </c>
      <c r="AA429" s="4"/>
    </row>
    <row r="430" spans="1:27" x14ac:dyDescent="0.35">
      <c r="A430">
        <v>428</v>
      </c>
      <c r="B430">
        <f ca="1">_xlfn.NORM.INV(RAND(),Hitorical_Sim!$AB$4,Hitorical_Sim!$AB$5)</f>
        <v>-1.0623650972464193E-2</v>
      </c>
      <c r="C430">
        <f ca="1">_xlfn.NORM.INV(RAND(),Hitorical_Sim!$AB$4,Hitorical_Sim!$AB$5)</f>
        <v>1.4672225728102612E-2</v>
      </c>
      <c r="D430">
        <f ca="1">_xlfn.NORM.INV(RAND(),Hitorical_Sim!$AB$4,Hitorical_Sim!$AB$5)</f>
        <v>2.5997449734905319E-2</v>
      </c>
      <c r="K430">
        <f t="shared" ca="1" si="71"/>
        <v>-0.12353751473112479</v>
      </c>
      <c r="L430">
        <f t="shared" ca="1" si="71"/>
        <v>0.19020536366810648</v>
      </c>
      <c r="M430">
        <f t="shared" ca="1" si="71"/>
        <v>-0.19554020566817693</v>
      </c>
      <c r="O430">
        <v>428</v>
      </c>
      <c r="P430" s="6">
        <f t="shared" ca="1" si="63"/>
        <v>1933.5063429493291</v>
      </c>
      <c r="Q430" s="6">
        <f t="shared" ca="1" si="64"/>
        <v>386.49779362928308</v>
      </c>
      <c r="R430" s="6">
        <f t="shared" ca="1" si="65"/>
        <v>149.87265514756723</v>
      </c>
      <c r="S430" s="6"/>
      <c r="T430" s="4">
        <f t="shared" ca="1" si="66"/>
        <v>3.7186242891789227E-2</v>
      </c>
      <c r="U430" s="4">
        <f t="shared" ca="1" si="67"/>
        <v>-1.5278353981902922E-2</v>
      </c>
      <c r="V430" s="4">
        <f t="shared" ca="1" si="68"/>
        <v>-2.3519179009560718E-2</v>
      </c>
      <c r="W430" s="4"/>
      <c r="X430">
        <v>428</v>
      </c>
      <c r="Y430" s="4">
        <f t="shared" ca="1" si="69"/>
        <v>2.3711665278445804E-2</v>
      </c>
      <c r="Z430" s="4">
        <f ca="1"/>
        <v>-3.2228572590112933E-3</v>
      </c>
      <c r="AA430" s="4"/>
    </row>
    <row r="431" spans="1:27" x14ac:dyDescent="0.35">
      <c r="A431">
        <v>429</v>
      </c>
      <c r="B431">
        <f ca="1">_xlfn.NORM.INV(RAND(),Hitorical_Sim!$AB$4,Hitorical_Sim!$AB$5)</f>
        <v>-1.4501405411672472E-2</v>
      </c>
      <c r="C431">
        <f ca="1">_xlfn.NORM.INV(RAND(),Hitorical_Sim!$AB$4,Hitorical_Sim!$AB$5)</f>
        <v>4.1541286485220494E-3</v>
      </c>
      <c r="D431">
        <f ca="1">_xlfn.NORM.INV(RAND(),Hitorical_Sim!$AB$4,Hitorical_Sim!$AB$5)</f>
        <v>1.1304351800881842E-2</v>
      </c>
      <c r="K431">
        <f t="shared" ca="1" si="71"/>
        <v>1.2609494000582651</v>
      </c>
      <c r="L431">
        <f t="shared" ca="1" si="71"/>
        <v>-1.0820893955894877</v>
      </c>
      <c r="M431">
        <f t="shared" ca="1" si="71"/>
        <v>1.1448923894665917</v>
      </c>
      <c r="O431">
        <v>429</v>
      </c>
      <c r="P431" s="6">
        <f t="shared" ca="1" si="63"/>
        <v>1982.6867185738438</v>
      </c>
      <c r="Q431" s="6">
        <f t="shared" ca="1" si="64"/>
        <v>372.72013734900531</v>
      </c>
      <c r="R431" s="6">
        <f t="shared" ca="1" si="65"/>
        <v>156.12798704449111</v>
      </c>
      <c r="S431" s="6"/>
      <c r="T431" s="4">
        <f t="shared" ca="1" si="66"/>
        <v>2.5117740870599873E-2</v>
      </c>
      <c r="U431" s="4">
        <f t="shared" ca="1" si="67"/>
        <v>-3.629832340642318E-2</v>
      </c>
      <c r="V431" s="4">
        <f t="shared" ca="1" si="68"/>
        <v>4.0890132815462256E-2</v>
      </c>
      <c r="W431" s="4"/>
      <c r="X431">
        <v>429</v>
      </c>
      <c r="Y431" s="4">
        <f t="shared" ca="1" si="69"/>
        <v>1.3641631461700943E-2</v>
      </c>
      <c r="Z431" s="4">
        <f ca="1"/>
        <v>-3.1697307134613364E-3</v>
      </c>
      <c r="AA431" s="4"/>
    </row>
    <row r="432" spans="1:27" x14ac:dyDescent="0.35">
      <c r="A432">
        <v>430</v>
      </c>
      <c r="B432">
        <f ca="1">_xlfn.NORM.INV(RAND(),Hitorical_Sim!$AB$4,Hitorical_Sim!$AB$5)</f>
        <v>2.9028913256730338E-2</v>
      </c>
      <c r="C432">
        <f ca="1">_xlfn.NORM.INV(RAND(),Hitorical_Sim!$AB$4,Hitorical_Sim!$AB$5)</f>
        <v>3.5150161166736887E-2</v>
      </c>
      <c r="D432">
        <f ca="1">_xlfn.NORM.INV(RAND(),Hitorical_Sim!$AB$4,Hitorical_Sim!$AB$5)</f>
        <v>2.9719155363234644E-2</v>
      </c>
      <c r="K432">
        <f t="shared" ca="1" si="71"/>
        <v>-0.639057762857835</v>
      </c>
      <c r="L432">
        <f t="shared" ca="1" si="71"/>
        <v>0.13504273772353415</v>
      </c>
      <c r="M432">
        <f t="shared" ca="1" si="71"/>
        <v>-0.2176918993515547</v>
      </c>
      <c r="O432">
        <v>430</v>
      </c>
      <c r="P432" s="6">
        <f t="shared" ca="1" si="63"/>
        <v>1915.5071216365609</v>
      </c>
      <c r="Q432" s="6">
        <f t="shared" ca="1" si="64"/>
        <v>385.89000988322891</v>
      </c>
      <c r="R432" s="6">
        <f t="shared" ca="1" si="65"/>
        <v>149.77141421131512</v>
      </c>
      <c r="S432" s="6"/>
      <c r="T432" s="4">
        <f t="shared" ca="1" si="66"/>
        <v>-3.4470450432296115E-2</v>
      </c>
      <c r="U432" s="4">
        <f t="shared" ca="1" si="67"/>
        <v>3.4724544357257026E-2</v>
      </c>
      <c r="V432" s="4">
        <f t="shared" ca="1" si="68"/>
        <v>-4.1565874139634952E-2</v>
      </c>
      <c r="W432" s="4"/>
      <c r="X432">
        <v>430</v>
      </c>
      <c r="Y432" s="4">
        <f t="shared" ca="1" si="69"/>
        <v>-2.1012490541432872E-2</v>
      </c>
      <c r="Z432" s="4">
        <f ca="1"/>
        <v>-3.1485452719471072E-3</v>
      </c>
      <c r="AA432" s="4"/>
    </row>
    <row r="433" spans="1:27" x14ac:dyDescent="0.35">
      <c r="A433">
        <v>431</v>
      </c>
      <c r="B433">
        <f ca="1">_xlfn.NORM.INV(RAND(),Hitorical_Sim!$AB$4,Hitorical_Sim!$AB$5)</f>
        <v>2.0233083543782969E-2</v>
      </c>
      <c r="C433">
        <f ca="1">_xlfn.NORM.INV(RAND(),Hitorical_Sim!$AB$4,Hitorical_Sim!$AB$5)</f>
        <v>-2.9609513558388218E-2</v>
      </c>
      <c r="D433">
        <f ca="1">_xlfn.NORM.INV(RAND(),Hitorical_Sim!$AB$4,Hitorical_Sim!$AB$5)</f>
        <v>1.1460498608785298E-2</v>
      </c>
      <c r="K433">
        <f t="shared" ca="1" si="71"/>
        <v>-0.14083975191986003</v>
      </c>
      <c r="L433">
        <f t="shared" ca="1" si="71"/>
        <v>-6.0239159657695272E-3</v>
      </c>
      <c r="M433">
        <f t="shared" ca="1" si="71"/>
        <v>-0.65389889513507815</v>
      </c>
      <c r="O433">
        <v>431</v>
      </c>
      <c r="P433" s="6">
        <f t="shared" ca="1" si="63"/>
        <v>1932.8995068312845</v>
      </c>
      <c r="Q433" s="6">
        <f t="shared" ca="1" si="64"/>
        <v>384.34007629918074</v>
      </c>
      <c r="R433" s="6">
        <f t="shared" ca="1" si="65"/>
        <v>147.79167120667441</v>
      </c>
      <c r="S433" s="6"/>
      <c r="T433" s="4">
        <f t="shared" ca="1" si="66"/>
        <v>9.0388076348915485E-3</v>
      </c>
      <c r="U433" s="4">
        <f t="shared" ca="1" si="67"/>
        <v>-4.0246043459805109E-3</v>
      </c>
      <c r="V433" s="4">
        <f t="shared" ca="1" si="68"/>
        <v>-1.3306571369095074E-2</v>
      </c>
      <c r="W433" s="4"/>
      <c r="X433">
        <v>431</v>
      </c>
      <c r="Y433" s="4">
        <f t="shared" ca="1" si="69"/>
        <v>5.3258921472618317E-3</v>
      </c>
      <c r="Z433" s="4">
        <f ca="1"/>
        <v>-3.059337799303753E-3</v>
      </c>
      <c r="AA433" s="4"/>
    </row>
    <row r="434" spans="1:27" x14ac:dyDescent="0.35">
      <c r="A434">
        <v>432</v>
      </c>
      <c r="B434">
        <f ca="1">_xlfn.NORM.INV(RAND(),Hitorical_Sim!$AB$4,Hitorical_Sim!$AB$5)</f>
        <v>-7.6059322365204366E-4</v>
      </c>
      <c r="C434">
        <f ca="1">_xlfn.NORM.INV(RAND(),Hitorical_Sim!$AB$4,Hitorical_Sim!$AB$5)</f>
        <v>1.4306764953209219E-2</v>
      </c>
      <c r="D434">
        <f ca="1">_xlfn.NORM.INV(RAND(),Hitorical_Sim!$AB$4,Hitorical_Sim!$AB$5)</f>
        <v>1.3800029418514399E-2</v>
      </c>
      <c r="K434">
        <f t="shared" ca="1" si="71"/>
        <v>0.48321115798589143</v>
      </c>
      <c r="L434">
        <f t="shared" ca="1" si="71"/>
        <v>2.5071050073111021</v>
      </c>
      <c r="M434">
        <f t="shared" ca="1" si="71"/>
        <v>-0.74683036200443964</v>
      </c>
      <c r="O434">
        <v>432</v>
      </c>
      <c r="P434" s="6">
        <f t="shared" ca="1" si="63"/>
        <v>1954.9075694078338</v>
      </c>
      <c r="Q434" s="6">
        <f t="shared" ca="1" si="64"/>
        <v>412.90884657955917</v>
      </c>
      <c r="R434" s="6">
        <f t="shared" ca="1" si="65"/>
        <v>147.3732912695522</v>
      </c>
      <c r="S434" s="6"/>
      <c r="T434" s="4">
        <f t="shared" ca="1" si="66"/>
        <v>1.1321702558278997E-2</v>
      </c>
      <c r="U434" s="4">
        <f t="shared" ca="1" si="67"/>
        <v>7.1699082115507184E-2</v>
      </c>
      <c r="V434" s="4">
        <f t="shared" ca="1" si="68"/>
        <v>-2.8348907933277777E-3</v>
      </c>
      <c r="W434" s="4"/>
      <c r="X434">
        <v>432</v>
      </c>
      <c r="Y434" s="4">
        <f t="shared" ca="1" si="69"/>
        <v>2.2670489381662818E-2</v>
      </c>
      <c r="Z434" s="4">
        <f ca="1"/>
        <v>-3.0178828599053704E-3</v>
      </c>
      <c r="AA434" s="4"/>
    </row>
    <row r="435" spans="1:27" x14ac:dyDescent="0.35">
      <c r="A435">
        <v>433</v>
      </c>
      <c r="B435">
        <f ca="1">_xlfn.NORM.INV(RAND(),Hitorical_Sim!$AB$4,Hitorical_Sim!$AB$5)</f>
        <v>1.1071958767128322E-2</v>
      </c>
      <c r="C435">
        <f ca="1">_xlfn.NORM.INV(RAND(),Hitorical_Sim!$AB$4,Hitorical_Sim!$AB$5)</f>
        <v>-5.3176577693713244E-3</v>
      </c>
      <c r="D435">
        <f ca="1">_xlfn.NORM.INV(RAND(),Hitorical_Sim!$AB$4,Hitorical_Sim!$AB$5)</f>
        <v>3.5184770522326561E-2</v>
      </c>
      <c r="K435">
        <f t="shared" ca="1" si="71"/>
        <v>1.8088713724643271</v>
      </c>
      <c r="L435">
        <f t="shared" ca="1" si="71"/>
        <v>-1.107150747141012</v>
      </c>
      <c r="M435">
        <f t="shared" ca="1" si="71"/>
        <v>0.58495388944178894</v>
      </c>
      <c r="O435">
        <v>433</v>
      </c>
      <c r="P435" s="6">
        <f t="shared" ca="1" si="63"/>
        <v>2002.4940006045344</v>
      </c>
      <c r="Q435" s="6">
        <f t="shared" ca="1" si="64"/>
        <v>372.45373937136003</v>
      </c>
      <c r="R435" s="6">
        <f t="shared" ca="1" si="65"/>
        <v>153.48380827556753</v>
      </c>
      <c r="S435" s="6"/>
      <c r="T435" s="4">
        <f t="shared" ca="1" si="66"/>
        <v>2.4050490758736096E-2</v>
      </c>
      <c r="U435" s="4">
        <f t="shared" ca="1" si="67"/>
        <v>-0.10311401763941937</v>
      </c>
      <c r="V435" s="4">
        <f t="shared" ca="1" si="68"/>
        <v>4.0626313565362226E-2</v>
      </c>
      <c r="W435" s="4"/>
      <c r="X435">
        <v>433</v>
      </c>
      <c r="Y435" s="4">
        <f t="shared" ca="1" si="69"/>
        <v>-5.0714812026696155E-4</v>
      </c>
      <c r="Z435" s="4">
        <f ca="1"/>
        <v>-3.0129159935700575E-3</v>
      </c>
      <c r="AA435" s="4"/>
    </row>
    <row r="436" spans="1:27" x14ac:dyDescent="0.35">
      <c r="A436">
        <v>434</v>
      </c>
      <c r="B436">
        <f ca="1">_xlfn.NORM.INV(RAND(),Hitorical_Sim!$AB$4,Hitorical_Sim!$AB$5)</f>
        <v>1.384678751143086E-3</v>
      </c>
      <c r="C436">
        <f ca="1">_xlfn.NORM.INV(RAND(),Hitorical_Sim!$AB$4,Hitorical_Sim!$AB$5)</f>
        <v>5.79430036708572E-3</v>
      </c>
      <c r="D436">
        <f ca="1">_xlfn.NORM.INV(RAND(),Hitorical_Sim!$AB$4,Hitorical_Sim!$AB$5)</f>
        <v>8.0925106691954758E-3</v>
      </c>
      <c r="K436">
        <f t="shared" ca="1" si="71"/>
        <v>1.4229292766922876</v>
      </c>
      <c r="L436">
        <f t="shared" ca="1" si="71"/>
        <v>0.1006917061838824</v>
      </c>
      <c r="M436">
        <f t="shared" ca="1" si="71"/>
        <v>-0.71424649391746076</v>
      </c>
      <c r="O436">
        <v>434</v>
      </c>
      <c r="P436" s="6">
        <f t="shared" ca="1" si="63"/>
        <v>1988.5217764056285</v>
      </c>
      <c r="Q436" s="6">
        <f t="shared" ca="1" si="64"/>
        <v>385.51201201282475</v>
      </c>
      <c r="R436" s="6">
        <f t="shared" ca="1" si="65"/>
        <v>147.51984970493066</v>
      </c>
      <c r="S436" s="6"/>
      <c r="T436" s="4">
        <f t="shared" ca="1" si="66"/>
        <v>-7.0018672253994311E-3</v>
      </c>
      <c r="U436" s="4">
        <f t="shared" ca="1" si="67"/>
        <v>3.4459511583917503E-2</v>
      </c>
      <c r="V436" s="4">
        <f t="shared" ca="1" si="68"/>
        <v>-3.9632336920393835E-2</v>
      </c>
      <c r="W436" s="4"/>
      <c r="X436">
        <v>434</v>
      </c>
      <c r="Y436" s="4">
        <f t="shared" ca="1" si="69"/>
        <v>-3.4238452555568474E-4</v>
      </c>
      <c r="Z436" s="4">
        <f ca="1"/>
        <v>-2.9911221008377164E-3</v>
      </c>
      <c r="AA436" s="4"/>
    </row>
    <row r="437" spans="1:27" x14ac:dyDescent="0.35">
      <c r="A437">
        <v>435</v>
      </c>
      <c r="B437">
        <f ca="1">_xlfn.NORM.INV(RAND(),Hitorical_Sim!$AB$4,Hitorical_Sim!$AB$5)</f>
        <v>-3.3222248353782335E-3</v>
      </c>
      <c r="C437">
        <f ca="1">_xlfn.NORM.INV(RAND(),Hitorical_Sim!$AB$4,Hitorical_Sim!$AB$5)</f>
        <v>-1.4542250350824459E-2</v>
      </c>
      <c r="D437">
        <f ca="1">_xlfn.NORM.INV(RAND(),Hitorical_Sim!$AB$4,Hitorical_Sim!$AB$5)</f>
        <v>-1.1991628886616189E-2</v>
      </c>
      <c r="K437">
        <f t="shared" ca="1" si="71"/>
        <v>0.52879909514219292</v>
      </c>
      <c r="L437">
        <f t="shared" ca="1" si="71"/>
        <v>-0.87742302535267547</v>
      </c>
      <c r="M437">
        <f t="shared" ca="1" si="71"/>
        <v>-2.1022736549952503</v>
      </c>
      <c r="O437">
        <v>435</v>
      </c>
      <c r="P437" s="6">
        <f t="shared" ca="1" si="63"/>
        <v>1956.5250813562945</v>
      </c>
      <c r="Q437" s="6">
        <f t="shared" ca="1" si="64"/>
        <v>374.90285083642442</v>
      </c>
      <c r="R437" s="6">
        <f t="shared" ca="1" si="65"/>
        <v>141.40395559120788</v>
      </c>
      <c r="S437" s="6"/>
      <c r="T437" s="4">
        <f t="shared" ca="1" si="66"/>
        <v>-1.622155468921439E-2</v>
      </c>
      <c r="U437" s="4">
        <f t="shared" ca="1" si="67"/>
        <v>-2.790542411305531E-2</v>
      </c>
      <c r="V437" s="4">
        <f t="shared" ca="1" si="68"/>
        <v>-4.2342013446960022E-2</v>
      </c>
      <c r="W437" s="4"/>
      <c r="X437">
        <v>435</v>
      </c>
      <c r="Y437" s="4">
        <f t="shared" ca="1" si="69"/>
        <v>-1.984598639905839E-2</v>
      </c>
      <c r="Z437" s="4">
        <f ca="1"/>
        <v>-2.8816504041976813E-3</v>
      </c>
      <c r="AA437" s="4"/>
    </row>
    <row r="438" spans="1:27" x14ac:dyDescent="0.35">
      <c r="A438">
        <v>436</v>
      </c>
      <c r="B438">
        <f ca="1">_xlfn.NORM.INV(RAND(),Hitorical_Sim!$AB$4,Hitorical_Sim!$AB$5)</f>
        <v>-9.2421939019615034E-4</v>
      </c>
      <c r="C438">
        <f ca="1">_xlfn.NORM.INV(RAND(),Hitorical_Sim!$AB$4,Hitorical_Sim!$AB$5)</f>
        <v>6.1851202531273859E-3</v>
      </c>
      <c r="D438">
        <f ca="1">_xlfn.NORM.INV(RAND(),Hitorical_Sim!$AB$4,Hitorical_Sim!$AB$5)</f>
        <v>5.4779739069968966E-3</v>
      </c>
      <c r="K438">
        <f t="shared" ca="1" si="71"/>
        <v>-0.35502661889560549</v>
      </c>
      <c r="L438">
        <f t="shared" ca="1" si="71"/>
        <v>-0.55648728299773376</v>
      </c>
      <c r="M438">
        <f t="shared" ca="1" si="71"/>
        <v>1.0428757008394616</v>
      </c>
      <c r="O438">
        <v>436</v>
      </c>
      <c r="P438" s="6">
        <f t="shared" ca="1" si="63"/>
        <v>1925.4031490133855</v>
      </c>
      <c r="Q438" s="6">
        <f t="shared" ca="1" si="64"/>
        <v>378.35131268295879</v>
      </c>
      <c r="R438" s="6">
        <f t="shared" ca="1" si="65"/>
        <v>155.64286620718667</v>
      </c>
      <c r="S438" s="6"/>
      <c r="T438" s="4">
        <f t="shared" ca="1" si="66"/>
        <v>-1.6034608216829286E-2</v>
      </c>
      <c r="U438" s="4">
        <f t="shared" ca="1" si="67"/>
        <v>9.1562346570364314E-3</v>
      </c>
      <c r="V438" s="4">
        <f t="shared" ca="1" si="68"/>
        <v>9.5943336018038852E-2</v>
      </c>
      <c r="W438" s="4"/>
      <c r="X438">
        <v>436</v>
      </c>
      <c r="Y438" s="4">
        <f t="shared" ca="1" si="69"/>
        <v>-5.4655190321538996E-3</v>
      </c>
      <c r="Z438" s="4">
        <f ca="1"/>
        <v>-2.8454670757809648E-3</v>
      </c>
      <c r="AA438" s="4"/>
    </row>
    <row r="439" spans="1:27" x14ac:dyDescent="0.35">
      <c r="A439">
        <v>437</v>
      </c>
      <c r="B439">
        <f ca="1">_xlfn.NORM.INV(RAND(),Hitorical_Sim!$AB$4,Hitorical_Sim!$AB$5)</f>
        <v>6.0160380694962478E-3</v>
      </c>
      <c r="C439">
        <f ca="1">_xlfn.NORM.INV(RAND(),Hitorical_Sim!$AB$4,Hitorical_Sim!$AB$5)</f>
        <v>2.1703911302243317E-2</v>
      </c>
      <c r="D439">
        <f ca="1">_xlfn.NORM.INV(RAND(),Hitorical_Sim!$AB$4,Hitorical_Sim!$AB$5)</f>
        <v>1.2062906700192366E-2</v>
      </c>
      <c r="K439">
        <f t="shared" ca="1" si="71"/>
        <v>-1.2472757533790413</v>
      </c>
      <c r="L439">
        <f t="shared" ca="1" si="71"/>
        <v>1.3641540998161013</v>
      </c>
      <c r="M439">
        <f t="shared" ca="1" si="71"/>
        <v>-1.0249181210501737</v>
      </c>
      <c r="O439">
        <v>437</v>
      </c>
      <c r="P439" s="6">
        <f t="shared" ca="1" si="63"/>
        <v>1894.4867275149966</v>
      </c>
      <c r="Q439" s="6">
        <f t="shared" ca="1" si="64"/>
        <v>399.66180013445643</v>
      </c>
      <c r="R439" s="6">
        <f t="shared" ca="1" si="65"/>
        <v>146.12839429004967</v>
      </c>
      <c r="S439" s="6"/>
      <c r="T439" s="4">
        <f t="shared" ca="1" si="66"/>
        <v>-1.6187428218042275E-2</v>
      </c>
      <c r="U439" s="4">
        <f t="shared" ca="1" si="67"/>
        <v>5.4795527179422487E-2</v>
      </c>
      <c r="V439" s="4">
        <f t="shared" ca="1" si="68"/>
        <v>-6.307841537049351E-2</v>
      </c>
      <c r="W439" s="4"/>
      <c r="X439">
        <v>437</v>
      </c>
      <c r="Y439" s="4">
        <f t="shared" ca="1" si="69"/>
        <v>-4.3421353748789417E-3</v>
      </c>
      <c r="Z439" s="4">
        <f ca="1"/>
        <v>-2.7156192655713282E-3</v>
      </c>
      <c r="AA439" s="4"/>
    </row>
    <row r="440" spans="1:27" x14ac:dyDescent="0.35">
      <c r="A440">
        <v>438</v>
      </c>
      <c r="B440">
        <f ca="1">_xlfn.NORM.INV(RAND(),Hitorical_Sim!$AB$4,Hitorical_Sim!$AB$5)</f>
        <v>-5.8513408369417009E-3</v>
      </c>
      <c r="C440">
        <f ca="1">_xlfn.NORM.INV(RAND(),Hitorical_Sim!$AB$4,Hitorical_Sim!$AB$5)</f>
        <v>-2.6642706428868612E-3</v>
      </c>
      <c r="D440">
        <f ca="1">_xlfn.NORM.INV(RAND(),Hitorical_Sim!$AB$4,Hitorical_Sim!$AB$5)</f>
        <v>9.0137720992549998E-3</v>
      </c>
      <c r="K440">
        <f t="shared" ca="1" si="71"/>
        <v>0.36376854685159665</v>
      </c>
      <c r="L440">
        <f t="shared" ca="1" si="71"/>
        <v>-1.2379409210000463</v>
      </c>
      <c r="M440">
        <f t="shared" ca="1" si="71"/>
        <v>-0.84358265478032013</v>
      </c>
      <c r="O440">
        <v>438</v>
      </c>
      <c r="P440" s="6">
        <f t="shared" ca="1" si="63"/>
        <v>1950.6759483189273</v>
      </c>
      <c r="Q440" s="6">
        <f t="shared" ca="1" si="64"/>
        <v>371.06654835309229</v>
      </c>
      <c r="R440" s="6">
        <f t="shared" ca="1" si="65"/>
        <v>146.9389682493433</v>
      </c>
      <c r="S440" s="6"/>
      <c r="T440" s="4">
        <f t="shared" ca="1" si="66"/>
        <v>2.9228007019774651E-2</v>
      </c>
      <c r="U440" s="4">
        <f t="shared" ca="1" si="67"/>
        <v>-7.4237267671323215E-2</v>
      </c>
      <c r="V440" s="4">
        <f t="shared" ca="1" si="68"/>
        <v>5.5316703927081722E-3</v>
      </c>
      <c r="W440" s="4"/>
      <c r="X440">
        <v>438</v>
      </c>
      <c r="Y440" s="4">
        <f t="shared" ca="1" si="69"/>
        <v>7.4069053208673441E-3</v>
      </c>
      <c r="Z440" s="4">
        <f ca="1"/>
        <v>-2.6467456940711151E-3</v>
      </c>
      <c r="AA440" s="4"/>
    </row>
    <row r="441" spans="1:27" x14ac:dyDescent="0.35">
      <c r="A441">
        <v>439</v>
      </c>
      <c r="B441">
        <f ca="1">_xlfn.NORM.INV(RAND(),Hitorical_Sim!$AB$4,Hitorical_Sim!$AB$5)</f>
        <v>-2.3893179145041601E-2</v>
      </c>
      <c r="C441">
        <f ca="1">_xlfn.NORM.INV(RAND(),Hitorical_Sim!$AB$4,Hitorical_Sim!$AB$5)</f>
        <v>2.4866853867803497E-3</v>
      </c>
      <c r="D441">
        <f ca="1">_xlfn.NORM.INV(RAND(),Hitorical_Sim!$AB$4,Hitorical_Sim!$AB$5)</f>
        <v>1.7127586301492605E-3</v>
      </c>
      <c r="K441">
        <f t="shared" ca="1" si="71"/>
        <v>-1.1529891401560892</v>
      </c>
      <c r="L441">
        <f t="shared" ca="1" si="71"/>
        <v>0.37192863609781024</v>
      </c>
      <c r="M441">
        <f t="shared" ca="1" si="71"/>
        <v>0.74013169828509207</v>
      </c>
      <c r="O441">
        <v>439</v>
      </c>
      <c r="P441" s="6">
        <f t="shared" ca="1" si="63"/>
        <v>1897.7301597054693</v>
      </c>
      <c r="Q441" s="6">
        <f t="shared" ca="1" si="64"/>
        <v>388.50680635698859</v>
      </c>
      <c r="R441" s="6">
        <f t="shared" ca="1" si="65"/>
        <v>154.21208099855241</v>
      </c>
      <c r="S441" s="6"/>
      <c r="T441" s="4">
        <f t="shared" ca="1" si="66"/>
        <v>-2.7517433454071351E-2</v>
      </c>
      <c r="U441" s="4">
        <f t="shared" ca="1" si="67"/>
        <v>4.5929267098287194E-2</v>
      </c>
      <c r="V441" s="4">
        <f t="shared" ca="1" si="68"/>
        <v>4.8311485764853238E-2</v>
      </c>
      <c r="W441" s="4"/>
      <c r="X441">
        <v>439</v>
      </c>
      <c r="Y441" s="4">
        <f t="shared" ca="1" si="69"/>
        <v>-9.1070340531188947E-3</v>
      </c>
      <c r="Z441" s="4">
        <f ca="1"/>
        <v>-2.6401435770029799E-3</v>
      </c>
      <c r="AA441" s="4"/>
    </row>
    <row r="442" spans="1:27" x14ac:dyDescent="0.35">
      <c r="A442">
        <v>440</v>
      </c>
      <c r="B442">
        <f ca="1">_xlfn.NORM.INV(RAND(),Hitorical_Sim!$AB$4,Hitorical_Sim!$AB$5)</f>
        <v>1.2624822789785455E-2</v>
      </c>
      <c r="C442">
        <f ca="1">_xlfn.NORM.INV(RAND(),Hitorical_Sim!$AB$4,Hitorical_Sim!$AB$5)</f>
        <v>-1.0883783500165846E-2</v>
      </c>
      <c r="D442">
        <f ca="1">_xlfn.NORM.INV(RAND(),Hitorical_Sim!$AB$4,Hitorical_Sim!$AB$5)</f>
        <v>-1.9364442177802664E-2</v>
      </c>
      <c r="K442">
        <f t="shared" ca="1" si="71"/>
        <v>-0.28085436488479371</v>
      </c>
      <c r="L442">
        <f t="shared" ca="1" si="71"/>
        <v>-0.11564563260400702</v>
      </c>
      <c r="M442">
        <f t="shared" ca="1" si="71"/>
        <v>-0.63402696216030519</v>
      </c>
      <c r="O442">
        <v>440</v>
      </c>
      <c r="P442" s="6">
        <f t="shared" ca="1" si="63"/>
        <v>1927.9958182382907</v>
      </c>
      <c r="Q442" s="6">
        <f t="shared" ca="1" si="64"/>
        <v>383.1399356377043</v>
      </c>
      <c r="R442" s="6">
        <f t="shared" ca="1" si="65"/>
        <v>147.88128920833719</v>
      </c>
      <c r="S442" s="6"/>
      <c r="T442" s="4">
        <f t="shared" ca="1" si="66"/>
        <v>1.5822508003144112E-2</v>
      </c>
      <c r="U442" s="4">
        <f t="shared" ca="1" si="67"/>
        <v>-1.3910399584067937E-2</v>
      </c>
      <c r="V442" s="4">
        <f t="shared" ca="1" si="68"/>
        <v>-4.1918952388262716E-2</v>
      </c>
      <c r="W442" s="4"/>
      <c r="X442">
        <v>440</v>
      </c>
      <c r="Y442" s="4">
        <f t="shared" ca="1" si="69"/>
        <v>7.031137144327319E-3</v>
      </c>
      <c r="Z442" s="4">
        <f ca="1"/>
        <v>-2.5692907355221138E-3</v>
      </c>
      <c r="AA442" s="4"/>
    </row>
    <row r="443" spans="1:27" x14ac:dyDescent="0.35">
      <c r="A443">
        <v>441</v>
      </c>
      <c r="B443">
        <f ca="1">_xlfn.NORM.INV(RAND(),Hitorical_Sim!$AB$4,Hitorical_Sim!$AB$5)</f>
        <v>-4.5287199192881718E-2</v>
      </c>
      <c r="C443">
        <f ca="1">_xlfn.NORM.INV(RAND(),Hitorical_Sim!$AB$4,Hitorical_Sim!$AB$5)</f>
        <v>7.4451198816775175E-3</v>
      </c>
      <c r="D443">
        <f ca="1">_xlfn.NORM.INV(RAND(),Hitorical_Sim!$AB$4,Hitorical_Sim!$AB$5)</f>
        <v>1.769403013615628E-2</v>
      </c>
      <c r="K443">
        <f t="shared" ca="1" si="71"/>
        <v>0.29162102525652822</v>
      </c>
      <c r="L443">
        <f t="shared" ca="1" si="71"/>
        <v>0.92185504926719763</v>
      </c>
      <c r="M443">
        <f t="shared" ca="1" si="71"/>
        <v>-0.72732707843888322</v>
      </c>
      <c r="O443">
        <v>441</v>
      </c>
      <c r="P443" s="6">
        <f t="shared" ca="1" si="63"/>
        <v>1948.1243396505188</v>
      </c>
      <c r="Q443" s="6">
        <f t="shared" ca="1" si="64"/>
        <v>394.65027123767084</v>
      </c>
      <c r="R443" s="6">
        <f t="shared" ca="1" si="65"/>
        <v>147.46099726002615</v>
      </c>
      <c r="S443" s="6"/>
      <c r="T443" s="4">
        <f t="shared" ca="1" si="66"/>
        <v>1.0386005350258539E-2</v>
      </c>
      <c r="U443" s="4">
        <f t="shared" ca="1" si="67"/>
        <v>2.9599693790234853E-2</v>
      </c>
      <c r="V443" s="4">
        <f t="shared" ca="1" si="68"/>
        <v>-2.8461365085989134E-3</v>
      </c>
      <c r="W443" s="4"/>
      <c r="X443">
        <v>441</v>
      </c>
      <c r="Y443" s="4">
        <f t="shared" ca="1" si="69"/>
        <v>1.3565584206709929E-2</v>
      </c>
      <c r="Z443" s="4">
        <f ca="1"/>
        <v>-2.55886049258815E-3</v>
      </c>
      <c r="AA443" s="4"/>
    </row>
    <row r="444" spans="1:27" x14ac:dyDescent="0.35">
      <c r="A444">
        <v>442</v>
      </c>
      <c r="B444">
        <f ca="1">_xlfn.NORM.INV(RAND(),Hitorical_Sim!$AB$4,Hitorical_Sim!$AB$5)</f>
        <v>2.2566568755292279E-2</v>
      </c>
      <c r="C444">
        <f ca="1">_xlfn.NORM.INV(RAND(),Hitorical_Sim!$AB$4,Hitorical_Sim!$AB$5)</f>
        <v>-3.2371971008244543E-2</v>
      </c>
      <c r="D444">
        <f ca="1">_xlfn.NORM.INV(RAND(),Hitorical_Sim!$AB$4,Hitorical_Sim!$AB$5)</f>
        <v>-1.814678521855688E-2</v>
      </c>
      <c r="K444">
        <f t="shared" ref="K444:M463" ca="1" si="72">_xlfn.NORM.S.INV(RAND())</f>
        <v>0.40597036015236415</v>
      </c>
      <c r="L444">
        <f t="shared" ca="1" si="72"/>
        <v>-2.9436609985187583</v>
      </c>
      <c r="M444">
        <f t="shared" ca="1" si="72"/>
        <v>-0.21529405891237721</v>
      </c>
      <c r="O444">
        <v>442</v>
      </c>
      <c r="P444" s="6">
        <f t="shared" ca="1" si="63"/>
        <v>1952.170029610963</v>
      </c>
      <c r="Q444" s="6">
        <f t="shared" ca="1" si="64"/>
        <v>353.4413496334177</v>
      </c>
      <c r="R444" s="6">
        <f t="shared" ca="1" si="65"/>
        <v>149.78236987358326</v>
      </c>
      <c r="S444" s="6"/>
      <c r="T444" s="4">
        <f t="shared" ca="1" si="66"/>
        <v>2.0745569582186789E-3</v>
      </c>
      <c r="U444" s="4">
        <f t="shared" ca="1" si="67"/>
        <v>-0.11028242521184903</v>
      </c>
      <c r="V444" s="4">
        <f t="shared" ca="1" si="68"/>
        <v>1.5619657601832397E-2</v>
      </c>
      <c r="W444" s="4"/>
      <c r="X444">
        <v>442</v>
      </c>
      <c r="Y444" s="4">
        <f t="shared" ca="1" si="69"/>
        <v>-1.9677962789702755E-2</v>
      </c>
      <c r="Z444" s="4">
        <f ca="1"/>
        <v>-2.5254267357876802E-3</v>
      </c>
      <c r="AA444" s="4"/>
    </row>
    <row r="445" spans="1:27" x14ac:dyDescent="0.35">
      <c r="A445">
        <v>443</v>
      </c>
      <c r="B445">
        <f ca="1">_xlfn.NORM.INV(RAND(),Hitorical_Sim!$AB$4,Hitorical_Sim!$AB$5)</f>
        <v>2.7391832887785929E-2</v>
      </c>
      <c r="C445">
        <f ca="1">_xlfn.NORM.INV(RAND(),Hitorical_Sim!$AB$4,Hitorical_Sim!$AB$5)</f>
        <v>2.3028725566227561E-2</v>
      </c>
      <c r="D445">
        <f ca="1">_xlfn.NORM.INV(RAND(),Hitorical_Sim!$AB$4,Hitorical_Sim!$AB$5)</f>
        <v>-7.4912978038484124E-4</v>
      </c>
      <c r="K445">
        <f t="shared" ca="1" si="72"/>
        <v>0.25789954555902073</v>
      </c>
      <c r="L445">
        <f t="shared" ca="1" si="72"/>
        <v>-0.53349458594031174</v>
      </c>
      <c r="M445">
        <f t="shared" ca="1" si="72"/>
        <v>-0.95618977016185303</v>
      </c>
      <c r="O445">
        <v>443</v>
      </c>
      <c r="P445" s="6">
        <f t="shared" ca="1" si="63"/>
        <v>1946.9328722194548</v>
      </c>
      <c r="Q445" s="6">
        <f t="shared" ca="1" si="64"/>
        <v>378.59958393891486</v>
      </c>
      <c r="R445" s="6">
        <f t="shared" ca="1" si="65"/>
        <v>146.43508415246336</v>
      </c>
      <c r="S445" s="6"/>
      <c r="T445" s="4">
        <f t="shared" ca="1" si="66"/>
        <v>-2.6863412804591712E-3</v>
      </c>
      <c r="U445" s="4">
        <f t="shared" ca="1" si="67"/>
        <v>6.876158159931435E-2</v>
      </c>
      <c r="V445" s="4">
        <f t="shared" ca="1" si="68"/>
        <v>-2.2601154392512653E-2</v>
      </c>
      <c r="W445" s="4"/>
      <c r="X445">
        <v>443</v>
      </c>
      <c r="Y445" s="4">
        <f t="shared" ca="1" si="69"/>
        <v>1.0586797915070506E-2</v>
      </c>
      <c r="Z445" s="4">
        <f ca="1"/>
        <v>-2.5036812418909012E-3</v>
      </c>
      <c r="AA445" s="4"/>
    </row>
    <row r="446" spans="1:27" x14ac:dyDescent="0.35">
      <c r="A446">
        <v>444</v>
      </c>
      <c r="B446">
        <f ca="1">_xlfn.NORM.INV(RAND(),Hitorical_Sim!$AB$4,Hitorical_Sim!$AB$5)</f>
        <v>2.2861535257197897E-2</v>
      </c>
      <c r="C446">
        <f ca="1">_xlfn.NORM.INV(RAND(),Hitorical_Sim!$AB$4,Hitorical_Sim!$AB$5)</f>
        <v>-2.8012147755145421E-3</v>
      </c>
      <c r="D446">
        <f ca="1">_xlfn.NORM.INV(RAND(),Hitorical_Sim!$AB$4,Hitorical_Sim!$AB$5)</f>
        <v>-3.1740688261040627E-3</v>
      </c>
      <c r="K446">
        <f t="shared" ca="1" si="72"/>
        <v>-0.88744374503798595</v>
      </c>
      <c r="L446">
        <f t="shared" ca="1" si="72"/>
        <v>0.30397000724500062</v>
      </c>
      <c r="M446">
        <f t="shared" ca="1" si="72"/>
        <v>1.6179544574625435</v>
      </c>
      <c r="O446">
        <v>444</v>
      </c>
      <c r="P446" s="6">
        <f t="shared" ca="1" si="63"/>
        <v>1906.8947172495377</v>
      </c>
      <c r="Q446" s="6">
        <f t="shared" ca="1" si="64"/>
        <v>387.75428103207935</v>
      </c>
      <c r="R446" s="6">
        <f t="shared" ca="1" si="65"/>
        <v>158.39738058027132</v>
      </c>
      <c r="S446" s="6"/>
      <c r="T446" s="4">
        <f t="shared" ca="1" si="66"/>
        <v>-2.0779131730163127E-2</v>
      </c>
      <c r="U446" s="4">
        <f t="shared" ca="1" si="67"/>
        <v>2.3892702869111132E-2</v>
      </c>
      <c r="V446" s="4">
        <f t="shared" ca="1" si="68"/>
        <v>7.8524723835989976E-2</v>
      </c>
      <c r="W446" s="4"/>
      <c r="X446">
        <v>444</v>
      </c>
      <c r="Y446" s="4">
        <f t="shared" ca="1" si="69"/>
        <v>-6.9495002414649201E-3</v>
      </c>
      <c r="Z446" s="4">
        <f ca="1"/>
        <v>-2.4097420389091176E-3</v>
      </c>
      <c r="AA446" s="4"/>
    </row>
    <row r="447" spans="1:27" x14ac:dyDescent="0.35">
      <c r="A447">
        <v>445</v>
      </c>
      <c r="B447">
        <f ca="1">_xlfn.NORM.INV(RAND(),Hitorical_Sim!$AB$4,Hitorical_Sim!$AB$5)</f>
        <v>1.0479427120184161E-2</v>
      </c>
      <c r="C447">
        <f ca="1">_xlfn.NORM.INV(RAND(),Hitorical_Sim!$AB$4,Hitorical_Sim!$AB$5)</f>
        <v>-5.8044771422820066E-4</v>
      </c>
      <c r="D447">
        <f ca="1">_xlfn.NORM.INV(RAND(),Hitorical_Sim!$AB$4,Hitorical_Sim!$AB$5)</f>
        <v>-2.0556347131691521E-2</v>
      </c>
      <c r="K447">
        <f t="shared" ca="1" si="72"/>
        <v>-0.30954866250985252</v>
      </c>
      <c r="L447">
        <f t="shared" ca="1" si="72"/>
        <v>-0.76212971910192862</v>
      </c>
      <c r="M447">
        <f t="shared" ca="1" si="72"/>
        <v>-0.34760808745147698</v>
      </c>
      <c r="O447">
        <v>445</v>
      </c>
      <c r="P447" s="6">
        <f t="shared" ca="1" si="63"/>
        <v>1926.9924037468263</v>
      </c>
      <c r="Q447" s="6">
        <f t="shared" ca="1" si="64"/>
        <v>376.13804753217079</v>
      </c>
      <c r="R447" s="6">
        <f t="shared" ca="1" si="65"/>
        <v>149.17902731180058</v>
      </c>
      <c r="S447" s="6"/>
      <c r="T447" s="4">
        <f t="shared" ca="1" si="66"/>
        <v>1.0484330894195265E-2</v>
      </c>
      <c r="U447" s="4">
        <f t="shared" ca="1" si="67"/>
        <v>-3.0415618997771111E-2</v>
      </c>
      <c r="V447" s="4">
        <f t="shared" ca="1" si="68"/>
        <v>-5.9959832229051033E-2</v>
      </c>
      <c r="W447" s="4"/>
      <c r="X447">
        <v>445</v>
      </c>
      <c r="Y447" s="4">
        <f t="shared" ca="1" si="69"/>
        <v>-1.164283357333104E-3</v>
      </c>
      <c r="Z447" s="4">
        <f ca="1"/>
        <v>-2.3750946338228088E-3</v>
      </c>
      <c r="AA447" s="4"/>
    </row>
    <row r="448" spans="1:27" x14ac:dyDescent="0.35">
      <c r="A448">
        <v>446</v>
      </c>
      <c r="B448">
        <f ca="1">_xlfn.NORM.INV(RAND(),Hitorical_Sim!$AB$4,Hitorical_Sim!$AB$5)</f>
        <v>-4.3903045237106156E-2</v>
      </c>
      <c r="C448">
        <f ca="1">_xlfn.NORM.INV(RAND(),Hitorical_Sim!$AB$4,Hitorical_Sim!$AB$5)</f>
        <v>-2.0068045018394078E-2</v>
      </c>
      <c r="D448">
        <f ca="1">_xlfn.NORM.INV(RAND(),Hitorical_Sim!$AB$4,Hitorical_Sim!$AB$5)</f>
        <v>3.5425086596184352E-3</v>
      </c>
      <c r="K448">
        <f t="shared" ca="1" si="72"/>
        <v>-0.33770867043064984</v>
      </c>
      <c r="L448">
        <f t="shared" ca="1" si="72"/>
        <v>0.71227127470837881</v>
      </c>
      <c r="M448">
        <f t="shared" ca="1" si="72"/>
        <v>-8.4060716280114786E-2</v>
      </c>
      <c r="O448">
        <v>446</v>
      </c>
      <c r="P448" s="6">
        <f t="shared" ca="1" si="63"/>
        <v>1926.0081806268793</v>
      </c>
      <c r="Q448" s="6">
        <f t="shared" ca="1" si="64"/>
        <v>392.29754643513132</v>
      </c>
      <c r="R448" s="6">
        <f t="shared" ca="1" si="65"/>
        <v>150.38319491430863</v>
      </c>
      <c r="S448" s="6"/>
      <c r="T448" s="4">
        <f t="shared" ca="1" si="66"/>
        <v>-5.1088657777317555E-4</v>
      </c>
      <c r="U448" s="4">
        <f t="shared" ca="1" si="67"/>
        <v>4.2064375188739303E-2</v>
      </c>
      <c r="V448" s="4">
        <f t="shared" ca="1" si="68"/>
        <v>8.0395590568875484E-3</v>
      </c>
      <c r="W448" s="4"/>
      <c r="X448">
        <v>446</v>
      </c>
      <c r="Y448" s="4">
        <f t="shared" ca="1" si="69"/>
        <v>8.4089395507250565E-3</v>
      </c>
      <c r="Z448" s="4">
        <f ca="1"/>
        <v>-2.3723092459873116E-3</v>
      </c>
      <c r="AA448" s="4"/>
    </row>
    <row r="449" spans="1:27" x14ac:dyDescent="0.35">
      <c r="A449">
        <v>447</v>
      </c>
      <c r="B449">
        <f ca="1">_xlfn.NORM.INV(RAND(),Hitorical_Sim!$AB$4,Hitorical_Sim!$AB$5)</f>
        <v>-2.1889429509542508E-3</v>
      </c>
      <c r="C449">
        <f ca="1">_xlfn.NORM.INV(RAND(),Hitorical_Sim!$AB$4,Hitorical_Sim!$AB$5)</f>
        <v>7.203282354837093E-3</v>
      </c>
      <c r="D449">
        <f ca="1">_xlfn.NORM.INV(RAND(),Hitorical_Sim!$AB$4,Hitorical_Sim!$AB$5)</f>
        <v>-4.4584673750062975E-3</v>
      </c>
      <c r="K449">
        <f t="shared" ca="1" si="72"/>
        <v>0.46830477188116404</v>
      </c>
      <c r="L449">
        <f t="shared" ca="1" si="72"/>
        <v>0.29035765400293673</v>
      </c>
      <c r="M449">
        <f t="shared" ca="1" si="72"/>
        <v>1.7881814806087379</v>
      </c>
      <c r="O449">
        <v>447</v>
      </c>
      <c r="P449" s="6">
        <f t="shared" ca="1" si="63"/>
        <v>1954.3789640125406</v>
      </c>
      <c r="Q449" s="6">
        <f t="shared" ca="1" si="64"/>
        <v>387.60372286764306</v>
      </c>
      <c r="R449" s="6">
        <f t="shared" ca="1" si="65"/>
        <v>159.22204666170231</v>
      </c>
      <c r="S449" s="6"/>
      <c r="T449" s="4">
        <f t="shared" ca="1" si="66"/>
        <v>1.462291666749913E-2</v>
      </c>
      <c r="U449" s="4">
        <f t="shared" ca="1" si="67"/>
        <v>-1.2037113996191879E-2</v>
      </c>
      <c r="V449" s="4">
        <f t="shared" ca="1" si="68"/>
        <v>5.711307854745281E-2</v>
      </c>
      <c r="W449" s="4"/>
      <c r="X449">
        <v>447</v>
      </c>
      <c r="Y449" s="4">
        <f t="shared" ca="1" si="69"/>
        <v>1.1405267911172509E-2</v>
      </c>
      <c r="Z449" s="4">
        <f ca="1"/>
        <v>-2.2552767851507357E-3</v>
      </c>
      <c r="AA449" s="4"/>
    </row>
    <row r="450" spans="1:27" x14ac:dyDescent="0.35">
      <c r="A450">
        <v>448</v>
      </c>
      <c r="B450">
        <f ca="1">_xlfn.NORM.INV(RAND(),Hitorical_Sim!$AB$4,Hitorical_Sim!$AB$5)</f>
        <v>1.98560234532171E-2</v>
      </c>
      <c r="C450">
        <f ca="1">_xlfn.NORM.INV(RAND(),Hitorical_Sim!$AB$4,Hitorical_Sim!$AB$5)</f>
        <v>2.7392175126570033E-2</v>
      </c>
      <c r="D450">
        <f ca="1">_xlfn.NORM.INV(RAND(),Hitorical_Sim!$AB$4,Hitorical_Sim!$AB$5)</f>
        <v>1.4802325142079588E-2</v>
      </c>
      <c r="K450">
        <f t="shared" ca="1" si="72"/>
        <v>1.5790534164627326</v>
      </c>
      <c r="L450">
        <f t="shared" ca="1" si="72"/>
        <v>0.77288721649829872</v>
      </c>
      <c r="M450">
        <f t="shared" ca="1" si="72"/>
        <v>0.89626916939101142</v>
      </c>
      <c r="O450">
        <v>448</v>
      </c>
      <c r="P450" s="6">
        <f t="shared" ca="1" si="63"/>
        <v>1994.1621430190678</v>
      </c>
      <c r="Q450" s="6">
        <f t="shared" ca="1" si="64"/>
        <v>392.97655750823913</v>
      </c>
      <c r="R450" s="6">
        <f t="shared" ca="1" si="65"/>
        <v>154.9483453326593</v>
      </c>
      <c r="S450" s="6"/>
      <c r="T450" s="4">
        <f t="shared" ca="1" si="66"/>
        <v>2.0151506185389974E-2</v>
      </c>
      <c r="U450" s="4">
        <f t="shared" ca="1" si="67"/>
        <v>1.3766475091697285E-2</v>
      </c>
      <c r="V450" s="4">
        <f t="shared" ca="1" si="68"/>
        <v>-2.7207942419344169E-2</v>
      </c>
      <c r="W450" s="4"/>
      <c r="X450">
        <v>448</v>
      </c>
      <c r="Y450" s="4">
        <f t="shared" ca="1" si="69"/>
        <v>1.6533433283633339E-2</v>
      </c>
      <c r="Z450" s="4">
        <f ca="1"/>
        <v>-2.1508849826547575E-3</v>
      </c>
      <c r="AA450" s="4"/>
    </row>
    <row r="451" spans="1:27" x14ac:dyDescent="0.35">
      <c r="A451">
        <v>449</v>
      </c>
      <c r="B451">
        <f ca="1">_xlfn.NORM.INV(RAND(),Hitorical_Sim!$AB$4,Hitorical_Sim!$AB$5)</f>
        <v>2.9541944104587579E-2</v>
      </c>
      <c r="C451">
        <f ca="1">_xlfn.NORM.INV(RAND(),Hitorical_Sim!$AB$4,Hitorical_Sim!$AB$5)</f>
        <v>-3.7215849629559168E-3</v>
      </c>
      <c r="D451">
        <f ca="1">_xlfn.NORM.INV(RAND(),Hitorical_Sim!$AB$4,Hitorical_Sim!$AB$5)</f>
        <v>1.4623473329043414E-2</v>
      </c>
      <c r="K451">
        <f t="shared" ca="1" si="72"/>
        <v>0.13758519432226404</v>
      </c>
      <c r="L451">
        <f t="shared" ca="1" si="72"/>
        <v>1.6198423975180414</v>
      </c>
      <c r="M451">
        <f t="shared" ca="1" si="72"/>
        <v>0.65093085430816811</v>
      </c>
      <c r="O451">
        <v>449</v>
      </c>
      <c r="P451" s="6">
        <f t="shared" ref="P451:P514" ca="1" si="73">$G$17*EXP(($G$15-0.5*$G$16)+($G$16*K451))</f>
        <v>1942.687788749083</v>
      </c>
      <c r="Q451" s="6">
        <f t="shared" ref="Q451:Q514" ca="1" si="74">$H$17*EXP(($H$15-0.5*$H$16^2)+($H$16*L451))</f>
        <v>402.58788767238696</v>
      </c>
      <c r="R451" s="6">
        <f t="shared" ref="R451:R514" ca="1" si="75">$I$17*EXP(($I$15-0.5*$I$16)+($I$16*M451))</f>
        <v>153.79302683518699</v>
      </c>
      <c r="S451" s="6"/>
      <c r="T451" s="4">
        <f t="shared" ca="1" si="66"/>
        <v>-2.615151135786389E-2</v>
      </c>
      <c r="U451" s="4">
        <f t="shared" ca="1" si="67"/>
        <v>2.4163467504447991E-2</v>
      </c>
      <c r="V451" s="4">
        <f t="shared" ca="1" si="68"/>
        <v>-7.4840885881700646E-3</v>
      </c>
      <c r="W451" s="4"/>
      <c r="X451">
        <v>449</v>
      </c>
      <c r="Y451" s="4">
        <f t="shared" ca="1" si="69"/>
        <v>-1.518639415842566E-2</v>
      </c>
      <c r="Z451" s="4">
        <f ca="1"/>
        <v>-2.1235205149355116E-3</v>
      </c>
      <c r="AA451" s="4"/>
    </row>
    <row r="452" spans="1:27" x14ac:dyDescent="0.35">
      <c r="A452">
        <v>450</v>
      </c>
      <c r="B452">
        <f ca="1">_xlfn.NORM.INV(RAND(),Hitorical_Sim!$AB$4,Hitorical_Sim!$AB$5)</f>
        <v>1.2166087984163524E-2</v>
      </c>
      <c r="C452">
        <f ca="1">_xlfn.NORM.INV(RAND(),Hitorical_Sim!$AB$4,Hitorical_Sim!$AB$5)</f>
        <v>-1.0929152244740312E-2</v>
      </c>
      <c r="D452">
        <f ca="1">_xlfn.NORM.INV(RAND(),Hitorical_Sim!$AB$4,Hitorical_Sim!$AB$5)</f>
        <v>4.8563774873194741E-3</v>
      </c>
      <c r="K452">
        <f t="shared" ca="1" si="72"/>
        <v>-0.60449232843049527</v>
      </c>
      <c r="L452">
        <f t="shared" ca="1" si="72"/>
        <v>-0.72778475139126597</v>
      </c>
      <c r="M452">
        <f t="shared" ca="1" si="72"/>
        <v>0.89511826414532814</v>
      </c>
      <c r="O452">
        <v>450</v>
      </c>
      <c r="P452" s="6">
        <f t="shared" ca="1" si="73"/>
        <v>1916.7087044005086</v>
      </c>
      <c r="Q452" s="6">
        <f t="shared" ca="1" si="74"/>
        <v>376.50678901349306</v>
      </c>
      <c r="R452" s="6">
        <f t="shared" ca="1" si="75"/>
        <v>154.94290541370006</v>
      </c>
      <c r="S452" s="6"/>
      <c r="T452" s="4">
        <f t="shared" ref="T452:T515" ca="1" si="76">LN(P452/P451)</f>
        <v>-1.3462973700431117E-2</v>
      </c>
      <c r="U452" s="4">
        <f t="shared" ref="U452:U515" ca="1" si="77">LN(Q452/Q451)</f>
        <v>-6.6977348502585701E-2</v>
      </c>
      <c r="V452" s="4">
        <f t="shared" ref="V452:V515" ca="1" si="78">LN(R452/R451)</f>
        <v>7.448980020588949E-3</v>
      </c>
      <c r="W452" s="4"/>
      <c r="X452">
        <v>450</v>
      </c>
      <c r="Y452" s="4">
        <f t="shared" ref="Y452:Y515" ca="1" si="79">($G$18*T452)+($H$18*U452)+($I$18*V452)</f>
        <v>-2.3107800239255221E-2</v>
      </c>
      <c r="Z452" s="4">
        <f ca="1"/>
        <v>-2.0805556102091475E-3</v>
      </c>
      <c r="AA452" s="4"/>
    </row>
    <row r="453" spans="1:27" x14ac:dyDescent="0.35">
      <c r="A453">
        <v>451</v>
      </c>
      <c r="B453">
        <f ca="1">_xlfn.NORM.INV(RAND(),Hitorical_Sim!$AB$4,Hitorical_Sim!$AB$5)</f>
        <v>4.7241380023793069E-3</v>
      </c>
      <c r="C453">
        <f ca="1">_xlfn.NORM.INV(RAND(),Hitorical_Sim!$AB$4,Hitorical_Sim!$AB$5)</f>
        <v>2.2657085343824896E-3</v>
      </c>
      <c r="D453">
        <f ca="1">_xlfn.NORM.INV(RAND(),Hitorical_Sim!$AB$4,Hitorical_Sim!$AB$5)</f>
        <v>-2.4220250194066321E-2</v>
      </c>
      <c r="K453">
        <f t="shared" ca="1" si="72"/>
        <v>-0.85484573006468711</v>
      </c>
      <c r="L453">
        <f t="shared" ca="1" si="72"/>
        <v>-1.1417247992975434</v>
      </c>
      <c r="M453">
        <f t="shared" ca="1" si="72"/>
        <v>-1.7205655673440404E-2</v>
      </c>
      <c r="O453">
        <v>451</v>
      </c>
      <c r="P453" s="6">
        <f t="shared" ca="1" si="73"/>
        <v>1908.0227923632092</v>
      </c>
      <c r="Q453" s="6">
        <f t="shared" ca="1" si="74"/>
        <v>372.08653548017492</v>
      </c>
      <c r="R453" s="6">
        <f t="shared" ca="1" si="75"/>
        <v>150.69020317849521</v>
      </c>
      <c r="S453" s="6"/>
      <c r="T453" s="4">
        <f t="shared" ca="1" si="76"/>
        <v>-4.5419799935613632E-3</v>
      </c>
      <c r="U453" s="4">
        <f t="shared" ca="1" si="77"/>
        <v>-1.1809629506404526E-2</v>
      </c>
      <c r="V453" s="4">
        <f t="shared" ca="1" si="78"/>
        <v>-2.7830602141066068E-2</v>
      </c>
      <c r="W453" s="4"/>
      <c r="X453">
        <v>451</v>
      </c>
      <c r="Y453" s="4">
        <f t="shared" ca="1" si="79"/>
        <v>-7.1449273308351975E-3</v>
      </c>
      <c r="Z453" s="4">
        <f ca="1"/>
        <v>-2.0370422436678322E-3</v>
      </c>
      <c r="AA453" s="4"/>
    </row>
    <row r="454" spans="1:27" x14ac:dyDescent="0.35">
      <c r="A454">
        <v>452</v>
      </c>
      <c r="B454">
        <f ca="1">_xlfn.NORM.INV(RAND(),Hitorical_Sim!$AB$4,Hitorical_Sim!$AB$5)</f>
        <v>-2.4680309630481678E-2</v>
      </c>
      <c r="C454">
        <f ca="1">_xlfn.NORM.INV(RAND(),Hitorical_Sim!$AB$4,Hitorical_Sim!$AB$5)</f>
        <v>-3.3513259922477411E-3</v>
      </c>
      <c r="D454">
        <f ca="1">_xlfn.NORM.INV(RAND(),Hitorical_Sim!$AB$4,Hitorical_Sim!$AB$5)</f>
        <v>-1.4708094136641123E-2</v>
      </c>
      <c r="K454">
        <f t="shared" ca="1" si="72"/>
        <v>-1.2917028419226455</v>
      </c>
      <c r="L454">
        <f t="shared" ca="1" si="72"/>
        <v>-0.66280259142149556</v>
      </c>
      <c r="M454">
        <f t="shared" ca="1" si="72"/>
        <v>2.3782565475589048</v>
      </c>
      <c r="O454">
        <v>452</v>
      </c>
      <c r="P454" s="6">
        <f t="shared" ca="1" si="73"/>
        <v>1892.9603704897997</v>
      </c>
      <c r="Q454" s="6">
        <f t="shared" ca="1" si="74"/>
        <v>377.20545309991434</v>
      </c>
      <c r="R454" s="6">
        <f t="shared" ca="1" si="75"/>
        <v>162.11404870770545</v>
      </c>
      <c r="S454" s="6"/>
      <c r="T454" s="4">
        <f t="shared" ca="1" si="76"/>
        <v>-7.925581394748046E-3</v>
      </c>
      <c r="U454" s="4">
        <f t="shared" ca="1" si="77"/>
        <v>1.3663557962108431E-2</v>
      </c>
      <c r="V454" s="4">
        <f t="shared" ca="1" si="78"/>
        <v>7.3073997155927425E-2</v>
      </c>
      <c r="W454" s="4"/>
      <c r="X454">
        <v>452</v>
      </c>
      <c r="Y454" s="4">
        <f t="shared" ca="1" si="79"/>
        <v>3.915999365229632E-4</v>
      </c>
      <c r="Z454" s="4">
        <f ca="1"/>
        <v>-2.0286840979022603E-3</v>
      </c>
      <c r="AA454" s="4"/>
    </row>
    <row r="455" spans="1:27" x14ac:dyDescent="0.35">
      <c r="A455">
        <v>453</v>
      </c>
      <c r="B455">
        <f ca="1">_xlfn.NORM.INV(RAND(),Hitorical_Sim!$AB$4,Hitorical_Sim!$AB$5)</f>
        <v>-3.383476179488093E-2</v>
      </c>
      <c r="C455">
        <f ca="1">_xlfn.NORM.INV(RAND(),Hitorical_Sim!$AB$4,Hitorical_Sim!$AB$5)</f>
        <v>2.0651818561749566E-2</v>
      </c>
      <c r="D455">
        <f ca="1">_xlfn.NORM.INV(RAND(),Hitorical_Sim!$AB$4,Hitorical_Sim!$AB$5)</f>
        <v>-4.1962878344215639E-3</v>
      </c>
      <c r="K455">
        <f t="shared" ca="1" si="72"/>
        <v>-1.1187582146892223</v>
      </c>
      <c r="L455">
        <f t="shared" ca="1" si="72"/>
        <v>-0.75944826750347449</v>
      </c>
      <c r="M455">
        <f t="shared" ca="1" si="72"/>
        <v>-0.81363428865169174</v>
      </c>
      <c r="O455">
        <v>453</v>
      </c>
      <c r="P455" s="6">
        <f t="shared" ca="1" si="73"/>
        <v>1898.9090670736093</v>
      </c>
      <c r="Q455" s="6">
        <f t="shared" ca="1" si="74"/>
        <v>376.16682368077971</v>
      </c>
      <c r="R455" s="6">
        <f t="shared" ca="1" si="75"/>
        <v>147.07327011869901</v>
      </c>
      <c r="S455" s="6"/>
      <c r="T455" s="4">
        <f t="shared" ca="1" si="76"/>
        <v>3.1376088032385309E-3</v>
      </c>
      <c r="U455" s="4">
        <f t="shared" ca="1" si="77"/>
        <v>-2.7572824463279809E-3</v>
      </c>
      <c r="V455" s="4">
        <f t="shared" ca="1" si="78"/>
        <v>-9.7369193123795966E-2</v>
      </c>
      <c r="W455" s="4"/>
      <c r="X455">
        <v>453</v>
      </c>
      <c r="Y455" s="4">
        <f t="shared" ca="1" si="79"/>
        <v>-3.0129159935700575E-3</v>
      </c>
      <c r="Z455" s="4">
        <f ca="1"/>
        <v>-1.9221642343412917E-3</v>
      </c>
      <c r="AA455" s="4"/>
    </row>
    <row r="456" spans="1:27" x14ac:dyDescent="0.35">
      <c r="A456">
        <v>454</v>
      </c>
      <c r="B456">
        <f ca="1">_xlfn.NORM.INV(RAND(),Hitorical_Sim!$AB$4,Hitorical_Sim!$AB$5)</f>
        <v>-3.5757339796558762E-2</v>
      </c>
      <c r="C456">
        <f ca="1">_xlfn.NORM.INV(RAND(),Hitorical_Sim!$AB$4,Hitorical_Sim!$AB$5)</f>
        <v>-1.9781288978992589E-2</v>
      </c>
      <c r="D456">
        <f ca="1">_xlfn.NORM.INV(RAND(),Hitorical_Sim!$AB$4,Hitorical_Sim!$AB$5)</f>
        <v>-7.4758037190838199E-4</v>
      </c>
      <c r="K456">
        <f t="shared" ca="1" si="72"/>
        <v>-0.20530803900253453</v>
      </c>
      <c r="L456">
        <f t="shared" ca="1" si="72"/>
        <v>-2.3875022955450794E-2</v>
      </c>
      <c r="M456">
        <f t="shared" ca="1" si="72"/>
        <v>0.56307326722767814</v>
      </c>
      <c r="O456">
        <v>454</v>
      </c>
      <c r="P456" s="6">
        <f t="shared" ca="1" si="73"/>
        <v>1930.6401065642742</v>
      </c>
      <c r="Q456" s="6">
        <f t="shared" ca="1" si="74"/>
        <v>384.14438610396144</v>
      </c>
      <c r="R456" s="6">
        <f t="shared" ca="1" si="75"/>
        <v>153.3813962764591</v>
      </c>
      <c r="S456" s="6"/>
      <c r="T456" s="4">
        <f t="shared" ca="1" si="76"/>
        <v>1.6572063315305908E-2</v>
      </c>
      <c r="U456" s="4">
        <f t="shared" ca="1" si="77"/>
        <v>2.0985762399348306E-2</v>
      </c>
      <c r="V456" s="4">
        <f t="shared" ca="1" si="78"/>
        <v>4.1996706893193819E-2</v>
      </c>
      <c r="W456" s="4"/>
      <c r="X456">
        <v>454</v>
      </c>
      <c r="Y456" s="4">
        <f t="shared" ca="1" si="79"/>
        <v>1.8711165050284265E-2</v>
      </c>
      <c r="Z456" s="4">
        <f ca="1"/>
        <v>-1.8944617802230512E-3</v>
      </c>
      <c r="AA456" s="4"/>
    </row>
    <row r="457" spans="1:27" x14ac:dyDescent="0.35">
      <c r="A457">
        <v>455</v>
      </c>
      <c r="B457">
        <f ca="1">_xlfn.NORM.INV(RAND(),Hitorical_Sim!$AB$4,Hitorical_Sim!$AB$5)</f>
        <v>-9.2685980000710624E-3</v>
      </c>
      <c r="C457">
        <f ca="1">_xlfn.NORM.INV(RAND(),Hitorical_Sim!$AB$4,Hitorical_Sim!$AB$5)</f>
        <v>-9.1783866654784017E-3</v>
      </c>
      <c r="D457">
        <f ca="1">_xlfn.NORM.INV(RAND(),Hitorical_Sim!$AB$4,Hitorical_Sim!$AB$5)</f>
        <v>-9.6977852905839965E-4</v>
      </c>
      <c r="K457">
        <f t="shared" ca="1" si="72"/>
        <v>0.42910602522401797</v>
      </c>
      <c r="L457">
        <f t="shared" ca="1" si="72"/>
        <v>-6.119746149723105E-2</v>
      </c>
      <c r="M457">
        <f t="shared" ca="1" si="72"/>
        <v>0.38083217348977177</v>
      </c>
      <c r="O457">
        <v>455</v>
      </c>
      <c r="P457" s="6">
        <f t="shared" ca="1" si="73"/>
        <v>1952.9895929005545</v>
      </c>
      <c r="Q457" s="6">
        <f t="shared" ca="1" si="74"/>
        <v>383.73556610617965</v>
      </c>
      <c r="R457" s="6">
        <f t="shared" ca="1" si="75"/>
        <v>152.5310693832285</v>
      </c>
      <c r="S457" s="6"/>
      <c r="T457" s="4">
        <f t="shared" ca="1" si="76"/>
        <v>1.1509713742820567E-2</v>
      </c>
      <c r="U457" s="4">
        <f t="shared" ca="1" si="77"/>
        <v>-1.0648019530446406E-3</v>
      </c>
      <c r="V457" s="4">
        <f t="shared" ca="1" si="78"/>
        <v>-5.5592967184066545E-3</v>
      </c>
      <c r="W457" s="4"/>
      <c r="X457">
        <v>455</v>
      </c>
      <c r="Y457" s="4">
        <f t="shared" ca="1" si="79"/>
        <v>8.1554943861904435E-3</v>
      </c>
      <c r="Z457" s="4">
        <f ca="1"/>
        <v>-1.8681240313980258E-3</v>
      </c>
      <c r="AA457" s="4"/>
    </row>
    <row r="458" spans="1:27" x14ac:dyDescent="0.35">
      <c r="A458">
        <v>456</v>
      </c>
      <c r="B458">
        <f ca="1">_xlfn.NORM.INV(RAND(),Hitorical_Sim!$AB$4,Hitorical_Sim!$AB$5)</f>
        <v>-5.5714041803181227E-3</v>
      </c>
      <c r="C458">
        <f ca="1">_xlfn.NORM.INV(RAND(),Hitorical_Sim!$AB$4,Hitorical_Sim!$AB$5)</f>
        <v>-2.5904521812610395E-2</v>
      </c>
      <c r="D458">
        <f ca="1">_xlfn.NORM.INV(RAND(),Hitorical_Sim!$AB$4,Hitorical_Sim!$AB$5)</f>
        <v>-7.9600171326673162E-3</v>
      </c>
      <c r="K458">
        <f t="shared" ca="1" si="72"/>
        <v>2.2918637736642093</v>
      </c>
      <c r="L458">
        <f t="shared" ca="1" si="72"/>
        <v>-0.14893742385660938</v>
      </c>
      <c r="M458">
        <f t="shared" ca="1" si="72"/>
        <v>1.3926928656619915</v>
      </c>
      <c r="O458">
        <v>456</v>
      </c>
      <c r="P458" s="6">
        <f t="shared" ca="1" si="73"/>
        <v>2020.1181189984904</v>
      </c>
      <c r="Q458" s="6">
        <f t="shared" ca="1" si="74"/>
        <v>382.77619888914438</v>
      </c>
      <c r="R458" s="6">
        <f t="shared" ca="1" si="75"/>
        <v>157.31266124620748</v>
      </c>
      <c r="S458" s="6"/>
      <c r="T458" s="4">
        <f t="shared" ca="1" si="76"/>
        <v>3.3794661350873445E-2</v>
      </c>
      <c r="U458" s="4">
        <f t="shared" ca="1" si="77"/>
        <v>-2.5032041562809545E-3</v>
      </c>
      <c r="V458" s="4">
        <f t="shared" ca="1" si="78"/>
        <v>3.0866988943601289E-2</v>
      </c>
      <c r="W458" s="4"/>
      <c r="X458">
        <v>456</v>
      </c>
      <c r="Y458" s="4">
        <f t="shared" ca="1" si="79"/>
        <v>2.6405874576576598E-2</v>
      </c>
      <c r="Z458" s="4">
        <f ca="1"/>
        <v>-1.8027859384903387E-3</v>
      </c>
      <c r="AA458" s="4"/>
    </row>
    <row r="459" spans="1:27" x14ac:dyDescent="0.35">
      <c r="A459">
        <v>457</v>
      </c>
      <c r="B459">
        <f ca="1">_xlfn.NORM.INV(RAND(),Hitorical_Sim!$AB$4,Hitorical_Sim!$AB$5)</f>
        <v>2.5507983861118421E-3</v>
      </c>
      <c r="C459">
        <f ca="1">_xlfn.NORM.INV(RAND(),Hitorical_Sim!$AB$4,Hitorical_Sim!$AB$5)</f>
        <v>-2.7542643464738377E-3</v>
      </c>
      <c r="D459">
        <f ca="1">_xlfn.NORM.INV(RAND(),Hitorical_Sim!$AB$4,Hitorical_Sim!$AB$5)</f>
        <v>2.0170587022081229E-2</v>
      </c>
      <c r="K459">
        <f t="shared" ca="1" si="72"/>
        <v>0.95828297680897778</v>
      </c>
      <c r="L459">
        <f t="shared" ca="1" si="72"/>
        <v>6.5574744018471798E-2</v>
      </c>
      <c r="M459">
        <f t="shared" ca="1" si="72"/>
        <v>-1.4180903707523589</v>
      </c>
      <c r="O459">
        <v>457</v>
      </c>
      <c r="P459" s="6">
        <f t="shared" ca="1" si="73"/>
        <v>1971.829508528212</v>
      </c>
      <c r="Q459" s="6">
        <f t="shared" ca="1" si="74"/>
        <v>385.12596860170606</v>
      </c>
      <c r="R459" s="6">
        <f t="shared" ca="1" si="75"/>
        <v>144.38622964611193</v>
      </c>
      <c r="S459" s="6"/>
      <c r="T459" s="4">
        <f t="shared" ca="1" si="76"/>
        <v>-2.4194188133958298E-2</v>
      </c>
      <c r="U459" s="4">
        <f t="shared" ca="1" si="77"/>
        <v>6.1199906605653234E-3</v>
      </c>
      <c r="V459" s="4">
        <f t="shared" ca="1" si="78"/>
        <v>-8.5743438550822532E-2</v>
      </c>
      <c r="W459" s="4"/>
      <c r="X459">
        <v>457</v>
      </c>
      <c r="Y459" s="4">
        <f t="shared" ca="1" si="79"/>
        <v>-2.1190524306390124E-2</v>
      </c>
      <c r="Z459" s="4">
        <f ca="1"/>
        <v>-1.7622395443473819E-3</v>
      </c>
      <c r="AA459" s="4"/>
    </row>
    <row r="460" spans="1:27" x14ac:dyDescent="0.35">
      <c r="A460">
        <v>458</v>
      </c>
      <c r="B460">
        <f ca="1">_xlfn.NORM.INV(RAND(),Hitorical_Sim!$AB$4,Hitorical_Sim!$AB$5)</f>
        <v>-1.2400803286082609E-2</v>
      </c>
      <c r="C460">
        <f ca="1">_xlfn.NORM.INV(RAND(),Hitorical_Sim!$AB$4,Hitorical_Sim!$AB$5)</f>
        <v>-2.3249339985334782E-4</v>
      </c>
      <c r="D460">
        <f ca="1">_xlfn.NORM.INV(RAND(),Hitorical_Sim!$AB$4,Hitorical_Sim!$AB$5)</f>
        <v>-1.1848662507526362E-3</v>
      </c>
      <c r="K460">
        <f t="shared" ca="1" si="72"/>
        <v>6.5598419134571262E-2</v>
      </c>
      <c r="L460">
        <f t="shared" ca="1" si="72"/>
        <v>1.545455373951502</v>
      </c>
      <c r="M460">
        <f t="shared" ca="1" si="72"/>
        <v>8.8472203794823207E-2</v>
      </c>
      <c r="O460">
        <v>458</v>
      </c>
      <c r="P460" s="6">
        <f t="shared" ca="1" si="73"/>
        <v>1940.1522871716011</v>
      </c>
      <c r="Q460" s="6">
        <f t="shared" ca="1" si="74"/>
        <v>401.73440255009274</v>
      </c>
      <c r="R460" s="6">
        <f t="shared" ca="1" si="75"/>
        <v>151.176770320922</v>
      </c>
      <c r="S460" s="6"/>
      <c r="T460" s="4">
        <f t="shared" ca="1" si="76"/>
        <v>-1.619532778485154E-2</v>
      </c>
      <c r="U460" s="4">
        <f t="shared" ca="1" si="77"/>
        <v>4.2220708147501243E-2</v>
      </c>
      <c r="V460" s="4">
        <f t="shared" ca="1" si="78"/>
        <v>4.5957957148785415E-2</v>
      </c>
      <c r="W460" s="4"/>
      <c r="X460">
        <v>458</v>
      </c>
      <c r="Y460" s="4">
        <f t="shared" ca="1" si="79"/>
        <v>-1.4613781294887263E-3</v>
      </c>
      <c r="Z460" s="4">
        <f ca="1"/>
        <v>-1.7484092233849748E-3</v>
      </c>
      <c r="AA460" s="4"/>
    </row>
    <row r="461" spans="1:27" x14ac:dyDescent="0.35">
      <c r="A461">
        <v>459</v>
      </c>
      <c r="B461">
        <f ca="1">_xlfn.NORM.INV(RAND(),Hitorical_Sim!$AB$4,Hitorical_Sim!$AB$5)</f>
        <v>-1.9324459283730284E-2</v>
      </c>
      <c r="C461">
        <f ca="1">_xlfn.NORM.INV(RAND(),Hitorical_Sim!$AB$4,Hitorical_Sim!$AB$5)</f>
        <v>-2.1764169943857065E-2</v>
      </c>
      <c r="D461">
        <f ca="1">_xlfn.NORM.INV(RAND(),Hitorical_Sim!$AB$4,Hitorical_Sim!$AB$5)</f>
        <v>1.8809573629468768E-2</v>
      </c>
      <c r="K461">
        <f t="shared" ca="1" si="72"/>
        <v>-0.28069846496333661</v>
      </c>
      <c r="L461">
        <f t="shared" ca="1" si="72"/>
        <v>-0.14963734118522481</v>
      </c>
      <c r="M461">
        <f t="shared" ca="1" si="72"/>
        <v>0.69133989709626908</v>
      </c>
      <c r="O461">
        <v>459</v>
      </c>
      <c r="P461" s="6">
        <f t="shared" ca="1" si="73"/>
        <v>1928.0012713490446</v>
      </c>
      <c r="Q461" s="6">
        <f t="shared" ca="1" si="74"/>
        <v>382.76855549662866</v>
      </c>
      <c r="R461" s="6">
        <f t="shared" ca="1" si="75"/>
        <v>153.9827220825963</v>
      </c>
      <c r="S461" s="6"/>
      <c r="T461" s="4">
        <f t="shared" ca="1" si="76"/>
        <v>-6.2826129349085515E-3</v>
      </c>
      <c r="U461" s="4">
        <f t="shared" ca="1" si="77"/>
        <v>-4.8360667314080528E-2</v>
      </c>
      <c r="V461" s="4">
        <f t="shared" ca="1" si="78"/>
        <v>1.8390585351864719E-2</v>
      </c>
      <c r="W461" s="4"/>
      <c r="X461">
        <v>459</v>
      </c>
      <c r="Y461" s="4">
        <f t="shared" ca="1" si="79"/>
        <v>-1.3458970516841494E-2</v>
      </c>
      <c r="Z461" s="4">
        <f ca="1"/>
        <v>-1.7450369060678251E-3</v>
      </c>
      <c r="AA461" s="4"/>
    </row>
    <row r="462" spans="1:27" x14ac:dyDescent="0.35">
      <c r="A462">
        <v>460</v>
      </c>
      <c r="B462">
        <f ca="1">_xlfn.NORM.INV(RAND(),Hitorical_Sim!$AB$4,Hitorical_Sim!$AB$5)</f>
        <v>-1.5947728976799129E-2</v>
      </c>
      <c r="C462">
        <f ca="1">_xlfn.NORM.INV(RAND(),Hitorical_Sim!$AB$4,Hitorical_Sim!$AB$5)</f>
        <v>-1.8505554456332649E-2</v>
      </c>
      <c r="D462">
        <f ca="1">_xlfn.NORM.INV(RAND(),Hitorical_Sim!$AB$4,Hitorical_Sim!$AB$5)</f>
        <v>-3.7990525573471649E-2</v>
      </c>
      <c r="K462">
        <f t="shared" ca="1" si="72"/>
        <v>-0.55724919513560434</v>
      </c>
      <c r="L462">
        <f t="shared" ca="1" si="72"/>
        <v>-0.2235306757984819</v>
      </c>
      <c r="M462">
        <f t="shared" ca="1" si="72"/>
        <v>2.4779328368066293</v>
      </c>
      <c r="O462">
        <v>460</v>
      </c>
      <c r="P462" s="6">
        <f t="shared" ca="1" si="73"/>
        <v>1918.352215564923</v>
      </c>
      <c r="Q462" s="6">
        <f t="shared" ca="1" si="74"/>
        <v>381.96246714579519</v>
      </c>
      <c r="R462" s="6">
        <f t="shared" ca="1" si="75"/>
        <v>162.60772979462573</v>
      </c>
      <c r="S462" s="6"/>
      <c r="T462" s="4">
        <f t="shared" ca="1" si="76"/>
        <v>-5.0172591043223663E-3</v>
      </c>
      <c r="U462" s="4">
        <f t="shared" ca="1" si="77"/>
        <v>-2.1081625447676761E-3</v>
      </c>
      <c r="V462" s="4">
        <f t="shared" ca="1" si="78"/>
        <v>5.450033284559061E-2</v>
      </c>
      <c r="W462" s="4"/>
      <c r="X462">
        <v>460</v>
      </c>
      <c r="Y462" s="4">
        <f t="shared" ca="1" si="79"/>
        <v>-1.4911641041482101E-3</v>
      </c>
      <c r="Z462" s="4">
        <f ca="1"/>
        <v>-1.6872229195211267E-3</v>
      </c>
      <c r="AA462" s="4"/>
    </row>
    <row r="463" spans="1:27" x14ac:dyDescent="0.35">
      <c r="A463">
        <v>461</v>
      </c>
      <c r="B463">
        <f ca="1">_xlfn.NORM.INV(RAND(),Hitorical_Sim!$AB$4,Hitorical_Sim!$AB$5)</f>
        <v>1.91560966752773E-2</v>
      </c>
      <c r="C463">
        <f ca="1">_xlfn.NORM.INV(RAND(),Hitorical_Sim!$AB$4,Hitorical_Sim!$AB$5)</f>
        <v>7.3362814626333906E-4</v>
      </c>
      <c r="D463">
        <f ca="1">_xlfn.NORM.INV(RAND(),Hitorical_Sim!$AB$4,Hitorical_Sim!$AB$5)</f>
        <v>1.8029384008618969E-2</v>
      </c>
      <c r="K463">
        <f t="shared" ca="1" si="72"/>
        <v>1.1103729267691678</v>
      </c>
      <c r="L463">
        <f t="shared" ca="1" si="72"/>
        <v>0.77743192453694998</v>
      </c>
      <c r="M463">
        <f t="shared" ca="1" si="72"/>
        <v>-0.20672317645555208</v>
      </c>
      <c r="O463">
        <v>461</v>
      </c>
      <c r="P463" s="6">
        <f t="shared" ca="1" si="73"/>
        <v>1977.2778071306641</v>
      </c>
      <c r="Q463" s="6">
        <f t="shared" ca="1" si="74"/>
        <v>393.02751401117354</v>
      </c>
      <c r="R463" s="6">
        <f t="shared" ca="1" si="75"/>
        <v>149.82153653501533</v>
      </c>
      <c r="S463" s="6"/>
      <c r="T463" s="4">
        <f t="shared" ca="1" si="76"/>
        <v>3.0254457359357573E-2</v>
      </c>
      <c r="U463" s="4">
        <f t="shared" ca="1" si="77"/>
        <v>2.8557269390868906E-2</v>
      </c>
      <c r="V463" s="4">
        <f t="shared" ca="1" si="78"/>
        <v>-8.1895905355153648E-2</v>
      </c>
      <c r="W463" s="4"/>
      <c r="X463">
        <v>461</v>
      </c>
      <c r="Y463" s="4">
        <f t="shared" ca="1" si="79"/>
        <v>2.4365418862055163E-2</v>
      </c>
      <c r="Z463" s="4">
        <f ca="1"/>
        <v>-1.6712080726214522E-3</v>
      </c>
      <c r="AA463" s="4"/>
    </row>
    <row r="464" spans="1:27" x14ac:dyDescent="0.35">
      <c r="A464">
        <v>462</v>
      </c>
      <c r="B464">
        <f ca="1">_xlfn.NORM.INV(RAND(),Hitorical_Sim!$AB$4,Hitorical_Sim!$AB$5)</f>
        <v>-6.7622197443590135E-3</v>
      </c>
      <c r="C464">
        <f ca="1">_xlfn.NORM.INV(RAND(),Hitorical_Sim!$AB$4,Hitorical_Sim!$AB$5)</f>
        <v>1.7031816232183018E-2</v>
      </c>
      <c r="D464">
        <f ca="1">_xlfn.NORM.INV(RAND(),Hitorical_Sim!$AB$4,Hitorical_Sim!$AB$5)</f>
        <v>8.6022414523912183E-3</v>
      </c>
      <c r="K464">
        <f t="shared" ref="K464:M483" ca="1" si="80">_xlfn.NORM.S.INV(RAND())</f>
        <v>-5.682425117818761E-2</v>
      </c>
      <c r="L464">
        <f t="shared" ca="1" si="80"/>
        <v>6.5040790060911747E-3</v>
      </c>
      <c r="M464">
        <f t="shared" ca="1" si="80"/>
        <v>-1.1334893453951591</v>
      </c>
      <c r="O464">
        <v>462</v>
      </c>
      <c r="P464" s="6">
        <f t="shared" ca="1" si="73"/>
        <v>1935.8479410342234</v>
      </c>
      <c r="Q464" s="6">
        <f t="shared" ca="1" si="74"/>
        <v>384.4774721713502</v>
      </c>
      <c r="R464" s="6">
        <f t="shared" ca="1" si="75"/>
        <v>145.64521990907315</v>
      </c>
      <c r="S464" s="6"/>
      <c r="T464" s="4">
        <f t="shared" ca="1" si="76"/>
        <v>-2.1175610941066344E-2</v>
      </c>
      <c r="U464" s="4">
        <f t="shared" ca="1" si="77"/>
        <v>-2.199442232743682E-2</v>
      </c>
      <c r="V464" s="4">
        <f t="shared" ca="1" si="78"/>
        <v>-2.8271165498633406E-2</v>
      </c>
      <c r="W464" s="4"/>
      <c r="X464">
        <v>462</v>
      </c>
      <c r="Y464" s="4">
        <f t="shared" ca="1" si="79"/>
        <v>-2.1690179153924218E-2</v>
      </c>
      <c r="Z464" s="4">
        <f ca="1"/>
        <v>-1.656767261894761E-3</v>
      </c>
      <c r="AA464" s="4"/>
    </row>
    <row r="465" spans="1:27" x14ac:dyDescent="0.35">
      <c r="A465">
        <v>463</v>
      </c>
      <c r="B465">
        <f ca="1">_xlfn.NORM.INV(RAND(),Hitorical_Sim!$AB$4,Hitorical_Sim!$AB$5)</f>
        <v>2.0201753703394131E-2</v>
      </c>
      <c r="C465">
        <f ca="1">_xlfn.NORM.INV(RAND(),Hitorical_Sim!$AB$4,Hitorical_Sim!$AB$5)</f>
        <v>9.9686887747708398E-4</v>
      </c>
      <c r="D465">
        <f ca="1">_xlfn.NORM.INV(RAND(),Hitorical_Sim!$AB$4,Hitorical_Sim!$AB$5)</f>
        <v>6.7637131937740074E-3</v>
      </c>
      <c r="K465">
        <f t="shared" ca="1" si="80"/>
        <v>-0.11159401184266685</v>
      </c>
      <c r="L465">
        <f t="shared" ca="1" si="80"/>
        <v>0.453494641177353</v>
      </c>
      <c r="M465">
        <f t="shared" ca="1" si="80"/>
        <v>-1.9842693158091134</v>
      </c>
      <c r="O465">
        <v>463</v>
      </c>
      <c r="P465" s="6">
        <f t="shared" ca="1" si="73"/>
        <v>1933.9253449465698</v>
      </c>
      <c r="Q465" s="6">
        <f t="shared" ca="1" si="74"/>
        <v>389.41193865966198</v>
      </c>
      <c r="R465" s="6">
        <f t="shared" ca="1" si="75"/>
        <v>141.91389078419539</v>
      </c>
      <c r="S465" s="6"/>
      <c r="T465" s="4">
        <f t="shared" ca="1" si="76"/>
        <v>-9.9364800145062345E-4</v>
      </c>
      <c r="U465" s="4">
        <f t="shared" ca="1" si="77"/>
        <v>1.2752554286067232E-2</v>
      </c>
      <c r="V465" s="4">
        <f t="shared" ca="1" si="78"/>
        <v>-2.5953193105889758E-2</v>
      </c>
      <c r="W465" s="4"/>
      <c r="X465">
        <v>463</v>
      </c>
      <c r="Y465" s="4">
        <f t="shared" ca="1" si="79"/>
        <v>5.1440472201526202E-4</v>
      </c>
      <c r="Z465" s="4">
        <f ca="1"/>
        <v>-1.5549862832642545E-3</v>
      </c>
      <c r="AA465" s="4"/>
    </row>
    <row r="466" spans="1:27" x14ac:dyDescent="0.35">
      <c r="A466">
        <v>464</v>
      </c>
      <c r="B466">
        <f ca="1">_xlfn.NORM.INV(RAND(),Hitorical_Sim!$AB$4,Hitorical_Sim!$AB$5)</f>
        <v>-2.6670550944132829E-2</v>
      </c>
      <c r="C466">
        <f ca="1">_xlfn.NORM.INV(RAND(),Hitorical_Sim!$AB$4,Hitorical_Sim!$AB$5)</f>
        <v>-6.4426727862863884E-3</v>
      </c>
      <c r="D466">
        <f ca="1">_xlfn.NORM.INV(RAND(),Hitorical_Sim!$AB$4,Hitorical_Sim!$AB$5)</f>
        <v>-5.7927419023932752E-3</v>
      </c>
      <c r="K466">
        <f t="shared" ca="1" si="80"/>
        <v>0.72024390301748908</v>
      </c>
      <c r="L466">
        <f t="shared" ca="1" si="80"/>
        <v>0.15221610438726837</v>
      </c>
      <c r="M466">
        <f t="shared" ca="1" si="80"/>
        <v>0.55778983062016485</v>
      </c>
      <c r="O466">
        <v>464</v>
      </c>
      <c r="P466" s="6">
        <f t="shared" ca="1" si="73"/>
        <v>1963.3323855175686</v>
      </c>
      <c r="Q466" s="6">
        <f t="shared" ca="1" si="74"/>
        <v>386.07912411015303</v>
      </c>
      <c r="R466" s="6">
        <f t="shared" ca="1" si="75"/>
        <v>153.35667745665856</v>
      </c>
      <c r="S466" s="6"/>
      <c r="T466" s="4">
        <f t="shared" ca="1" si="76"/>
        <v>1.5091431322755472E-2</v>
      </c>
      <c r="U466" s="4">
        <f t="shared" ca="1" si="77"/>
        <v>-8.5954183841813574E-3</v>
      </c>
      <c r="V466" s="4">
        <f t="shared" ca="1" si="78"/>
        <v>7.7545962773162128E-2</v>
      </c>
      <c r="W466" s="4"/>
      <c r="X466">
        <v>464</v>
      </c>
      <c r="Y466" s="4">
        <f t="shared" ca="1" si="79"/>
        <v>1.3455173431930851E-2</v>
      </c>
      <c r="Z466" s="4">
        <f ca="1"/>
        <v>-1.5367661287355849E-3</v>
      </c>
      <c r="AA466" s="4"/>
    </row>
    <row r="467" spans="1:27" x14ac:dyDescent="0.35">
      <c r="A467">
        <v>465</v>
      </c>
      <c r="B467">
        <f ca="1">_xlfn.NORM.INV(RAND(),Hitorical_Sim!$AB$4,Hitorical_Sim!$AB$5)</f>
        <v>5.0111611286426634E-3</v>
      </c>
      <c r="C467">
        <f ca="1">_xlfn.NORM.INV(RAND(),Hitorical_Sim!$AB$4,Hitorical_Sim!$AB$5)</f>
        <v>2.7876560990185524E-3</v>
      </c>
      <c r="D467">
        <f ca="1">_xlfn.NORM.INV(RAND(),Hitorical_Sim!$AB$4,Hitorical_Sim!$AB$5)</f>
        <v>-1.0197319932537363E-2</v>
      </c>
      <c r="K467">
        <f t="shared" ca="1" si="80"/>
        <v>0.88413567593284881</v>
      </c>
      <c r="L467">
        <f t="shared" ca="1" si="80"/>
        <v>2.5854002781606771</v>
      </c>
      <c r="M467">
        <f t="shared" ca="1" si="80"/>
        <v>-0.67632213473441449</v>
      </c>
      <c r="O467">
        <v>465</v>
      </c>
      <c r="P467" s="6">
        <f t="shared" ca="1" si="73"/>
        <v>1969.1787854799848</v>
      </c>
      <c r="Q467" s="6">
        <f t="shared" ca="1" si="74"/>
        <v>413.83221217505115</v>
      </c>
      <c r="R467" s="6">
        <f t="shared" ca="1" si="75"/>
        <v>147.69061259371853</v>
      </c>
      <c r="S467" s="6"/>
      <c r="T467" s="4">
        <f t="shared" ca="1" si="76"/>
        <v>2.9733694402865078E-3</v>
      </c>
      <c r="U467" s="4">
        <f t="shared" ca="1" si="77"/>
        <v>6.9418273874329403E-2</v>
      </c>
      <c r="V467" s="4">
        <f t="shared" ca="1" si="78"/>
        <v>-3.7646803245206431E-2</v>
      </c>
      <c r="W467" s="4"/>
      <c r="X467">
        <v>465</v>
      </c>
      <c r="Y467" s="4">
        <f t="shared" ca="1" si="79"/>
        <v>1.4223355253214425E-2</v>
      </c>
      <c r="Z467" s="4">
        <f ca="1"/>
        <v>-1.4911641041482101E-3</v>
      </c>
      <c r="AA467" s="4"/>
    </row>
    <row r="468" spans="1:27" x14ac:dyDescent="0.35">
      <c r="A468">
        <v>466</v>
      </c>
      <c r="B468">
        <f ca="1">_xlfn.NORM.INV(RAND(),Hitorical_Sim!$AB$4,Hitorical_Sim!$AB$5)</f>
        <v>5.9279873207948195E-3</v>
      </c>
      <c r="C468">
        <f ca="1">_xlfn.NORM.INV(RAND(),Hitorical_Sim!$AB$4,Hitorical_Sim!$AB$5)</f>
        <v>-3.4699998421626344E-3</v>
      </c>
      <c r="D468">
        <f ca="1">_xlfn.NORM.INV(RAND(),Hitorical_Sim!$AB$4,Hitorical_Sim!$AB$5)</f>
        <v>9.5925810643353077E-4</v>
      </c>
      <c r="K468">
        <f t="shared" ca="1" si="80"/>
        <v>-1.5641297498941222</v>
      </c>
      <c r="L468">
        <f t="shared" ca="1" si="80"/>
        <v>-6.8838350538989162E-3</v>
      </c>
      <c r="M468">
        <f t="shared" ca="1" si="80"/>
        <v>0.47179304478327178</v>
      </c>
      <c r="O468">
        <v>466</v>
      </c>
      <c r="P468" s="6">
        <f t="shared" ca="1" si="73"/>
        <v>1883.6276029729252</v>
      </c>
      <c r="Q468" s="6">
        <f t="shared" ca="1" si="74"/>
        <v>384.33064727473891</v>
      </c>
      <c r="R468" s="6">
        <f t="shared" ca="1" si="75"/>
        <v>152.95489689313047</v>
      </c>
      <c r="S468" s="6"/>
      <c r="T468" s="4">
        <f t="shared" ca="1" si="76"/>
        <v>-4.4417102026367464E-2</v>
      </c>
      <c r="U468" s="4">
        <f t="shared" ca="1" si="77"/>
        <v>-7.3957364374983126E-2</v>
      </c>
      <c r="V468" s="4">
        <f t="shared" ca="1" si="78"/>
        <v>3.5023456120303116E-2</v>
      </c>
      <c r="W468" s="4"/>
      <c r="X468">
        <v>466</v>
      </c>
      <c r="Y468" s="4">
        <f t="shared" ca="1" si="79"/>
        <v>-4.6380873474677495E-2</v>
      </c>
      <c r="Z468" s="4">
        <f ca="1"/>
        <v>-1.4613781294887263E-3</v>
      </c>
      <c r="AA468" s="4"/>
    </row>
    <row r="469" spans="1:27" x14ac:dyDescent="0.35">
      <c r="A469">
        <v>467</v>
      </c>
      <c r="B469">
        <f ca="1">_xlfn.NORM.INV(RAND(),Hitorical_Sim!$AB$4,Hitorical_Sim!$AB$5)</f>
        <v>6.2533396967349294E-3</v>
      </c>
      <c r="C469">
        <f ca="1">_xlfn.NORM.INV(RAND(),Hitorical_Sim!$AB$4,Hitorical_Sim!$AB$5)</f>
        <v>-3.3975055784030497E-2</v>
      </c>
      <c r="D469">
        <f ca="1">_xlfn.NORM.INV(RAND(),Hitorical_Sim!$AB$4,Hitorical_Sim!$AB$5)</f>
        <v>-1.2224527939555615E-2</v>
      </c>
      <c r="K469">
        <f t="shared" ca="1" si="80"/>
        <v>0.3907797849785376</v>
      </c>
      <c r="L469">
        <f t="shared" ca="1" si="80"/>
        <v>-2.7630216721970005</v>
      </c>
      <c r="M469">
        <f t="shared" ca="1" si="80"/>
        <v>2.0728404127030569</v>
      </c>
      <c r="O469">
        <v>467</v>
      </c>
      <c r="P469" s="6">
        <f t="shared" ca="1" si="73"/>
        <v>1951.6321021232977</v>
      </c>
      <c r="Q469" s="6">
        <f t="shared" ca="1" si="74"/>
        <v>355.26754846691324</v>
      </c>
      <c r="R469" s="6">
        <f t="shared" ca="1" si="75"/>
        <v>160.61068303579864</v>
      </c>
      <c r="S469" s="6"/>
      <c r="T469" s="4">
        <f t="shared" ca="1" si="76"/>
        <v>3.5466504304135234E-2</v>
      </c>
      <c r="U469" s="4">
        <f t="shared" ca="1" si="77"/>
        <v>-7.8632079427629425E-2</v>
      </c>
      <c r="V469" s="4">
        <f t="shared" ca="1" si="78"/>
        <v>4.8840232441157566E-2</v>
      </c>
      <c r="W469" s="4"/>
      <c r="X469">
        <v>467</v>
      </c>
      <c r="Y469" s="4">
        <f t="shared" ca="1" si="79"/>
        <v>1.33579349329511E-2</v>
      </c>
      <c r="Z469" s="4">
        <f ca="1"/>
        <v>-1.4532444019546651E-3</v>
      </c>
      <c r="AA469" s="4"/>
    </row>
    <row r="470" spans="1:27" x14ac:dyDescent="0.35">
      <c r="A470">
        <v>468</v>
      </c>
      <c r="B470">
        <f ca="1">_xlfn.NORM.INV(RAND(),Hitorical_Sim!$AB$4,Hitorical_Sim!$AB$5)</f>
        <v>-7.1689278543946135E-3</v>
      </c>
      <c r="C470">
        <f ca="1">_xlfn.NORM.INV(RAND(),Hitorical_Sim!$AB$4,Hitorical_Sim!$AB$5)</f>
        <v>2.8369594053070123E-2</v>
      </c>
      <c r="D470">
        <f ca="1">_xlfn.NORM.INV(RAND(),Hitorical_Sim!$AB$4,Hitorical_Sim!$AB$5)</f>
        <v>2.5642638164126725E-2</v>
      </c>
      <c r="K470">
        <f t="shared" ca="1" si="80"/>
        <v>-0.68187021473087517</v>
      </c>
      <c r="L470">
        <f t="shared" ca="1" si="80"/>
        <v>-5.7745547327093735E-2</v>
      </c>
      <c r="M470">
        <f t="shared" ca="1" si="80"/>
        <v>-0.88644398073113628</v>
      </c>
      <c r="O470">
        <v>468</v>
      </c>
      <c r="P470" s="6">
        <f t="shared" ca="1" si="73"/>
        <v>1914.01989573266</v>
      </c>
      <c r="Q470" s="6">
        <f t="shared" ca="1" si="74"/>
        <v>383.77335918338719</v>
      </c>
      <c r="R470" s="6">
        <f t="shared" ca="1" si="75"/>
        <v>146.74697222227269</v>
      </c>
      <c r="S470" s="6"/>
      <c r="T470" s="4">
        <f t="shared" ca="1" si="76"/>
        <v>-1.9460310133482758E-2</v>
      </c>
      <c r="U470" s="4">
        <f t="shared" ca="1" si="77"/>
        <v>7.7181004613665505E-2</v>
      </c>
      <c r="V470" s="4">
        <f t="shared" ca="1" si="78"/>
        <v>-9.0273492546697615E-2</v>
      </c>
      <c r="W470" s="4"/>
      <c r="X470">
        <v>468</v>
      </c>
      <c r="Y470" s="4">
        <f t="shared" ca="1" si="79"/>
        <v>-3.6783395676564488E-3</v>
      </c>
      <c r="Z470" s="4">
        <f ca="1"/>
        <v>-1.4214978482750716E-3</v>
      </c>
      <c r="AA470" s="4"/>
    </row>
    <row r="471" spans="1:27" x14ac:dyDescent="0.35">
      <c r="A471">
        <v>469</v>
      </c>
      <c r="B471">
        <f ca="1">_xlfn.NORM.INV(RAND(),Hitorical_Sim!$AB$4,Hitorical_Sim!$AB$5)</f>
        <v>-1.6386648424378834E-2</v>
      </c>
      <c r="C471">
        <f ca="1">_xlfn.NORM.INV(RAND(),Hitorical_Sim!$AB$4,Hitorical_Sim!$AB$5)</f>
        <v>4.4472770626482515E-3</v>
      </c>
      <c r="D471">
        <f ca="1">_xlfn.NORM.INV(RAND(),Hitorical_Sim!$AB$4,Hitorical_Sim!$AB$5)</f>
        <v>-1.1064764717158323E-3</v>
      </c>
      <c r="K471">
        <f t="shared" ca="1" si="80"/>
        <v>1.397504589026811</v>
      </c>
      <c r="L471">
        <f t="shared" ca="1" si="80"/>
        <v>-0.40863670466704205</v>
      </c>
      <c r="M471">
        <f t="shared" ca="1" si="80"/>
        <v>-0.69182566160323011</v>
      </c>
      <c r="O471">
        <v>469</v>
      </c>
      <c r="P471" s="6">
        <f t="shared" ca="1" si="73"/>
        <v>1987.6047590818937</v>
      </c>
      <c r="Q471" s="6">
        <f t="shared" ca="1" si="74"/>
        <v>379.95062536644349</v>
      </c>
      <c r="R471" s="6">
        <f t="shared" ca="1" si="75"/>
        <v>147.62078063138196</v>
      </c>
      <c r="S471" s="6"/>
      <c r="T471" s="4">
        <f t="shared" ca="1" si="76"/>
        <v>3.7724587307916328E-2</v>
      </c>
      <c r="U471" s="4">
        <f t="shared" ca="1" si="77"/>
        <v>-1.0010856852866261E-2</v>
      </c>
      <c r="V471" s="4">
        <f t="shared" ca="1" si="78"/>
        <v>5.9368661627196943E-3</v>
      </c>
      <c r="W471" s="4"/>
      <c r="X471">
        <v>469</v>
      </c>
      <c r="Y471" s="4">
        <f t="shared" ca="1" si="79"/>
        <v>2.6624937824253802E-2</v>
      </c>
      <c r="Z471" s="4">
        <f ca="1"/>
        <v>-1.4205276086225655E-3</v>
      </c>
      <c r="AA471" s="4"/>
    </row>
    <row r="472" spans="1:27" x14ac:dyDescent="0.35">
      <c r="A472">
        <v>470</v>
      </c>
      <c r="B472">
        <f ca="1">_xlfn.NORM.INV(RAND(),Hitorical_Sim!$AB$4,Hitorical_Sim!$AB$5)</f>
        <v>2.8342451327502988E-2</v>
      </c>
      <c r="C472">
        <f ca="1">_xlfn.NORM.INV(RAND(),Hitorical_Sim!$AB$4,Hitorical_Sim!$AB$5)</f>
        <v>-3.2255223217057824E-3</v>
      </c>
      <c r="D472">
        <f ca="1">_xlfn.NORM.INV(RAND(),Hitorical_Sim!$AB$4,Hitorical_Sim!$AB$5)</f>
        <v>7.9940937452607271E-3</v>
      </c>
      <c r="K472">
        <f t="shared" ca="1" si="80"/>
        <v>5.089804304088321E-2</v>
      </c>
      <c r="L472">
        <f t="shared" ca="1" si="80"/>
        <v>0.60442667859688781</v>
      </c>
      <c r="M472">
        <f t="shared" ca="1" si="80"/>
        <v>-1.5369871506647113</v>
      </c>
      <c r="O472">
        <v>470</v>
      </c>
      <c r="P472" s="6">
        <f t="shared" ca="1" si="73"/>
        <v>1939.6349209451398</v>
      </c>
      <c r="Q472" s="6">
        <f t="shared" ca="1" si="74"/>
        <v>391.0923860056015</v>
      </c>
      <c r="R472" s="6">
        <f t="shared" ca="1" si="75"/>
        <v>143.86349406544903</v>
      </c>
      <c r="S472" s="6"/>
      <c r="T472" s="4">
        <f t="shared" ca="1" si="76"/>
        <v>-2.4430504842924822E-2</v>
      </c>
      <c r="U472" s="4">
        <f t="shared" ca="1" si="77"/>
        <v>2.8902502387400122E-2</v>
      </c>
      <c r="V472" s="4">
        <f t="shared" ca="1" si="78"/>
        <v>-2.578180034092897E-2</v>
      </c>
      <c r="W472" s="4"/>
      <c r="X472">
        <v>470</v>
      </c>
      <c r="Y472" s="4">
        <f t="shared" ca="1" si="79"/>
        <v>-1.3853814053677112E-2</v>
      </c>
      <c r="Z472" s="4">
        <f ca="1"/>
        <v>-1.407586266081986E-3</v>
      </c>
      <c r="AA472" s="4"/>
    </row>
    <row r="473" spans="1:27" x14ac:dyDescent="0.35">
      <c r="A473">
        <v>471</v>
      </c>
      <c r="B473">
        <f ca="1">_xlfn.NORM.INV(RAND(),Hitorical_Sim!$AB$4,Hitorical_Sim!$AB$5)</f>
        <v>8.4224032283585389E-3</v>
      </c>
      <c r="C473">
        <f ca="1">_xlfn.NORM.INV(RAND(),Hitorical_Sim!$AB$4,Hitorical_Sim!$AB$5)</f>
        <v>1.6913730212983917E-2</v>
      </c>
      <c r="D473">
        <f ca="1">_xlfn.NORM.INV(RAND(),Hitorical_Sim!$AB$4,Hitorical_Sim!$AB$5)</f>
        <v>2.5695131743161813E-2</v>
      </c>
      <c r="K473">
        <f t="shared" ca="1" si="80"/>
        <v>-0.56090772634778818</v>
      </c>
      <c r="L473">
        <f t="shared" ca="1" si="80"/>
        <v>0.88554922419003279</v>
      </c>
      <c r="M473">
        <f t="shared" ca="1" si="80"/>
        <v>1.4991163281953248</v>
      </c>
      <c r="O473">
        <v>471</v>
      </c>
      <c r="P473" s="6">
        <f t="shared" ca="1" si="73"/>
        <v>1918.2248909357836</v>
      </c>
      <c r="Q473" s="6">
        <f t="shared" ca="1" si="74"/>
        <v>394.24170484260071</v>
      </c>
      <c r="R473" s="6">
        <f t="shared" ca="1" si="75"/>
        <v>157.82420143096414</v>
      </c>
      <c r="S473" s="6"/>
      <c r="T473" s="4">
        <f t="shared" ca="1" si="76"/>
        <v>-1.1099547864618314E-2</v>
      </c>
      <c r="U473" s="4">
        <f t="shared" ca="1" si="77"/>
        <v>8.0203718537139763E-3</v>
      </c>
      <c r="V473" s="4">
        <f t="shared" ca="1" si="78"/>
        <v>9.2616872301282543E-2</v>
      </c>
      <c r="W473" s="4"/>
      <c r="X473">
        <v>471</v>
      </c>
      <c r="Y473" s="4">
        <f t="shared" ca="1" si="79"/>
        <v>-2.1508849826547575E-3</v>
      </c>
      <c r="Z473" s="4">
        <f ca="1"/>
        <v>-1.3562251425572795E-3</v>
      </c>
      <c r="AA473" s="4"/>
    </row>
    <row r="474" spans="1:27" x14ac:dyDescent="0.35">
      <c r="A474">
        <v>472</v>
      </c>
      <c r="B474">
        <f ca="1">_xlfn.NORM.INV(RAND(),Hitorical_Sim!$AB$4,Hitorical_Sim!$AB$5)</f>
        <v>-6.5024445091458249E-3</v>
      </c>
      <c r="C474">
        <f ca="1">_xlfn.NORM.INV(RAND(),Hitorical_Sim!$AB$4,Hitorical_Sim!$AB$5)</f>
        <v>1.3716467116902616E-2</v>
      </c>
      <c r="D474">
        <f ca="1">_xlfn.NORM.INV(RAND(),Hitorical_Sim!$AB$4,Hitorical_Sim!$AB$5)</f>
        <v>1.7521972529402612E-2</v>
      </c>
      <c r="K474">
        <f t="shared" ca="1" si="80"/>
        <v>-0.91953391001511708</v>
      </c>
      <c r="L474">
        <f t="shared" ca="1" si="80"/>
        <v>-0.46527687558361625</v>
      </c>
      <c r="M474">
        <f t="shared" ca="1" si="80"/>
        <v>0.68451684276680869</v>
      </c>
      <c r="O474">
        <v>472</v>
      </c>
      <c r="P474" s="6">
        <f t="shared" ca="1" si="73"/>
        <v>1905.7848680550667</v>
      </c>
      <c r="Q474" s="6">
        <f t="shared" ca="1" si="74"/>
        <v>379.33714637040981</v>
      </c>
      <c r="R474" s="6">
        <f t="shared" ca="1" si="75"/>
        <v>153.95067568862746</v>
      </c>
      <c r="S474" s="6"/>
      <c r="T474" s="4">
        <f t="shared" ca="1" si="76"/>
        <v>-6.5062944651510602E-3</v>
      </c>
      <c r="U474" s="4">
        <f t="shared" ca="1" si="77"/>
        <v>-3.8538807362558498E-2</v>
      </c>
      <c r="V474" s="4">
        <f t="shared" ca="1" si="78"/>
        <v>-2.4849501027860387E-2</v>
      </c>
      <c r="W474" s="4"/>
      <c r="X474">
        <v>472</v>
      </c>
      <c r="Y474" s="4">
        <f t="shared" ca="1" si="79"/>
        <v>-1.3806769093745844E-2</v>
      </c>
      <c r="Z474" s="4">
        <f ca="1"/>
        <v>-1.3069952610616758E-3</v>
      </c>
      <c r="AA474" s="4"/>
    </row>
    <row r="475" spans="1:27" x14ac:dyDescent="0.35">
      <c r="A475">
        <v>473</v>
      </c>
      <c r="B475">
        <f ca="1">_xlfn.NORM.INV(RAND(),Hitorical_Sim!$AB$4,Hitorical_Sim!$AB$5)</f>
        <v>1.556109621469885E-4</v>
      </c>
      <c r="C475">
        <f ca="1">_xlfn.NORM.INV(RAND(),Hitorical_Sim!$AB$4,Hitorical_Sim!$AB$5)</f>
        <v>6.5036001557312317E-3</v>
      </c>
      <c r="D475">
        <f ca="1">_xlfn.NORM.INV(RAND(),Hitorical_Sim!$AB$4,Hitorical_Sim!$AB$5)</f>
        <v>-3.6008786537865042E-3</v>
      </c>
      <c r="K475">
        <f t="shared" ca="1" si="80"/>
        <v>0.30356704669833889</v>
      </c>
      <c r="L475">
        <f t="shared" ca="1" si="80"/>
        <v>-1.2197443879384844</v>
      </c>
      <c r="M475">
        <f t="shared" ca="1" si="80"/>
        <v>1.1217920518001538</v>
      </c>
      <c r="O475">
        <v>473</v>
      </c>
      <c r="P475" s="6">
        <f t="shared" ca="1" si="73"/>
        <v>1948.5465984856585</v>
      </c>
      <c r="Q475" s="6">
        <f t="shared" ca="1" si="74"/>
        <v>371.25923517701858</v>
      </c>
      <c r="R475" s="6">
        <f t="shared" ca="1" si="75"/>
        <v>156.01800554932561</v>
      </c>
      <c r="S475" s="6"/>
      <c r="T475" s="4">
        <f t="shared" ca="1" si="76"/>
        <v>2.2189832609566314E-2</v>
      </c>
      <c r="U475" s="4">
        <f t="shared" ca="1" si="77"/>
        <v>-2.1524812205527408E-2</v>
      </c>
      <c r="V475" s="4">
        <f t="shared" ca="1" si="78"/>
        <v>1.3339157402752325E-2</v>
      </c>
      <c r="W475" s="4"/>
      <c r="X475">
        <v>473</v>
      </c>
      <c r="Y475" s="4">
        <f t="shared" ca="1" si="79"/>
        <v>1.302776340493437E-2</v>
      </c>
      <c r="Z475" s="4">
        <f ca="1"/>
        <v>-1.2746623101763778E-3</v>
      </c>
      <c r="AA475" s="4"/>
    </row>
    <row r="476" spans="1:27" x14ac:dyDescent="0.35">
      <c r="A476">
        <v>474</v>
      </c>
      <c r="B476">
        <f ca="1">_xlfn.NORM.INV(RAND(),Hitorical_Sim!$AB$4,Hitorical_Sim!$AB$5)</f>
        <v>4.1878878192507666E-3</v>
      </c>
      <c r="C476">
        <f ca="1">_xlfn.NORM.INV(RAND(),Hitorical_Sim!$AB$4,Hitorical_Sim!$AB$5)</f>
        <v>4.9852475397322883E-3</v>
      </c>
      <c r="D476">
        <f ca="1">_xlfn.NORM.INV(RAND(),Hitorical_Sim!$AB$4,Hitorical_Sim!$AB$5)</f>
        <v>5.1895935845975294E-3</v>
      </c>
      <c r="K476">
        <f t="shared" ca="1" si="80"/>
        <v>-0.62365311678879487</v>
      </c>
      <c r="L476">
        <f t="shared" ca="1" si="80"/>
        <v>0.17414825790262542</v>
      </c>
      <c r="M476">
        <f t="shared" ca="1" si="80"/>
        <v>0.86132779209504706</v>
      </c>
      <c r="O476">
        <v>474</v>
      </c>
      <c r="P476" s="6">
        <f t="shared" ca="1" si="73"/>
        <v>1916.0425333947603</v>
      </c>
      <c r="Q476" s="6">
        <f t="shared" ca="1" si="74"/>
        <v>386.32077717318674</v>
      </c>
      <c r="R476" s="6">
        <f t="shared" ca="1" si="75"/>
        <v>154.78327498398698</v>
      </c>
      <c r="S476" s="6"/>
      <c r="T476" s="4">
        <f t="shared" ca="1" si="76"/>
        <v>-1.6821882206093628E-2</v>
      </c>
      <c r="U476" s="4">
        <f t="shared" ca="1" si="77"/>
        <v>3.9767487592339577E-2</v>
      </c>
      <c r="V476" s="4">
        <f t="shared" ca="1" si="78"/>
        <v>-7.9455081976368535E-3</v>
      </c>
      <c r="W476" s="4"/>
      <c r="X476">
        <v>474</v>
      </c>
      <c r="Y476" s="4">
        <f t="shared" ca="1" si="79"/>
        <v>-5.089156946825369E-3</v>
      </c>
      <c r="Z476" s="4">
        <f ca="1"/>
        <v>-1.2704744631766834E-3</v>
      </c>
      <c r="AA476" s="4"/>
    </row>
    <row r="477" spans="1:27" x14ac:dyDescent="0.35">
      <c r="A477">
        <v>475</v>
      </c>
      <c r="B477">
        <f ca="1">_xlfn.NORM.INV(RAND(),Hitorical_Sim!$AB$4,Hitorical_Sim!$AB$5)</f>
        <v>3.7534728921547597E-3</v>
      </c>
      <c r="C477">
        <f ca="1">_xlfn.NORM.INV(RAND(),Hitorical_Sim!$AB$4,Hitorical_Sim!$AB$5)</f>
        <v>3.4775800126702087E-3</v>
      </c>
      <c r="D477">
        <f ca="1">_xlfn.NORM.INV(RAND(),Hitorical_Sim!$AB$4,Hitorical_Sim!$AB$5)</f>
        <v>-1.1075226258909819E-2</v>
      </c>
      <c r="K477">
        <f t="shared" ca="1" si="80"/>
        <v>0.69862484471598185</v>
      </c>
      <c r="L477">
        <f t="shared" ca="1" si="80"/>
        <v>-2.101806079155958E-2</v>
      </c>
      <c r="M477">
        <f t="shared" ca="1" si="80"/>
        <v>0.79144023685275833</v>
      </c>
      <c r="O477">
        <v>475</v>
      </c>
      <c r="P477" s="6">
        <f t="shared" ca="1" si="73"/>
        <v>1962.5624804877509</v>
      </c>
      <c r="Q477" s="6">
        <f t="shared" ca="1" si="74"/>
        <v>384.17569844270241</v>
      </c>
      <c r="R477" s="6">
        <f t="shared" ca="1" si="75"/>
        <v>154.45363904110098</v>
      </c>
      <c r="S477" s="6"/>
      <c r="T477" s="4">
        <f t="shared" ca="1" si="76"/>
        <v>2.3989128998763105E-2</v>
      </c>
      <c r="U477" s="4">
        <f t="shared" ca="1" si="77"/>
        <v>-5.5680573251249707E-3</v>
      </c>
      <c r="V477" s="4">
        <f t="shared" ca="1" si="78"/>
        <v>-2.1319322033627906E-3</v>
      </c>
      <c r="W477" s="4"/>
      <c r="X477">
        <v>475</v>
      </c>
      <c r="Y477" s="4">
        <f t="shared" ca="1" si="79"/>
        <v>1.6797723431432408E-2</v>
      </c>
      <c r="Z477" s="4">
        <f ca="1"/>
        <v>-1.164283357333104E-3</v>
      </c>
      <c r="AA477" s="4"/>
    </row>
    <row r="478" spans="1:27" x14ac:dyDescent="0.35">
      <c r="A478">
        <v>476</v>
      </c>
      <c r="B478">
        <f ca="1">_xlfn.NORM.INV(RAND(),Hitorical_Sim!$AB$4,Hitorical_Sim!$AB$5)</f>
        <v>-2.6674145919076716E-3</v>
      </c>
      <c r="C478">
        <f ca="1">_xlfn.NORM.INV(RAND(),Hitorical_Sim!$AB$4,Hitorical_Sim!$AB$5)</f>
        <v>2.1921768188887063E-2</v>
      </c>
      <c r="D478">
        <f ca="1">_xlfn.NORM.INV(RAND(),Hitorical_Sim!$AB$4,Hitorical_Sim!$AB$5)</f>
        <v>9.3148107831480288E-3</v>
      </c>
      <c r="K478">
        <f t="shared" ca="1" si="80"/>
        <v>-0.53529353308305017</v>
      </c>
      <c r="L478">
        <f t="shared" ca="1" si="80"/>
        <v>-0.48255454431746464</v>
      </c>
      <c r="M478">
        <f t="shared" ca="1" si="80"/>
        <v>-1.0287168936897588</v>
      </c>
      <c r="O478">
        <v>476</v>
      </c>
      <c r="P478" s="6">
        <f t="shared" ca="1" si="73"/>
        <v>1919.1164966364336</v>
      </c>
      <c r="Q478" s="6">
        <f t="shared" ca="1" si="74"/>
        <v>379.15020633973893</v>
      </c>
      <c r="R478" s="6">
        <f t="shared" ca="1" si="75"/>
        <v>146.1114615870284</v>
      </c>
      <c r="S478" s="6"/>
      <c r="T478" s="4">
        <f t="shared" ca="1" si="76"/>
        <v>-2.2386085226195104E-2</v>
      </c>
      <c r="U478" s="4">
        <f t="shared" ca="1" si="77"/>
        <v>-1.3167546608981031E-2</v>
      </c>
      <c r="V478" s="4">
        <f t="shared" ca="1" si="78"/>
        <v>-5.5524214408864944E-2</v>
      </c>
      <c r="W478" s="4"/>
      <c r="X478">
        <v>476</v>
      </c>
      <c r="Y478" s="4">
        <f t="shared" ca="1" si="79"/>
        <v>-2.2186368526200814E-2</v>
      </c>
      <c r="Z478" s="4">
        <f ca="1"/>
        <v>-1.1601256006154095E-3</v>
      </c>
      <c r="AA478" s="4"/>
    </row>
    <row r="479" spans="1:27" x14ac:dyDescent="0.35">
      <c r="A479">
        <v>477</v>
      </c>
      <c r="B479">
        <f ca="1">_xlfn.NORM.INV(RAND(),Hitorical_Sim!$AB$4,Hitorical_Sim!$AB$5)</f>
        <v>-1.7297929979043065E-2</v>
      </c>
      <c r="C479">
        <f ca="1">_xlfn.NORM.INV(RAND(),Hitorical_Sim!$AB$4,Hitorical_Sim!$AB$5)</f>
        <v>6.8749535408202406E-3</v>
      </c>
      <c r="D479">
        <f ca="1">_xlfn.NORM.INV(RAND(),Hitorical_Sim!$AB$4,Hitorical_Sim!$AB$5)</f>
        <v>1.8857980523420637E-2</v>
      </c>
      <c r="K479">
        <f t="shared" ca="1" si="80"/>
        <v>1.1126680390666659</v>
      </c>
      <c r="L479">
        <f t="shared" ca="1" si="80"/>
        <v>-1.6784795873948206</v>
      </c>
      <c r="M479">
        <f t="shared" ca="1" si="80"/>
        <v>-1.0943276056142481</v>
      </c>
      <c r="O479">
        <v>477</v>
      </c>
      <c r="P479" s="6">
        <f t="shared" ca="1" si="73"/>
        <v>1977.3601398374947</v>
      </c>
      <c r="Q479" s="6">
        <f t="shared" ca="1" si="74"/>
        <v>366.43199045737776</v>
      </c>
      <c r="R479" s="6">
        <f t="shared" ca="1" si="75"/>
        <v>145.81931687071528</v>
      </c>
      <c r="S479" s="6"/>
      <c r="T479" s="4">
        <f t="shared" ca="1" si="76"/>
        <v>2.9897770279945082E-2</v>
      </c>
      <c r="U479" s="4">
        <f t="shared" ca="1" si="77"/>
        <v>-3.4119510174507782E-2</v>
      </c>
      <c r="V479" s="4">
        <f t="shared" ca="1" si="78"/>
        <v>-2.001466343363401E-3</v>
      </c>
      <c r="W479" s="4"/>
      <c r="X479">
        <v>477</v>
      </c>
      <c r="Y479" s="4">
        <f t="shared" ca="1" si="79"/>
        <v>1.5543266991998183E-2</v>
      </c>
      <c r="Z479" s="4">
        <f ca="1"/>
        <v>-1.0970853255150466E-3</v>
      </c>
      <c r="AA479" s="4"/>
    </row>
    <row r="480" spans="1:27" x14ac:dyDescent="0.35">
      <c r="A480">
        <v>478</v>
      </c>
      <c r="B480">
        <f ca="1">_xlfn.NORM.INV(RAND(),Hitorical_Sim!$AB$4,Hitorical_Sim!$AB$5)</f>
        <v>-1.7039322868719585E-2</v>
      </c>
      <c r="C480">
        <f ca="1">_xlfn.NORM.INV(RAND(),Hitorical_Sim!$AB$4,Hitorical_Sim!$AB$5)</f>
        <v>2.1095966574089017E-2</v>
      </c>
      <c r="D480">
        <f ca="1">_xlfn.NORM.INV(RAND(),Hitorical_Sim!$AB$4,Hitorical_Sim!$AB$5)</f>
        <v>-2.9364130594270134E-3</v>
      </c>
      <c r="K480">
        <f t="shared" ca="1" si="80"/>
        <v>0.79418235522885205</v>
      </c>
      <c r="L480">
        <f t="shared" ca="1" si="80"/>
        <v>-5.2455584252184558E-2</v>
      </c>
      <c r="M480">
        <f t="shared" ca="1" si="80"/>
        <v>0.58215419349693287</v>
      </c>
      <c r="O480">
        <v>478</v>
      </c>
      <c r="P480" s="6">
        <f t="shared" ca="1" si="73"/>
        <v>1965.9677896469145</v>
      </c>
      <c r="Q480" s="6">
        <f t="shared" ca="1" si="74"/>
        <v>383.83128325265727</v>
      </c>
      <c r="R480" s="6">
        <f t="shared" ca="1" si="75"/>
        <v>153.47070051708823</v>
      </c>
      <c r="S480" s="6"/>
      <c r="T480" s="4">
        <f t="shared" ca="1" si="76"/>
        <v>-5.7780545212669726E-3</v>
      </c>
      <c r="U480" s="4">
        <f t="shared" ca="1" si="77"/>
        <v>4.6390150319504914E-2</v>
      </c>
      <c r="V480" s="4">
        <f t="shared" ca="1" si="78"/>
        <v>5.1141373074018018E-2</v>
      </c>
      <c r="W480" s="4"/>
      <c r="X480">
        <v>478</v>
      </c>
      <c r="Y480" s="4">
        <f t="shared" ca="1" si="79"/>
        <v>7.4500031627543657E-3</v>
      </c>
      <c r="Z480" s="4">
        <f ca="1"/>
        <v>-1.0916782279589321E-3</v>
      </c>
      <c r="AA480" s="4"/>
    </row>
    <row r="481" spans="1:27" x14ac:dyDescent="0.35">
      <c r="A481">
        <v>479</v>
      </c>
      <c r="B481">
        <f ca="1">_xlfn.NORM.INV(RAND(),Hitorical_Sim!$AB$4,Hitorical_Sim!$AB$5)</f>
        <v>4.9866987690145867E-3</v>
      </c>
      <c r="C481">
        <f ca="1">_xlfn.NORM.INV(RAND(),Hitorical_Sim!$AB$4,Hitorical_Sim!$AB$5)</f>
        <v>1.2532294815257744E-2</v>
      </c>
      <c r="D481">
        <f ca="1">_xlfn.NORM.INV(RAND(),Hitorical_Sim!$AB$4,Hitorical_Sim!$AB$5)</f>
        <v>-1.6387128713932567E-2</v>
      </c>
      <c r="K481">
        <f t="shared" ca="1" si="80"/>
        <v>-0.57867121827470802</v>
      </c>
      <c r="L481">
        <f t="shared" ca="1" si="80"/>
        <v>0.54572540183926155</v>
      </c>
      <c r="M481">
        <f t="shared" ca="1" si="80"/>
        <v>-0.76589146071549152</v>
      </c>
      <c r="O481">
        <v>479</v>
      </c>
      <c r="P481" s="6">
        <f t="shared" ca="1" si="73"/>
        <v>1917.6068039389545</v>
      </c>
      <c r="Q481" s="6">
        <f t="shared" ca="1" si="74"/>
        <v>390.43795762945996</v>
      </c>
      <c r="R481" s="6">
        <f t="shared" ca="1" si="75"/>
        <v>147.28762418294659</v>
      </c>
      <c r="S481" s="6"/>
      <c r="T481" s="4">
        <f t="shared" ca="1" si="76"/>
        <v>-2.4906685606187397E-2</v>
      </c>
      <c r="U481" s="4">
        <f t="shared" ca="1" si="77"/>
        <v>1.706598783869108E-2</v>
      </c>
      <c r="V481" s="4">
        <f t="shared" ca="1" si="78"/>
        <v>-4.1122370525845615E-2</v>
      </c>
      <c r="W481" s="4"/>
      <c r="X481">
        <v>479</v>
      </c>
      <c r="Y481" s="4">
        <f t="shared" ca="1" si="79"/>
        <v>-1.7332795172386808E-2</v>
      </c>
      <c r="Z481" s="4">
        <f ca="1"/>
        <v>-1.0465238064864516E-3</v>
      </c>
      <c r="AA481" s="4"/>
    </row>
    <row r="482" spans="1:27" x14ac:dyDescent="0.35">
      <c r="A482">
        <v>480</v>
      </c>
      <c r="B482">
        <f ca="1">_xlfn.NORM.INV(RAND(),Hitorical_Sim!$AB$4,Hitorical_Sim!$AB$5)</f>
        <v>-1.2198920769871189E-3</v>
      </c>
      <c r="C482">
        <f ca="1">_xlfn.NORM.INV(RAND(),Hitorical_Sim!$AB$4,Hitorical_Sim!$AB$5)</f>
        <v>1.3850173101985795E-2</v>
      </c>
      <c r="D482">
        <f ca="1">_xlfn.NORM.INV(RAND(),Hitorical_Sim!$AB$4,Hitorical_Sim!$AB$5)</f>
        <v>-1.6022387225457013E-2</v>
      </c>
      <c r="K482">
        <f t="shared" ca="1" si="80"/>
        <v>1.1710885729603311</v>
      </c>
      <c r="L482">
        <f t="shared" ca="1" si="80"/>
        <v>0.72144190932440588</v>
      </c>
      <c r="M482">
        <f t="shared" ca="1" si="80"/>
        <v>-0.26246502861268167</v>
      </c>
      <c r="O482">
        <v>480</v>
      </c>
      <c r="P482" s="6">
        <f t="shared" ca="1" si="73"/>
        <v>1979.4570179560119</v>
      </c>
      <c r="Q482" s="6">
        <f t="shared" ca="1" si="74"/>
        <v>392.40019919368808</v>
      </c>
      <c r="R482" s="6">
        <f t="shared" ca="1" si="75"/>
        <v>149.56699421685866</v>
      </c>
      <c r="S482" s="6"/>
      <c r="T482" s="4">
        <f t="shared" ca="1" si="76"/>
        <v>3.1744621456911759E-2</v>
      </c>
      <c r="U482" s="4">
        <f t="shared" ca="1" si="77"/>
        <v>5.0131579731292663E-3</v>
      </c>
      <c r="V482" s="4">
        <f t="shared" ca="1" si="78"/>
        <v>1.5357112133958836E-2</v>
      </c>
      <c r="W482" s="4"/>
      <c r="X482">
        <v>480</v>
      </c>
      <c r="Y482" s="4">
        <f t="shared" ca="1" si="79"/>
        <v>2.5598854475452845E-2</v>
      </c>
      <c r="Z482" s="4">
        <f ca="1"/>
        <v>-9.9855812474027353E-4</v>
      </c>
      <c r="AA482" s="4"/>
    </row>
    <row r="483" spans="1:27" x14ac:dyDescent="0.35">
      <c r="A483">
        <v>481</v>
      </c>
      <c r="B483">
        <f ca="1">_xlfn.NORM.INV(RAND(),Hitorical_Sim!$AB$4,Hitorical_Sim!$AB$5)</f>
        <v>-1.6586762874620294E-3</v>
      </c>
      <c r="C483">
        <f ca="1">_xlfn.NORM.INV(RAND(),Hitorical_Sim!$AB$4,Hitorical_Sim!$AB$5)</f>
        <v>3.0180060470502285E-2</v>
      </c>
      <c r="D483">
        <f ca="1">_xlfn.NORM.INV(RAND(),Hitorical_Sim!$AB$4,Hitorical_Sim!$AB$5)</f>
        <v>3.0034368812534843E-4</v>
      </c>
      <c r="K483">
        <f t="shared" ca="1" si="80"/>
        <v>0.58980808347986435</v>
      </c>
      <c r="L483">
        <f t="shared" ca="1" si="80"/>
        <v>-0.91318091188586825</v>
      </c>
      <c r="M483">
        <f t="shared" ca="1" si="80"/>
        <v>-0.59977670022864715</v>
      </c>
      <c r="O483">
        <v>481</v>
      </c>
      <c r="P483" s="6">
        <f t="shared" ca="1" si="73"/>
        <v>1958.6918439685917</v>
      </c>
      <c r="Q483" s="6">
        <f t="shared" ca="1" si="74"/>
        <v>374.52058287105774</v>
      </c>
      <c r="R483" s="6">
        <f t="shared" ca="1" si="75"/>
        <v>148.035877843832</v>
      </c>
      <c r="S483" s="6"/>
      <c r="T483" s="4">
        <f t="shared" ca="1" si="76"/>
        <v>-1.0545749874513611E-2</v>
      </c>
      <c r="U483" s="4">
        <f t="shared" ca="1" si="77"/>
        <v>-4.6635472935872627E-2</v>
      </c>
      <c r="V483" s="4">
        <f t="shared" ca="1" si="78"/>
        <v>-1.0289752056645382E-2</v>
      </c>
      <c r="W483" s="4"/>
      <c r="X483">
        <v>481</v>
      </c>
      <c r="Y483" s="4">
        <f t="shared" ca="1" si="79"/>
        <v>-1.7735437495640011E-2</v>
      </c>
      <c r="Z483" s="4">
        <f ca="1"/>
        <v>-8.796023201944822E-4</v>
      </c>
      <c r="AA483" s="4"/>
    </row>
    <row r="484" spans="1:27" x14ac:dyDescent="0.35">
      <c r="A484">
        <v>482</v>
      </c>
      <c r="B484">
        <f ca="1">_xlfn.NORM.INV(RAND(),Hitorical_Sim!$AB$4,Hitorical_Sim!$AB$5)</f>
        <v>-9.8577138779711504E-4</v>
      </c>
      <c r="C484">
        <f ca="1">_xlfn.NORM.INV(RAND(),Hitorical_Sim!$AB$4,Hitorical_Sim!$AB$5)</f>
        <v>-3.6687662036267513E-2</v>
      </c>
      <c r="D484">
        <f ca="1">_xlfn.NORM.INV(RAND(),Hitorical_Sim!$AB$4,Hitorical_Sim!$AB$5)</f>
        <v>-3.2007946315003921E-2</v>
      </c>
      <c r="K484">
        <f t="shared" ref="K484:M503" ca="1" si="81">_xlfn.NORM.S.INV(RAND())</f>
        <v>-1.5050239614748959</v>
      </c>
      <c r="L484">
        <f t="shared" ca="1" si="81"/>
        <v>-0.47922126936580117</v>
      </c>
      <c r="M484">
        <f t="shared" ca="1" si="81"/>
        <v>-0.92492645759324899</v>
      </c>
      <c r="O484">
        <v>482</v>
      </c>
      <c r="P484" s="6">
        <f t="shared" ca="1" si="73"/>
        <v>1885.648525438678</v>
      </c>
      <c r="Q484" s="6">
        <f t="shared" ca="1" si="74"/>
        <v>379.18626436289395</v>
      </c>
      <c r="R484" s="6">
        <f t="shared" ca="1" si="75"/>
        <v>146.57480486226709</v>
      </c>
      <c r="S484" s="6"/>
      <c r="T484" s="4">
        <f t="shared" ca="1" si="76"/>
        <v>-3.8005016812027413E-2</v>
      </c>
      <c r="U484" s="4">
        <f t="shared" ca="1" si="77"/>
        <v>1.2380784668735639E-2</v>
      </c>
      <c r="V484" s="4">
        <f t="shared" ca="1" si="78"/>
        <v>-9.9187507166051073E-3</v>
      </c>
      <c r="W484" s="4"/>
      <c r="X484">
        <v>482</v>
      </c>
      <c r="Y484" s="4">
        <f t="shared" ca="1" si="79"/>
        <v>-2.6559625994033022E-2</v>
      </c>
      <c r="Z484" s="4">
        <f ca="1"/>
        <v>-7.9566805251758818E-4</v>
      </c>
      <c r="AA484" s="4"/>
    </row>
    <row r="485" spans="1:27" x14ac:dyDescent="0.35">
      <c r="A485">
        <v>483</v>
      </c>
      <c r="B485">
        <f ca="1">_xlfn.NORM.INV(RAND(),Hitorical_Sim!$AB$4,Hitorical_Sim!$AB$5)</f>
        <v>5.4494328527157051E-3</v>
      </c>
      <c r="C485">
        <f ca="1">_xlfn.NORM.INV(RAND(),Hitorical_Sim!$AB$4,Hitorical_Sim!$AB$5)</f>
        <v>2.613549948005871E-3</v>
      </c>
      <c r="D485">
        <f ca="1">_xlfn.NORM.INV(RAND(),Hitorical_Sim!$AB$4,Hitorical_Sim!$AB$5)</f>
        <v>-1.1691376689288829E-2</v>
      </c>
      <c r="K485">
        <f t="shared" ca="1" si="81"/>
        <v>-0.27587568289262804</v>
      </c>
      <c r="L485">
        <f t="shared" ca="1" si="81"/>
        <v>2.209632797982318</v>
      </c>
      <c r="M485">
        <f t="shared" ca="1" si="81"/>
        <v>7.089231367316963E-2</v>
      </c>
      <c r="O485">
        <v>483</v>
      </c>
      <c r="P485" s="6">
        <f t="shared" ca="1" si="73"/>
        <v>1928.1699715786156</v>
      </c>
      <c r="Q485" s="6">
        <f t="shared" ca="1" si="74"/>
        <v>409.41938977198549</v>
      </c>
      <c r="R485" s="6">
        <f t="shared" ca="1" si="75"/>
        <v>151.09571933267549</v>
      </c>
      <c r="S485" s="6"/>
      <c r="T485" s="4">
        <f t="shared" ca="1" si="76"/>
        <v>2.2299544779496812E-2</v>
      </c>
      <c r="U485" s="4">
        <f t="shared" ca="1" si="77"/>
        <v>7.6712486488767717E-2</v>
      </c>
      <c r="V485" s="4">
        <f t="shared" ca="1" si="78"/>
        <v>3.0377627315993725E-2</v>
      </c>
      <c r="W485" s="4"/>
      <c r="X485">
        <v>483</v>
      </c>
      <c r="Y485" s="4">
        <f t="shared" ca="1" si="79"/>
        <v>3.3558416579695785E-2</v>
      </c>
      <c r="Z485" s="4">
        <f ca="1"/>
        <v>-7.6900592594519282E-4</v>
      </c>
      <c r="AA485" s="4"/>
    </row>
    <row r="486" spans="1:27" x14ac:dyDescent="0.35">
      <c r="A486">
        <v>484</v>
      </c>
      <c r="B486">
        <f ca="1">_xlfn.NORM.INV(RAND(),Hitorical_Sim!$AB$4,Hitorical_Sim!$AB$5)</f>
        <v>-9.6704247448822708E-3</v>
      </c>
      <c r="C486">
        <f ca="1">_xlfn.NORM.INV(RAND(),Hitorical_Sim!$AB$4,Hitorical_Sim!$AB$5)</f>
        <v>-7.9995534575343606E-4</v>
      </c>
      <c r="D486">
        <f ca="1">_xlfn.NORM.INV(RAND(),Hitorical_Sim!$AB$4,Hitorical_Sim!$AB$5)</f>
        <v>1.4682744131492618E-2</v>
      </c>
      <c r="K486">
        <f t="shared" ca="1" si="81"/>
        <v>-0.84686336567096809</v>
      </c>
      <c r="L486">
        <f t="shared" ca="1" si="81"/>
        <v>1.8693192135289356</v>
      </c>
      <c r="M486">
        <f t="shared" ca="1" si="81"/>
        <v>-1.9286312545834055</v>
      </c>
      <c r="O486">
        <v>484</v>
      </c>
      <c r="P486" s="6">
        <f t="shared" ca="1" si="73"/>
        <v>1908.2991288775374</v>
      </c>
      <c r="Q486" s="6">
        <f t="shared" ca="1" si="74"/>
        <v>405.46353877204348</v>
      </c>
      <c r="R486" s="6">
        <f t="shared" ca="1" si="75"/>
        <v>142.15495849365061</v>
      </c>
      <c r="S486" s="6"/>
      <c r="T486" s="4">
        <f t="shared" ca="1" si="76"/>
        <v>-1.035901495574079E-2</v>
      </c>
      <c r="U486" s="4">
        <f t="shared" ca="1" si="77"/>
        <v>-9.7090807442262519E-3</v>
      </c>
      <c r="V486" s="4">
        <f t="shared" ca="1" si="78"/>
        <v>-6.0995819238070619E-2</v>
      </c>
      <c r="W486" s="4"/>
      <c r="X486">
        <v>484</v>
      </c>
      <c r="Y486" s="4">
        <f t="shared" ca="1" si="79"/>
        <v>-1.2735329704956586E-2</v>
      </c>
      <c r="Z486" s="4">
        <f ca="1"/>
        <v>-6.4034796154901997E-4</v>
      </c>
      <c r="AA486" s="4"/>
    </row>
    <row r="487" spans="1:27" x14ac:dyDescent="0.35">
      <c r="A487">
        <v>485</v>
      </c>
      <c r="B487">
        <f ca="1">_xlfn.NORM.INV(RAND(),Hitorical_Sim!$AB$4,Hitorical_Sim!$AB$5)</f>
        <v>-1.1453076878523752E-2</v>
      </c>
      <c r="C487">
        <f ca="1">_xlfn.NORM.INV(RAND(),Hitorical_Sim!$AB$4,Hitorical_Sim!$AB$5)</f>
        <v>4.7443715600143438E-3</v>
      </c>
      <c r="D487">
        <f ca="1">_xlfn.NORM.INV(RAND(),Hitorical_Sim!$AB$4,Hitorical_Sim!$AB$5)</f>
        <v>1.0014080653125822E-2</v>
      </c>
      <c r="K487">
        <f t="shared" ca="1" si="81"/>
        <v>1.4962436557119672</v>
      </c>
      <c r="L487">
        <f t="shared" ca="1" si="81"/>
        <v>0.25322973585414549</v>
      </c>
      <c r="M487">
        <f t="shared" ca="1" si="81"/>
        <v>-0.36707040283612236</v>
      </c>
      <c r="O487">
        <v>485</v>
      </c>
      <c r="P487" s="6">
        <f t="shared" ca="1" si="73"/>
        <v>1991.1684482008745</v>
      </c>
      <c r="Q487" s="6">
        <f t="shared" ca="1" si="74"/>
        <v>387.19337009539299</v>
      </c>
      <c r="R487" s="6">
        <f t="shared" ca="1" si="75"/>
        <v>149.09048580591318</v>
      </c>
      <c r="S487" s="6"/>
      <c r="T487" s="4">
        <f t="shared" ca="1" si="76"/>
        <v>4.2509289446143197E-2</v>
      </c>
      <c r="U487" s="4">
        <f t="shared" ca="1" si="77"/>
        <v>-4.6106720229349245E-2</v>
      </c>
      <c r="V487" s="4">
        <f t="shared" ca="1" si="78"/>
        <v>4.7635689298463194E-2</v>
      </c>
      <c r="W487" s="4"/>
      <c r="X487">
        <v>485</v>
      </c>
      <c r="Y487" s="4">
        <f t="shared" ca="1" si="79"/>
        <v>2.5078067450924571E-2</v>
      </c>
      <c r="Z487" s="4">
        <f ca="1"/>
        <v>-5.668074384261308E-4</v>
      </c>
      <c r="AA487" s="4"/>
    </row>
    <row r="488" spans="1:27" x14ac:dyDescent="0.35">
      <c r="A488">
        <v>486</v>
      </c>
      <c r="B488">
        <f ca="1">_xlfn.NORM.INV(RAND(),Hitorical_Sim!$AB$4,Hitorical_Sim!$AB$5)</f>
        <v>2.62429597876007E-2</v>
      </c>
      <c r="C488">
        <f ca="1">_xlfn.NORM.INV(RAND(),Hitorical_Sim!$AB$4,Hitorical_Sim!$AB$5)</f>
        <v>-1.4810436530278803E-3</v>
      </c>
      <c r="D488">
        <f ca="1">_xlfn.NORM.INV(RAND(),Hitorical_Sim!$AB$4,Hitorical_Sim!$AB$5)</f>
        <v>1.4064733343202844E-2</v>
      </c>
      <c r="K488">
        <f t="shared" ca="1" si="81"/>
        <v>-0.46506895320758229</v>
      </c>
      <c r="L488">
        <f t="shared" ca="1" si="81"/>
        <v>1.4016943920205842</v>
      </c>
      <c r="M488">
        <f t="shared" ca="1" si="81"/>
        <v>1.2538921996393297</v>
      </c>
      <c r="O488">
        <v>486</v>
      </c>
      <c r="P488" s="6">
        <f t="shared" ca="1" si="73"/>
        <v>1921.5630736484127</v>
      </c>
      <c r="Q488" s="6">
        <f t="shared" ca="1" si="74"/>
        <v>400.09007413040581</v>
      </c>
      <c r="R488" s="6">
        <f t="shared" ca="1" si="75"/>
        <v>156.64798575962982</v>
      </c>
      <c r="S488" s="6"/>
      <c r="T488" s="4">
        <f t="shared" ca="1" si="76"/>
        <v>-3.5582670627534001E-2</v>
      </c>
      <c r="U488" s="4">
        <f t="shared" ca="1" si="77"/>
        <v>3.2765474515277594E-2</v>
      </c>
      <c r="V488" s="4">
        <f t="shared" ca="1" si="78"/>
        <v>4.9447750185047087E-2</v>
      </c>
      <c r="W488" s="4"/>
      <c r="X488">
        <v>486</v>
      </c>
      <c r="Y488" s="4">
        <f t="shared" ca="1" si="79"/>
        <v>-1.7734396801523031E-2</v>
      </c>
      <c r="Z488" s="4">
        <f ca="1"/>
        <v>-5.0714812026696155E-4</v>
      </c>
      <c r="AA488" s="4"/>
    </row>
    <row r="489" spans="1:27" x14ac:dyDescent="0.35">
      <c r="A489">
        <v>487</v>
      </c>
      <c r="B489">
        <f ca="1">_xlfn.NORM.INV(RAND(),Hitorical_Sim!$AB$4,Hitorical_Sim!$AB$5)</f>
        <v>-2.3941203446664002E-2</v>
      </c>
      <c r="C489">
        <f ca="1">_xlfn.NORM.INV(RAND(),Hitorical_Sim!$AB$4,Hitorical_Sim!$AB$5)</f>
        <v>-6.5512403567642872E-3</v>
      </c>
      <c r="D489">
        <f ca="1">_xlfn.NORM.INV(RAND(),Hitorical_Sim!$AB$4,Hitorical_Sim!$AB$5)</f>
        <v>-1.3078522961280226E-2</v>
      </c>
      <c r="K489">
        <f t="shared" ca="1" si="81"/>
        <v>8.6455731776770489E-2</v>
      </c>
      <c r="L489">
        <f t="shared" ca="1" si="81"/>
        <v>0.19338983539428392</v>
      </c>
      <c r="M489">
        <f t="shared" ca="1" si="81"/>
        <v>-1.3931472150929136</v>
      </c>
      <c r="O489">
        <v>487</v>
      </c>
      <c r="P489" s="6">
        <f t="shared" ca="1" si="73"/>
        <v>1940.8865779299636</v>
      </c>
      <c r="Q489" s="6">
        <f t="shared" ca="1" si="74"/>
        <v>386.53290946206516</v>
      </c>
      <c r="R489" s="6">
        <f t="shared" ca="1" si="75"/>
        <v>144.49613426656933</v>
      </c>
      <c r="S489" s="6"/>
      <c r="T489" s="4">
        <f t="shared" ca="1" si="76"/>
        <v>1.0005911918122929E-2</v>
      </c>
      <c r="U489" s="4">
        <f t="shared" ca="1" si="77"/>
        <v>-3.4472695301731034E-2</v>
      </c>
      <c r="V489" s="4">
        <f t="shared" ca="1" si="78"/>
        <v>-8.0748404380066738E-2</v>
      </c>
      <c r="W489" s="4"/>
      <c r="X489">
        <v>487</v>
      </c>
      <c r="Y489" s="4">
        <f t="shared" ca="1" si="79"/>
        <v>-3.3620398295506138E-3</v>
      </c>
      <c r="Z489" s="4">
        <f ca="1"/>
        <v>-4.9652259881973729E-4</v>
      </c>
      <c r="AA489" s="4"/>
    </row>
    <row r="490" spans="1:27" x14ac:dyDescent="0.35">
      <c r="A490">
        <v>488</v>
      </c>
      <c r="B490">
        <f ca="1">_xlfn.NORM.INV(RAND(),Hitorical_Sim!$AB$4,Hitorical_Sim!$AB$5)</f>
        <v>-3.5282710341199308E-3</v>
      </c>
      <c r="C490">
        <f ca="1">_xlfn.NORM.INV(RAND(),Hitorical_Sim!$AB$4,Hitorical_Sim!$AB$5)</f>
        <v>2.2288181497207987E-2</v>
      </c>
      <c r="D490">
        <f ca="1">_xlfn.NORM.INV(RAND(),Hitorical_Sim!$AB$4,Hitorical_Sim!$AB$5)</f>
        <v>-4.8886197963917289E-3</v>
      </c>
      <c r="K490">
        <f t="shared" ca="1" si="81"/>
        <v>-0.76133679803345244</v>
      </c>
      <c r="L490">
        <f t="shared" ca="1" si="81"/>
        <v>0.2119436897404724</v>
      </c>
      <c r="M490">
        <f t="shared" ca="1" si="81"/>
        <v>0.28357822130981408</v>
      </c>
      <c r="O490">
        <v>488</v>
      </c>
      <c r="P490" s="6">
        <f t="shared" ca="1" si="73"/>
        <v>1911.2624327926362</v>
      </c>
      <c r="Q490" s="6">
        <f t="shared" ca="1" si="74"/>
        <v>386.73757013390241</v>
      </c>
      <c r="R490" s="6">
        <f t="shared" ca="1" si="75"/>
        <v>152.07921858554812</v>
      </c>
      <c r="S490" s="6"/>
      <c r="T490" s="4">
        <f t="shared" ca="1" si="76"/>
        <v>-1.5380884317742398E-2</v>
      </c>
      <c r="U490" s="4">
        <f t="shared" ca="1" si="77"/>
        <v>5.2933787598621169E-4</v>
      </c>
      <c r="V490" s="4">
        <f t="shared" ca="1" si="78"/>
        <v>5.1148805272582927E-2</v>
      </c>
      <c r="W490" s="4"/>
      <c r="X490">
        <v>488</v>
      </c>
      <c r="Y490" s="4">
        <f t="shared" ca="1" si="79"/>
        <v>-8.9131499526504693E-3</v>
      </c>
      <c r="Z490" s="4">
        <f ca="1"/>
        <v>-3.9243329579481158E-4</v>
      </c>
      <c r="AA490" s="4"/>
    </row>
    <row r="491" spans="1:27" x14ac:dyDescent="0.35">
      <c r="A491">
        <v>489</v>
      </c>
      <c r="B491">
        <f ca="1">_xlfn.NORM.INV(RAND(),Hitorical_Sim!$AB$4,Hitorical_Sim!$AB$5)</f>
        <v>4.1983437745323326E-3</v>
      </c>
      <c r="C491">
        <f ca="1">_xlfn.NORM.INV(RAND(),Hitorical_Sim!$AB$4,Hitorical_Sim!$AB$5)</f>
        <v>-9.0909903272754829E-3</v>
      </c>
      <c r="D491">
        <f ca="1">_xlfn.NORM.INV(RAND(),Hitorical_Sim!$AB$4,Hitorical_Sim!$AB$5)</f>
        <v>-2.578240057650771E-2</v>
      </c>
      <c r="K491">
        <f t="shared" ca="1" si="81"/>
        <v>-0.86966539425516254</v>
      </c>
      <c r="L491">
        <f t="shared" ca="1" si="81"/>
        <v>1.0663322150119889</v>
      </c>
      <c r="M491">
        <f t="shared" ca="1" si="81"/>
        <v>-2.0560209565982293</v>
      </c>
      <c r="O491">
        <v>489</v>
      </c>
      <c r="P491" s="6">
        <f t="shared" ca="1" si="73"/>
        <v>1907.5098657183144</v>
      </c>
      <c r="Q491" s="6">
        <f t="shared" ca="1" si="74"/>
        <v>396.28033958487168</v>
      </c>
      <c r="R491" s="6">
        <f t="shared" ca="1" si="75"/>
        <v>141.60360985693114</v>
      </c>
      <c r="S491" s="6"/>
      <c r="T491" s="4">
        <f t="shared" ca="1" si="76"/>
        <v>-1.9653270678881402E-3</v>
      </c>
      <c r="U491" s="4">
        <f t="shared" ca="1" si="77"/>
        <v>2.4375539378264092E-2</v>
      </c>
      <c r="V491" s="4">
        <f t="shared" ca="1" si="78"/>
        <v>-7.1369885712147904E-2</v>
      </c>
      <c r="W491" s="4"/>
      <c r="X491">
        <v>489</v>
      </c>
      <c r="Y491" s="4">
        <f t="shared" ca="1" si="79"/>
        <v>-1.4336984288793042E-4</v>
      </c>
      <c r="Z491" s="4">
        <f ca="1"/>
        <v>-3.9120173522792312E-4</v>
      </c>
      <c r="AA491" s="4"/>
    </row>
    <row r="492" spans="1:27" x14ac:dyDescent="0.35">
      <c r="A492">
        <v>490</v>
      </c>
      <c r="B492">
        <f ca="1">_xlfn.NORM.INV(RAND(),Hitorical_Sim!$AB$4,Hitorical_Sim!$AB$5)</f>
        <v>1.683289573357127E-2</v>
      </c>
      <c r="C492">
        <f ca="1">_xlfn.NORM.INV(RAND(),Hitorical_Sim!$AB$4,Hitorical_Sim!$AB$5)</f>
        <v>5.2933037999222589E-2</v>
      </c>
      <c r="D492">
        <f ca="1">_xlfn.NORM.INV(RAND(),Hitorical_Sim!$AB$4,Hitorical_Sim!$AB$5)</f>
        <v>1.4809384661767863E-2</v>
      </c>
      <c r="K492">
        <f t="shared" ca="1" si="81"/>
        <v>0.18929552533968705</v>
      </c>
      <c r="L492">
        <f t="shared" ca="1" si="81"/>
        <v>0.24869629741829818</v>
      </c>
      <c r="M492">
        <f t="shared" ca="1" si="81"/>
        <v>0.25034613646915538</v>
      </c>
      <c r="O492">
        <v>490</v>
      </c>
      <c r="P492" s="6">
        <f t="shared" ca="1" si="73"/>
        <v>1944.511162840301</v>
      </c>
      <c r="Q492" s="6">
        <f t="shared" ca="1" si="74"/>
        <v>387.14329447056036</v>
      </c>
      <c r="R492" s="6">
        <f t="shared" ca="1" si="75"/>
        <v>151.92512630349373</v>
      </c>
      <c r="S492" s="6"/>
      <c r="T492" s="4">
        <f t="shared" ca="1" si="76"/>
        <v>1.9211959092095679E-2</v>
      </c>
      <c r="U492" s="4">
        <f t="shared" ca="1" si="77"/>
        <v>-2.332699458955689E-2</v>
      </c>
      <c r="V492" s="4">
        <f t="shared" ca="1" si="78"/>
        <v>7.0356135100739847E-2</v>
      </c>
      <c r="W492" s="4"/>
      <c r="X492">
        <v>490</v>
      </c>
      <c r="Y492" s="4">
        <f t="shared" ca="1" si="79"/>
        <v>1.3253672074751937E-2</v>
      </c>
      <c r="Z492" s="4">
        <f ca="1"/>
        <v>-3.4655730832501173E-4</v>
      </c>
      <c r="AA492" s="4"/>
    </row>
    <row r="493" spans="1:27" x14ac:dyDescent="0.35">
      <c r="A493">
        <v>491</v>
      </c>
      <c r="B493">
        <f ca="1">_xlfn.NORM.INV(RAND(),Hitorical_Sim!$AB$4,Hitorical_Sim!$AB$5)</f>
        <v>2.6052174796323196E-2</v>
      </c>
      <c r="C493">
        <f ca="1">_xlfn.NORM.INV(RAND(),Hitorical_Sim!$AB$4,Hitorical_Sim!$AB$5)</f>
        <v>-2.6473938357947001E-2</v>
      </c>
      <c r="D493">
        <f ca="1">_xlfn.NORM.INV(RAND(),Hitorical_Sim!$AB$4,Hitorical_Sim!$AB$5)</f>
        <v>1.1691619009272219E-3</v>
      </c>
      <c r="K493">
        <f t="shared" ca="1" si="81"/>
        <v>-0.34757472314685212</v>
      </c>
      <c r="L493">
        <f t="shared" ca="1" si="81"/>
        <v>-1.6385491063469702</v>
      </c>
      <c r="M493">
        <f t="shared" ca="1" si="81"/>
        <v>-0.4453697783615449</v>
      </c>
      <c r="O493">
        <v>491</v>
      </c>
      <c r="P493" s="6">
        <f t="shared" ca="1" si="73"/>
        <v>1925.6634702064257</v>
      </c>
      <c r="Q493" s="6">
        <f t="shared" ca="1" si="74"/>
        <v>366.84967091010805</v>
      </c>
      <c r="R493" s="6">
        <f t="shared" ca="1" si="75"/>
        <v>148.73480272383307</v>
      </c>
      <c r="S493" s="6"/>
      <c r="T493" s="4">
        <f t="shared" ca="1" si="76"/>
        <v>-9.7400471167839297E-3</v>
      </c>
      <c r="U493" s="4">
        <f t="shared" ca="1" si="77"/>
        <v>-5.3842746356300548E-2</v>
      </c>
      <c r="V493" s="4">
        <f t="shared" ca="1" si="78"/>
        <v>-2.1222936731405042E-2</v>
      </c>
      <c r="W493" s="4"/>
      <c r="X493">
        <v>491</v>
      </c>
      <c r="Y493" s="4">
        <f t="shared" ca="1" si="79"/>
        <v>-1.910982790845648E-2</v>
      </c>
      <c r="Z493" s="4">
        <f ca="1"/>
        <v>-3.4614851947736705E-4</v>
      </c>
      <c r="AA493" s="4"/>
    </row>
    <row r="494" spans="1:27" x14ac:dyDescent="0.35">
      <c r="A494">
        <v>492</v>
      </c>
      <c r="B494">
        <f ca="1">_xlfn.NORM.INV(RAND(),Hitorical_Sim!$AB$4,Hitorical_Sim!$AB$5)</f>
        <v>2.8057663281456794E-3</v>
      </c>
      <c r="C494">
        <f ca="1">_xlfn.NORM.INV(RAND(),Hitorical_Sim!$AB$4,Hitorical_Sim!$AB$5)</f>
        <v>7.748917465118639E-3</v>
      </c>
      <c r="D494">
        <f ca="1">_xlfn.NORM.INV(RAND(),Hitorical_Sim!$AB$4,Hitorical_Sim!$AB$5)</f>
        <v>4.304984092355775E-2</v>
      </c>
      <c r="K494">
        <f t="shared" ca="1" si="81"/>
        <v>-0.83551467790399858</v>
      </c>
      <c r="L494">
        <f t="shared" ca="1" si="81"/>
        <v>0.61130950803172956</v>
      </c>
      <c r="M494">
        <f t="shared" ca="1" si="81"/>
        <v>0.57215906045294751</v>
      </c>
      <c r="O494">
        <v>492</v>
      </c>
      <c r="P494" s="6">
        <f t="shared" ca="1" si="73"/>
        <v>1908.6920709480935</v>
      </c>
      <c r="Q494" s="6">
        <f t="shared" ca="1" si="74"/>
        <v>391.16919071260719</v>
      </c>
      <c r="R494" s="6">
        <f t="shared" ca="1" si="75"/>
        <v>153.42391392756122</v>
      </c>
      <c r="S494" s="6"/>
      <c r="T494" s="4">
        <f t="shared" ca="1" si="76"/>
        <v>-8.8523403241168586E-3</v>
      </c>
      <c r="U494" s="4">
        <f t="shared" ca="1" si="77"/>
        <v>6.418803112189074E-2</v>
      </c>
      <c r="V494" s="4">
        <f t="shared" ca="1" si="78"/>
        <v>3.1039896756990173E-2</v>
      </c>
      <c r="W494" s="4"/>
      <c r="X494">
        <v>492</v>
      </c>
      <c r="Y494" s="4">
        <f t="shared" ca="1" si="79"/>
        <v>7.698458277205153E-3</v>
      </c>
      <c r="Z494" s="4">
        <f ca="1"/>
        <v>-3.4238452555568474E-4</v>
      </c>
      <c r="AA494" s="4"/>
    </row>
    <row r="495" spans="1:27" x14ac:dyDescent="0.35">
      <c r="A495">
        <v>493</v>
      </c>
      <c r="B495">
        <f ca="1">_xlfn.NORM.INV(RAND(),Hitorical_Sim!$AB$4,Hitorical_Sim!$AB$5)</f>
        <v>-5.3571235936563932E-3</v>
      </c>
      <c r="C495">
        <f ca="1">_xlfn.NORM.INV(RAND(),Hitorical_Sim!$AB$4,Hitorical_Sim!$AB$5)</f>
        <v>-9.2888331301532838E-3</v>
      </c>
      <c r="D495">
        <f ca="1">_xlfn.NORM.INV(RAND(),Hitorical_Sim!$AB$4,Hitorical_Sim!$AB$5)</f>
        <v>2.2292665343932594E-2</v>
      </c>
      <c r="K495">
        <f t="shared" ca="1" si="81"/>
        <v>-0.50571176481949809</v>
      </c>
      <c r="L495">
        <f t="shared" ca="1" si="81"/>
        <v>0.42845711970872585</v>
      </c>
      <c r="M495">
        <f t="shared" ca="1" si="81"/>
        <v>-1.5882481508874449</v>
      </c>
      <c r="O495">
        <v>493</v>
      </c>
      <c r="P495" s="6">
        <f t="shared" ca="1" si="73"/>
        <v>1920.1467255478451</v>
      </c>
      <c r="Q495" s="6">
        <f t="shared" ca="1" si="74"/>
        <v>389.13387494399018</v>
      </c>
      <c r="R495" s="6">
        <f t="shared" ca="1" si="75"/>
        <v>143.63870679866659</v>
      </c>
      <c r="S495" s="6"/>
      <c r="T495" s="4">
        <f t="shared" ca="1" si="76"/>
        <v>5.983374794470705E-3</v>
      </c>
      <c r="U495" s="4">
        <f t="shared" ca="1" si="77"/>
        <v>-5.2167432732788434E-3</v>
      </c>
      <c r="V495" s="4">
        <f t="shared" ca="1" si="78"/>
        <v>-6.5903603156046112E-2</v>
      </c>
      <c r="W495" s="4"/>
      <c r="X495">
        <v>493</v>
      </c>
      <c r="Y495" s="4">
        <f t="shared" ca="1" si="79"/>
        <v>1.9049420427521072E-4</v>
      </c>
      <c r="Z495" s="4">
        <f ca="1"/>
        <v>-2.9172669188306122E-4</v>
      </c>
      <c r="AA495" s="4"/>
    </row>
    <row r="496" spans="1:27" x14ac:dyDescent="0.35">
      <c r="A496">
        <v>494</v>
      </c>
      <c r="B496">
        <f ca="1">_xlfn.NORM.INV(RAND(),Hitorical_Sim!$AB$4,Hitorical_Sim!$AB$5)</f>
        <v>-1.5670524502554465E-2</v>
      </c>
      <c r="C496">
        <f ca="1">_xlfn.NORM.INV(RAND(),Hitorical_Sim!$AB$4,Hitorical_Sim!$AB$5)</f>
        <v>-1.35810708534494E-2</v>
      </c>
      <c r="D496">
        <f ca="1">_xlfn.NORM.INV(RAND(),Hitorical_Sim!$AB$4,Hitorical_Sim!$AB$5)</f>
        <v>4.80243603874896E-3</v>
      </c>
      <c r="K496">
        <f t="shared" ca="1" si="81"/>
        <v>-0.21864590887748361</v>
      </c>
      <c r="L496">
        <f t="shared" ca="1" si="81"/>
        <v>0.80282702218442437</v>
      </c>
      <c r="M496">
        <f t="shared" ca="1" si="81"/>
        <v>-0.13575399855249498</v>
      </c>
      <c r="O496">
        <v>494</v>
      </c>
      <c r="P496" s="6">
        <f t="shared" ca="1" si="73"/>
        <v>1930.1729881627218</v>
      </c>
      <c r="Q496" s="6">
        <f t="shared" ca="1" si="74"/>
        <v>393.31237239460228</v>
      </c>
      <c r="R496" s="6">
        <f t="shared" ca="1" si="75"/>
        <v>150.14624062215788</v>
      </c>
      <c r="S496" s="6"/>
      <c r="T496" s="4">
        <f t="shared" ca="1" si="76"/>
        <v>5.2080273965213909E-3</v>
      </c>
      <c r="U496" s="4">
        <f t="shared" ca="1" si="77"/>
        <v>1.0680700910552732E-2</v>
      </c>
      <c r="V496" s="4">
        <f t="shared" ca="1" si="78"/>
        <v>4.4308590389572682E-2</v>
      </c>
      <c r="W496" s="4"/>
      <c r="X496">
        <v>494</v>
      </c>
      <c r="Y496" s="4">
        <f t="shared" ca="1" si="79"/>
        <v>8.235289474650867E-3</v>
      </c>
      <c r="Z496" s="4">
        <f ca="1"/>
        <v>-2.3166474108640635E-4</v>
      </c>
      <c r="AA496" s="4"/>
    </row>
    <row r="497" spans="1:27" x14ac:dyDescent="0.35">
      <c r="A497">
        <v>495</v>
      </c>
      <c r="B497">
        <f ca="1">_xlfn.NORM.INV(RAND(),Hitorical_Sim!$AB$4,Hitorical_Sim!$AB$5)</f>
        <v>-2.5492206848522804E-2</v>
      </c>
      <c r="C497">
        <f ca="1">_xlfn.NORM.INV(RAND(),Hitorical_Sim!$AB$4,Hitorical_Sim!$AB$5)</f>
        <v>-9.0557574411366006E-3</v>
      </c>
      <c r="D497">
        <f ca="1">_xlfn.NORM.INV(RAND(),Hitorical_Sim!$AB$4,Hitorical_Sim!$AB$5)</f>
        <v>-1.0196200288739245E-3</v>
      </c>
      <c r="K497">
        <f t="shared" ca="1" si="81"/>
        <v>-1.325626375695796</v>
      </c>
      <c r="L497">
        <f t="shared" ca="1" si="81"/>
        <v>-1.1720104048411839</v>
      </c>
      <c r="M497">
        <f t="shared" ca="1" si="81"/>
        <v>-0.44572076891314094</v>
      </c>
      <c r="O497">
        <v>495</v>
      </c>
      <c r="P497" s="6">
        <f t="shared" ca="1" si="73"/>
        <v>1891.7957063821329</v>
      </c>
      <c r="Q497" s="6">
        <f t="shared" ca="1" si="74"/>
        <v>371.76517576573747</v>
      </c>
      <c r="R497" s="6">
        <f t="shared" ca="1" si="75"/>
        <v>148.73321022455653</v>
      </c>
      <c r="S497" s="6"/>
      <c r="T497" s="4">
        <f t="shared" ca="1" si="76"/>
        <v>-2.0083142872164953E-2</v>
      </c>
      <c r="U497" s="4">
        <f t="shared" ca="1" si="77"/>
        <v>-5.6341729838699138E-2</v>
      </c>
      <c r="V497" s="4">
        <f t="shared" ca="1" si="78"/>
        <v>-9.4555910192204579E-3</v>
      </c>
      <c r="W497" s="4"/>
      <c r="X497">
        <v>495</v>
      </c>
      <c r="Y497" s="4">
        <f t="shared" ca="1" si="79"/>
        <v>-2.6793240919020151E-2</v>
      </c>
      <c r="Z497" s="4">
        <f ca="1"/>
        <v>-2.2162197628693538E-4</v>
      </c>
      <c r="AA497" s="4"/>
    </row>
    <row r="498" spans="1:27" x14ac:dyDescent="0.35">
      <c r="A498">
        <v>496</v>
      </c>
      <c r="B498">
        <f ca="1">_xlfn.NORM.INV(RAND(),Hitorical_Sim!$AB$4,Hitorical_Sim!$AB$5)</f>
        <v>-5.870872701247201E-3</v>
      </c>
      <c r="C498">
        <f ca="1">_xlfn.NORM.INV(RAND(),Hitorical_Sim!$AB$4,Hitorical_Sim!$AB$5)</f>
        <v>-2.6233046440863723E-2</v>
      </c>
      <c r="D498">
        <f ca="1">_xlfn.NORM.INV(RAND(),Hitorical_Sim!$AB$4,Hitorical_Sim!$AB$5)</f>
        <v>2.6342575903704667E-2</v>
      </c>
      <c r="K498">
        <f t="shared" ca="1" si="81"/>
        <v>8.7523589949658656E-2</v>
      </c>
      <c r="L498">
        <f t="shared" ca="1" si="81"/>
        <v>0.45460396557131283</v>
      </c>
      <c r="M498">
        <f t="shared" ca="1" si="81"/>
        <v>-1.1597116733045147</v>
      </c>
      <c r="O498">
        <v>496</v>
      </c>
      <c r="P498" s="6">
        <f t="shared" ca="1" si="73"/>
        <v>1940.9241798186745</v>
      </c>
      <c r="Q498" s="6">
        <f t="shared" ca="1" si="74"/>
        <v>389.42426327930673</v>
      </c>
      <c r="R498" s="6">
        <f t="shared" ca="1" si="75"/>
        <v>145.52876244399559</v>
      </c>
      <c r="S498" s="6"/>
      <c r="T498" s="4">
        <f t="shared" ca="1" si="76"/>
        <v>2.5637753791106908E-2</v>
      </c>
      <c r="U498" s="4">
        <f t="shared" ca="1" si="77"/>
        <v>4.6406993383530909E-2</v>
      </c>
      <c r="V498" s="4">
        <f t="shared" ca="1" si="78"/>
        <v>-2.1780418512323589E-2</v>
      </c>
      <c r="W498" s="4"/>
      <c r="X498">
        <v>496</v>
      </c>
      <c r="Y498" s="4">
        <f t="shared" ca="1" si="79"/>
        <v>2.7435900514564144E-2</v>
      </c>
      <c r="Z498" s="4">
        <f ca="1"/>
        <v>-1.5574836950367965E-4</v>
      </c>
      <c r="AA498" s="4"/>
    </row>
    <row r="499" spans="1:27" x14ac:dyDescent="0.35">
      <c r="A499">
        <v>497</v>
      </c>
      <c r="B499">
        <f ca="1">_xlfn.NORM.INV(RAND(),Hitorical_Sim!$AB$4,Hitorical_Sim!$AB$5)</f>
        <v>-2.8524581064715538E-3</v>
      </c>
      <c r="C499">
        <f ca="1">_xlfn.NORM.INV(RAND(),Hitorical_Sim!$AB$4,Hitorical_Sim!$AB$5)</f>
        <v>6.2013653293632003E-3</v>
      </c>
      <c r="D499">
        <f ca="1">_xlfn.NORM.INV(RAND(),Hitorical_Sim!$AB$4,Hitorical_Sim!$AB$5)</f>
        <v>-9.4410355381722069E-3</v>
      </c>
      <c r="K499">
        <f t="shared" ca="1" si="81"/>
        <v>0.39760667821265155</v>
      </c>
      <c r="L499">
        <f t="shared" ca="1" si="81"/>
        <v>-1.3155164268022419</v>
      </c>
      <c r="M499">
        <f t="shared" ca="1" si="81"/>
        <v>0.83303059606019547</v>
      </c>
      <c r="O499">
        <v>497</v>
      </c>
      <c r="P499" s="6">
        <f t="shared" ca="1" si="73"/>
        <v>1951.8738372037171</v>
      </c>
      <c r="Q499" s="6">
        <f t="shared" ca="1" si="74"/>
        <v>370.246206738512</v>
      </c>
      <c r="R499" s="6">
        <f t="shared" ca="1" si="75"/>
        <v>154.64972201543893</v>
      </c>
      <c r="S499" s="6"/>
      <c r="T499" s="4">
        <f t="shared" ca="1" si="76"/>
        <v>5.6256123305652552E-3</v>
      </c>
      <c r="U499" s="4">
        <f t="shared" ca="1" si="77"/>
        <v>-5.0501192434504849E-2</v>
      </c>
      <c r="V499" s="4">
        <f t="shared" ca="1" si="78"/>
        <v>6.0788954518907409E-2</v>
      </c>
      <c r="W499" s="4"/>
      <c r="X499">
        <v>497</v>
      </c>
      <c r="Y499" s="4">
        <f t="shared" ca="1" si="79"/>
        <v>-2.8454670757809648E-3</v>
      </c>
      <c r="Z499" s="4">
        <f ca="1"/>
        <v>-1.4336984288793042E-4</v>
      </c>
      <c r="AA499" s="4"/>
    </row>
    <row r="500" spans="1:27" x14ac:dyDescent="0.35">
      <c r="A500">
        <v>498</v>
      </c>
      <c r="B500">
        <f ca="1">_xlfn.NORM.INV(RAND(),Hitorical_Sim!$AB$4,Hitorical_Sim!$AB$5)</f>
        <v>6.2508622290307035E-3</v>
      </c>
      <c r="C500">
        <f ca="1">_xlfn.NORM.INV(RAND(),Hitorical_Sim!$AB$4,Hitorical_Sim!$AB$5)</f>
        <v>-1.3332998899390504E-3</v>
      </c>
      <c r="D500">
        <f ca="1">_xlfn.NORM.INV(RAND(),Hitorical_Sim!$AB$4,Hitorical_Sim!$AB$5)</f>
        <v>6.0367779524418668E-3</v>
      </c>
      <c r="K500">
        <f t="shared" ca="1" si="81"/>
        <v>-0.52024408108916476</v>
      </c>
      <c r="L500">
        <f t="shared" ca="1" si="81"/>
        <v>0.80411222293128626</v>
      </c>
      <c r="M500">
        <f t="shared" ca="1" si="81"/>
        <v>-0.97760415730368866</v>
      </c>
      <c r="O500">
        <v>498</v>
      </c>
      <c r="P500" s="6">
        <f t="shared" ca="1" si="73"/>
        <v>1919.6405470090974</v>
      </c>
      <c r="Q500" s="6">
        <f t="shared" ca="1" si="74"/>
        <v>393.32679405840173</v>
      </c>
      <c r="R500" s="6">
        <f t="shared" ca="1" si="75"/>
        <v>146.33945672151029</v>
      </c>
      <c r="S500" s="6"/>
      <c r="T500" s="4">
        <f t="shared" ca="1" si="76"/>
        <v>-1.6651899908735193E-2</v>
      </c>
      <c r="U500" s="4">
        <f t="shared" ca="1" si="77"/>
        <v>6.0472595418409804E-2</v>
      </c>
      <c r="V500" s="4">
        <f t="shared" ca="1" si="78"/>
        <v>-5.523373261293836E-2</v>
      </c>
      <c r="W500" s="4"/>
      <c r="X500">
        <v>498</v>
      </c>
      <c r="Y500" s="4">
        <f t="shared" ca="1" si="79"/>
        <v>-3.1697307134613364E-3</v>
      </c>
      <c r="Z500" s="4">
        <f ca="1"/>
        <v>-4.9945403243441483E-5</v>
      </c>
      <c r="AA500" s="4"/>
    </row>
    <row r="501" spans="1:27" x14ac:dyDescent="0.35">
      <c r="A501">
        <v>499</v>
      </c>
      <c r="B501">
        <f ca="1">_xlfn.NORM.INV(RAND(),Hitorical_Sim!$AB$4,Hitorical_Sim!$AB$5)</f>
        <v>2.79208939224265E-3</v>
      </c>
      <c r="C501">
        <f ca="1">_xlfn.NORM.INV(RAND(),Hitorical_Sim!$AB$4,Hitorical_Sim!$AB$5)</f>
        <v>-6.0437059370943326E-3</v>
      </c>
      <c r="D501">
        <f ca="1">_xlfn.NORM.INV(RAND(),Hitorical_Sim!$AB$4,Hitorical_Sim!$AB$5)</f>
        <v>-2.2105119979959381E-3</v>
      </c>
      <c r="K501">
        <f t="shared" ca="1" si="81"/>
        <v>-3.3337105985367615E-3</v>
      </c>
      <c r="L501">
        <f t="shared" ca="1" si="81"/>
        <v>-1.0172475183491994</v>
      </c>
      <c r="M501">
        <f t="shared" ca="1" si="81"/>
        <v>0.5036177387941746</v>
      </c>
      <c r="O501">
        <v>499</v>
      </c>
      <c r="P501" s="6">
        <f t="shared" ca="1" si="73"/>
        <v>1937.7274772291157</v>
      </c>
      <c r="Q501" s="6">
        <f t="shared" ca="1" si="74"/>
        <v>373.41028026244413</v>
      </c>
      <c r="R501" s="6">
        <f t="shared" ca="1" si="75"/>
        <v>153.10346034818184</v>
      </c>
      <c r="S501" s="6"/>
      <c r="T501" s="4">
        <f t="shared" ca="1" si="76"/>
        <v>9.377929542428682E-3</v>
      </c>
      <c r="U501" s="4">
        <f t="shared" ca="1" si="77"/>
        <v>-5.1963041148590468E-2</v>
      </c>
      <c r="V501" s="4">
        <f t="shared" ca="1" si="78"/>
        <v>4.5184935281675186E-2</v>
      </c>
      <c r="W501" s="4"/>
      <c r="X501">
        <v>499</v>
      </c>
      <c r="Y501" s="4">
        <f t="shared" ca="1" si="79"/>
        <v>-1.0916782279589321E-3</v>
      </c>
      <c r="Z501" s="4">
        <f ca="1"/>
        <v>-3.4922732011817212E-5</v>
      </c>
      <c r="AA501" s="4"/>
    </row>
    <row r="502" spans="1:27" x14ac:dyDescent="0.35">
      <c r="A502">
        <v>500</v>
      </c>
      <c r="B502">
        <f ca="1">_xlfn.NORM.INV(RAND(),Hitorical_Sim!$AB$4,Hitorical_Sim!$AB$5)</f>
        <v>-1.0740115452289208E-2</v>
      </c>
      <c r="C502">
        <f ca="1">_xlfn.NORM.INV(RAND(),Hitorical_Sim!$AB$4,Hitorical_Sim!$AB$5)</f>
        <v>-8.7737984812551652E-3</v>
      </c>
      <c r="D502">
        <f ca="1">_xlfn.NORM.INV(RAND(),Hitorical_Sim!$AB$4,Hitorical_Sim!$AB$5)</f>
        <v>-1.4262310015610132E-2</v>
      </c>
      <c r="K502">
        <f t="shared" ca="1" si="81"/>
        <v>-0.25409131657338802</v>
      </c>
      <c r="L502">
        <f t="shared" ca="1" si="81"/>
        <v>-1.345072800804904</v>
      </c>
      <c r="M502">
        <f t="shared" ca="1" si="81"/>
        <v>-0.35461187784611531</v>
      </c>
      <c r="O502">
        <v>500</v>
      </c>
      <c r="P502" s="6">
        <f t="shared" ca="1" si="73"/>
        <v>1928.9321695525191</v>
      </c>
      <c r="Q502" s="6">
        <f t="shared" ca="1" si="74"/>
        <v>369.93413279796226</v>
      </c>
      <c r="R502" s="6">
        <f t="shared" ca="1" si="75"/>
        <v>149.14715833944106</v>
      </c>
      <c r="S502" s="6"/>
      <c r="T502" s="4">
        <f t="shared" ca="1" si="76"/>
        <v>-4.5493131794361978E-3</v>
      </c>
      <c r="U502" s="4">
        <f t="shared" ca="1" si="77"/>
        <v>-9.3527919036014689E-3</v>
      </c>
      <c r="V502" s="4">
        <f t="shared" ca="1" si="78"/>
        <v>-2.6180445878411732E-2</v>
      </c>
      <c r="W502" s="4"/>
      <c r="X502">
        <v>500</v>
      </c>
      <c r="Y502" s="4">
        <f t="shared" ca="1" si="79"/>
        <v>-6.5784613273709523E-3</v>
      </c>
      <c r="Z502" s="4">
        <f ca="1"/>
        <v>-2.3393896741782201E-5</v>
      </c>
      <c r="AA502" s="4"/>
    </row>
    <row r="503" spans="1:27" x14ac:dyDescent="0.35">
      <c r="A503">
        <v>501</v>
      </c>
      <c r="B503">
        <f ca="1">_xlfn.NORM.INV(RAND(),Hitorical_Sim!$AB$4,Hitorical_Sim!$AB$5)</f>
        <v>8.2426783585461409E-6</v>
      </c>
      <c r="C503">
        <f ca="1">_xlfn.NORM.INV(RAND(),Hitorical_Sim!$AB$4,Hitorical_Sim!$AB$5)</f>
        <v>5.359441401406608E-3</v>
      </c>
      <c r="D503">
        <f ca="1">_xlfn.NORM.INV(RAND(),Hitorical_Sim!$AB$4,Hitorical_Sim!$AB$5)</f>
        <v>-1.3800275157482469E-2</v>
      </c>
      <c r="K503">
        <f t="shared" ca="1" si="81"/>
        <v>-2.4430626412717409</v>
      </c>
      <c r="L503">
        <f t="shared" ca="1" si="81"/>
        <v>0.47327307198566754</v>
      </c>
      <c r="M503">
        <f t="shared" ca="1" si="81"/>
        <v>0.10656941660718765</v>
      </c>
      <c r="O503">
        <v>501</v>
      </c>
      <c r="P503" s="6">
        <f t="shared" ca="1" si="73"/>
        <v>1853.8297832108524</v>
      </c>
      <c r="Q503" s="6">
        <f t="shared" ca="1" si="74"/>
        <v>389.63173601287161</v>
      </c>
      <c r="R503" s="6">
        <f t="shared" ca="1" si="75"/>
        <v>151.26025180887626</v>
      </c>
      <c r="S503" s="6"/>
      <c r="T503" s="4">
        <f t="shared" ca="1" si="76"/>
        <v>-3.971291741338781E-2</v>
      </c>
      <c r="U503" s="4">
        <f t="shared" ca="1" si="77"/>
        <v>5.1877056063487026E-2</v>
      </c>
      <c r="V503" s="4">
        <f t="shared" ca="1" si="78"/>
        <v>1.4068416756387786E-2</v>
      </c>
      <c r="W503" s="4"/>
      <c r="X503">
        <v>501</v>
      </c>
      <c r="Y503" s="4">
        <f t="shared" ca="1" si="79"/>
        <v>-1.8772836988167885E-2</v>
      </c>
      <c r="Z503" s="4">
        <f ca="1"/>
        <v>5.1076292865018881E-5</v>
      </c>
      <c r="AA503" s="4"/>
    </row>
    <row r="504" spans="1:27" x14ac:dyDescent="0.35">
      <c r="A504">
        <v>502</v>
      </c>
      <c r="B504">
        <f ca="1">_xlfn.NORM.INV(RAND(),Hitorical_Sim!$AB$4,Hitorical_Sim!$AB$5)</f>
        <v>-2.3731952652537559E-2</v>
      </c>
      <c r="C504">
        <f ca="1">_xlfn.NORM.INV(RAND(),Hitorical_Sim!$AB$4,Hitorical_Sim!$AB$5)</f>
        <v>8.2134958064840387E-3</v>
      </c>
      <c r="D504">
        <f ca="1">_xlfn.NORM.INV(RAND(),Hitorical_Sim!$AB$4,Hitorical_Sim!$AB$5)</f>
        <v>2.381858465410101E-2</v>
      </c>
      <c r="K504">
        <f t="shared" ref="K504:M523" ca="1" si="82">_xlfn.NORM.S.INV(RAND())</f>
        <v>0.32965447767489359</v>
      </c>
      <c r="L504">
        <f t="shared" ca="1" si="82"/>
        <v>-0.31982268224666882</v>
      </c>
      <c r="M504">
        <f t="shared" ca="1" si="82"/>
        <v>-0.32825436541460717</v>
      </c>
      <c r="O504">
        <v>502</v>
      </c>
      <c r="P504" s="6">
        <f t="shared" ca="1" si="73"/>
        <v>1949.4690352549655</v>
      </c>
      <c r="Q504" s="6">
        <f t="shared" ca="1" si="74"/>
        <v>380.91458281841949</v>
      </c>
      <c r="R504" s="6">
        <f t="shared" ca="1" si="75"/>
        <v>149.26712692856321</v>
      </c>
      <c r="S504" s="6"/>
      <c r="T504" s="4">
        <f t="shared" ca="1" si="76"/>
        <v>5.0303393522337828E-2</v>
      </c>
      <c r="U504" s="4">
        <f t="shared" ca="1" si="77"/>
        <v>-2.2626868475183255E-2</v>
      </c>
      <c r="V504" s="4">
        <f t="shared" ca="1" si="78"/>
        <v>-1.3264376189244564E-2</v>
      </c>
      <c r="W504" s="4"/>
      <c r="X504">
        <v>502</v>
      </c>
      <c r="Y504" s="4">
        <f t="shared" ca="1" si="79"/>
        <v>3.2602864209732019E-2</v>
      </c>
      <c r="Z504" s="4">
        <f ca="1"/>
        <v>6.4364672691821919E-5</v>
      </c>
      <c r="AA504" s="4"/>
    </row>
    <row r="505" spans="1:27" x14ac:dyDescent="0.35">
      <c r="A505">
        <v>503</v>
      </c>
      <c r="B505">
        <f ca="1">_xlfn.NORM.INV(RAND(),Hitorical_Sim!$AB$4,Hitorical_Sim!$AB$5)</f>
        <v>2.6245106726727235E-2</v>
      </c>
      <c r="C505">
        <f ca="1">_xlfn.NORM.INV(RAND(),Hitorical_Sim!$AB$4,Hitorical_Sim!$AB$5)</f>
        <v>5.4144924213700013E-3</v>
      </c>
      <c r="D505">
        <f ca="1">_xlfn.NORM.INV(RAND(),Hitorical_Sim!$AB$4,Hitorical_Sim!$AB$5)</f>
        <v>3.7561921955785046E-2</v>
      </c>
      <c r="K505">
        <f t="shared" ca="1" si="82"/>
        <v>-2.1977882563660325</v>
      </c>
      <c r="L505">
        <f t="shared" ca="1" si="82"/>
        <v>-0.50514270083129909</v>
      </c>
      <c r="M505">
        <f t="shared" ca="1" si="82"/>
        <v>-0.37786537249292745</v>
      </c>
      <c r="O505">
        <v>503</v>
      </c>
      <c r="P505" s="6">
        <f t="shared" ca="1" si="73"/>
        <v>1862.0974011397782</v>
      </c>
      <c r="Q505" s="6">
        <f t="shared" ca="1" si="74"/>
        <v>378.90594711039392</v>
      </c>
      <c r="R505" s="6">
        <f t="shared" ca="1" si="75"/>
        <v>149.04139802587537</v>
      </c>
      <c r="S505" s="6"/>
      <c r="T505" s="4">
        <f t="shared" ca="1" si="76"/>
        <v>-4.5853558441596359E-2</v>
      </c>
      <c r="U505" s="4">
        <f t="shared" ca="1" si="77"/>
        <v>-5.2871442873775711E-3</v>
      </c>
      <c r="V505" s="4">
        <f t="shared" ca="1" si="78"/>
        <v>-1.5133925241032156E-3</v>
      </c>
      <c r="W505" s="4"/>
      <c r="X505">
        <v>503</v>
      </c>
      <c r="Y505" s="4">
        <f t="shared" ca="1" si="79"/>
        <v>-3.5563396648038245E-2</v>
      </c>
      <c r="Z505" s="4">
        <f ca="1"/>
        <v>1.6590458262677119E-4</v>
      </c>
      <c r="AA505" s="4"/>
    </row>
    <row r="506" spans="1:27" x14ac:dyDescent="0.35">
      <c r="A506">
        <v>504</v>
      </c>
      <c r="B506">
        <f ca="1">_xlfn.NORM.INV(RAND(),Hitorical_Sim!$AB$4,Hitorical_Sim!$AB$5)</f>
        <v>-1.5100258897666478E-2</v>
      </c>
      <c r="C506">
        <f ca="1">_xlfn.NORM.INV(RAND(),Hitorical_Sim!$AB$4,Hitorical_Sim!$AB$5)</f>
        <v>9.5139939129301153E-3</v>
      </c>
      <c r="D506">
        <f ca="1">_xlfn.NORM.INV(RAND(),Hitorical_Sim!$AB$4,Hitorical_Sim!$AB$5)</f>
        <v>-4.4381142148396035E-3</v>
      </c>
      <c r="K506">
        <f t="shared" ca="1" si="82"/>
        <v>-1.5861691025554066</v>
      </c>
      <c r="L506">
        <f t="shared" ca="1" si="82"/>
        <v>-0.16924888953586234</v>
      </c>
      <c r="M506">
        <f t="shared" ca="1" si="82"/>
        <v>0.12651195469237719</v>
      </c>
      <c r="O506">
        <v>504</v>
      </c>
      <c r="P506" s="6">
        <f t="shared" ca="1" si="73"/>
        <v>1882.8745963803906</v>
      </c>
      <c r="Q506" s="6">
        <f t="shared" ca="1" si="74"/>
        <v>382.55445115577191</v>
      </c>
      <c r="R506" s="6">
        <f t="shared" ca="1" si="75"/>
        <v>151.35229907597386</v>
      </c>
      <c r="S506" s="6"/>
      <c r="T506" s="4">
        <f t="shared" ca="1" si="76"/>
        <v>1.109616223368062E-2</v>
      </c>
      <c r="U506" s="4">
        <f t="shared" ca="1" si="77"/>
        <v>9.5829854708607259E-3</v>
      </c>
      <c r="V506" s="4">
        <f t="shared" ca="1" si="78"/>
        <v>1.5386119356222708E-2</v>
      </c>
      <c r="W506" s="4"/>
      <c r="X506">
        <v>504</v>
      </c>
      <c r="Y506" s="4">
        <f t="shared" ca="1" si="79"/>
        <v>1.1006490790151167E-2</v>
      </c>
      <c r="Z506" s="4">
        <f ca="1"/>
        <v>1.8864370305816697E-4</v>
      </c>
      <c r="AA506" s="4"/>
    </row>
    <row r="507" spans="1:27" x14ac:dyDescent="0.35">
      <c r="A507">
        <v>505</v>
      </c>
      <c r="B507">
        <f ca="1">_xlfn.NORM.INV(RAND(),Hitorical_Sim!$AB$4,Hitorical_Sim!$AB$5)</f>
        <v>-2.6249726052178603E-2</v>
      </c>
      <c r="C507">
        <f ca="1">_xlfn.NORM.INV(RAND(),Hitorical_Sim!$AB$4,Hitorical_Sim!$AB$5)</f>
        <v>1.2019998205754268E-2</v>
      </c>
      <c r="D507">
        <f ca="1">_xlfn.NORM.INV(RAND(),Hitorical_Sim!$AB$4,Hitorical_Sim!$AB$5)</f>
        <v>1.8573743956309401E-3</v>
      </c>
      <c r="K507">
        <f t="shared" ca="1" si="82"/>
        <v>-0.6409691147002573</v>
      </c>
      <c r="L507">
        <f t="shared" ca="1" si="82"/>
        <v>-1.4696159248960807</v>
      </c>
      <c r="M507">
        <f t="shared" ca="1" si="82"/>
        <v>-0.40522403939753593</v>
      </c>
      <c r="O507">
        <v>505</v>
      </c>
      <c r="P507" s="6">
        <f t="shared" ca="1" si="73"/>
        <v>1915.4407001485156</v>
      </c>
      <c r="Q507" s="6">
        <f t="shared" ca="1" si="74"/>
        <v>368.62201855394267</v>
      </c>
      <c r="R507" s="6">
        <f t="shared" ca="1" si="75"/>
        <v>148.91706280380581</v>
      </c>
      <c r="S507" s="6"/>
      <c r="T507" s="4">
        <f t="shared" ca="1" si="76"/>
        <v>1.7148077105121347E-2</v>
      </c>
      <c r="U507" s="4">
        <f t="shared" ca="1" si="77"/>
        <v>-3.7099220014157289E-2</v>
      </c>
      <c r="V507" s="4">
        <f t="shared" ca="1" si="78"/>
        <v>-1.622070031720791E-2</v>
      </c>
      <c r="W507" s="4"/>
      <c r="X507">
        <v>505</v>
      </c>
      <c r="Y507" s="4">
        <f t="shared" ca="1" si="79"/>
        <v>4.6706230965671688E-3</v>
      </c>
      <c r="Z507" s="4">
        <f ca="1"/>
        <v>1.9049420427521072E-4</v>
      </c>
      <c r="AA507" s="4"/>
    </row>
    <row r="508" spans="1:27" x14ac:dyDescent="0.35">
      <c r="A508">
        <v>506</v>
      </c>
      <c r="B508">
        <f ca="1">_xlfn.NORM.INV(RAND(),Hitorical_Sim!$AB$4,Hitorical_Sim!$AB$5)</f>
        <v>3.909268426008735E-5</v>
      </c>
      <c r="C508">
        <f ca="1">_xlfn.NORM.INV(RAND(),Hitorical_Sim!$AB$4,Hitorical_Sim!$AB$5)</f>
        <v>-6.3567662959971381E-3</v>
      </c>
      <c r="D508">
        <f ca="1">_xlfn.NORM.INV(RAND(),Hitorical_Sim!$AB$4,Hitorical_Sim!$AB$5)</f>
        <v>-9.7988734850542533E-3</v>
      </c>
      <c r="K508">
        <f t="shared" ca="1" si="82"/>
        <v>-0.4869692340854524</v>
      </c>
      <c r="L508">
        <f t="shared" ca="1" si="82"/>
        <v>1.0322280427348247</v>
      </c>
      <c r="M508">
        <f t="shared" ca="1" si="82"/>
        <v>-0.85702948024525871</v>
      </c>
      <c r="O508">
        <v>506</v>
      </c>
      <c r="P508" s="6">
        <f t="shared" ca="1" si="73"/>
        <v>1920.7997481408431</v>
      </c>
      <c r="Q508" s="6">
        <f t="shared" ca="1" si="74"/>
        <v>395.8949521033166</v>
      </c>
      <c r="R508" s="6">
        <f t="shared" ca="1" si="75"/>
        <v>146.8787065707333</v>
      </c>
      <c r="S508" s="6"/>
      <c r="T508" s="4">
        <f t="shared" ca="1" si="76"/>
        <v>2.7939080204123484E-3</v>
      </c>
      <c r="U508" s="4">
        <f t="shared" ca="1" si="77"/>
        <v>7.1377124513556947E-2</v>
      </c>
      <c r="V508" s="4">
        <f t="shared" ca="1" si="78"/>
        <v>-1.3782404687909228E-2</v>
      </c>
      <c r="W508" s="4"/>
      <c r="X508">
        <v>506</v>
      </c>
      <c r="Y508" s="4">
        <f t="shared" ca="1" si="79"/>
        <v>1.566056593881144E-2</v>
      </c>
      <c r="Z508" s="4">
        <f ca="1"/>
        <v>3.915999365229632E-4</v>
      </c>
      <c r="AA508" s="4"/>
    </row>
    <row r="509" spans="1:27" x14ac:dyDescent="0.35">
      <c r="A509">
        <v>507</v>
      </c>
      <c r="B509">
        <f ca="1">_xlfn.NORM.INV(RAND(),Hitorical_Sim!$AB$4,Hitorical_Sim!$AB$5)</f>
        <v>2.5239359738835475E-2</v>
      </c>
      <c r="C509">
        <f ca="1">_xlfn.NORM.INV(RAND(),Hitorical_Sim!$AB$4,Hitorical_Sim!$AB$5)</f>
        <v>-9.2470746035197039E-4</v>
      </c>
      <c r="D509">
        <f ca="1">_xlfn.NORM.INV(RAND(),Hitorical_Sim!$AB$4,Hitorical_Sim!$AB$5)</f>
        <v>3.6072811834545723E-4</v>
      </c>
      <c r="K509">
        <f t="shared" ca="1" si="82"/>
        <v>-0.37377919137279303</v>
      </c>
      <c r="L509">
        <f t="shared" ca="1" si="82"/>
        <v>0.12615219706882819</v>
      </c>
      <c r="M509">
        <f t="shared" ca="1" si="82"/>
        <v>0.13208505746348062</v>
      </c>
      <c r="O509">
        <v>507</v>
      </c>
      <c r="P509" s="6">
        <f t="shared" ca="1" si="73"/>
        <v>1924.7482107315284</v>
      </c>
      <c r="Q509" s="6">
        <f t="shared" ca="1" si="74"/>
        <v>385.79214306750856</v>
      </c>
      <c r="R509" s="6">
        <f t="shared" ca="1" si="75"/>
        <v>151.3780324381712</v>
      </c>
      <c r="S509" s="6"/>
      <c r="T509" s="4">
        <f t="shared" ca="1" si="76"/>
        <v>2.0535247618582906E-3</v>
      </c>
      <c r="U509" s="4">
        <f t="shared" ca="1" si="77"/>
        <v>-2.5850168632246515E-2</v>
      </c>
      <c r="V509" s="4">
        <f t="shared" ca="1" si="78"/>
        <v>3.0173113488446836E-2</v>
      </c>
      <c r="W509" s="4"/>
      <c r="X509">
        <v>507</v>
      </c>
      <c r="Y509" s="4">
        <f t="shared" ca="1" si="79"/>
        <v>-2.1235205149355116E-3</v>
      </c>
      <c r="Z509" s="4">
        <f ca="1"/>
        <v>5.1440472201526202E-4</v>
      </c>
      <c r="AA509" s="4"/>
    </row>
    <row r="510" spans="1:27" x14ac:dyDescent="0.35">
      <c r="A510">
        <v>508</v>
      </c>
      <c r="B510">
        <f ca="1">_xlfn.NORM.INV(RAND(),Hitorical_Sim!$AB$4,Hitorical_Sim!$AB$5)</f>
        <v>1.1200802188298846E-2</v>
      </c>
      <c r="C510">
        <f ca="1">_xlfn.NORM.INV(RAND(),Hitorical_Sim!$AB$4,Hitorical_Sim!$AB$5)</f>
        <v>2.2295277925874653E-2</v>
      </c>
      <c r="D510">
        <f ca="1">_xlfn.NORM.INV(RAND(),Hitorical_Sim!$AB$4,Hitorical_Sim!$AB$5)</f>
        <v>9.7504233589998345E-3</v>
      </c>
      <c r="K510">
        <f t="shared" ca="1" si="82"/>
        <v>1.036110103248947</v>
      </c>
      <c r="L510">
        <f t="shared" ca="1" si="82"/>
        <v>0.27083729752632008</v>
      </c>
      <c r="M510">
        <f t="shared" ca="1" si="82"/>
        <v>-6.2683095082728568E-2</v>
      </c>
      <c r="O510">
        <v>508</v>
      </c>
      <c r="P510" s="6">
        <f t="shared" ca="1" si="73"/>
        <v>1974.6156214653984</v>
      </c>
      <c r="Q510" s="6">
        <f t="shared" ca="1" si="74"/>
        <v>387.38792180181377</v>
      </c>
      <c r="R510" s="6">
        <f t="shared" ca="1" si="75"/>
        <v>150.48129600620749</v>
      </c>
      <c r="S510" s="6"/>
      <c r="T510" s="4">
        <f t="shared" ca="1" si="76"/>
        <v>2.5578597804175505E-2</v>
      </c>
      <c r="U510" s="4">
        <f t="shared" ca="1" si="77"/>
        <v>4.1278379324310019E-3</v>
      </c>
      <c r="V510" s="4">
        <f t="shared" ca="1" si="78"/>
        <v>-5.9414368575810691E-3</v>
      </c>
      <c r="W510" s="4"/>
      <c r="X510">
        <v>508</v>
      </c>
      <c r="Y510" s="4">
        <f t="shared" ca="1" si="79"/>
        <v>1.9737780475253805E-2</v>
      </c>
      <c r="Z510" s="4">
        <f ca="1"/>
        <v>5.5354996050607634E-4</v>
      </c>
      <c r="AA510" s="4"/>
    </row>
    <row r="511" spans="1:27" x14ac:dyDescent="0.35">
      <c r="A511">
        <v>509</v>
      </c>
      <c r="B511">
        <f ca="1">_xlfn.NORM.INV(RAND(),Hitorical_Sim!$AB$4,Hitorical_Sim!$AB$5)</f>
        <v>-1.3342166494690488E-4</v>
      </c>
      <c r="C511">
        <f ca="1">_xlfn.NORM.INV(RAND(),Hitorical_Sim!$AB$4,Hitorical_Sim!$AB$5)</f>
        <v>1.7814086602355238E-2</v>
      </c>
      <c r="D511">
        <f ca="1">_xlfn.NORM.INV(RAND(),Hitorical_Sim!$AB$4,Hitorical_Sim!$AB$5)</f>
        <v>4.101434720622707E-2</v>
      </c>
      <c r="K511">
        <f t="shared" ca="1" si="82"/>
        <v>-0.45361348453515138</v>
      </c>
      <c r="L511">
        <f t="shared" ca="1" si="82"/>
        <v>-1.1713905249355501</v>
      </c>
      <c r="M511">
        <f t="shared" ca="1" si="82"/>
        <v>-1.6513821070992445</v>
      </c>
      <c r="O511">
        <v>509</v>
      </c>
      <c r="P511" s="6">
        <f t="shared" ca="1" si="73"/>
        <v>1921.962470242195</v>
      </c>
      <c r="Q511" s="6">
        <f t="shared" ca="1" si="74"/>
        <v>371.77175051101517</v>
      </c>
      <c r="R511" s="6">
        <f t="shared" ca="1" si="75"/>
        <v>143.36233743860922</v>
      </c>
      <c r="S511" s="6"/>
      <c r="T511" s="4">
        <f t="shared" ca="1" si="76"/>
        <v>-2.7026973420311101E-2</v>
      </c>
      <c r="U511" s="4">
        <f t="shared" ca="1" si="77"/>
        <v>-4.1146480832798225E-2</v>
      </c>
      <c r="V511" s="4">
        <f t="shared" ca="1" si="78"/>
        <v>-4.8463543665631229E-2</v>
      </c>
      <c r="W511" s="4"/>
      <c r="X511">
        <v>509</v>
      </c>
      <c r="Y511" s="4">
        <f t="shared" ca="1" si="79"/>
        <v>-3.0905674504523573E-2</v>
      </c>
      <c r="Z511" s="4">
        <f ca="1"/>
        <v>6.1063437179450716E-4</v>
      </c>
      <c r="AA511" s="4"/>
    </row>
    <row r="512" spans="1:27" x14ac:dyDescent="0.35">
      <c r="A512">
        <v>510</v>
      </c>
      <c r="B512">
        <f ca="1">_xlfn.NORM.INV(RAND(),Hitorical_Sim!$AB$4,Hitorical_Sim!$AB$5)</f>
        <v>1.1906782279225413E-2</v>
      </c>
      <c r="C512">
        <f ca="1">_xlfn.NORM.INV(RAND(),Hitorical_Sim!$AB$4,Hitorical_Sim!$AB$5)</f>
        <v>2.1116990937082997E-2</v>
      </c>
      <c r="D512">
        <f ca="1">_xlfn.NORM.INV(RAND(),Hitorical_Sim!$AB$4,Hitorical_Sim!$AB$5)</f>
        <v>-1.9526878421042837E-2</v>
      </c>
      <c r="K512">
        <f t="shared" ca="1" si="82"/>
        <v>-0.5082190233462287</v>
      </c>
      <c r="L512">
        <f t="shared" ca="1" si="82"/>
        <v>0.47738911972937931</v>
      </c>
      <c r="M512">
        <f t="shared" ca="1" si="82"/>
        <v>-0.33703439919676798</v>
      </c>
      <c r="O512">
        <v>510</v>
      </c>
      <c r="P512" s="6">
        <f t="shared" ca="1" si="73"/>
        <v>1920.0593851077795</v>
      </c>
      <c r="Q512" s="6">
        <f t="shared" ca="1" si="74"/>
        <v>389.67749317215078</v>
      </c>
      <c r="R512" s="6">
        <f t="shared" ca="1" si="75"/>
        <v>149.22715310022426</v>
      </c>
      <c r="S512" s="6"/>
      <c r="T512" s="4">
        <f t="shared" ca="1" si="76"/>
        <v>-9.9066864359971811E-4</v>
      </c>
      <c r="U512" s="4">
        <f t="shared" ca="1" si="77"/>
        <v>4.703936437095535E-2</v>
      </c>
      <c r="V512" s="4">
        <f t="shared" ca="1" si="78"/>
        <v>4.0094408728121964E-2</v>
      </c>
      <c r="W512" s="4"/>
      <c r="X512">
        <v>510</v>
      </c>
      <c r="Y512" s="4">
        <f t="shared" ca="1" si="79"/>
        <v>1.0627898236423218E-2</v>
      </c>
      <c r="Z512" s="4">
        <f ca="1"/>
        <v>6.2006446390612448E-4</v>
      </c>
      <c r="AA512" s="4"/>
    </row>
    <row r="513" spans="1:27" x14ac:dyDescent="0.35">
      <c r="A513">
        <v>511</v>
      </c>
      <c r="B513">
        <f ca="1">_xlfn.NORM.INV(RAND(),Hitorical_Sim!$AB$4,Hitorical_Sim!$AB$5)</f>
        <v>-2.1069735924218947E-2</v>
      </c>
      <c r="C513">
        <f ca="1">_xlfn.NORM.INV(RAND(),Hitorical_Sim!$AB$4,Hitorical_Sim!$AB$5)</f>
        <v>-3.2658492305491973E-3</v>
      </c>
      <c r="D513">
        <f ca="1">_xlfn.NORM.INV(RAND(),Hitorical_Sim!$AB$4,Hitorical_Sim!$AB$5)</f>
        <v>2.2303581587130139E-2</v>
      </c>
      <c r="K513">
        <f t="shared" ca="1" si="82"/>
        <v>0.18951116471771806</v>
      </c>
      <c r="L513">
        <f t="shared" ca="1" si="82"/>
        <v>0.7608283855357868</v>
      </c>
      <c r="M513">
        <f t="shared" ca="1" si="82"/>
        <v>-8.0583931088073157E-2</v>
      </c>
      <c r="O513">
        <v>511</v>
      </c>
      <c r="P513" s="6">
        <f t="shared" ca="1" si="73"/>
        <v>1944.5187701497175</v>
      </c>
      <c r="Q513" s="6">
        <f t="shared" ca="1" si="74"/>
        <v>392.84138263393862</v>
      </c>
      <c r="R513" s="6">
        <f t="shared" ca="1" si="75"/>
        <v>150.3991453936361</v>
      </c>
      <c r="S513" s="6"/>
      <c r="T513" s="4">
        <f t="shared" ca="1" si="76"/>
        <v>1.2658412206121126E-2</v>
      </c>
      <c r="U513" s="4">
        <f t="shared" ca="1" si="77"/>
        <v>8.0864674333197308E-3</v>
      </c>
      <c r="V513" s="4">
        <f t="shared" ca="1" si="78"/>
        <v>7.8230667768101128E-3</v>
      </c>
      <c r="W513" s="4"/>
      <c r="X513">
        <v>511</v>
      </c>
      <c r="Y513" s="4">
        <f t="shared" ca="1" si="79"/>
        <v>1.1506696043922139E-2</v>
      </c>
      <c r="Z513" s="4">
        <f ca="1"/>
        <v>6.3506647760386455E-4</v>
      </c>
      <c r="AA513" s="4"/>
    </row>
    <row r="514" spans="1:27" x14ac:dyDescent="0.35">
      <c r="A514">
        <v>512</v>
      </c>
      <c r="B514">
        <f ca="1">_xlfn.NORM.INV(RAND(),Hitorical_Sim!$AB$4,Hitorical_Sim!$AB$5)</f>
        <v>8.3008863212075644E-3</v>
      </c>
      <c r="C514">
        <f ca="1">_xlfn.NORM.INV(RAND(),Hitorical_Sim!$AB$4,Hitorical_Sim!$AB$5)</f>
        <v>-5.2761614654659042E-3</v>
      </c>
      <c r="D514">
        <f ca="1">_xlfn.NORM.INV(RAND(),Hitorical_Sim!$AB$4,Hitorical_Sim!$AB$5)</f>
        <v>1.1837858972069775E-2</v>
      </c>
      <c r="K514">
        <f t="shared" ca="1" si="82"/>
        <v>-0.35855444777285528</v>
      </c>
      <c r="L514">
        <f t="shared" ca="1" si="82"/>
        <v>-9.9358138258368693E-3</v>
      </c>
      <c r="M514">
        <f t="shared" ca="1" si="82"/>
        <v>1.5449545758236651</v>
      </c>
      <c r="O514">
        <v>512</v>
      </c>
      <c r="P514" s="6">
        <f t="shared" ca="1" si="73"/>
        <v>1925.2799216912485</v>
      </c>
      <c r="Q514" s="6">
        <f t="shared" ca="1" si="74"/>
        <v>384.29718415357047</v>
      </c>
      <c r="R514" s="6">
        <f t="shared" ca="1" si="75"/>
        <v>158.04504198162826</v>
      </c>
      <c r="S514" s="6"/>
      <c r="T514" s="4">
        <f t="shared" ca="1" si="76"/>
        <v>-9.9431564773719752E-3</v>
      </c>
      <c r="U514" s="4">
        <f t="shared" ca="1" si="77"/>
        <v>-2.1989753533879552E-2</v>
      </c>
      <c r="V514" s="4">
        <f t="shared" ca="1" si="78"/>
        <v>4.958733895723124E-2</v>
      </c>
      <c r="W514" s="4"/>
      <c r="X514">
        <v>512</v>
      </c>
      <c r="Y514" s="4">
        <f t="shared" ca="1" si="79"/>
        <v>-9.4011020379120638E-3</v>
      </c>
      <c r="Z514" s="4">
        <f ca="1"/>
        <v>6.6416756367346642E-4</v>
      </c>
      <c r="AA514" s="4"/>
    </row>
    <row r="515" spans="1:27" x14ac:dyDescent="0.35">
      <c r="A515">
        <v>513</v>
      </c>
      <c r="B515">
        <f ca="1">_xlfn.NORM.INV(RAND(),Hitorical_Sim!$AB$4,Hitorical_Sim!$AB$5)</f>
        <v>-1.0695875086061922E-2</v>
      </c>
      <c r="C515">
        <f ca="1">_xlfn.NORM.INV(RAND(),Hitorical_Sim!$AB$4,Hitorical_Sim!$AB$5)</f>
        <v>-1.2115848390570302E-2</v>
      </c>
      <c r="D515">
        <f ca="1">_xlfn.NORM.INV(RAND(),Hitorical_Sim!$AB$4,Hitorical_Sim!$AB$5)</f>
        <v>-1.0306708758950486E-3</v>
      </c>
      <c r="K515">
        <f t="shared" ca="1" si="82"/>
        <v>0.20898508276958339</v>
      </c>
      <c r="L515">
        <f t="shared" ca="1" si="82"/>
        <v>-1.4468366997431976</v>
      </c>
      <c r="M515">
        <f t="shared" ca="1" si="82"/>
        <v>1.6492318370852368</v>
      </c>
      <c r="O515">
        <v>513</v>
      </c>
      <c r="P515" s="6">
        <f t="shared" ref="P515:P578" ca="1" si="83">$G$17*EXP(($G$15-0.5*$G$16)+($G$16*K515))</f>
        <v>1945.205892252304</v>
      </c>
      <c r="Q515" s="6">
        <f t="shared" ref="Q515:Q578" ca="1" si="84">$H$17*EXP(($H$15-0.5*$H$16^2)+($H$16*L515))</f>
        <v>368.8616590315487</v>
      </c>
      <c r="R515" s="6">
        <f t="shared" ref="R515:R578" ca="1" si="85">$I$17*EXP(($I$15-0.5*$I$16)+($I$16*M515))</f>
        <v>158.54858312463296</v>
      </c>
      <c r="S515" s="6"/>
      <c r="T515" s="4">
        <f t="shared" ca="1" si="76"/>
        <v>1.0296457633299911E-2</v>
      </c>
      <c r="U515" s="4">
        <f t="shared" ca="1" si="77"/>
        <v>-4.0994504363468916E-2</v>
      </c>
      <c r="V515" s="4">
        <f t="shared" ca="1" si="78"/>
        <v>3.1809962530715353E-3</v>
      </c>
      <c r="W515" s="4"/>
      <c r="X515">
        <v>513</v>
      </c>
      <c r="Y515" s="4">
        <f t="shared" ca="1" si="79"/>
        <v>-2.9172669188306122E-4</v>
      </c>
      <c r="Z515" s="4">
        <f ca="1"/>
        <v>6.878877396003111E-4</v>
      </c>
      <c r="AA515" s="4"/>
    </row>
    <row r="516" spans="1:27" x14ac:dyDescent="0.35">
      <c r="A516">
        <v>514</v>
      </c>
      <c r="B516">
        <f ca="1">_xlfn.NORM.INV(RAND(),Hitorical_Sim!$AB$4,Hitorical_Sim!$AB$5)</f>
        <v>-2.0133320907609838E-2</v>
      </c>
      <c r="C516">
        <f ca="1">_xlfn.NORM.INV(RAND(),Hitorical_Sim!$AB$4,Hitorical_Sim!$AB$5)</f>
        <v>3.695560910596985E-3</v>
      </c>
      <c r="D516">
        <f ca="1">_xlfn.NORM.INV(RAND(),Hitorical_Sim!$AB$4,Hitorical_Sim!$AB$5)</f>
        <v>1.9607288775968131E-3</v>
      </c>
      <c r="K516">
        <f t="shared" ca="1" si="82"/>
        <v>-1.5175888078323365</v>
      </c>
      <c r="L516">
        <f t="shared" ca="1" si="82"/>
        <v>1.3719502921584463</v>
      </c>
      <c r="M516">
        <f t="shared" ca="1" si="82"/>
        <v>0.20412491261406854</v>
      </c>
      <c r="O516">
        <v>514</v>
      </c>
      <c r="P516" s="6">
        <f t="shared" ca="1" si="83"/>
        <v>1885.2187316353331</v>
      </c>
      <c r="Q516" s="6">
        <f t="shared" ca="1" si="84"/>
        <v>399.75070434144351</v>
      </c>
      <c r="R516" s="6">
        <f t="shared" ca="1" si="85"/>
        <v>151.71106486025039</v>
      </c>
      <c r="S516" s="6"/>
      <c r="T516" s="4">
        <f t="shared" ref="T516:T579" ca="1" si="86">LN(P516/P515)</f>
        <v>-3.1323976496144657E-2</v>
      </c>
      <c r="U516" s="4">
        <f t="shared" ref="U516:U579" ca="1" si="87">LN(Q516/Q515)</f>
        <v>8.0419447695885007E-2</v>
      </c>
      <c r="V516" s="4">
        <f t="shared" ref="V516:V579" ca="1" si="88">LN(R516/R515)</f>
        <v>-4.4083241700213424E-2</v>
      </c>
      <c r="W516" s="4"/>
      <c r="X516">
        <v>514</v>
      </c>
      <c r="Y516" s="4">
        <f t="shared" ref="Y516:Y579" ca="1" si="89">($G$18*T516)+($H$18*U516)+($I$18*V516)</f>
        <v>-9.6550120116343889E-3</v>
      </c>
      <c r="Z516" s="4">
        <f ca="1"/>
        <v>6.8827007809332819E-4</v>
      </c>
      <c r="AA516" s="4"/>
    </row>
    <row r="517" spans="1:27" x14ac:dyDescent="0.35">
      <c r="A517">
        <v>515</v>
      </c>
      <c r="B517">
        <f ca="1">_xlfn.NORM.INV(RAND(),Hitorical_Sim!$AB$4,Hitorical_Sim!$AB$5)</f>
        <v>-7.0174615629855991E-3</v>
      </c>
      <c r="C517">
        <f ca="1">_xlfn.NORM.INV(RAND(),Hitorical_Sim!$AB$4,Hitorical_Sim!$AB$5)</f>
        <v>-1.1857793581470292E-2</v>
      </c>
      <c r="D517">
        <f ca="1">_xlfn.NORM.INV(RAND(),Hitorical_Sim!$AB$4,Hitorical_Sim!$AB$5)</f>
        <v>1.2433168943246115E-2</v>
      </c>
      <c r="K517">
        <f t="shared" ca="1" si="82"/>
        <v>-0.54493910367695331</v>
      </c>
      <c r="L517">
        <f t="shared" ca="1" si="82"/>
        <v>-1.7847196558436056</v>
      </c>
      <c r="M517">
        <f t="shared" ca="1" si="82"/>
        <v>-0.10057042319652722</v>
      </c>
      <c r="O517">
        <v>515</v>
      </c>
      <c r="P517" s="6">
        <f t="shared" ca="1" si="83"/>
        <v>1918.7806948639659</v>
      </c>
      <c r="Q517" s="6">
        <f t="shared" ca="1" si="84"/>
        <v>365.32301344963412</v>
      </c>
      <c r="R517" s="6">
        <f t="shared" ca="1" si="85"/>
        <v>150.30747626566082</v>
      </c>
      <c r="S517" s="6"/>
      <c r="T517" s="4">
        <f t="shared" ca="1" si="86"/>
        <v>1.7646077377739024E-2</v>
      </c>
      <c r="U517" s="4">
        <f t="shared" ca="1" si="87"/>
        <v>-9.005918308330986E-2</v>
      </c>
      <c r="V517" s="4">
        <f t="shared" ca="1" si="88"/>
        <v>-9.2947849781993032E-3</v>
      </c>
      <c r="W517" s="4"/>
      <c r="X517">
        <v>515</v>
      </c>
      <c r="Y517" s="4">
        <f t="shared" ca="1" si="89"/>
        <v>-5.1817620132738919E-3</v>
      </c>
      <c r="Z517" s="4">
        <f ca="1"/>
        <v>7.0869583954261692E-4</v>
      </c>
      <c r="AA517" s="4"/>
    </row>
    <row r="518" spans="1:27" x14ac:dyDescent="0.35">
      <c r="A518">
        <v>516</v>
      </c>
      <c r="B518">
        <f ca="1">_xlfn.NORM.INV(RAND(),Hitorical_Sim!$AB$4,Hitorical_Sim!$AB$5)</f>
        <v>2.0478653531485466E-2</v>
      </c>
      <c r="C518">
        <f ca="1">_xlfn.NORM.INV(RAND(),Hitorical_Sim!$AB$4,Hitorical_Sim!$AB$5)</f>
        <v>3.3097209253492043E-3</v>
      </c>
      <c r="D518">
        <f ca="1">_xlfn.NORM.INV(RAND(),Hitorical_Sim!$AB$4,Hitorical_Sim!$AB$5)</f>
        <v>7.0342070559760331E-4</v>
      </c>
      <c r="K518">
        <f t="shared" ca="1" si="82"/>
        <v>0.63638153183281343</v>
      </c>
      <c r="L518">
        <f t="shared" ca="1" si="82"/>
        <v>-2.0059868047668843</v>
      </c>
      <c r="M518">
        <f t="shared" ca="1" si="82"/>
        <v>-0.3148480942977559</v>
      </c>
      <c r="O518">
        <v>516</v>
      </c>
      <c r="P518" s="6">
        <f t="shared" ca="1" si="83"/>
        <v>1960.3475366193481</v>
      </c>
      <c r="Q518" s="6">
        <f t="shared" ca="1" si="84"/>
        <v>363.02409941009284</v>
      </c>
      <c r="R518" s="6">
        <f t="shared" ca="1" si="85"/>
        <v>149.32818379624737</v>
      </c>
      <c r="S518" s="6"/>
      <c r="T518" s="4">
        <f t="shared" ca="1" si="86"/>
        <v>2.1431842577104142E-2</v>
      </c>
      <c r="U518" s="4">
        <f t="shared" ca="1" si="87"/>
        <v>-6.3127089633861159E-3</v>
      </c>
      <c r="V518" s="4">
        <f t="shared" ca="1" si="88"/>
        <v>-6.5365781632878428E-3</v>
      </c>
      <c r="W518" s="4"/>
      <c r="X518">
        <v>516</v>
      </c>
      <c r="Y518" s="4">
        <f t="shared" ca="1" si="89"/>
        <v>1.4510755066590752E-2</v>
      </c>
      <c r="Z518" s="4">
        <f ca="1"/>
        <v>9.9838168099267632E-4</v>
      </c>
      <c r="AA518" s="4"/>
    </row>
    <row r="519" spans="1:27" x14ac:dyDescent="0.35">
      <c r="A519">
        <v>517</v>
      </c>
      <c r="B519">
        <f ca="1">_xlfn.NORM.INV(RAND(),Hitorical_Sim!$AB$4,Hitorical_Sim!$AB$5)</f>
        <v>1.3282149481041058E-2</v>
      </c>
      <c r="C519">
        <f ca="1">_xlfn.NORM.INV(RAND(),Hitorical_Sim!$AB$4,Hitorical_Sim!$AB$5)</f>
        <v>-1.8487665031486113E-2</v>
      </c>
      <c r="D519">
        <f ca="1">_xlfn.NORM.INV(RAND(),Hitorical_Sim!$AB$4,Hitorical_Sim!$AB$5)</f>
        <v>-7.4670615116757561E-3</v>
      </c>
      <c r="K519">
        <f t="shared" ca="1" si="82"/>
        <v>-0.65245413112276551</v>
      </c>
      <c r="L519">
        <f t="shared" ca="1" si="82"/>
        <v>-0.40580483763326886</v>
      </c>
      <c r="M519">
        <f t="shared" ca="1" si="82"/>
        <v>0.1997397322775723</v>
      </c>
      <c r="O519">
        <v>517</v>
      </c>
      <c r="P519" s="6">
        <f t="shared" ca="1" si="83"/>
        <v>1915.0416322380092</v>
      </c>
      <c r="Q519" s="6">
        <f t="shared" ca="1" si="84"/>
        <v>379.98132381255385</v>
      </c>
      <c r="R519" s="6">
        <f t="shared" ca="1" si="85"/>
        <v>151.69077172226997</v>
      </c>
      <c r="S519" s="6"/>
      <c r="T519" s="4">
        <f t="shared" ca="1" si="86"/>
        <v>-2.3382409657393275E-2</v>
      </c>
      <c r="U519" s="4">
        <f t="shared" ca="1" si="87"/>
        <v>4.5652882030289471E-2</v>
      </c>
      <c r="V519" s="4">
        <f t="shared" ca="1" si="88"/>
        <v>1.5697592441617544E-2</v>
      </c>
      <c r="W519" s="4"/>
      <c r="X519">
        <v>517</v>
      </c>
      <c r="Y519" s="4">
        <f t="shared" ca="1" si="89"/>
        <v>-7.6710946449773812E-3</v>
      </c>
      <c r="Z519" s="4">
        <f ca="1"/>
        <v>1.0167325279276053E-3</v>
      </c>
      <c r="AA519" s="4"/>
    </row>
    <row r="520" spans="1:27" x14ac:dyDescent="0.35">
      <c r="A520">
        <v>518</v>
      </c>
      <c r="B520">
        <f ca="1">_xlfn.NORM.INV(RAND(),Hitorical_Sim!$AB$4,Hitorical_Sim!$AB$5)</f>
        <v>9.0883714969629686E-3</v>
      </c>
      <c r="C520">
        <f ca="1">_xlfn.NORM.INV(RAND(),Hitorical_Sim!$AB$4,Hitorical_Sim!$AB$5)</f>
        <v>-1.422714345307439E-2</v>
      </c>
      <c r="D520">
        <f ca="1">_xlfn.NORM.INV(RAND(),Hitorical_Sim!$AB$4,Hitorical_Sim!$AB$5)</f>
        <v>-7.1239348003984096E-4</v>
      </c>
      <c r="K520">
        <f t="shared" ca="1" si="82"/>
        <v>0.90088779391221985</v>
      </c>
      <c r="L520">
        <f t="shared" ca="1" si="82"/>
        <v>-0.25839681006224391</v>
      </c>
      <c r="M520">
        <f t="shared" ca="1" si="82"/>
        <v>0.60789261658447613</v>
      </c>
      <c r="O520">
        <v>518</v>
      </c>
      <c r="P520" s="6">
        <f t="shared" ca="1" si="83"/>
        <v>1969.7773522306925</v>
      </c>
      <c r="Q520" s="6">
        <f t="shared" ca="1" si="84"/>
        <v>381.58270879570739</v>
      </c>
      <c r="R520" s="6">
        <f t="shared" ca="1" si="85"/>
        <v>153.59124614336739</v>
      </c>
      <c r="S520" s="6"/>
      <c r="T520" s="4">
        <f t="shared" ca="1" si="86"/>
        <v>2.8181154722147023E-2</v>
      </c>
      <c r="U520" s="4">
        <f t="shared" ca="1" si="87"/>
        <v>4.2055225163373979E-3</v>
      </c>
      <c r="V520" s="4">
        <f t="shared" ca="1" si="88"/>
        <v>1.2450775748738889E-2</v>
      </c>
      <c r="W520" s="4"/>
      <c r="X520">
        <v>518</v>
      </c>
      <c r="Y520" s="4">
        <f t="shared" ca="1" si="89"/>
        <v>2.2617885205854296E-2</v>
      </c>
      <c r="Z520" s="4">
        <f ca="1"/>
        <v>1.0675309325526641E-3</v>
      </c>
      <c r="AA520" s="4"/>
    </row>
    <row r="521" spans="1:27" x14ac:dyDescent="0.35">
      <c r="A521">
        <v>519</v>
      </c>
      <c r="B521">
        <f ca="1">_xlfn.NORM.INV(RAND(),Hitorical_Sim!$AB$4,Hitorical_Sim!$AB$5)</f>
        <v>-1.1638133577344075E-2</v>
      </c>
      <c r="C521">
        <f ca="1">_xlfn.NORM.INV(RAND(),Hitorical_Sim!$AB$4,Hitorical_Sim!$AB$5)</f>
        <v>-2.4286999001055961E-2</v>
      </c>
      <c r="D521">
        <f ca="1">_xlfn.NORM.INV(RAND(),Hitorical_Sim!$AB$4,Hitorical_Sim!$AB$5)</f>
        <v>1.2756664254743815E-2</v>
      </c>
      <c r="K521">
        <f t="shared" ca="1" si="82"/>
        <v>1.0769336632471758</v>
      </c>
      <c r="L521">
        <f t="shared" ca="1" si="82"/>
        <v>-0.8458288384513668</v>
      </c>
      <c r="M521">
        <f t="shared" ca="1" si="82"/>
        <v>6.7372336481874837E-2</v>
      </c>
      <c r="O521">
        <v>519</v>
      </c>
      <c r="P521" s="6">
        <f t="shared" ca="1" si="83"/>
        <v>1976.0786271018935</v>
      </c>
      <c r="Q521" s="6">
        <f t="shared" ca="1" si="84"/>
        <v>375.24093163018676</v>
      </c>
      <c r="R521" s="6">
        <f t="shared" ca="1" si="85"/>
        <v>151.07949591928494</v>
      </c>
      <c r="S521" s="6"/>
      <c r="T521" s="4">
        <f t="shared" ca="1" si="86"/>
        <v>3.1938723869898693E-3</v>
      </c>
      <c r="U521" s="4">
        <f t="shared" ca="1" si="87"/>
        <v>-1.6759322154405218E-2</v>
      </c>
      <c r="V521" s="4">
        <f t="shared" ca="1" si="88"/>
        <v>-1.6488666511891133E-2</v>
      </c>
      <c r="W521" s="4"/>
      <c r="X521">
        <v>519</v>
      </c>
      <c r="Y521" s="4">
        <f t="shared" ca="1" si="89"/>
        <v>-1.7622395443473819E-3</v>
      </c>
      <c r="Z521" s="4">
        <f ca="1"/>
        <v>1.0877290133768712E-3</v>
      </c>
      <c r="AA521" s="4"/>
    </row>
    <row r="522" spans="1:27" x14ac:dyDescent="0.35">
      <c r="A522">
        <v>520</v>
      </c>
      <c r="B522">
        <f ca="1">_xlfn.NORM.INV(RAND(),Hitorical_Sim!$AB$4,Hitorical_Sim!$AB$5)</f>
        <v>9.4238655485096579E-3</v>
      </c>
      <c r="C522">
        <f ca="1">_xlfn.NORM.INV(RAND(),Hitorical_Sim!$AB$4,Hitorical_Sim!$AB$5)</f>
        <v>2.8374531394321223E-2</v>
      </c>
      <c r="D522">
        <f ca="1">_xlfn.NORM.INV(RAND(),Hitorical_Sim!$AB$4,Hitorical_Sim!$AB$5)</f>
        <v>1.9170827351994799E-2</v>
      </c>
      <c r="K522">
        <f t="shared" ca="1" si="82"/>
        <v>-0.9355841964991406</v>
      </c>
      <c r="L522">
        <f t="shared" ca="1" si="82"/>
        <v>-0.87162154823493787</v>
      </c>
      <c r="M522">
        <f t="shared" ca="1" si="82"/>
        <v>0.12251257620519579</v>
      </c>
      <c r="O522">
        <v>520</v>
      </c>
      <c r="P522" s="6">
        <f t="shared" ca="1" si="83"/>
        <v>1905.2300058367034</v>
      </c>
      <c r="Q522" s="6">
        <f t="shared" ca="1" si="84"/>
        <v>374.96490802487375</v>
      </c>
      <c r="R522" s="6">
        <f t="shared" ca="1" si="85"/>
        <v>151.33383495751718</v>
      </c>
      <c r="S522" s="6"/>
      <c r="T522" s="4">
        <f t="shared" ca="1" si="86"/>
        <v>-3.6511650315057077E-2</v>
      </c>
      <c r="U522" s="4">
        <f t="shared" ca="1" si="87"/>
        <v>-7.3586102154391485E-4</v>
      </c>
      <c r="V522" s="4">
        <f t="shared" ca="1" si="88"/>
        <v>1.6820627414958753E-3</v>
      </c>
      <c r="W522" s="4"/>
      <c r="X522">
        <v>520</v>
      </c>
      <c r="Y522" s="4">
        <f t="shared" ca="1" si="89"/>
        <v>-2.7481733072599362E-2</v>
      </c>
      <c r="Z522" s="4">
        <f ca="1"/>
        <v>1.1460542503459274E-3</v>
      </c>
      <c r="AA522" s="4"/>
    </row>
    <row r="523" spans="1:27" x14ac:dyDescent="0.35">
      <c r="A523">
        <v>521</v>
      </c>
      <c r="B523">
        <f ca="1">_xlfn.NORM.INV(RAND(),Hitorical_Sim!$AB$4,Hitorical_Sim!$AB$5)</f>
        <v>-1.0760598429482269E-2</v>
      </c>
      <c r="C523">
        <f ca="1">_xlfn.NORM.INV(RAND(),Hitorical_Sim!$AB$4,Hitorical_Sim!$AB$5)</f>
        <v>2.9190572742456944E-3</v>
      </c>
      <c r="D523">
        <f ca="1">_xlfn.NORM.INV(RAND(),Hitorical_Sim!$AB$4,Hitorical_Sim!$AB$5)</f>
        <v>3.6999952412321903E-4</v>
      </c>
      <c r="K523">
        <f t="shared" ca="1" si="82"/>
        <v>1.971590153303298</v>
      </c>
      <c r="L523">
        <f t="shared" ca="1" si="82"/>
        <v>-0.77171527545387963</v>
      </c>
      <c r="M523">
        <f t="shared" ca="1" si="82"/>
        <v>-0.81972554497400085</v>
      </c>
      <c r="O523">
        <v>521</v>
      </c>
      <c r="P523" s="6">
        <f t="shared" ca="1" si="83"/>
        <v>2008.414274796698</v>
      </c>
      <c r="Q523" s="6">
        <f t="shared" ca="1" si="84"/>
        <v>376.03519759392805</v>
      </c>
      <c r="R523" s="6">
        <f t="shared" ca="1" si="85"/>
        <v>147.04594426009871</v>
      </c>
      <c r="S523" s="6"/>
      <c r="T523" s="4">
        <f t="shared" ca="1" si="86"/>
        <v>5.2742753437363253E-2</v>
      </c>
      <c r="U523" s="4">
        <f t="shared" ca="1" si="87"/>
        <v>2.8503066395190132E-3</v>
      </c>
      <c r="V523" s="4">
        <f t="shared" ca="1" si="88"/>
        <v>-2.8743140131514806E-2</v>
      </c>
      <c r="W523" s="4"/>
      <c r="X523">
        <v>521</v>
      </c>
      <c r="Y523" s="4">
        <f t="shared" ca="1" si="89"/>
        <v>3.8753066958789564E-2</v>
      </c>
      <c r="Z523" s="4">
        <f ca="1"/>
        <v>1.1705355841821036E-3</v>
      </c>
      <c r="AA523" s="4"/>
    </row>
    <row r="524" spans="1:27" x14ac:dyDescent="0.35">
      <c r="A524">
        <v>522</v>
      </c>
      <c r="B524">
        <f ca="1">_xlfn.NORM.INV(RAND(),Hitorical_Sim!$AB$4,Hitorical_Sim!$AB$5)</f>
        <v>5.4650551847818954E-3</v>
      </c>
      <c r="C524">
        <f ca="1">_xlfn.NORM.INV(RAND(),Hitorical_Sim!$AB$4,Hitorical_Sim!$AB$5)</f>
        <v>1.8647325359883441E-4</v>
      </c>
      <c r="D524">
        <f ca="1">_xlfn.NORM.INV(RAND(),Hitorical_Sim!$AB$4,Hitorical_Sim!$AB$5)</f>
        <v>2.51507418244604E-2</v>
      </c>
      <c r="K524">
        <f t="shared" ref="K524:M543" ca="1" si="90">_xlfn.NORM.S.INV(RAND())</f>
        <v>0.60405940192607777</v>
      </c>
      <c r="L524">
        <f t="shared" ca="1" si="90"/>
        <v>-0.45425930275236409</v>
      </c>
      <c r="M524">
        <f t="shared" ca="1" si="90"/>
        <v>-0.794396423735933</v>
      </c>
      <c r="O524">
        <v>522</v>
      </c>
      <c r="P524" s="6">
        <f t="shared" ca="1" si="83"/>
        <v>1959.1983318103548</v>
      </c>
      <c r="Q524" s="6">
        <f t="shared" ca="1" si="84"/>
        <v>379.45640186225046</v>
      </c>
      <c r="R524" s="6">
        <f t="shared" ca="1" si="85"/>
        <v>147.15960605456826</v>
      </c>
      <c r="S524" s="6"/>
      <c r="T524" s="4">
        <f t="shared" ca="1" si="86"/>
        <v>-2.4810117509051998E-2</v>
      </c>
      <c r="U524" s="4">
        <f t="shared" ca="1" si="87"/>
        <v>9.056957501848286E-3</v>
      </c>
      <c r="V524" s="4">
        <f t="shared" ca="1" si="88"/>
        <v>7.7266931234184783E-4</v>
      </c>
      <c r="W524" s="4"/>
      <c r="X524">
        <v>522</v>
      </c>
      <c r="Y524" s="4">
        <f t="shared" ca="1" si="89"/>
        <v>-1.6785234942687414E-2</v>
      </c>
      <c r="Z524" s="4">
        <f ca="1"/>
        <v>1.2424594770325387E-3</v>
      </c>
      <c r="AA524" s="4"/>
    </row>
    <row r="525" spans="1:27" x14ac:dyDescent="0.35">
      <c r="A525">
        <v>523</v>
      </c>
      <c r="B525">
        <f ca="1">_xlfn.NORM.INV(RAND(),Hitorical_Sim!$AB$4,Hitorical_Sim!$AB$5)</f>
        <v>6.6555986545746171E-3</v>
      </c>
      <c r="C525">
        <f ca="1">_xlfn.NORM.INV(RAND(),Hitorical_Sim!$AB$4,Hitorical_Sim!$AB$5)</f>
        <v>-2.3838308415416145E-2</v>
      </c>
      <c r="D525">
        <f ca="1">_xlfn.NORM.INV(RAND(),Hitorical_Sim!$AB$4,Hitorical_Sim!$AB$5)</f>
        <v>-9.8293793873767514E-3</v>
      </c>
      <c r="K525">
        <f t="shared" ca="1" si="90"/>
        <v>0.61314169927032969</v>
      </c>
      <c r="L525">
        <f t="shared" ca="1" si="90"/>
        <v>2.0910008455419851</v>
      </c>
      <c r="M525">
        <f t="shared" ca="1" si="90"/>
        <v>-0.79451421873377648</v>
      </c>
      <c r="O525">
        <v>523</v>
      </c>
      <c r="P525" s="6">
        <f t="shared" ca="1" si="83"/>
        <v>1959.5211824262883</v>
      </c>
      <c r="Q525" s="6">
        <f t="shared" ca="1" si="84"/>
        <v>408.03603308260341</v>
      </c>
      <c r="R525" s="6">
        <f t="shared" ca="1" si="85"/>
        <v>147.15907725848948</v>
      </c>
      <c r="S525" s="6"/>
      <c r="T525" s="4">
        <f t="shared" ca="1" si="86"/>
        <v>1.6477352639869273E-4</v>
      </c>
      <c r="U525" s="4">
        <f t="shared" ca="1" si="87"/>
        <v>7.2615779750738838E-2</v>
      </c>
      <c r="V525" s="4">
        <f t="shared" ca="1" si="88"/>
        <v>-3.593357192508542E-6</v>
      </c>
      <c r="W525" s="4"/>
      <c r="X525">
        <v>523</v>
      </c>
      <c r="Y525" s="4">
        <f t="shared" ca="1" si="89"/>
        <v>1.4615349901275408E-2</v>
      </c>
      <c r="Z525" s="4">
        <f ca="1"/>
        <v>1.2473802687897034E-3</v>
      </c>
      <c r="AA525" s="4"/>
    </row>
    <row r="526" spans="1:27" x14ac:dyDescent="0.35">
      <c r="A526">
        <v>524</v>
      </c>
      <c r="B526">
        <f ca="1">_xlfn.NORM.INV(RAND(),Hitorical_Sim!$AB$4,Hitorical_Sim!$AB$5)</f>
        <v>1.35122587672714E-2</v>
      </c>
      <c r="C526">
        <f ca="1">_xlfn.NORM.INV(RAND(),Hitorical_Sim!$AB$4,Hitorical_Sim!$AB$5)</f>
        <v>1.0612910692263446E-2</v>
      </c>
      <c r="D526">
        <f ca="1">_xlfn.NORM.INV(RAND(),Hitorical_Sim!$AB$4,Hitorical_Sim!$AB$5)</f>
        <v>-1.5614645749531426E-2</v>
      </c>
      <c r="K526">
        <f t="shared" ca="1" si="90"/>
        <v>-0.62755633460819227</v>
      </c>
      <c r="L526">
        <f t="shared" ca="1" si="90"/>
        <v>1.4295726819484564</v>
      </c>
      <c r="M526">
        <f t="shared" ca="1" si="90"/>
        <v>-0.71305414090574881</v>
      </c>
      <c r="O526">
        <v>524</v>
      </c>
      <c r="P526" s="6">
        <f t="shared" ca="1" si="83"/>
        <v>1915.9068570056406</v>
      </c>
      <c r="Q526" s="6">
        <f t="shared" ca="1" si="84"/>
        <v>400.40841724210111</v>
      </c>
      <c r="R526" s="6">
        <f t="shared" ca="1" si="85"/>
        <v>147.52521553300963</v>
      </c>
      <c r="S526" s="6"/>
      <c r="T526" s="4">
        <f t="shared" ca="1" si="86"/>
        <v>-2.250908360398932E-2</v>
      </c>
      <c r="U526" s="4">
        <f t="shared" ca="1" si="87"/>
        <v>-1.8870417580155587E-2</v>
      </c>
      <c r="V526" s="4">
        <f t="shared" ca="1" si="88"/>
        <v>2.4849540466532673E-3</v>
      </c>
      <c r="W526" s="4"/>
      <c r="X526">
        <v>524</v>
      </c>
      <c r="Y526" s="4">
        <f t="shared" ca="1" si="89"/>
        <v>-2.0545964138463439E-2</v>
      </c>
      <c r="Z526" s="4">
        <f ca="1"/>
        <v>1.2621030150488538E-3</v>
      </c>
      <c r="AA526" s="4"/>
    </row>
    <row r="527" spans="1:27" x14ac:dyDescent="0.35">
      <c r="A527">
        <v>525</v>
      </c>
      <c r="B527">
        <f ca="1">_xlfn.NORM.INV(RAND(),Hitorical_Sim!$AB$4,Hitorical_Sim!$AB$5)</f>
        <v>5.0071150606507443E-3</v>
      </c>
      <c r="C527">
        <f ca="1">_xlfn.NORM.INV(RAND(),Hitorical_Sim!$AB$4,Hitorical_Sim!$AB$5)</f>
        <v>4.6641219747931388E-3</v>
      </c>
      <c r="D527">
        <f ca="1">_xlfn.NORM.INV(RAND(),Hitorical_Sim!$AB$4,Hitorical_Sim!$AB$5)</f>
        <v>-1.6477891660366375E-3</v>
      </c>
      <c r="K527">
        <f t="shared" ca="1" si="90"/>
        <v>-0.88534366267578068</v>
      </c>
      <c r="L527">
        <f t="shared" ca="1" si="90"/>
        <v>-0.53575268091040584</v>
      </c>
      <c r="M527">
        <f t="shared" ca="1" si="90"/>
        <v>1.4400734970995801</v>
      </c>
      <c r="O527">
        <v>525</v>
      </c>
      <c r="P527" s="6">
        <f t="shared" ca="1" si="83"/>
        <v>1906.9673718362551</v>
      </c>
      <c r="Q527" s="6">
        <f t="shared" ca="1" si="84"/>
        <v>378.57519419872756</v>
      </c>
      <c r="R527" s="6">
        <f t="shared" ca="1" si="85"/>
        <v>157.54019820863203</v>
      </c>
      <c r="S527" s="6"/>
      <c r="T527" s="4">
        <f t="shared" ca="1" si="86"/>
        <v>-4.6768483233451431E-3</v>
      </c>
      <c r="U527" s="4">
        <f t="shared" ca="1" si="87"/>
        <v>-5.6070352487755111E-2</v>
      </c>
      <c r="V527" s="4">
        <f t="shared" ca="1" si="88"/>
        <v>6.5681538487079555E-2</v>
      </c>
      <c r="W527" s="4"/>
      <c r="X527">
        <v>525</v>
      </c>
      <c r="Y527" s="4">
        <f t="shared" ca="1" si="89"/>
        <v>-1.1451307470478896E-2</v>
      </c>
      <c r="Z527" s="4">
        <f ca="1"/>
        <v>1.3102340649452024E-3</v>
      </c>
      <c r="AA527" s="4"/>
    </row>
    <row r="528" spans="1:27" x14ac:dyDescent="0.35">
      <c r="A528">
        <v>526</v>
      </c>
      <c r="B528">
        <f ca="1">_xlfn.NORM.INV(RAND(),Hitorical_Sim!$AB$4,Hitorical_Sim!$AB$5)</f>
        <v>5.5594595107621016E-5</v>
      </c>
      <c r="C528">
        <f ca="1">_xlfn.NORM.INV(RAND(),Hitorical_Sim!$AB$4,Hitorical_Sim!$AB$5)</f>
        <v>1.4498978416668929E-2</v>
      </c>
      <c r="D528">
        <f ca="1">_xlfn.NORM.INV(RAND(),Hitorical_Sim!$AB$4,Hitorical_Sim!$AB$5)</f>
        <v>-1.8692977060859237E-2</v>
      </c>
      <c r="K528">
        <f t="shared" ca="1" si="90"/>
        <v>1.1523138124697554</v>
      </c>
      <c r="L528">
        <f t="shared" ca="1" si="90"/>
        <v>-0.29659269511990649</v>
      </c>
      <c r="M528">
        <f t="shared" ca="1" si="90"/>
        <v>1.243575919156793</v>
      </c>
      <c r="O528">
        <v>526</v>
      </c>
      <c r="P528" s="6">
        <f t="shared" ca="1" si="83"/>
        <v>1978.7828963610552</v>
      </c>
      <c r="Q528" s="6">
        <f t="shared" ca="1" si="84"/>
        <v>381.16711650433302</v>
      </c>
      <c r="R528" s="6">
        <f t="shared" ca="1" si="85"/>
        <v>156.59869640144532</v>
      </c>
      <c r="S528" s="6"/>
      <c r="T528" s="4">
        <f t="shared" ca="1" si="86"/>
        <v>3.6967740104305924E-2</v>
      </c>
      <c r="U528" s="4">
        <f t="shared" ca="1" si="87"/>
        <v>6.8231881385448188E-3</v>
      </c>
      <c r="V528" s="4">
        <f t="shared" ca="1" si="88"/>
        <v>-5.9941932844368049E-3</v>
      </c>
      <c r="W528" s="4"/>
      <c r="X528">
        <v>526</v>
      </c>
      <c r="Y528" s="4">
        <f t="shared" ca="1" si="89"/>
        <v>2.8825658387011871E-2</v>
      </c>
      <c r="Z528" s="4">
        <f ca="1"/>
        <v>1.4275173469178875E-3</v>
      </c>
      <c r="AA528" s="4"/>
    </row>
    <row r="529" spans="1:27" x14ac:dyDescent="0.35">
      <c r="A529">
        <v>527</v>
      </c>
      <c r="B529">
        <f ca="1">_xlfn.NORM.INV(RAND(),Hitorical_Sim!$AB$4,Hitorical_Sim!$AB$5)</f>
        <v>3.5983872905587782E-3</v>
      </c>
      <c r="C529">
        <f ca="1">_xlfn.NORM.INV(RAND(),Hitorical_Sim!$AB$4,Hitorical_Sim!$AB$5)</f>
        <v>2.2027466247700046E-3</v>
      </c>
      <c r="D529">
        <f ca="1">_xlfn.NORM.INV(RAND(),Hitorical_Sim!$AB$4,Hitorical_Sim!$AB$5)</f>
        <v>-1.9082393473842222E-2</v>
      </c>
      <c r="K529">
        <f t="shared" ca="1" si="90"/>
        <v>-1.5645185121852891</v>
      </c>
      <c r="L529">
        <f t="shared" ca="1" si="90"/>
        <v>0.62462794839315805</v>
      </c>
      <c r="M529">
        <f t="shared" ca="1" si="90"/>
        <v>0.9080235717570031</v>
      </c>
      <c r="O529">
        <v>527</v>
      </c>
      <c r="P529" s="6">
        <f t="shared" ca="1" si="83"/>
        <v>1883.6143177340484</v>
      </c>
      <c r="Q529" s="6">
        <f t="shared" ca="1" si="84"/>
        <v>391.31785250062472</v>
      </c>
      <c r="R529" s="6">
        <f t="shared" ca="1" si="85"/>
        <v>155.00391514138212</v>
      </c>
      <c r="S529" s="6"/>
      <c r="T529" s="4">
        <f t="shared" ca="1" si="86"/>
        <v>-4.9289516275374812E-2</v>
      </c>
      <c r="U529" s="4">
        <f t="shared" ca="1" si="87"/>
        <v>2.6282246785660181E-2</v>
      </c>
      <c r="V529" s="4">
        <f t="shared" ca="1" si="88"/>
        <v>-1.023608356102244E-2</v>
      </c>
      <c r="W529" s="4"/>
      <c r="X529">
        <v>527</v>
      </c>
      <c r="Y529" s="4">
        <f t="shared" ca="1" si="89"/>
        <v>-3.2275044862809965E-2</v>
      </c>
      <c r="Z529" s="4">
        <f ca="1"/>
        <v>1.4643616921443652E-3</v>
      </c>
      <c r="AA529" s="4"/>
    </row>
    <row r="530" spans="1:27" x14ac:dyDescent="0.35">
      <c r="A530">
        <v>528</v>
      </c>
      <c r="B530">
        <f ca="1">_xlfn.NORM.INV(RAND(),Hitorical_Sim!$AB$4,Hitorical_Sim!$AB$5)</f>
        <v>-9.4166024614514374E-3</v>
      </c>
      <c r="C530">
        <f ca="1">_xlfn.NORM.INV(RAND(),Hitorical_Sim!$AB$4,Hitorical_Sim!$AB$5)</f>
        <v>-1.3105005266338921E-2</v>
      </c>
      <c r="D530">
        <f ca="1">_xlfn.NORM.INV(RAND(),Hitorical_Sim!$AB$4,Hitorical_Sim!$AB$5)</f>
        <v>2.7438401639184599E-2</v>
      </c>
      <c r="K530">
        <f t="shared" ca="1" si="90"/>
        <v>1.9166537008283284</v>
      </c>
      <c r="L530">
        <f t="shared" ca="1" si="90"/>
        <v>1.5931322376779264</v>
      </c>
      <c r="M530">
        <f t="shared" ca="1" si="90"/>
        <v>-0.15807954227847049</v>
      </c>
      <c r="O530">
        <v>528</v>
      </c>
      <c r="P530" s="6">
        <f t="shared" ca="1" si="83"/>
        <v>2006.4135413865733</v>
      </c>
      <c r="Q530" s="6">
        <f t="shared" ca="1" si="84"/>
        <v>402.28121819330784</v>
      </c>
      <c r="R530" s="6">
        <f t="shared" ca="1" si="85"/>
        <v>150.04401914085267</v>
      </c>
      <c r="S530" s="6"/>
      <c r="T530" s="4">
        <f t="shared" ca="1" si="86"/>
        <v>6.3156379911117E-2</v>
      </c>
      <c r="U530" s="4">
        <f t="shared" ca="1" si="87"/>
        <v>2.7631240054372248E-2</v>
      </c>
      <c r="V530" s="4">
        <f t="shared" ca="1" si="88"/>
        <v>-3.2521663592868351E-2</v>
      </c>
      <c r="W530" s="4"/>
      <c r="X530">
        <v>528</v>
      </c>
      <c r="Y530" s="4">
        <f t="shared" ca="1" si="89"/>
        <v>5.1331578289187399E-2</v>
      </c>
      <c r="Z530" s="4">
        <f ca="1"/>
        <v>1.5043910945036101E-3</v>
      </c>
      <c r="AA530" s="4"/>
    </row>
    <row r="531" spans="1:27" x14ac:dyDescent="0.35">
      <c r="A531">
        <v>529</v>
      </c>
      <c r="B531">
        <f ca="1">_xlfn.NORM.INV(RAND(),Hitorical_Sim!$AB$4,Hitorical_Sim!$AB$5)</f>
        <v>2.3513591094301745E-3</v>
      </c>
      <c r="C531">
        <f ca="1">_xlfn.NORM.INV(RAND(),Hitorical_Sim!$AB$4,Hitorical_Sim!$AB$5)</f>
        <v>-1.5639767408180134E-2</v>
      </c>
      <c r="D531">
        <f ca="1">_xlfn.NORM.INV(RAND(),Hitorical_Sim!$AB$4,Hitorical_Sim!$AB$5)</f>
        <v>-3.5646605850106101E-2</v>
      </c>
      <c r="K531">
        <f t="shared" ca="1" si="90"/>
        <v>-1.503261015750696</v>
      </c>
      <c r="L531">
        <f t="shared" ca="1" si="90"/>
        <v>-0.76444492911088102</v>
      </c>
      <c r="M531">
        <f t="shared" ca="1" si="90"/>
        <v>-0.36487785312001486</v>
      </c>
      <c r="O531">
        <v>529</v>
      </c>
      <c r="P531" s="6">
        <f t="shared" ca="1" si="83"/>
        <v>1885.7088366919418</v>
      </c>
      <c r="Q531" s="6">
        <f t="shared" ca="1" si="84"/>
        <v>376.11320349664396</v>
      </c>
      <c r="R531" s="6">
        <f t="shared" ca="1" si="85"/>
        <v>149.10045792473511</v>
      </c>
      <c r="S531" s="6"/>
      <c r="T531" s="4">
        <f t="shared" ca="1" si="86"/>
        <v>-6.2045029630092625E-2</v>
      </c>
      <c r="U531" s="4">
        <f t="shared" ca="1" si="87"/>
        <v>-6.726122058824946E-2</v>
      </c>
      <c r="V531" s="4">
        <f t="shared" ca="1" si="88"/>
        <v>-6.3084189589360014E-3</v>
      </c>
      <c r="W531" s="4"/>
      <c r="X531">
        <v>529</v>
      </c>
      <c r="Y531" s="4">
        <f t="shared" ca="1" si="89"/>
        <v>-6.0327603425645471E-2</v>
      </c>
      <c r="Z531" s="4">
        <f ca="1"/>
        <v>1.556897264418758E-3</v>
      </c>
      <c r="AA531" s="4"/>
    </row>
    <row r="532" spans="1:27" x14ac:dyDescent="0.35">
      <c r="A532">
        <v>530</v>
      </c>
      <c r="B532">
        <f ca="1">_xlfn.NORM.INV(RAND(),Hitorical_Sim!$AB$4,Hitorical_Sim!$AB$5)</f>
        <v>-1.9390774549626781E-2</v>
      </c>
      <c r="C532">
        <f ca="1">_xlfn.NORM.INV(RAND(),Hitorical_Sim!$AB$4,Hitorical_Sim!$AB$5)</f>
        <v>-1.5165835418563228E-2</v>
      </c>
      <c r="D532">
        <f ca="1">_xlfn.NORM.INV(RAND(),Hitorical_Sim!$AB$4,Hitorical_Sim!$AB$5)</f>
        <v>-4.8154357572698613E-3</v>
      </c>
      <c r="K532">
        <f t="shared" ca="1" si="90"/>
        <v>-1.2792823769570172</v>
      </c>
      <c r="L532">
        <f t="shared" ca="1" si="90"/>
        <v>1.9157876720466331</v>
      </c>
      <c r="M532">
        <f t="shared" ca="1" si="90"/>
        <v>0.65475486425346374</v>
      </c>
      <c r="O532">
        <v>530</v>
      </c>
      <c r="P532" s="6">
        <f t="shared" ca="1" si="83"/>
        <v>1893.3869696815661</v>
      </c>
      <c r="Q532" s="6">
        <f t="shared" ca="1" si="84"/>
        <v>406.00143291048687</v>
      </c>
      <c r="R532" s="6">
        <f t="shared" ca="1" si="85"/>
        <v>153.81096816086293</v>
      </c>
      <c r="S532" s="6"/>
      <c r="T532" s="4">
        <f t="shared" ca="1" si="86"/>
        <v>4.0634818210796555E-3</v>
      </c>
      <c r="U532" s="4">
        <f t="shared" ca="1" si="87"/>
        <v>7.6466517725832114E-2</v>
      </c>
      <c r="V532" s="4">
        <f t="shared" ca="1" si="88"/>
        <v>3.1104075943632251E-2</v>
      </c>
      <c r="W532" s="4"/>
      <c r="X532">
        <v>530</v>
      </c>
      <c r="Y532" s="4">
        <f t="shared" ca="1" si="89"/>
        <v>1.9851059265153619E-2</v>
      </c>
      <c r="Z532" s="4">
        <f ca="1"/>
        <v>1.5863180505197769E-3</v>
      </c>
      <c r="AA532" s="4"/>
    </row>
    <row r="533" spans="1:27" x14ac:dyDescent="0.35">
      <c r="A533">
        <v>531</v>
      </c>
      <c r="B533">
        <f ca="1">_xlfn.NORM.INV(RAND(),Hitorical_Sim!$AB$4,Hitorical_Sim!$AB$5)</f>
        <v>-8.3970236926340629E-3</v>
      </c>
      <c r="C533">
        <f ca="1">_xlfn.NORM.INV(RAND(),Hitorical_Sim!$AB$4,Hitorical_Sim!$AB$5)</f>
        <v>1.1235762184724093E-2</v>
      </c>
      <c r="D533">
        <f ca="1">_xlfn.NORM.INV(RAND(),Hitorical_Sim!$AB$4,Hitorical_Sim!$AB$5)</f>
        <v>1.0713085594279224E-2</v>
      </c>
      <c r="K533">
        <f t="shared" ca="1" si="90"/>
        <v>-0.65311219940086995</v>
      </c>
      <c r="L533">
        <f t="shared" ca="1" si="90"/>
        <v>2.0192836709859233E-3</v>
      </c>
      <c r="M533">
        <f t="shared" ca="1" si="90"/>
        <v>0.96675793504827867</v>
      </c>
      <c r="O533">
        <v>531</v>
      </c>
      <c r="P533" s="6">
        <f t="shared" ca="1" si="83"/>
        <v>1915.0187689701797</v>
      </c>
      <c r="Q533" s="6">
        <f t="shared" ca="1" si="84"/>
        <v>384.4282812937783</v>
      </c>
      <c r="R533" s="6">
        <f t="shared" ca="1" si="85"/>
        <v>155.28188492915194</v>
      </c>
      <c r="S533" s="6"/>
      <c r="T533" s="4">
        <f t="shared" ca="1" si="86"/>
        <v>1.1360150892538575E-2</v>
      </c>
      <c r="U533" s="4">
        <f t="shared" ca="1" si="87"/>
        <v>-5.4599441977410366E-2</v>
      </c>
      <c r="V533" s="4">
        <f t="shared" ca="1" si="88"/>
        <v>9.5177087232421465E-3</v>
      </c>
      <c r="W533" s="4"/>
      <c r="X533">
        <v>531</v>
      </c>
      <c r="Y533" s="4">
        <f t="shared" ca="1" si="89"/>
        <v>-1.8944617802230512E-3</v>
      </c>
      <c r="Z533" s="4">
        <f ca="1"/>
        <v>1.6149391295050127E-3</v>
      </c>
      <c r="AA533" s="4"/>
    </row>
    <row r="534" spans="1:27" x14ac:dyDescent="0.35">
      <c r="A534">
        <v>532</v>
      </c>
      <c r="B534">
        <f ca="1">_xlfn.NORM.INV(RAND(),Hitorical_Sim!$AB$4,Hitorical_Sim!$AB$5)</f>
        <v>-9.3673721333089981E-3</v>
      </c>
      <c r="C534">
        <f ca="1">_xlfn.NORM.INV(RAND(),Hitorical_Sim!$AB$4,Hitorical_Sim!$AB$5)</f>
        <v>-1.1845558961978777E-2</v>
      </c>
      <c r="D534">
        <f ca="1">_xlfn.NORM.INV(RAND(),Hitorical_Sim!$AB$4,Hitorical_Sim!$AB$5)</f>
        <v>2.3330085815770445E-2</v>
      </c>
      <c r="K534">
        <f t="shared" ca="1" si="90"/>
        <v>-0.60619944213336163</v>
      </c>
      <c r="L534">
        <f t="shared" ca="1" si="90"/>
        <v>-0.58491099886308007</v>
      </c>
      <c r="M534">
        <f t="shared" ca="1" si="90"/>
        <v>-2.0024452095599519</v>
      </c>
      <c r="O534">
        <v>532</v>
      </c>
      <c r="P534" s="6">
        <f t="shared" ca="1" si="83"/>
        <v>1916.6493430792946</v>
      </c>
      <c r="Q534" s="6">
        <f t="shared" ca="1" si="84"/>
        <v>378.04462322505429</v>
      </c>
      <c r="R534" s="6">
        <f t="shared" ca="1" si="85"/>
        <v>141.83522718199481</v>
      </c>
      <c r="S534" s="6"/>
      <c r="T534" s="4">
        <f t="shared" ca="1" si="86"/>
        <v>8.5110409349720909E-4</v>
      </c>
      <c r="U534" s="4">
        <f t="shared" ca="1" si="87"/>
        <v>-1.6745007442203412E-2</v>
      </c>
      <c r="V534" s="4">
        <f t="shared" ca="1" si="88"/>
        <v>-9.0576065801288422E-2</v>
      </c>
      <c r="W534" s="4"/>
      <c r="X534">
        <v>532</v>
      </c>
      <c r="Y534" s="4">
        <f t="shared" ca="1" si="89"/>
        <v>-7.1852588781350117E-3</v>
      </c>
      <c r="Z534" s="4">
        <f ca="1"/>
        <v>1.6393494219958142E-3</v>
      </c>
      <c r="AA534" s="4"/>
    </row>
    <row r="535" spans="1:27" x14ac:dyDescent="0.35">
      <c r="A535">
        <v>533</v>
      </c>
      <c r="B535">
        <f ca="1">_xlfn.NORM.INV(RAND(),Hitorical_Sim!$AB$4,Hitorical_Sim!$AB$5)</f>
        <v>-5.9732451527251236E-3</v>
      </c>
      <c r="C535">
        <f ca="1">_xlfn.NORM.INV(RAND(),Hitorical_Sim!$AB$4,Hitorical_Sim!$AB$5)</f>
        <v>1.6484493280093451E-4</v>
      </c>
      <c r="D535">
        <f ca="1">_xlfn.NORM.INV(RAND(),Hitorical_Sim!$AB$4,Hitorical_Sim!$AB$5)</f>
        <v>-1.6658835698922982E-2</v>
      </c>
      <c r="K535">
        <f t="shared" ca="1" si="90"/>
        <v>1.441513251628983</v>
      </c>
      <c r="L535">
        <f t="shared" ca="1" si="90"/>
        <v>0.86508183768529767</v>
      </c>
      <c r="M535">
        <f t="shared" ca="1" si="90"/>
        <v>0.76822989590183055</v>
      </c>
      <c r="O535">
        <v>533</v>
      </c>
      <c r="P535" s="6">
        <f t="shared" ca="1" si="83"/>
        <v>1989.192330621155</v>
      </c>
      <c r="Q535" s="6">
        <f t="shared" ca="1" si="84"/>
        <v>394.01156225605979</v>
      </c>
      <c r="R535" s="6">
        <f t="shared" ca="1" si="85"/>
        <v>154.34431908024956</v>
      </c>
      <c r="S535" s="6"/>
      <c r="T535" s="4">
        <f t="shared" ca="1" si="86"/>
        <v>3.7150164634950612E-2</v>
      </c>
      <c r="U535" s="4">
        <f t="shared" ca="1" si="87"/>
        <v>4.1368015182851124E-2</v>
      </c>
      <c r="V535" s="4">
        <f t="shared" ca="1" si="88"/>
        <v>8.45199329395869E-2</v>
      </c>
      <c r="W535" s="4"/>
      <c r="X535">
        <v>533</v>
      </c>
      <c r="Y535" s="4">
        <f t="shared" ca="1" si="89"/>
        <v>4.0336247692955927E-2</v>
      </c>
      <c r="Z535" s="4">
        <f ca="1"/>
        <v>1.8339183692906887E-3</v>
      </c>
      <c r="AA535" s="4"/>
    </row>
    <row r="536" spans="1:27" x14ac:dyDescent="0.35">
      <c r="A536">
        <v>534</v>
      </c>
      <c r="B536">
        <f ca="1">_xlfn.NORM.INV(RAND(),Hitorical_Sim!$AB$4,Hitorical_Sim!$AB$5)</f>
        <v>8.1757309035078562E-3</v>
      </c>
      <c r="C536">
        <f ca="1">_xlfn.NORM.INV(RAND(),Hitorical_Sim!$AB$4,Hitorical_Sim!$AB$5)</f>
        <v>1.0284714292561956E-2</v>
      </c>
      <c r="D536">
        <f ca="1">_xlfn.NORM.INV(RAND(),Hitorical_Sim!$AB$4,Hitorical_Sim!$AB$5)</f>
        <v>2.0314795030310324E-2</v>
      </c>
      <c r="K536">
        <f t="shared" ca="1" si="90"/>
        <v>-1.4125479134548136</v>
      </c>
      <c r="L536">
        <f t="shared" ca="1" si="90"/>
        <v>1.7598124051992858</v>
      </c>
      <c r="M536">
        <f t="shared" ca="1" si="90"/>
        <v>-0.29424340597489862</v>
      </c>
      <c r="O536">
        <v>534</v>
      </c>
      <c r="P536" s="6">
        <f t="shared" ca="1" si="83"/>
        <v>1888.8147819240426</v>
      </c>
      <c r="Q536" s="6">
        <f t="shared" ca="1" si="84"/>
        <v>404.19876305541572</v>
      </c>
      <c r="R536" s="6">
        <f t="shared" ca="1" si="85"/>
        <v>149.42207347838362</v>
      </c>
      <c r="S536" s="6"/>
      <c r="T536" s="4">
        <f t="shared" ca="1" si="86"/>
        <v>-5.1779159490519651E-2</v>
      </c>
      <c r="U536" s="4">
        <f t="shared" ca="1" si="87"/>
        <v>2.5526490040866177E-2</v>
      </c>
      <c r="V536" s="4">
        <f t="shared" ca="1" si="88"/>
        <v>-3.241093553253533E-2</v>
      </c>
      <c r="W536" s="4"/>
      <c r="X536">
        <v>534</v>
      </c>
      <c r="Y536" s="4">
        <f t="shared" ca="1" si="89"/>
        <v>-3.5392882775078779E-2</v>
      </c>
      <c r="Z536" s="4">
        <f ca="1"/>
        <v>1.8939514856883199E-3</v>
      </c>
      <c r="AA536" s="4"/>
    </row>
    <row r="537" spans="1:27" x14ac:dyDescent="0.35">
      <c r="A537">
        <v>535</v>
      </c>
      <c r="B537">
        <f ca="1">_xlfn.NORM.INV(RAND(),Hitorical_Sim!$AB$4,Hitorical_Sim!$AB$5)</f>
        <v>-4.3593723472768001E-4</v>
      </c>
      <c r="C537">
        <f ca="1">_xlfn.NORM.INV(RAND(),Hitorical_Sim!$AB$4,Hitorical_Sim!$AB$5)</f>
        <v>1.6351252132027452E-2</v>
      </c>
      <c r="D537">
        <f ca="1">_xlfn.NORM.INV(RAND(),Hitorical_Sim!$AB$4,Hitorical_Sim!$AB$5)</f>
        <v>6.3150418283017097E-3</v>
      </c>
      <c r="K537">
        <f t="shared" ca="1" si="90"/>
        <v>-0.12266968513382255</v>
      </c>
      <c r="L537">
        <f t="shared" ca="1" si="90"/>
        <v>1.0123226599055366</v>
      </c>
      <c r="M537">
        <f t="shared" ca="1" si="90"/>
        <v>-2.0364924232563402</v>
      </c>
      <c r="O537">
        <v>535</v>
      </c>
      <c r="P537" s="6">
        <f t="shared" ca="1" si="83"/>
        <v>1933.5367850906591</v>
      </c>
      <c r="Q537" s="6">
        <f t="shared" ca="1" si="84"/>
        <v>395.6701884849798</v>
      </c>
      <c r="R537" s="6">
        <f t="shared" ca="1" si="85"/>
        <v>141.68799128270032</v>
      </c>
      <c r="S537" s="6"/>
      <c r="T537" s="4">
        <f t="shared" ca="1" si="86"/>
        <v>2.3401324163850042E-2</v>
      </c>
      <c r="U537" s="4">
        <f t="shared" ca="1" si="87"/>
        <v>-2.132573786084738E-2</v>
      </c>
      <c r="V537" s="4">
        <f t="shared" ca="1" si="88"/>
        <v>-5.3147613668021981E-2</v>
      </c>
      <c r="W537" s="4"/>
      <c r="X537">
        <v>535</v>
      </c>
      <c r="Y537" s="4">
        <f t="shared" ca="1" si="89"/>
        <v>1.0686814381205657E-2</v>
      </c>
      <c r="Z537" s="4">
        <f ca="1"/>
        <v>1.9174080508191859E-3</v>
      </c>
      <c r="AA537" s="4"/>
    </row>
    <row r="538" spans="1:27" x14ac:dyDescent="0.35">
      <c r="A538">
        <v>536</v>
      </c>
      <c r="B538">
        <f ca="1">_xlfn.NORM.INV(RAND(),Hitorical_Sim!$AB$4,Hitorical_Sim!$AB$5)</f>
        <v>-4.1571642691609805E-3</v>
      </c>
      <c r="C538">
        <f ca="1">_xlfn.NORM.INV(RAND(),Hitorical_Sim!$AB$4,Hitorical_Sim!$AB$5)</f>
        <v>1.4876248145716911E-2</v>
      </c>
      <c r="D538">
        <f ca="1">_xlfn.NORM.INV(RAND(),Hitorical_Sim!$AB$4,Hitorical_Sim!$AB$5)</f>
        <v>1.482784825055407E-2</v>
      </c>
      <c r="K538">
        <f t="shared" ca="1" si="90"/>
        <v>7.6048234654256738E-3</v>
      </c>
      <c r="L538">
        <f t="shared" ca="1" si="90"/>
        <v>-1.260482472543762</v>
      </c>
      <c r="M538">
        <f t="shared" ca="1" si="90"/>
        <v>-1.2302901970665607</v>
      </c>
      <c r="O538">
        <v>536</v>
      </c>
      <c r="P538" s="6">
        <f t="shared" ca="1" si="83"/>
        <v>1938.1120571759338</v>
      </c>
      <c r="Q538" s="6">
        <f t="shared" ca="1" si="84"/>
        <v>370.82798990761825</v>
      </c>
      <c r="R538" s="6">
        <f t="shared" ca="1" si="85"/>
        <v>145.21577457056534</v>
      </c>
      <c r="S538" s="6"/>
      <c r="T538" s="4">
        <f t="shared" ca="1" si="86"/>
        <v>2.3634758220438278E-3</v>
      </c>
      <c r="U538" s="4">
        <f t="shared" ca="1" si="87"/>
        <v>-6.4842690844347031E-2</v>
      </c>
      <c r="V538" s="4">
        <f t="shared" ca="1" si="88"/>
        <v>2.4593341153202143E-2</v>
      </c>
      <c r="W538" s="4"/>
      <c r="X538">
        <v>536</v>
      </c>
      <c r="Y538" s="4">
        <f t="shared" ca="1" si="89"/>
        <v>-9.9485720016750517E-3</v>
      </c>
      <c r="Z538" s="4">
        <f ca="1"/>
        <v>1.9291251010550121E-3</v>
      </c>
      <c r="AA538" s="4"/>
    </row>
    <row r="539" spans="1:27" x14ac:dyDescent="0.35">
      <c r="A539">
        <v>537</v>
      </c>
      <c r="B539">
        <f ca="1">_xlfn.NORM.INV(RAND(),Hitorical_Sim!$AB$4,Hitorical_Sim!$AB$5)</f>
        <v>-5.564425803614991E-3</v>
      </c>
      <c r="C539">
        <f ca="1">_xlfn.NORM.INV(RAND(),Hitorical_Sim!$AB$4,Hitorical_Sim!$AB$5)</f>
        <v>-3.7322310592727468E-3</v>
      </c>
      <c r="D539">
        <f ca="1">_xlfn.NORM.INV(RAND(),Hitorical_Sim!$AB$4,Hitorical_Sim!$AB$5)</f>
        <v>-1.0635981437796473E-3</v>
      </c>
      <c r="K539">
        <f t="shared" ca="1" si="90"/>
        <v>1.9603335194086053</v>
      </c>
      <c r="L539">
        <f t="shared" ca="1" si="90"/>
        <v>1.9780028435709665</v>
      </c>
      <c r="M539">
        <f t="shared" ca="1" si="90"/>
        <v>-0.66292560993272409</v>
      </c>
      <c r="O539">
        <v>537</v>
      </c>
      <c r="P539" s="6">
        <f t="shared" ca="1" si="83"/>
        <v>2008.0041564329722</v>
      </c>
      <c r="Q539" s="6">
        <f t="shared" ca="1" si="84"/>
        <v>406.72272004715984</v>
      </c>
      <c r="R539" s="6">
        <f t="shared" ca="1" si="85"/>
        <v>147.75098066889441</v>
      </c>
      <c r="S539" s="6"/>
      <c r="T539" s="4">
        <f t="shared" ca="1" si="86"/>
        <v>3.5426938926863438E-2</v>
      </c>
      <c r="U539" s="4">
        <f t="shared" ca="1" si="87"/>
        <v>9.2393359711611278E-2</v>
      </c>
      <c r="V539" s="4">
        <f t="shared" ca="1" si="88"/>
        <v>1.7307556834187561E-2</v>
      </c>
      <c r="W539" s="4"/>
      <c r="X539">
        <v>537</v>
      </c>
      <c r="Y539" s="4">
        <f t="shared" ca="1" si="89"/>
        <v>4.5898888174193367E-2</v>
      </c>
      <c r="Z539" s="4">
        <f ca="1"/>
        <v>1.9934474976310104E-3</v>
      </c>
      <c r="AA539" s="4"/>
    </row>
    <row r="540" spans="1:27" x14ac:dyDescent="0.35">
      <c r="A540">
        <v>538</v>
      </c>
      <c r="B540">
        <f ca="1">_xlfn.NORM.INV(RAND(),Hitorical_Sim!$AB$4,Hitorical_Sim!$AB$5)</f>
        <v>-5.1849034156303389E-2</v>
      </c>
      <c r="C540">
        <f ca="1">_xlfn.NORM.INV(RAND(),Hitorical_Sim!$AB$4,Hitorical_Sim!$AB$5)</f>
        <v>1.2842503917200276E-2</v>
      </c>
      <c r="D540">
        <f ca="1">_xlfn.NORM.INV(RAND(),Hitorical_Sim!$AB$4,Hitorical_Sim!$AB$5)</f>
        <v>2.0407125834671375E-3</v>
      </c>
      <c r="K540">
        <f t="shared" ca="1" si="90"/>
        <v>1.1546151261220456</v>
      </c>
      <c r="L540">
        <f t="shared" ca="1" si="90"/>
        <v>0.34302104443334103</v>
      </c>
      <c r="M540">
        <f t="shared" ca="1" si="90"/>
        <v>1.5549646645269593</v>
      </c>
      <c r="O540">
        <v>538</v>
      </c>
      <c r="P540" s="6">
        <f t="shared" ca="1" si="83"/>
        <v>1978.8655143745048</v>
      </c>
      <c r="Q540" s="6">
        <f t="shared" ca="1" si="84"/>
        <v>388.18652600616417</v>
      </c>
      <c r="R540" s="6">
        <f t="shared" ca="1" si="85"/>
        <v>158.09330990926858</v>
      </c>
      <c r="S540" s="6"/>
      <c r="T540" s="4">
        <f t="shared" ca="1" si="86"/>
        <v>-1.4617563807258191E-2</v>
      </c>
      <c r="U540" s="4">
        <f t="shared" ca="1" si="87"/>
        <v>-4.6645714506709929E-2</v>
      </c>
      <c r="V540" s="4">
        <f t="shared" ca="1" si="88"/>
        <v>6.7657134138595171E-2</v>
      </c>
      <c r="W540" s="4"/>
      <c r="X540">
        <v>538</v>
      </c>
      <c r="Y540" s="4">
        <f t="shared" ca="1" si="89"/>
        <v>-1.6937576745069224E-2</v>
      </c>
      <c r="Z540" s="4">
        <f ca="1"/>
        <v>2.0093063106626586E-3</v>
      </c>
      <c r="AA540" s="4"/>
    </row>
    <row r="541" spans="1:27" x14ac:dyDescent="0.35">
      <c r="A541">
        <v>539</v>
      </c>
      <c r="B541">
        <f ca="1">_xlfn.NORM.INV(RAND(),Hitorical_Sim!$AB$4,Hitorical_Sim!$AB$5)</f>
        <v>-5.6334982364767295E-3</v>
      </c>
      <c r="C541">
        <f ca="1">_xlfn.NORM.INV(RAND(),Hitorical_Sim!$AB$4,Hitorical_Sim!$AB$5)</f>
        <v>-2.4623996825336009E-3</v>
      </c>
      <c r="D541">
        <f ca="1">_xlfn.NORM.INV(RAND(),Hitorical_Sim!$AB$4,Hitorical_Sim!$AB$5)</f>
        <v>-5.2271780950804789E-3</v>
      </c>
      <c r="K541">
        <f t="shared" ca="1" si="90"/>
        <v>0.78535745259466505</v>
      </c>
      <c r="L541">
        <f t="shared" ca="1" si="90"/>
        <v>0.39370430928435413</v>
      </c>
      <c r="M541">
        <f t="shared" ca="1" si="90"/>
        <v>1.1644462708539447</v>
      </c>
      <c r="O541">
        <v>539</v>
      </c>
      <c r="P541" s="6">
        <f t="shared" ca="1" si="83"/>
        <v>1965.6530559267378</v>
      </c>
      <c r="Q541" s="6">
        <f t="shared" ca="1" si="84"/>
        <v>388.74824343148316</v>
      </c>
      <c r="R541" s="6">
        <f t="shared" ca="1" si="85"/>
        <v>156.22114432708872</v>
      </c>
      <c r="S541" s="6"/>
      <c r="T541" s="4">
        <f t="shared" ca="1" si="86"/>
        <v>-6.699173866552788E-3</v>
      </c>
      <c r="U541" s="4">
        <f t="shared" ca="1" si="87"/>
        <v>1.4459837435224149E-3</v>
      </c>
      <c r="V541" s="4">
        <f t="shared" ca="1" si="88"/>
        <v>-1.1912832500589218E-2</v>
      </c>
      <c r="W541" s="4"/>
      <c r="X541">
        <v>539</v>
      </c>
      <c r="Y541" s="4">
        <f t="shared" ca="1" si="89"/>
        <v>-5.3316848036814943E-3</v>
      </c>
      <c r="Z541" s="4">
        <f ca="1"/>
        <v>2.0145031726683132E-3</v>
      </c>
      <c r="AA541" s="4"/>
    </row>
    <row r="542" spans="1:27" x14ac:dyDescent="0.35">
      <c r="A542">
        <v>540</v>
      </c>
      <c r="B542">
        <f ca="1">_xlfn.NORM.INV(RAND(),Hitorical_Sim!$AB$4,Hitorical_Sim!$AB$5)</f>
        <v>-5.4112029273740581E-3</v>
      </c>
      <c r="C542">
        <f ca="1">_xlfn.NORM.INV(RAND(),Hitorical_Sim!$AB$4,Hitorical_Sim!$AB$5)</f>
        <v>-1.133197632375642E-2</v>
      </c>
      <c r="D542">
        <f ca="1">_xlfn.NORM.INV(RAND(),Hitorical_Sim!$AB$4,Hitorical_Sim!$AB$5)</f>
        <v>3.2737259782768903E-2</v>
      </c>
      <c r="K542">
        <f t="shared" ca="1" si="90"/>
        <v>0.66439048798460743</v>
      </c>
      <c r="L542">
        <f t="shared" ca="1" si="90"/>
        <v>-0.47132655938332574</v>
      </c>
      <c r="M542">
        <f t="shared" ca="1" si="90"/>
        <v>-0.89140263871750891</v>
      </c>
      <c r="O542">
        <v>540</v>
      </c>
      <c r="P542" s="6">
        <f t="shared" ca="1" si="83"/>
        <v>1961.3439328189484</v>
      </c>
      <c r="Q542" s="6">
        <f t="shared" ca="1" si="84"/>
        <v>379.2716798289851</v>
      </c>
      <c r="R542" s="6">
        <f t="shared" ca="1" si="85"/>
        <v>146.72477625892458</v>
      </c>
      <c r="S542" s="6"/>
      <c r="T542" s="4">
        <f t="shared" ca="1" si="86"/>
        <v>-2.1946158093092919E-3</v>
      </c>
      <c r="U542" s="4">
        <f t="shared" ca="1" si="87"/>
        <v>-2.4679163377015291E-2</v>
      </c>
      <c r="V542" s="4">
        <f t="shared" ca="1" si="88"/>
        <v>-6.2714033712712003E-2</v>
      </c>
      <c r="W542" s="4"/>
      <c r="X542">
        <v>540</v>
      </c>
      <c r="Y542" s="4">
        <f t="shared" ca="1" si="89"/>
        <v>-9.6769265765813267E-3</v>
      </c>
      <c r="Z542" s="4">
        <f ca="1"/>
        <v>2.032872863812494E-3</v>
      </c>
      <c r="AA542" s="4"/>
    </row>
    <row r="543" spans="1:27" x14ac:dyDescent="0.35">
      <c r="A543">
        <v>541</v>
      </c>
      <c r="B543">
        <f ca="1">_xlfn.NORM.INV(RAND(),Hitorical_Sim!$AB$4,Hitorical_Sim!$AB$5)</f>
        <v>1.5978742572741459E-2</v>
      </c>
      <c r="C543">
        <f ca="1">_xlfn.NORM.INV(RAND(),Hitorical_Sim!$AB$4,Hitorical_Sim!$AB$5)</f>
        <v>9.2289666272889724E-3</v>
      </c>
      <c r="D543">
        <f ca="1">_xlfn.NORM.INV(RAND(),Hitorical_Sim!$AB$4,Hitorical_Sim!$AB$5)</f>
        <v>7.8458275005834268E-3</v>
      </c>
      <c r="K543">
        <f t="shared" ca="1" si="90"/>
        <v>-2.6954622484646227</v>
      </c>
      <c r="L543">
        <f t="shared" ca="1" si="90"/>
        <v>-0.5721262983790073</v>
      </c>
      <c r="M543">
        <f t="shared" ca="1" si="90"/>
        <v>0.27919264130992999</v>
      </c>
      <c r="O543">
        <v>541</v>
      </c>
      <c r="P543" s="6">
        <f t="shared" ca="1" si="83"/>
        <v>1845.3603121199635</v>
      </c>
      <c r="Q543" s="6">
        <f t="shared" ca="1" si="84"/>
        <v>378.18253827367886</v>
      </c>
      <c r="R543" s="6">
        <f t="shared" ca="1" si="85"/>
        <v>152.05887434880833</v>
      </c>
      <c r="S543" s="6"/>
      <c r="T543" s="4">
        <f t="shared" ca="1" si="86"/>
        <v>-6.0955368733366232E-2</v>
      </c>
      <c r="U543" s="4">
        <f t="shared" ca="1" si="87"/>
        <v>-2.8757970578163631E-3</v>
      </c>
      <c r="V543" s="4">
        <f t="shared" ca="1" si="88"/>
        <v>3.5709215552657311E-2</v>
      </c>
      <c r="W543" s="4"/>
      <c r="X543">
        <v>541</v>
      </c>
      <c r="Y543" s="4">
        <f t="shared" ca="1" si="89"/>
        <v>-4.4580598258507728E-2</v>
      </c>
      <c r="Z543" s="4">
        <f ca="1"/>
        <v>2.033157471733619E-3</v>
      </c>
      <c r="AA543" s="4"/>
    </row>
    <row r="544" spans="1:27" x14ac:dyDescent="0.35">
      <c r="A544">
        <v>542</v>
      </c>
      <c r="B544">
        <f ca="1">_xlfn.NORM.INV(RAND(),Hitorical_Sim!$AB$4,Hitorical_Sim!$AB$5)</f>
        <v>3.3386525012991101E-2</v>
      </c>
      <c r="C544">
        <f ca="1">_xlfn.NORM.INV(RAND(),Hitorical_Sim!$AB$4,Hitorical_Sim!$AB$5)</f>
        <v>6.275972653830981E-3</v>
      </c>
      <c r="D544">
        <f ca="1">_xlfn.NORM.INV(RAND(),Hitorical_Sim!$AB$4,Hitorical_Sim!$AB$5)</f>
        <v>5.9150086194954526E-3</v>
      </c>
      <c r="K544">
        <f t="shared" ref="K544:M563" ca="1" si="91">_xlfn.NORM.S.INV(RAND())</f>
        <v>0.86137509006727164</v>
      </c>
      <c r="L544">
        <f t="shared" ca="1" si="91"/>
        <v>1.3888904760469938</v>
      </c>
      <c r="M544">
        <f t="shared" ca="1" si="91"/>
        <v>0.71238245190798877</v>
      </c>
      <c r="O544">
        <v>542</v>
      </c>
      <c r="P544" s="6">
        <f t="shared" ca="1" si="83"/>
        <v>1968.3658227385297</v>
      </c>
      <c r="Q544" s="6">
        <f t="shared" ca="1" si="84"/>
        <v>399.94395061899934</v>
      </c>
      <c r="R544" s="6">
        <f t="shared" ca="1" si="85"/>
        <v>154.08159637689991</v>
      </c>
      <c r="S544" s="6"/>
      <c r="T544" s="4">
        <f t="shared" ca="1" si="86"/>
        <v>6.4529117345763359E-2</v>
      </c>
      <c r="U544" s="4">
        <f t="shared" ca="1" si="87"/>
        <v>5.5947429293091759E-2</v>
      </c>
      <c r="V544" s="4">
        <f t="shared" ca="1" si="88"/>
        <v>1.3214531602671557E-2</v>
      </c>
      <c r="W544" s="4"/>
      <c r="X544">
        <v>542</v>
      </c>
      <c r="Y544" s="4">
        <f t="shared" ca="1" si="89"/>
        <v>6.0276921267145407E-2</v>
      </c>
      <c r="Z544" s="4">
        <f ca="1"/>
        <v>2.1661090260446077E-3</v>
      </c>
      <c r="AA544" s="4"/>
    </row>
    <row r="545" spans="1:27" x14ac:dyDescent="0.35">
      <c r="A545">
        <v>543</v>
      </c>
      <c r="B545">
        <f ca="1">_xlfn.NORM.INV(RAND(),Hitorical_Sim!$AB$4,Hitorical_Sim!$AB$5)</f>
        <v>-9.6433279432850648E-3</v>
      </c>
      <c r="C545">
        <f ca="1">_xlfn.NORM.INV(RAND(),Hitorical_Sim!$AB$4,Hitorical_Sim!$AB$5)</f>
        <v>-2.857384085008188E-2</v>
      </c>
      <c r="D545">
        <f ca="1">_xlfn.NORM.INV(RAND(),Hitorical_Sim!$AB$4,Hitorical_Sim!$AB$5)</f>
        <v>-1.0454443470823692E-2</v>
      </c>
      <c r="K545">
        <f t="shared" ca="1" si="91"/>
        <v>0.59391402181239983</v>
      </c>
      <c r="L545">
        <f t="shared" ca="1" si="91"/>
        <v>-0.60598697160319792</v>
      </c>
      <c r="M545">
        <f t="shared" ca="1" si="91"/>
        <v>8.9382591865471761E-2</v>
      </c>
      <c r="O545">
        <v>543</v>
      </c>
      <c r="P545" s="6">
        <f t="shared" ca="1" si="83"/>
        <v>1958.8377544307859</v>
      </c>
      <c r="Q545" s="6">
        <f t="shared" ca="1" si="84"/>
        <v>377.81737580642562</v>
      </c>
      <c r="R545" s="6">
        <f t="shared" ca="1" si="85"/>
        <v>151.18096879226314</v>
      </c>
      <c r="S545" s="6"/>
      <c r="T545" s="4">
        <f t="shared" ca="1" si="86"/>
        <v>-4.8523519678203017E-3</v>
      </c>
      <c r="U545" s="4">
        <f t="shared" ca="1" si="87"/>
        <v>-5.6913467751167485E-2</v>
      </c>
      <c r="V545" s="4">
        <f t="shared" ca="1" si="88"/>
        <v>-1.9004720650344763E-2</v>
      </c>
      <c r="W545" s="4"/>
      <c r="X545">
        <v>543</v>
      </c>
      <c r="Y545" s="4">
        <f t="shared" ca="1" si="89"/>
        <v>-1.5942491593743661E-2</v>
      </c>
      <c r="Z545" s="4">
        <f ca="1"/>
        <v>2.1828540071073812E-3</v>
      </c>
      <c r="AA545" s="4"/>
    </row>
    <row r="546" spans="1:27" x14ac:dyDescent="0.35">
      <c r="A546">
        <v>544</v>
      </c>
      <c r="B546">
        <f ca="1">_xlfn.NORM.INV(RAND(),Hitorical_Sim!$AB$4,Hitorical_Sim!$AB$5)</f>
        <v>1.7822148114936584E-2</v>
      </c>
      <c r="C546">
        <f ca="1">_xlfn.NORM.INV(RAND(),Hitorical_Sim!$AB$4,Hitorical_Sim!$AB$5)</f>
        <v>1.262465657924045E-2</v>
      </c>
      <c r="D546">
        <f ca="1">_xlfn.NORM.INV(RAND(),Hitorical_Sim!$AB$4,Hitorical_Sim!$AB$5)</f>
        <v>-4.4194950641466783E-3</v>
      </c>
      <c r="K546">
        <f t="shared" ca="1" si="91"/>
        <v>-0.47426848013280948</v>
      </c>
      <c r="L546">
        <f t="shared" ca="1" si="91"/>
        <v>-0.22614874872006013</v>
      </c>
      <c r="M546">
        <f t="shared" ca="1" si="91"/>
        <v>-1.3923208648303644</v>
      </c>
      <c r="O546">
        <v>544</v>
      </c>
      <c r="P546" s="6">
        <f t="shared" ca="1" si="83"/>
        <v>1921.2423908845335</v>
      </c>
      <c r="Q546" s="6">
        <f t="shared" ca="1" si="84"/>
        <v>381.9339382451281</v>
      </c>
      <c r="R546" s="6">
        <f t="shared" ca="1" si="85"/>
        <v>144.49977676533237</v>
      </c>
      <c r="S546" s="6"/>
      <c r="T546" s="4">
        <f t="shared" ca="1" si="86"/>
        <v>-1.9379259565230515E-2</v>
      </c>
      <c r="U546" s="4">
        <f t="shared" ca="1" si="87"/>
        <v>1.0836711034146074E-2</v>
      </c>
      <c r="V546" s="4">
        <f t="shared" ca="1" si="88"/>
        <v>-4.5199625372681018E-2</v>
      </c>
      <c r="W546" s="4"/>
      <c r="X546">
        <v>544</v>
      </c>
      <c r="Y546" s="4">
        <f t="shared" ca="1" si="89"/>
        <v>-1.462696860485606E-2</v>
      </c>
      <c r="Z546" s="4">
        <f ca="1"/>
        <v>2.237685206338721E-3</v>
      </c>
      <c r="AA546" s="4"/>
    </row>
    <row r="547" spans="1:27" x14ac:dyDescent="0.35">
      <c r="A547">
        <v>545</v>
      </c>
      <c r="B547">
        <f ca="1">_xlfn.NORM.INV(RAND(),Hitorical_Sim!$AB$4,Hitorical_Sim!$AB$5)</f>
        <v>2.8520890926232625E-2</v>
      </c>
      <c r="C547">
        <f ca="1">_xlfn.NORM.INV(RAND(),Hitorical_Sim!$AB$4,Hitorical_Sim!$AB$5)</f>
        <v>-1.2578278979974848E-2</v>
      </c>
      <c r="D547">
        <f ca="1">_xlfn.NORM.INV(RAND(),Hitorical_Sim!$AB$4,Hitorical_Sim!$AB$5)</f>
        <v>1.32102350840753E-2</v>
      </c>
      <c r="K547">
        <f t="shared" ca="1" si="91"/>
        <v>-0.77746501551690006</v>
      </c>
      <c r="L547">
        <f t="shared" ca="1" si="91"/>
        <v>-1.7093029114460592</v>
      </c>
      <c r="M547">
        <f t="shared" ca="1" si="91"/>
        <v>6.0880374286882838E-3</v>
      </c>
      <c r="O547">
        <v>545</v>
      </c>
      <c r="P547" s="6">
        <f t="shared" ca="1" si="83"/>
        <v>1910.703274360339</v>
      </c>
      <c r="Q547" s="6">
        <f t="shared" ca="1" si="84"/>
        <v>366.10989786297034</v>
      </c>
      <c r="R547" s="6">
        <f t="shared" ca="1" si="85"/>
        <v>150.79731840689655</v>
      </c>
      <c r="S547" s="6"/>
      <c r="T547" s="4">
        <f t="shared" ca="1" si="86"/>
        <v>-5.5006746017529969E-3</v>
      </c>
      <c r="U547" s="4">
        <f t="shared" ca="1" si="87"/>
        <v>-4.2314101404948901E-2</v>
      </c>
      <c r="V547" s="4">
        <f t="shared" ca="1" si="88"/>
        <v>4.2658710293409514E-2</v>
      </c>
      <c r="W547" s="4"/>
      <c r="X547">
        <v>545</v>
      </c>
      <c r="Y547" s="4">
        <f t="shared" ca="1" si="89"/>
        <v>-1.0464046588318777E-2</v>
      </c>
      <c r="Z547" s="4">
        <f ca="1"/>
        <v>2.2425602372489846E-3</v>
      </c>
      <c r="AA547" s="4"/>
    </row>
    <row r="548" spans="1:27" x14ac:dyDescent="0.35">
      <c r="A548">
        <v>546</v>
      </c>
      <c r="B548">
        <f ca="1">_xlfn.NORM.INV(RAND(),Hitorical_Sim!$AB$4,Hitorical_Sim!$AB$5)</f>
        <v>6.5404462845251605E-4</v>
      </c>
      <c r="C548">
        <f ca="1">_xlfn.NORM.INV(RAND(),Hitorical_Sim!$AB$4,Hitorical_Sim!$AB$5)</f>
        <v>-1.1011080949369614E-2</v>
      </c>
      <c r="D548">
        <f ca="1">_xlfn.NORM.INV(RAND(),Hitorical_Sim!$AB$4,Hitorical_Sim!$AB$5)</f>
        <v>-6.6510795395617354E-3</v>
      </c>
      <c r="K548">
        <f t="shared" ca="1" si="91"/>
        <v>-0.40502070317980104</v>
      </c>
      <c r="L548">
        <f t="shared" ca="1" si="91"/>
        <v>1.168017151234831</v>
      </c>
      <c r="M548">
        <f t="shared" ca="1" si="91"/>
        <v>1.7829718628543711</v>
      </c>
      <c r="O548">
        <v>546</v>
      </c>
      <c r="P548" s="6">
        <f t="shared" ca="1" si="83"/>
        <v>1923.6575878251649</v>
      </c>
      <c r="Q548" s="6">
        <f t="shared" ca="1" si="84"/>
        <v>397.43163846486317</v>
      </c>
      <c r="R548" s="6">
        <f t="shared" ca="1" si="85"/>
        <v>159.19674505540783</v>
      </c>
      <c r="S548" s="6"/>
      <c r="T548" s="4">
        <f t="shared" ca="1" si="86"/>
        <v>6.7569867407776376E-3</v>
      </c>
      <c r="U548" s="4">
        <f t="shared" ca="1" si="87"/>
        <v>8.2089384884304867E-2</v>
      </c>
      <c r="V548" s="4">
        <f t="shared" ca="1" si="88"/>
        <v>5.420415460129694E-2</v>
      </c>
      <c r="W548" s="4"/>
      <c r="X548">
        <v>546</v>
      </c>
      <c r="Y548" s="4">
        <f t="shared" ca="1" si="89"/>
        <v>2.4139094946122198E-2</v>
      </c>
      <c r="Z548" s="4">
        <f ca="1"/>
        <v>2.2833016601150327E-3</v>
      </c>
      <c r="AA548" s="4"/>
    </row>
    <row r="549" spans="1:27" x14ac:dyDescent="0.35">
      <c r="A549">
        <v>547</v>
      </c>
      <c r="B549">
        <f ca="1">_xlfn.NORM.INV(RAND(),Hitorical_Sim!$AB$4,Hitorical_Sim!$AB$5)</f>
        <v>1.9606321021477989E-2</v>
      </c>
      <c r="C549">
        <f ca="1">_xlfn.NORM.INV(RAND(),Hitorical_Sim!$AB$4,Hitorical_Sim!$AB$5)</f>
        <v>-1.4190692163837927E-2</v>
      </c>
      <c r="D549">
        <f ca="1">_xlfn.NORM.INV(RAND(),Hitorical_Sim!$AB$4,Hitorical_Sim!$AB$5)</f>
        <v>-1.2702162042109222E-2</v>
      </c>
      <c r="K549">
        <f t="shared" ca="1" si="91"/>
        <v>-2.0924468827989076</v>
      </c>
      <c r="L549">
        <f t="shared" ca="1" si="91"/>
        <v>-0.59941293733067424</v>
      </c>
      <c r="M549">
        <f t="shared" ca="1" si="91"/>
        <v>-1.3902093954041543</v>
      </c>
      <c r="O549">
        <v>547</v>
      </c>
      <c r="P549" s="6">
        <f t="shared" ca="1" si="83"/>
        <v>1865.6595179284152</v>
      </c>
      <c r="Q549" s="6">
        <f t="shared" ca="1" si="84"/>
        <v>377.88824434001913</v>
      </c>
      <c r="R549" s="6">
        <f t="shared" ca="1" si="85"/>
        <v>144.50908440370372</v>
      </c>
      <c r="S549" s="6"/>
      <c r="T549" s="4">
        <f t="shared" ca="1" si="86"/>
        <v>-3.0613747999479388E-2</v>
      </c>
      <c r="U549" s="4">
        <f t="shared" ca="1" si="87"/>
        <v>-5.0424438587194233E-2</v>
      </c>
      <c r="V549" s="4">
        <f t="shared" ca="1" si="88"/>
        <v>-9.6798454147320287E-2</v>
      </c>
      <c r="W549" s="4"/>
      <c r="X549">
        <v>547</v>
      </c>
      <c r="Y549" s="4">
        <f t="shared" ca="1" si="89"/>
        <v>-3.7842817730288629E-2</v>
      </c>
      <c r="Z549" s="4">
        <f ca="1"/>
        <v>2.2878946274651835E-3</v>
      </c>
      <c r="AA549" s="4"/>
    </row>
    <row r="550" spans="1:27" x14ac:dyDescent="0.35">
      <c r="A550">
        <v>548</v>
      </c>
      <c r="B550">
        <f ca="1">_xlfn.NORM.INV(RAND(),Hitorical_Sim!$AB$4,Hitorical_Sim!$AB$5)</f>
        <v>-2.6405382562629531E-2</v>
      </c>
      <c r="C550">
        <f ca="1">_xlfn.NORM.INV(RAND(),Hitorical_Sim!$AB$4,Hitorical_Sim!$AB$5)</f>
        <v>1.4868169699157906E-2</v>
      </c>
      <c r="D550">
        <f ca="1">_xlfn.NORM.INV(RAND(),Hitorical_Sim!$AB$4,Hitorical_Sim!$AB$5)</f>
        <v>-1.9412820469629916E-2</v>
      </c>
      <c r="K550">
        <f t="shared" ca="1" si="91"/>
        <v>-1.4255768887134848</v>
      </c>
      <c r="L550">
        <f t="shared" ca="1" si="91"/>
        <v>0.58073486761526871</v>
      </c>
      <c r="M550">
        <f t="shared" ca="1" si="91"/>
        <v>-0.15348136181446473</v>
      </c>
      <c r="O550">
        <v>548</v>
      </c>
      <c r="P550" s="6">
        <f t="shared" ca="1" si="83"/>
        <v>1888.3683656428846</v>
      </c>
      <c r="Q550" s="6">
        <f t="shared" ca="1" si="84"/>
        <v>390.82812707021571</v>
      </c>
      <c r="R550" s="6">
        <f t="shared" ca="1" si="85"/>
        <v>150.06506703743594</v>
      </c>
      <c r="S550" s="6"/>
      <c r="T550" s="4">
        <f t="shared" ca="1" si="86"/>
        <v>1.2098538113207113E-2</v>
      </c>
      <c r="U550" s="4">
        <f t="shared" ca="1" si="87"/>
        <v>3.366938862210235E-2</v>
      </c>
      <c r="V550" s="4">
        <f t="shared" ca="1" si="88"/>
        <v>3.772660686828757E-2</v>
      </c>
      <c r="W550" s="4"/>
      <c r="X550">
        <v>548</v>
      </c>
      <c r="Y550" s="4">
        <f t="shared" ca="1" si="89"/>
        <v>1.7671727346071246E-2</v>
      </c>
      <c r="Z550" s="4">
        <f ca="1"/>
        <v>2.3264687618088399E-3</v>
      </c>
      <c r="AA550" s="4"/>
    </row>
    <row r="551" spans="1:27" x14ac:dyDescent="0.35">
      <c r="A551">
        <v>549</v>
      </c>
      <c r="B551">
        <f ca="1">_xlfn.NORM.INV(RAND(),Hitorical_Sim!$AB$4,Hitorical_Sim!$AB$5)</f>
        <v>1.8822413553656405E-2</v>
      </c>
      <c r="C551">
        <f ca="1">_xlfn.NORM.INV(RAND(),Hitorical_Sim!$AB$4,Hitorical_Sim!$AB$5)</f>
        <v>-1.9877210261814481E-3</v>
      </c>
      <c r="D551">
        <f ca="1">_xlfn.NORM.INV(RAND(),Hitorical_Sim!$AB$4,Hitorical_Sim!$AB$5)</f>
        <v>-3.6744327797199315E-3</v>
      </c>
      <c r="K551">
        <f t="shared" ca="1" si="91"/>
        <v>0.50916619873379476</v>
      </c>
      <c r="L551">
        <f t="shared" ca="1" si="91"/>
        <v>-0.99229012240841086</v>
      </c>
      <c r="M551">
        <f t="shared" ca="1" si="91"/>
        <v>-0.506519627866309</v>
      </c>
      <c r="O551">
        <v>549</v>
      </c>
      <c r="P551" s="6">
        <f t="shared" ca="1" si="83"/>
        <v>1955.8283198127829</v>
      </c>
      <c r="Q551" s="6">
        <f t="shared" ca="1" si="84"/>
        <v>373.67625414390898</v>
      </c>
      <c r="R551" s="6">
        <f t="shared" ca="1" si="85"/>
        <v>148.45761337716212</v>
      </c>
      <c r="S551" s="6"/>
      <c r="T551" s="4">
        <f t="shared" ca="1" si="86"/>
        <v>3.5100639090603299E-2</v>
      </c>
      <c r="U551" s="4">
        <f t="shared" ca="1" si="87"/>
        <v>-4.4878098725788032E-2</v>
      </c>
      <c r="V551" s="4">
        <f t="shared" ca="1" si="88"/>
        <v>-1.0769494594653059E-2</v>
      </c>
      <c r="W551" s="4"/>
      <c r="X551">
        <v>549</v>
      </c>
      <c r="Y551" s="4">
        <f t="shared" ca="1" si="89"/>
        <v>1.6869316993057881E-2</v>
      </c>
      <c r="Z551" s="4">
        <f ca="1"/>
        <v>2.3925622228031483E-3</v>
      </c>
      <c r="AA551" s="4"/>
    </row>
    <row r="552" spans="1:27" x14ac:dyDescent="0.35">
      <c r="A552">
        <v>550</v>
      </c>
      <c r="B552">
        <f ca="1">_xlfn.NORM.INV(RAND(),Hitorical_Sim!$AB$4,Hitorical_Sim!$AB$5)</f>
        <v>-9.2500605444621707E-3</v>
      </c>
      <c r="C552">
        <f ca="1">_xlfn.NORM.INV(RAND(),Hitorical_Sim!$AB$4,Hitorical_Sim!$AB$5)</f>
        <v>5.4244696604119711E-3</v>
      </c>
      <c r="D552">
        <f ca="1">_xlfn.NORM.INV(RAND(),Hitorical_Sim!$AB$4,Hitorical_Sim!$AB$5)</f>
        <v>8.3493722372858254E-3</v>
      </c>
      <c r="K552">
        <f t="shared" ca="1" si="91"/>
        <v>-0.91701141777431738</v>
      </c>
      <c r="L552">
        <f t="shared" ca="1" si="91"/>
        <v>-0.23144700991744915</v>
      </c>
      <c r="M552">
        <f t="shared" ca="1" si="91"/>
        <v>0.54671768469870052</v>
      </c>
      <c r="O552">
        <v>550</v>
      </c>
      <c r="P552" s="6">
        <f t="shared" ca="1" si="83"/>
        <v>1905.8720859039377</v>
      </c>
      <c r="Q552" s="6">
        <f t="shared" ca="1" si="84"/>
        <v>381.87621009779247</v>
      </c>
      <c r="R552" s="6">
        <f t="shared" ca="1" si="85"/>
        <v>153.30488879455785</v>
      </c>
      <c r="S552" s="6"/>
      <c r="T552" s="4">
        <f t="shared" ca="1" si="86"/>
        <v>-2.5874105001815681E-2</v>
      </c>
      <c r="U552" s="4">
        <f t="shared" ca="1" si="87"/>
        <v>2.1706706844301999E-2</v>
      </c>
      <c r="V552" s="4">
        <f t="shared" ca="1" si="88"/>
        <v>3.2129190049018354E-2</v>
      </c>
      <c r="W552" s="4"/>
      <c r="X552">
        <v>550</v>
      </c>
      <c r="Y552" s="4">
        <f t="shared" ca="1" si="89"/>
        <v>-1.3507903682929673E-2</v>
      </c>
      <c r="Z552" s="4">
        <f ca="1"/>
        <v>2.4123298384846918E-3</v>
      </c>
      <c r="AA552" s="4"/>
    </row>
    <row r="553" spans="1:27" x14ac:dyDescent="0.35">
      <c r="A553">
        <v>551</v>
      </c>
      <c r="B553">
        <f ca="1">_xlfn.NORM.INV(RAND(),Hitorical_Sim!$AB$4,Hitorical_Sim!$AB$5)</f>
        <v>-1.7130374683225372E-2</v>
      </c>
      <c r="C553">
        <f ca="1">_xlfn.NORM.INV(RAND(),Hitorical_Sim!$AB$4,Hitorical_Sim!$AB$5)</f>
        <v>7.367099866853472E-3</v>
      </c>
      <c r="D553">
        <f ca="1">_xlfn.NORM.INV(RAND(),Hitorical_Sim!$AB$4,Hitorical_Sim!$AB$5)</f>
        <v>-1.5987810575296676E-2</v>
      </c>
      <c r="K553">
        <f t="shared" ca="1" si="91"/>
        <v>-1.0287456470672205</v>
      </c>
      <c r="L553">
        <f t="shared" ca="1" si="91"/>
        <v>-3.0415658416436198E-3</v>
      </c>
      <c r="M553">
        <f t="shared" ca="1" si="91"/>
        <v>1.3549337307027807</v>
      </c>
      <c r="O553">
        <v>551</v>
      </c>
      <c r="P553" s="6">
        <f t="shared" ca="1" si="83"/>
        <v>1902.0125809778126</v>
      </c>
      <c r="Q553" s="6">
        <f t="shared" ca="1" si="84"/>
        <v>384.37277960107781</v>
      </c>
      <c r="R553" s="6">
        <f t="shared" ca="1" si="85"/>
        <v>157.13156512074568</v>
      </c>
      <c r="S553" s="6"/>
      <c r="T553" s="4">
        <f t="shared" ca="1" si="86"/>
        <v>-2.0271129959955302E-3</v>
      </c>
      <c r="U553" s="4">
        <f t="shared" ca="1" si="87"/>
        <v>6.5163631434662708E-3</v>
      </c>
      <c r="V553" s="4">
        <f t="shared" ca="1" si="88"/>
        <v>2.465477308194788E-2</v>
      </c>
      <c r="W553" s="4"/>
      <c r="X553">
        <v>551</v>
      </c>
      <c r="Y553" s="4">
        <f t="shared" ca="1" si="89"/>
        <v>9.9838168099267632E-4</v>
      </c>
      <c r="Z553" s="4">
        <f ca="1"/>
        <v>2.4389753204601817E-3</v>
      </c>
      <c r="AA553" s="4"/>
    </row>
    <row r="554" spans="1:27" x14ac:dyDescent="0.35">
      <c r="A554">
        <v>552</v>
      </c>
      <c r="B554">
        <f ca="1">_xlfn.NORM.INV(RAND(),Hitorical_Sim!$AB$4,Hitorical_Sim!$AB$5)</f>
        <v>2.7446694873775276E-3</v>
      </c>
      <c r="C554">
        <f ca="1">_xlfn.NORM.INV(RAND(),Hitorical_Sim!$AB$4,Hitorical_Sim!$AB$5)</f>
        <v>-1.3809454601846616E-2</v>
      </c>
      <c r="D554">
        <f ca="1">_xlfn.NORM.INV(RAND(),Hitorical_Sim!$AB$4,Hitorical_Sim!$AB$5)</f>
        <v>-5.8348509378853422E-3</v>
      </c>
      <c r="K554">
        <f t="shared" ca="1" si="91"/>
        <v>1.2519102308505878</v>
      </c>
      <c r="L554">
        <f t="shared" ca="1" si="91"/>
        <v>-1.5799259271664241</v>
      </c>
      <c r="M554">
        <f t="shared" ca="1" si="91"/>
        <v>-0.86227848978949151</v>
      </c>
      <c r="O554">
        <v>552</v>
      </c>
      <c r="P554" s="6">
        <f t="shared" ca="1" si="83"/>
        <v>1982.3616022885847</v>
      </c>
      <c r="Q554" s="6">
        <f t="shared" ca="1" si="84"/>
        <v>367.46374328350186</v>
      </c>
      <c r="R554" s="6">
        <f t="shared" ca="1" si="85"/>
        <v>146.85518994683687</v>
      </c>
      <c r="S554" s="6"/>
      <c r="T554" s="4">
        <f t="shared" ca="1" si="86"/>
        <v>4.137628369370628E-2</v>
      </c>
      <c r="U554" s="4">
        <f t="shared" ca="1" si="87"/>
        <v>-4.4988205842565458E-2</v>
      </c>
      <c r="V554" s="4">
        <f t="shared" ca="1" si="88"/>
        <v>-6.7636449982685976E-2</v>
      </c>
      <c r="W554" s="4"/>
      <c r="X554">
        <v>552</v>
      </c>
      <c r="Y554" s="4">
        <f t="shared" ca="1" si="89"/>
        <v>1.8745635114940769E-2</v>
      </c>
      <c r="Z554" s="4">
        <f ca="1"/>
        <v>2.6305202312169426E-3</v>
      </c>
      <c r="AA554" s="4"/>
    </row>
    <row r="555" spans="1:27" x14ac:dyDescent="0.35">
      <c r="A555">
        <v>553</v>
      </c>
      <c r="B555">
        <f ca="1">_xlfn.NORM.INV(RAND(),Hitorical_Sim!$AB$4,Hitorical_Sim!$AB$5)</f>
        <v>6.8294288221972064E-4</v>
      </c>
      <c r="C555">
        <f ca="1">_xlfn.NORM.INV(RAND(),Hitorical_Sim!$AB$4,Hitorical_Sim!$AB$5)</f>
        <v>2.5854892013582917E-2</v>
      </c>
      <c r="D555">
        <f ca="1">_xlfn.NORM.INV(RAND(),Hitorical_Sim!$AB$4,Hitorical_Sim!$AB$5)</f>
        <v>2.3854911521888938E-2</v>
      </c>
      <c r="K555">
        <f t="shared" ca="1" si="91"/>
        <v>-0.37333049134217144</v>
      </c>
      <c r="L555">
        <f t="shared" ca="1" si="91"/>
        <v>0.45640313445654113</v>
      </c>
      <c r="M555">
        <f t="shared" ca="1" si="91"/>
        <v>-1.2178436643929691</v>
      </c>
      <c r="O555">
        <v>553</v>
      </c>
      <c r="P555" s="6">
        <f t="shared" ca="1" si="83"/>
        <v>1924.7638790904539</v>
      </c>
      <c r="Q555" s="6">
        <f t="shared" ca="1" si="84"/>
        <v>389.44425291652806</v>
      </c>
      <c r="R555" s="6">
        <f t="shared" ca="1" si="85"/>
        <v>145.27092109801089</v>
      </c>
      <c r="S555" s="6"/>
      <c r="T555" s="4">
        <f t="shared" ca="1" si="86"/>
        <v>-2.9485562395939375E-2</v>
      </c>
      <c r="U555" s="4">
        <f t="shared" ca="1" si="87"/>
        <v>5.8096074280632612E-2</v>
      </c>
      <c r="V555" s="4">
        <f t="shared" ca="1" si="88"/>
        <v>-1.0846578385858757E-2</v>
      </c>
      <c r="W555" s="4"/>
      <c r="X555">
        <v>553</v>
      </c>
      <c r="Y555" s="4">
        <f t="shared" ca="1" si="89"/>
        <v>-1.1084616915221748E-2</v>
      </c>
      <c r="Z555" s="4">
        <f ca="1"/>
        <v>2.6592522338940196E-3</v>
      </c>
      <c r="AA555" s="4"/>
    </row>
    <row r="556" spans="1:27" x14ac:dyDescent="0.35">
      <c r="A556">
        <v>554</v>
      </c>
      <c r="B556">
        <f ca="1">_xlfn.NORM.INV(RAND(),Hitorical_Sim!$AB$4,Hitorical_Sim!$AB$5)</f>
        <v>-3.5495526432349989E-2</v>
      </c>
      <c r="C556">
        <f ca="1">_xlfn.NORM.INV(RAND(),Hitorical_Sim!$AB$4,Hitorical_Sim!$AB$5)</f>
        <v>-1.2253077272754752E-2</v>
      </c>
      <c r="D556">
        <f ca="1">_xlfn.NORM.INV(RAND(),Hitorical_Sim!$AB$4,Hitorical_Sim!$AB$5)</f>
        <v>6.6387284875868997E-3</v>
      </c>
      <c r="K556">
        <f t="shared" ca="1" si="91"/>
        <v>-0.13356688798757277</v>
      </c>
      <c r="L556">
        <f t="shared" ca="1" si="91"/>
        <v>0.33927516391549783</v>
      </c>
      <c r="M556">
        <f t="shared" ca="1" si="91"/>
        <v>-0.15382877555667399</v>
      </c>
      <c r="O556">
        <v>554</v>
      </c>
      <c r="P556" s="6">
        <f t="shared" ca="1" si="83"/>
        <v>1933.1545625761639</v>
      </c>
      <c r="Q556" s="6">
        <f t="shared" ca="1" si="84"/>
        <v>388.14504302122515</v>
      </c>
      <c r="R556" s="6">
        <f t="shared" ca="1" si="85"/>
        <v>150.06347666866276</v>
      </c>
      <c r="S556" s="6"/>
      <c r="T556" s="4">
        <f t="shared" ca="1" si="86"/>
        <v>4.3498569722329149E-3</v>
      </c>
      <c r="U556" s="4">
        <f t="shared" ca="1" si="87"/>
        <v>-3.3416383457539459E-3</v>
      </c>
      <c r="V556" s="4">
        <f t="shared" ca="1" si="88"/>
        <v>3.2457961914728606E-2</v>
      </c>
      <c r="W556" s="4"/>
      <c r="X556">
        <v>554</v>
      </c>
      <c r="Y556" s="4">
        <f t="shared" ca="1" si="89"/>
        <v>4.205953090495233E-3</v>
      </c>
      <c r="Z556" s="4">
        <f ca="1"/>
        <v>2.6759220285725114E-3</v>
      </c>
      <c r="AA556" s="4"/>
    </row>
    <row r="557" spans="1:27" x14ac:dyDescent="0.35">
      <c r="A557">
        <v>555</v>
      </c>
      <c r="B557">
        <f ca="1">_xlfn.NORM.INV(RAND(),Hitorical_Sim!$AB$4,Hitorical_Sim!$AB$5)</f>
        <v>9.1341924043934395E-4</v>
      </c>
      <c r="C557">
        <f ca="1">_xlfn.NORM.INV(RAND(),Hitorical_Sim!$AB$4,Hitorical_Sim!$AB$5)</f>
        <v>6.690986207495136E-3</v>
      </c>
      <c r="D557">
        <f ca="1">_xlfn.NORM.INV(RAND(),Hitorical_Sim!$AB$4,Hitorical_Sim!$AB$5)</f>
        <v>1.790458512652093E-2</v>
      </c>
      <c r="K557">
        <f t="shared" ca="1" si="91"/>
        <v>0.6710640762416149</v>
      </c>
      <c r="L557">
        <f t="shared" ca="1" si="91"/>
        <v>0.22748824723256453</v>
      </c>
      <c r="M557">
        <f t="shared" ca="1" si="91"/>
        <v>-1.5017355592484691</v>
      </c>
      <c r="O557">
        <v>555</v>
      </c>
      <c r="P557" s="6">
        <f t="shared" ca="1" si="83"/>
        <v>1961.5814150804947</v>
      </c>
      <c r="Q557" s="6">
        <f t="shared" ca="1" si="84"/>
        <v>386.90911979320998</v>
      </c>
      <c r="R557" s="6">
        <f t="shared" ca="1" si="85"/>
        <v>144.0182817502656</v>
      </c>
      <c r="S557" s="6"/>
      <c r="T557" s="4">
        <f t="shared" ca="1" si="86"/>
        <v>1.4597835371412229E-2</v>
      </c>
      <c r="U557" s="4">
        <f t="shared" ca="1" si="87"/>
        <v>-3.1892591121978919E-3</v>
      </c>
      <c r="V557" s="4">
        <f t="shared" ca="1" si="88"/>
        <v>-4.1118134256111875E-2</v>
      </c>
      <c r="W557" s="4"/>
      <c r="X557">
        <v>555</v>
      </c>
      <c r="Y557" s="4">
        <f t="shared" ca="1" si="89"/>
        <v>8.2907093766172221E-3</v>
      </c>
      <c r="Z557" s="4">
        <f ca="1"/>
        <v>2.7415278531027214E-3</v>
      </c>
      <c r="AA557" s="4"/>
    </row>
    <row r="558" spans="1:27" x14ac:dyDescent="0.35">
      <c r="A558">
        <v>556</v>
      </c>
      <c r="B558">
        <f ca="1">_xlfn.NORM.INV(RAND(),Hitorical_Sim!$AB$4,Hitorical_Sim!$AB$5)</f>
        <v>1.7289254775895817E-2</v>
      </c>
      <c r="C558">
        <f ca="1">_xlfn.NORM.INV(RAND(),Hitorical_Sim!$AB$4,Hitorical_Sim!$AB$5)</f>
        <v>-1.2778891706491177E-2</v>
      </c>
      <c r="D558">
        <f ca="1">_xlfn.NORM.INV(RAND(),Hitorical_Sim!$AB$4,Hitorical_Sim!$AB$5)</f>
        <v>-1.252330049749693E-2</v>
      </c>
      <c r="K558">
        <f t="shared" ca="1" si="91"/>
        <v>-1.6699505545919515</v>
      </c>
      <c r="L558">
        <f t="shared" ca="1" si="91"/>
        <v>-0.25661974843910834</v>
      </c>
      <c r="M558">
        <f t="shared" ca="1" si="91"/>
        <v>-2.0739288833814493</v>
      </c>
      <c r="O558">
        <v>556</v>
      </c>
      <c r="P558" s="6">
        <f t="shared" ca="1" si="83"/>
        <v>1880.0148272082376</v>
      </c>
      <c r="Q558" s="6">
        <f t="shared" ca="1" si="84"/>
        <v>381.6020552335105</v>
      </c>
      <c r="R558" s="6">
        <f t="shared" ca="1" si="85"/>
        <v>141.52627512982176</v>
      </c>
      <c r="S558" s="6"/>
      <c r="T558" s="4">
        <f t="shared" ca="1" si="86"/>
        <v>-4.2471328723612929E-2</v>
      </c>
      <c r="U558" s="4">
        <f t="shared" ca="1" si="87"/>
        <v>-1.3811507484931677E-2</v>
      </c>
      <c r="V558" s="4">
        <f t="shared" ca="1" si="88"/>
        <v>-1.7454858308310697E-2</v>
      </c>
      <c r="W558" s="4"/>
      <c r="X558">
        <v>556</v>
      </c>
      <c r="Y558" s="4">
        <f t="shared" ca="1" si="89"/>
        <v>-3.5513674753253753E-2</v>
      </c>
      <c r="Z558" s="4">
        <f ca="1"/>
        <v>2.7442930161892237E-3</v>
      </c>
      <c r="AA558" s="4"/>
    </row>
    <row r="559" spans="1:27" x14ac:dyDescent="0.35">
      <c r="A559">
        <v>557</v>
      </c>
      <c r="B559">
        <f ca="1">_xlfn.NORM.INV(RAND(),Hitorical_Sim!$AB$4,Hitorical_Sim!$AB$5)</f>
        <v>3.6530918857327827E-4</v>
      </c>
      <c r="C559">
        <f ca="1">_xlfn.NORM.INV(RAND(),Hitorical_Sim!$AB$4,Hitorical_Sim!$AB$5)</f>
        <v>-2.2401771534333259E-2</v>
      </c>
      <c r="D559">
        <f ca="1">_xlfn.NORM.INV(RAND(),Hitorical_Sim!$AB$4,Hitorical_Sim!$AB$5)</f>
        <v>2.061592862675584E-2</v>
      </c>
      <c r="K559">
        <f t="shared" ca="1" si="91"/>
        <v>1.1970503835925708</v>
      </c>
      <c r="L559">
        <f t="shared" ca="1" si="91"/>
        <v>0.56430041104675266</v>
      </c>
      <c r="M559">
        <f t="shared" ca="1" si="91"/>
        <v>-0.53203914658231066</v>
      </c>
      <c r="O559">
        <v>557</v>
      </c>
      <c r="P559" s="6">
        <f t="shared" ca="1" si="83"/>
        <v>1980.3895742459379</v>
      </c>
      <c r="Q559" s="6">
        <f t="shared" ca="1" si="84"/>
        <v>390.6449217097578</v>
      </c>
      <c r="R559" s="6">
        <f t="shared" ca="1" si="85"/>
        <v>148.34208745016971</v>
      </c>
      <c r="S559" s="6"/>
      <c r="T559" s="4">
        <f t="shared" ca="1" si="86"/>
        <v>5.201391639879855E-2</v>
      </c>
      <c r="U559" s="4">
        <f t="shared" ca="1" si="87"/>
        <v>2.3420693375533208E-2</v>
      </c>
      <c r="V559" s="4">
        <f t="shared" ca="1" si="88"/>
        <v>4.7035618466272841E-2</v>
      </c>
      <c r="W559" s="4"/>
      <c r="X559">
        <v>557</v>
      </c>
      <c r="Y559" s="4">
        <f t="shared" ca="1" si="89"/>
        <v>4.6061244567352437E-2</v>
      </c>
      <c r="Z559" s="4">
        <f ca="1"/>
        <v>2.7848417443778104E-3</v>
      </c>
      <c r="AA559" s="4"/>
    </row>
    <row r="560" spans="1:27" x14ac:dyDescent="0.35">
      <c r="A560">
        <v>558</v>
      </c>
      <c r="B560">
        <f ca="1">_xlfn.NORM.INV(RAND(),Hitorical_Sim!$AB$4,Hitorical_Sim!$AB$5)</f>
        <v>-3.7245096802556075E-3</v>
      </c>
      <c r="C560">
        <f ca="1">_xlfn.NORM.INV(RAND(),Hitorical_Sim!$AB$4,Hitorical_Sim!$AB$5)</f>
        <v>1.4316887315915763E-2</v>
      </c>
      <c r="D560">
        <f ca="1">_xlfn.NORM.INV(RAND(),Hitorical_Sim!$AB$4,Hitorical_Sim!$AB$5)</f>
        <v>-1.161758975998165E-2</v>
      </c>
      <c r="K560">
        <f t="shared" ca="1" si="91"/>
        <v>-4.3473517514999477E-2</v>
      </c>
      <c r="L560">
        <f t="shared" ca="1" si="91"/>
        <v>0.59569960093920271</v>
      </c>
      <c r="M560">
        <f t="shared" ca="1" si="91"/>
        <v>0.77857139551208177</v>
      </c>
      <c r="O560">
        <v>558</v>
      </c>
      <c r="P560" s="6">
        <f t="shared" ca="1" si="83"/>
        <v>1936.3168847174215</v>
      </c>
      <c r="Q560" s="6">
        <f t="shared" ca="1" si="84"/>
        <v>390.99502322592195</v>
      </c>
      <c r="R560" s="6">
        <f t="shared" ca="1" si="85"/>
        <v>154.39301765100072</v>
      </c>
      <c r="S560" s="6"/>
      <c r="T560" s="4">
        <f t="shared" ca="1" si="86"/>
        <v>-2.2505924439557408E-2</v>
      </c>
      <c r="U560" s="4">
        <f t="shared" ca="1" si="87"/>
        <v>8.9581281469814722E-4</v>
      </c>
      <c r="V560" s="4">
        <f t="shared" ca="1" si="88"/>
        <v>3.9980405825774751E-2</v>
      </c>
      <c r="W560" s="4"/>
      <c r="X560">
        <v>558</v>
      </c>
      <c r="Y560" s="4">
        <f t="shared" ca="1" si="89"/>
        <v>-1.4743228962177911E-2</v>
      </c>
      <c r="Z560" s="4">
        <f ca="1"/>
        <v>2.7899688167519797E-3</v>
      </c>
      <c r="AA560" s="4"/>
    </row>
    <row r="561" spans="1:27" x14ac:dyDescent="0.35">
      <c r="A561">
        <v>559</v>
      </c>
      <c r="B561">
        <f ca="1">_xlfn.NORM.INV(RAND(),Hitorical_Sim!$AB$4,Hitorical_Sim!$AB$5)</f>
        <v>-4.9089563479152894E-3</v>
      </c>
      <c r="C561">
        <f ca="1">_xlfn.NORM.INV(RAND(),Hitorical_Sim!$AB$4,Hitorical_Sim!$AB$5)</f>
        <v>-2.211035987120968E-2</v>
      </c>
      <c r="D561">
        <f ca="1">_xlfn.NORM.INV(RAND(),Hitorical_Sim!$AB$4,Hitorical_Sim!$AB$5)</f>
        <v>-3.656324200374718E-3</v>
      </c>
      <c r="K561">
        <f t="shared" ca="1" si="91"/>
        <v>-1.0704840228064352</v>
      </c>
      <c r="L561">
        <f t="shared" ca="1" si="91"/>
        <v>-0.27224727270329652</v>
      </c>
      <c r="M561">
        <f t="shared" ca="1" si="91"/>
        <v>-1.5068958408848664E-2</v>
      </c>
      <c r="O561">
        <v>559</v>
      </c>
      <c r="P561" s="6">
        <f t="shared" ca="1" si="83"/>
        <v>1900.5728669703892</v>
      </c>
      <c r="Q561" s="6">
        <f t="shared" ca="1" si="84"/>
        <v>381.43195578605315</v>
      </c>
      <c r="R561" s="6">
        <f t="shared" ca="1" si="85"/>
        <v>150.70002553532993</v>
      </c>
      <c r="S561" s="6"/>
      <c r="T561" s="4">
        <f t="shared" ca="1" si="86"/>
        <v>-1.8632305923395574E-2</v>
      </c>
      <c r="U561" s="4">
        <f t="shared" ca="1" si="87"/>
        <v>-2.4762356434960945E-2</v>
      </c>
      <c r="V561" s="4">
        <f t="shared" ca="1" si="88"/>
        <v>-2.421013902327138E-2</v>
      </c>
      <c r="W561" s="4"/>
      <c r="X561">
        <v>559</v>
      </c>
      <c r="Y561" s="4">
        <f t="shared" ca="1" si="89"/>
        <v>-2.0131715800812418E-2</v>
      </c>
      <c r="Z561" s="4">
        <f ca="1"/>
        <v>2.8137901170530132E-3</v>
      </c>
      <c r="AA561" s="4"/>
    </row>
    <row r="562" spans="1:27" x14ac:dyDescent="0.35">
      <c r="A562">
        <v>560</v>
      </c>
      <c r="B562">
        <f ca="1">_xlfn.NORM.INV(RAND(),Hitorical_Sim!$AB$4,Hitorical_Sim!$AB$5)</f>
        <v>-9.9928365297648359E-3</v>
      </c>
      <c r="C562">
        <f ca="1">_xlfn.NORM.INV(RAND(),Hitorical_Sim!$AB$4,Hitorical_Sim!$AB$5)</f>
        <v>-1.4786232289763885E-3</v>
      </c>
      <c r="D562">
        <f ca="1">_xlfn.NORM.INV(RAND(),Hitorical_Sim!$AB$4,Hitorical_Sim!$AB$5)</f>
        <v>-1.6758834302197743E-2</v>
      </c>
      <c r="K562">
        <f t="shared" ca="1" si="91"/>
        <v>-0.45369278918729622</v>
      </c>
      <c r="L562">
        <f t="shared" ca="1" si="91"/>
        <v>-1.0095197392757773</v>
      </c>
      <c r="M562">
        <f t="shared" ca="1" si="91"/>
        <v>-0.76264153029768955</v>
      </c>
      <c r="O562">
        <v>560</v>
      </c>
      <c r="P562" s="6">
        <f t="shared" ca="1" si="83"/>
        <v>1921.9597049885379</v>
      </c>
      <c r="Q562" s="6">
        <f t="shared" ca="1" si="84"/>
        <v>373.49261586557674</v>
      </c>
      <c r="R562" s="6">
        <f t="shared" ca="1" si="85"/>
        <v>147.30222695778511</v>
      </c>
      <c r="S562" s="6"/>
      <c r="T562" s="4">
        <f t="shared" ca="1" si="86"/>
        <v>1.1189995522391647E-2</v>
      </c>
      <c r="U562" s="4">
        <f t="shared" ca="1" si="87"/>
        <v>-2.1034240875058799E-2</v>
      </c>
      <c r="V562" s="4">
        <f t="shared" ca="1" si="88"/>
        <v>-2.2804833204356677E-2</v>
      </c>
      <c r="W562" s="4"/>
      <c r="X562">
        <v>560</v>
      </c>
      <c r="Y562" s="4">
        <f t="shared" ca="1" si="89"/>
        <v>3.0766583633393867E-3</v>
      </c>
      <c r="Z562" s="4">
        <f ca="1"/>
        <v>2.8988181368258198E-3</v>
      </c>
      <c r="AA562" s="4"/>
    </row>
    <row r="563" spans="1:27" x14ac:dyDescent="0.35">
      <c r="A563">
        <v>561</v>
      </c>
      <c r="B563">
        <f ca="1">_xlfn.NORM.INV(RAND(),Hitorical_Sim!$AB$4,Hitorical_Sim!$AB$5)</f>
        <v>-2.6997100872697019E-4</v>
      </c>
      <c r="C563">
        <f ca="1">_xlfn.NORM.INV(RAND(),Hitorical_Sim!$AB$4,Hitorical_Sim!$AB$5)</f>
        <v>2.0706333255880106E-2</v>
      </c>
      <c r="D563">
        <f ca="1">_xlfn.NORM.INV(RAND(),Hitorical_Sim!$AB$4,Hitorical_Sim!$AB$5)</f>
        <v>1.1211209100653126E-2</v>
      </c>
      <c r="K563">
        <f t="shared" ca="1" si="91"/>
        <v>-0.76823192098497239</v>
      </c>
      <c r="L563">
        <f t="shared" ca="1" si="91"/>
        <v>1.7228842711220893</v>
      </c>
      <c r="M563">
        <f t="shared" ca="1" si="91"/>
        <v>0.1499734286084024</v>
      </c>
      <c r="O563">
        <v>561</v>
      </c>
      <c r="P563" s="6">
        <f t="shared" ca="1" si="83"/>
        <v>1911.0233617942706</v>
      </c>
      <c r="Q563" s="6">
        <f t="shared" ca="1" si="84"/>
        <v>403.7731426749142</v>
      </c>
      <c r="R563" s="6">
        <f t="shared" ca="1" si="85"/>
        <v>151.4606601439331</v>
      </c>
      <c r="S563" s="6"/>
      <c r="T563" s="4">
        <f t="shared" ca="1" si="86"/>
        <v>-5.7064550930473815E-3</v>
      </c>
      <c r="U563" s="4">
        <f t="shared" ca="1" si="87"/>
        <v>7.7954957940959871E-2</v>
      </c>
      <c r="V563" s="4">
        <f t="shared" ca="1" si="88"/>
        <v>2.7839480339774701E-2</v>
      </c>
      <c r="W563" s="4"/>
      <c r="X563">
        <v>561</v>
      </c>
      <c r="Y563" s="4">
        <f t="shared" ca="1" si="89"/>
        <v>1.2649885295808653E-2</v>
      </c>
      <c r="Z563" s="4">
        <f ca="1"/>
        <v>2.9883153197955278E-3</v>
      </c>
      <c r="AA563" s="4"/>
    </row>
    <row r="564" spans="1:27" x14ac:dyDescent="0.35">
      <c r="A564">
        <v>562</v>
      </c>
      <c r="B564">
        <f ca="1">_xlfn.NORM.INV(RAND(),Hitorical_Sim!$AB$4,Hitorical_Sim!$AB$5)</f>
        <v>1.7366204238262014E-2</v>
      </c>
      <c r="C564">
        <f ca="1">_xlfn.NORM.INV(RAND(),Hitorical_Sim!$AB$4,Hitorical_Sim!$AB$5)</f>
        <v>1.149736313213999E-2</v>
      </c>
      <c r="D564">
        <f ca="1">_xlfn.NORM.INV(RAND(),Hitorical_Sim!$AB$4,Hitorical_Sim!$AB$5)</f>
        <v>1.0359603409553634E-2</v>
      </c>
      <c r="K564">
        <f t="shared" ref="K564:M583" ca="1" si="92">_xlfn.NORM.S.INV(RAND())</f>
        <v>-0.45574030632443469</v>
      </c>
      <c r="L564">
        <f t="shared" ca="1" si="92"/>
        <v>-1.0596723120478342</v>
      </c>
      <c r="M564">
        <f t="shared" ca="1" si="92"/>
        <v>-1.5574114255115636</v>
      </c>
      <c r="O564">
        <v>562</v>
      </c>
      <c r="P564" s="6">
        <f t="shared" ca="1" si="83"/>
        <v>1921.8883120138969</v>
      </c>
      <c r="Q564" s="6">
        <f t="shared" ca="1" si="84"/>
        <v>372.95858864120692</v>
      </c>
      <c r="R564" s="6">
        <f t="shared" ca="1" si="85"/>
        <v>143.77388839255067</v>
      </c>
      <c r="S564" s="6"/>
      <c r="T564" s="4">
        <f t="shared" ca="1" si="86"/>
        <v>5.6693084762543993E-3</v>
      </c>
      <c r="U564" s="4">
        <f t="shared" ca="1" si="87"/>
        <v>-7.938580114211112E-2</v>
      </c>
      <c r="V564" s="4">
        <f t="shared" ca="1" si="88"/>
        <v>-5.2084076219479407E-2</v>
      </c>
      <c r="W564" s="4"/>
      <c r="X564">
        <v>562</v>
      </c>
      <c r="Y564" s="4">
        <f t="shared" ca="1" si="89"/>
        <v>-1.4163198580352827E-2</v>
      </c>
      <c r="Z564" s="4">
        <f ca="1"/>
        <v>3.0173623122965549E-3</v>
      </c>
      <c r="AA564" s="4"/>
    </row>
    <row r="565" spans="1:27" x14ac:dyDescent="0.35">
      <c r="A565">
        <v>563</v>
      </c>
      <c r="B565">
        <f ca="1">_xlfn.NORM.INV(RAND(),Hitorical_Sim!$AB$4,Hitorical_Sim!$AB$5)</f>
        <v>-4.3456444185070772E-3</v>
      </c>
      <c r="C565">
        <f ca="1">_xlfn.NORM.INV(RAND(),Hitorical_Sim!$AB$4,Hitorical_Sim!$AB$5)</f>
        <v>5.1088124683192635E-3</v>
      </c>
      <c r="D565">
        <f ca="1">_xlfn.NORM.INV(RAND(),Hitorical_Sim!$AB$4,Hitorical_Sim!$AB$5)</f>
        <v>5.1213999541085452E-3</v>
      </c>
      <c r="K565">
        <f t="shared" ca="1" si="92"/>
        <v>0.43893681095036974</v>
      </c>
      <c r="L565">
        <f t="shared" ca="1" si="92"/>
        <v>-0.15195881443517575</v>
      </c>
      <c r="M565">
        <f t="shared" ca="1" si="92"/>
        <v>1.3051614822676008</v>
      </c>
      <c r="O565">
        <v>563</v>
      </c>
      <c r="P565" s="6">
        <f t="shared" ca="1" si="83"/>
        <v>1953.3379451416668</v>
      </c>
      <c r="Q565" s="6">
        <f t="shared" ca="1" si="84"/>
        <v>382.74320512195231</v>
      </c>
      <c r="R565" s="6">
        <f t="shared" ca="1" si="85"/>
        <v>156.89317152601583</v>
      </c>
      <c r="S565" s="6"/>
      <c r="T565" s="4">
        <f t="shared" ca="1" si="86"/>
        <v>1.623147734695812E-2</v>
      </c>
      <c r="U565" s="4">
        <f t="shared" ca="1" si="87"/>
        <v>2.5896890525545894E-2</v>
      </c>
      <c r="V565" s="4">
        <f t="shared" ca="1" si="88"/>
        <v>8.732329161338058E-2</v>
      </c>
      <c r="W565" s="4"/>
      <c r="X565">
        <v>563</v>
      </c>
      <c r="Y565" s="4">
        <f t="shared" ca="1" si="89"/>
        <v>2.1678726888961317E-2</v>
      </c>
      <c r="Z565" s="4">
        <f ca="1"/>
        <v>3.0233257850231865E-3</v>
      </c>
      <c r="AA565" s="4"/>
    </row>
    <row r="566" spans="1:27" x14ac:dyDescent="0.35">
      <c r="A566">
        <v>564</v>
      </c>
      <c r="B566">
        <f ca="1">_xlfn.NORM.INV(RAND(),Hitorical_Sim!$AB$4,Hitorical_Sim!$AB$5)</f>
        <v>4.9129600810591239E-3</v>
      </c>
      <c r="C566">
        <f ca="1">_xlfn.NORM.INV(RAND(),Hitorical_Sim!$AB$4,Hitorical_Sim!$AB$5)</f>
        <v>-1.6260554905328205E-2</v>
      </c>
      <c r="D566">
        <f ca="1">_xlfn.NORM.INV(RAND(),Hitorical_Sim!$AB$4,Hitorical_Sim!$AB$5)</f>
        <v>2.0272744879803881E-2</v>
      </c>
      <c r="K566">
        <f t="shared" ca="1" si="92"/>
        <v>-0.72478472793693383</v>
      </c>
      <c r="L566">
        <f t="shared" ca="1" si="92"/>
        <v>0.31121991234327995</v>
      </c>
      <c r="M566">
        <f t="shared" ca="1" si="92"/>
        <v>0.71839303829379753</v>
      </c>
      <c r="O566">
        <v>564</v>
      </c>
      <c r="P566" s="6">
        <f t="shared" ca="1" si="83"/>
        <v>1912.5302832397556</v>
      </c>
      <c r="Q566" s="6">
        <f t="shared" ca="1" si="84"/>
        <v>387.83449179842597</v>
      </c>
      <c r="R566" s="6">
        <f t="shared" ca="1" si="85"/>
        <v>154.10985044381113</v>
      </c>
      <c r="S566" s="6"/>
      <c r="T566" s="4">
        <f t="shared" ca="1" si="86"/>
        <v>-2.1112554945131815E-2</v>
      </c>
      <c r="U566" s="4">
        <f t="shared" ca="1" si="87"/>
        <v>1.3214399491349031E-2</v>
      </c>
      <c r="V566" s="4">
        <f t="shared" ca="1" si="88"/>
        <v>-1.7899474910634188E-2</v>
      </c>
      <c r="W566" s="4"/>
      <c r="X566">
        <v>564</v>
      </c>
      <c r="Y566" s="4">
        <f t="shared" ca="1" si="89"/>
        <v>-1.4102974380214607E-2</v>
      </c>
      <c r="Z566" s="4">
        <f ca="1"/>
        <v>3.0556020585457925E-3</v>
      </c>
      <c r="AA566" s="4"/>
    </row>
    <row r="567" spans="1:27" x14ac:dyDescent="0.35">
      <c r="A567">
        <v>565</v>
      </c>
      <c r="B567">
        <f ca="1">_xlfn.NORM.INV(RAND(),Hitorical_Sim!$AB$4,Hitorical_Sim!$AB$5)</f>
        <v>-3.0562788830858761E-3</v>
      </c>
      <c r="C567">
        <f ca="1">_xlfn.NORM.INV(RAND(),Hitorical_Sim!$AB$4,Hitorical_Sim!$AB$5)</f>
        <v>-2.8254805370198999E-3</v>
      </c>
      <c r="D567">
        <f ca="1">_xlfn.NORM.INV(RAND(),Hitorical_Sim!$AB$4,Hitorical_Sim!$AB$5)</f>
        <v>7.637940739892911E-3</v>
      </c>
      <c r="K567">
        <f t="shared" ca="1" si="92"/>
        <v>-0.82093601781575842</v>
      </c>
      <c r="L567">
        <f t="shared" ca="1" si="92"/>
        <v>-1.029050572312969</v>
      </c>
      <c r="M567">
        <f t="shared" ca="1" si="92"/>
        <v>-0.32357742112938997</v>
      </c>
      <c r="O567">
        <v>565</v>
      </c>
      <c r="P567" s="6">
        <f t="shared" ca="1" si="83"/>
        <v>1909.1969677668981</v>
      </c>
      <c r="Q567" s="6">
        <f t="shared" ca="1" si="84"/>
        <v>373.28455968399271</v>
      </c>
      <c r="R567" s="6">
        <f t="shared" ca="1" si="85"/>
        <v>149.28842453965166</v>
      </c>
      <c r="S567" s="6"/>
      <c r="T567" s="4">
        <f t="shared" ca="1" si="86"/>
        <v>-1.7444030403983833E-3</v>
      </c>
      <c r="U567" s="4">
        <f t="shared" ca="1" si="87"/>
        <v>-3.8237657704826129E-2</v>
      </c>
      <c r="V567" s="4">
        <f t="shared" ca="1" si="88"/>
        <v>-3.178549270604572E-2</v>
      </c>
      <c r="W567" s="4"/>
      <c r="X567">
        <v>565</v>
      </c>
      <c r="Y567" s="4">
        <f t="shared" ca="1" si="89"/>
        <v>-1.0514028930611874E-2</v>
      </c>
      <c r="Z567" s="4">
        <f ca="1"/>
        <v>3.0766583633393867E-3</v>
      </c>
      <c r="AA567" s="4"/>
    </row>
    <row r="568" spans="1:27" x14ac:dyDescent="0.35">
      <c r="A568">
        <v>566</v>
      </c>
      <c r="B568">
        <f ca="1">_xlfn.NORM.INV(RAND(),Hitorical_Sim!$AB$4,Hitorical_Sim!$AB$5)</f>
        <v>-1.7394916027753779E-3</v>
      </c>
      <c r="C568">
        <f ca="1">_xlfn.NORM.INV(RAND(),Hitorical_Sim!$AB$4,Hitorical_Sim!$AB$5)</f>
        <v>2.773497134421086E-3</v>
      </c>
      <c r="D568">
        <f ca="1">_xlfn.NORM.INV(RAND(),Hitorical_Sim!$AB$4,Hitorical_Sim!$AB$5)</f>
        <v>1.0838056404673163E-2</v>
      </c>
      <c r="K568">
        <f t="shared" ca="1" si="92"/>
        <v>0.4573170037738572</v>
      </c>
      <c r="L568">
        <f t="shared" ca="1" si="92"/>
        <v>-0.74127715059180121</v>
      </c>
      <c r="M568">
        <f t="shared" ca="1" si="92"/>
        <v>1.5391166387025121</v>
      </c>
      <c r="O568">
        <v>566</v>
      </c>
      <c r="P568" s="6">
        <f t="shared" ca="1" si="83"/>
        <v>1953.9894108819635</v>
      </c>
      <c r="Q568" s="6">
        <f t="shared" ca="1" si="84"/>
        <v>376.36188606043135</v>
      </c>
      <c r="R568" s="6">
        <f t="shared" ca="1" si="85"/>
        <v>158.01689867257974</v>
      </c>
      <c r="S568" s="6"/>
      <c r="T568" s="4">
        <f t="shared" ca="1" si="86"/>
        <v>2.3190416478752723E-2</v>
      </c>
      <c r="U568" s="4">
        <f t="shared" ca="1" si="87"/>
        <v>8.2101200632967632E-3</v>
      </c>
      <c r="V568" s="4">
        <f t="shared" ca="1" si="88"/>
        <v>5.6821810941892918E-2</v>
      </c>
      <c r="W568" s="4"/>
      <c r="X568">
        <v>566</v>
      </c>
      <c r="Y568" s="4">
        <f t="shared" ca="1" si="89"/>
        <v>2.1865248530311306E-2</v>
      </c>
      <c r="Z568" s="4">
        <f ca="1"/>
        <v>3.1560205494829282E-3</v>
      </c>
      <c r="AA568" s="4"/>
    </row>
    <row r="569" spans="1:27" x14ac:dyDescent="0.35">
      <c r="A569">
        <v>567</v>
      </c>
      <c r="B569">
        <f ca="1">_xlfn.NORM.INV(RAND(),Hitorical_Sim!$AB$4,Hitorical_Sim!$AB$5)</f>
        <v>1.1684668593283948E-3</v>
      </c>
      <c r="C569">
        <f ca="1">_xlfn.NORM.INV(RAND(),Hitorical_Sim!$AB$4,Hitorical_Sim!$AB$5)</f>
        <v>5.7407438242349038E-3</v>
      </c>
      <c r="D569">
        <f ca="1">_xlfn.NORM.INV(RAND(),Hitorical_Sim!$AB$4,Hitorical_Sim!$AB$5)</f>
        <v>-1.7315311678645837E-2</v>
      </c>
      <c r="K569">
        <f t="shared" ca="1" si="92"/>
        <v>1.5758958644805745</v>
      </c>
      <c r="L569">
        <f t="shared" ca="1" si="92"/>
        <v>-2.654666974782391</v>
      </c>
      <c r="M569">
        <f t="shared" ca="1" si="92"/>
        <v>-0.61852778514984819</v>
      </c>
      <c r="O569">
        <v>567</v>
      </c>
      <c r="P569" s="6">
        <f t="shared" ca="1" si="83"/>
        <v>1994.0479103676025</v>
      </c>
      <c r="Q569" s="6">
        <f t="shared" ca="1" si="84"/>
        <v>356.36750002408155</v>
      </c>
      <c r="R569" s="6">
        <f t="shared" ca="1" si="85"/>
        <v>147.95122477204922</v>
      </c>
      <c r="S569" s="6"/>
      <c r="T569" s="4">
        <f t="shared" ca="1" si="86"/>
        <v>2.029356411132021E-2</v>
      </c>
      <c r="U569" s="4">
        <f t="shared" ca="1" si="87"/>
        <v>-5.4588641614429223E-2</v>
      </c>
      <c r="V569" s="4">
        <f t="shared" ca="1" si="88"/>
        <v>-6.5819323836267873E-2</v>
      </c>
      <c r="W569" s="4"/>
      <c r="X569">
        <v>567</v>
      </c>
      <c r="Y569" s="4">
        <f t="shared" ca="1" si="89"/>
        <v>1.0877290133768712E-3</v>
      </c>
      <c r="Z569" s="4">
        <f ca="1"/>
        <v>3.2517634142862489E-3</v>
      </c>
      <c r="AA569" s="4"/>
    </row>
    <row r="570" spans="1:27" x14ac:dyDescent="0.35">
      <c r="A570">
        <v>568</v>
      </c>
      <c r="B570">
        <f ca="1">_xlfn.NORM.INV(RAND(),Hitorical_Sim!$AB$4,Hitorical_Sim!$AB$5)</f>
        <v>3.6785882069043492E-2</v>
      </c>
      <c r="C570">
        <f ca="1">_xlfn.NORM.INV(RAND(),Hitorical_Sim!$AB$4,Hitorical_Sim!$AB$5)</f>
        <v>1.0978946767684948E-2</v>
      </c>
      <c r="D570">
        <f ca="1">_xlfn.NORM.INV(RAND(),Hitorical_Sim!$AB$4,Hitorical_Sim!$AB$5)</f>
        <v>8.3875960335499031E-3</v>
      </c>
      <c r="K570">
        <f t="shared" ca="1" si="92"/>
        <v>0.52013157814849009</v>
      </c>
      <c r="L570">
        <f t="shared" ca="1" si="92"/>
        <v>-1.1242367954700354</v>
      </c>
      <c r="M570">
        <f t="shared" ca="1" si="92"/>
        <v>2.877098337705053</v>
      </c>
      <c r="O570">
        <v>568</v>
      </c>
      <c r="P570" s="6">
        <f t="shared" ca="1" si="83"/>
        <v>1956.2174449736308</v>
      </c>
      <c r="Q570" s="6">
        <f t="shared" ca="1" si="84"/>
        <v>372.27222669927897</v>
      </c>
      <c r="R570" s="6">
        <f t="shared" ca="1" si="85"/>
        <v>164.59984535595476</v>
      </c>
      <c r="S570" s="6"/>
      <c r="T570" s="4">
        <f t="shared" ca="1" si="86"/>
        <v>-1.9153964895766061E-2</v>
      </c>
      <c r="U570" s="4">
        <f t="shared" ca="1" si="87"/>
        <v>4.3662877014478595E-2</v>
      </c>
      <c r="V570" s="4">
        <f t="shared" ca="1" si="88"/>
        <v>0.10663469163278966</v>
      </c>
      <c r="W570" s="4"/>
      <c r="X570">
        <v>568</v>
      </c>
      <c r="Y570" s="4">
        <f t="shared" ca="1" si="89"/>
        <v>-3.9243329579481158E-4</v>
      </c>
      <c r="Z570" s="4">
        <f ca="1"/>
        <v>3.3066429638259113E-3</v>
      </c>
      <c r="AA570" s="4"/>
    </row>
    <row r="571" spans="1:27" x14ac:dyDescent="0.35">
      <c r="A571">
        <v>569</v>
      </c>
      <c r="B571">
        <f ca="1">_xlfn.NORM.INV(RAND(),Hitorical_Sim!$AB$4,Hitorical_Sim!$AB$5)</f>
        <v>1.817361332087537E-2</v>
      </c>
      <c r="C571">
        <f ca="1">_xlfn.NORM.INV(RAND(),Hitorical_Sim!$AB$4,Hitorical_Sim!$AB$5)</f>
        <v>-1.1833463387708985E-2</v>
      </c>
      <c r="D571">
        <f ca="1">_xlfn.NORM.INV(RAND(),Hitorical_Sim!$AB$4,Hitorical_Sim!$AB$5)</f>
        <v>-1.7956536436103388E-2</v>
      </c>
      <c r="K571">
        <f t="shared" ca="1" si="92"/>
        <v>-1.0078399563515217</v>
      </c>
      <c r="L571">
        <f t="shared" ca="1" si="92"/>
        <v>0.29205607013545171</v>
      </c>
      <c r="M571">
        <f t="shared" ca="1" si="92"/>
        <v>0.11920943151539427</v>
      </c>
      <c r="O571">
        <v>569</v>
      </c>
      <c r="P571" s="6">
        <f t="shared" ca="1" si="83"/>
        <v>1902.7341069822376</v>
      </c>
      <c r="Q571" s="6">
        <f t="shared" ca="1" si="84"/>
        <v>387.62250484858663</v>
      </c>
      <c r="R571" s="6">
        <f t="shared" ca="1" si="85"/>
        <v>151.3185868727908</v>
      </c>
      <c r="S571" s="6"/>
      <c r="T571" s="4">
        <f t="shared" ca="1" si="86"/>
        <v>-2.7720878147167238E-2</v>
      </c>
      <c r="U571" s="4">
        <f t="shared" ca="1" si="87"/>
        <v>4.0406561529779166E-2</v>
      </c>
      <c r="V571" s="4">
        <f t="shared" ca="1" si="88"/>
        <v>-8.4129887674841933E-2</v>
      </c>
      <c r="W571" s="4"/>
      <c r="X571">
        <v>569</v>
      </c>
      <c r="Y571" s="4">
        <f t="shared" ca="1" si="89"/>
        <v>-1.6916502987369506E-2</v>
      </c>
      <c r="Z571" s="4">
        <f ca="1"/>
        <v>3.3294507889185163E-3</v>
      </c>
      <c r="AA571" s="4"/>
    </row>
    <row r="572" spans="1:27" x14ac:dyDescent="0.35">
      <c r="A572">
        <v>570</v>
      </c>
      <c r="B572">
        <f ca="1">_xlfn.NORM.INV(RAND(),Hitorical_Sim!$AB$4,Hitorical_Sim!$AB$5)</f>
        <v>2.0996872871111572E-3</v>
      </c>
      <c r="C572">
        <f ca="1">_xlfn.NORM.INV(RAND(),Hitorical_Sim!$AB$4,Hitorical_Sim!$AB$5)</f>
        <v>-1.0577840779028421E-2</v>
      </c>
      <c r="D572">
        <f ca="1">_xlfn.NORM.INV(RAND(),Hitorical_Sim!$AB$4,Hitorical_Sim!$AB$5)</f>
        <v>1.3309842217884633E-2</v>
      </c>
      <c r="K572">
        <f t="shared" ca="1" si="92"/>
        <v>-2.0618554026550489</v>
      </c>
      <c r="L572">
        <f t="shared" ca="1" si="92"/>
        <v>1.8791023128788609</v>
      </c>
      <c r="M572">
        <f t="shared" ca="1" si="92"/>
        <v>0.32053713363729519</v>
      </c>
      <c r="O572">
        <v>570</v>
      </c>
      <c r="P572" s="6">
        <f t="shared" ca="1" si="83"/>
        <v>1866.6952445063289</v>
      </c>
      <c r="Q572" s="6">
        <f t="shared" ca="1" si="84"/>
        <v>405.57672346765139</v>
      </c>
      <c r="R572" s="6">
        <f t="shared" ca="1" si="85"/>
        <v>152.25077518865854</v>
      </c>
      <c r="S572" s="6"/>
      <c r="T572" s="4">
        <f t="shared" ca="1" si="86"/>
        <v>-1.9122236960895551E-2</v>
      </c>
      <c r="U572" s="4">
        <f t="shared" ca="1" si="87"/>
        <v>4.5278122354024057E-2</v>
      </c>
      <c r="V572" s="4">
        <f t="shared" ca="1" si="88"/>
        <v>6.141537074729848E-3</v>
      </c>
      <c r="W572" s="4"/>
      <c r="X572">
        <v>570</v>
      </c>
      <c r="Y572" s="4">
        <f t="shared" ca="1" si="89"/>
        <v>-5.0196732152779731E-3</v>
      </c>
      <c r="Z572" s="4">
        <f ca="1"/>
        <v>3.3352334031883334E-3</v>
      </c>
      <c r="AA572" s="4"/>
    </row>
    <row r="573" spans="1:27" x14ac:dyDescent="0.35">
      <c r="A573">
        <v>571</v>
      </c>
      <c r="B573">
        <f ca="1">_xlfn.NORM.INV(RAND(),Hitorical_Sim!$AB$4,Hitorical_Sim!$AB$5)</f>
        <v>3.0265506670579947E-2</v>
      </c>
      <c r="C573">
        <f ca="1">_xlfn.NORM.INV(RAND(),Hitorical_Sim!$AB$4,Hitorical_Sim!$AB$5)</f>
        <v>4.302592138426866E-2</v>
      </c>
      <c r="D573">
        <f ca="1">_xlfn.NORM.INV(RAND(),Hitorical_Sim!$AB$4,Hitorical_Sim!$AB$5)</f>
        <v>1.3327103849475752E-2</v>
      </c>
      <c r="K573">
        <f t="shared" ca="1" si="92"/>
        <v>-0.73181315485501497</v>
      </c>
      <c r="L573">
        <f t="shared" ca="1" si="92"/>
        <v>0.69880375759219227</v>
      </c>
      <c r="M573">
        <f t="shared" ca="1" si="92"/>
        <v>0.84409328716985565</v>
      </c>
      <c r="O573">
        <v>571</v>
      </c>
      <c r="P573" s="6">
        <f t="shared" ca="1" si="83"/>
        <v>1912.2864289018314</v>
      </c>
      <c r="Q573" s="6">
        <f t="shared" ca="1" si="84"/>
        <v>392.14684460560755</v>
      </c>
      <c r="R573" s="6">
        <f t="shared" ca="1" si="85"/>
        <v>154.70192036287762</v>
      </c>
      <c r="S573" s="6"/>
      <c r="T573" s="4">
        <f t="shared" ca="1" si="86"/>
        <v>2.4129990807658659E-2</v>
      </c>
      <c r="U573" s="4">
        <f t="shared" ca="1" si="87"/>
        <v>-3.3673689500166651E-2</v>
      </c>
      <c r="V573" s="4">
        <f t="shared" ca="1" si="88"/>
        <v>1.5971172837785468E-2</v>
      </c>
      <c r="W573" s="4"/>
      <c r="X573">
        <v>571</v>
      </c>
      <c r="Y573" s="4">
        <f t="shared" ca="1" si="89"/>
        <v>1.2190439784920402E-2</v>
      </c>
      <c r="Z573" s="4">
        <f ca="1"/>
        <v>3.3420263401002948E-3</v>
      </c>
      <c r="AA573" s="4"/>
    </row>
    <row r="574" spans="1:27" x14ac:dyDescent="0.35">
      <c r="A574">
        <v>572</v>
      </c>
      <c r="B574">
        <f ca="1">_xlfn.NORM.INV(RAND(),Hitorical_Sim!$AB$4,Hitorical_Sim!$AB$5)</f>
        <v>-1.151148402572159E-2</v>
      </c>
      <c r="C574">
        <f ca="1">_xlfn.NORM.INV(RAND(),Hitorical_Sim!$AB$4,Hitorical_Sim!$AB$5)</f>
        <v>3.494995746795682E-3</v>
      </c>
      <c r="D574">
        <f ca="1">_xlfn.NORM.INV(RAND(),Hitorical_Sim!$AB$4,Hitorical_Sim!$AB$5)</f>
        <v>2.7300599821166567E-2</v>
      </c>
      <c r="K574">
        <f t="shared" ca="1" si="92"/>
        <v>2.5271384251770828</v>
      </c>
      <c r="L574">
        <f t="shared" ca="1" si="92"/>
        <v>-1.5388937662144262</v>
      </c>
      <c r="M574">
        <f t="shared" ca="1" si="92"/>
        <v>0.38167987884917348</v>
      </c>
      <c r="O574">
        <v>572</v>
      </c>
      <c r="P574" s="6">
        <f t="shared" ca="1" si="83"/>
        <v>2028.7592547461309</v>
      </c>
      <c r="Q574" s="6">
        <f t="shared" ca="1" si="84"/>
        <v>367.89416278270448</v>
      </c>
      <c r="R574" s="6">
        <f t="shared" ca="1" si="85"/>
        <v>152.53501379640107</v>
      </c>
      <c r="S574" s="6"/>
      <c r="T574" s="4">
        <f t="shared" ca="1" si="86"/>
        <v>5.9124792313064861E-2</v>
      </c>
      <c r="U574" s="4">
        <f t="shared" ca="1" si="87"/>
        <v>-6.3841077559952122E-2</v>
      </c>
      <c r="V574" s="4">
        <f t="shared" ca="1" si="88"/>
        <v>-1.4106002607301767E-2</v>
      </c>
      <c r="W574" s="4"/>
      <c r="X574">
        <v>572</v>
      </c>
      <c r="Y574" s="4">
        <f t="shared" ca="1" si="89"/>
        <v>3.0960528099344329E-2</v>
      </c>
      <c r="Z574" s="4">
        <f ca="1"/>
        <v>3.3445397340118289E-3</v>
      </c>
      <c r="AA574" s="4"/>
    </row>
    <row r="575" spans="1:27" x14ac:dyDescent="0.35">
      <c r="A575">
        <v>573</v>
      </c>
      <c r="B575">
        <f ca="1">_xlfn.NORM.INV(RAND(),Hitorical_Sim!$AB$4,Hitorical_Sim!$AB$5)</f>
        <v>-7.9228681813687321E-3</v>
      </c>
      <c r="C575">
        <f ca="1">_xlfn.NORM.INV(RAND(),Hitorical_Sim!$AB$4,Hitorical_Sim!$AB$5)</f>
        <v>-2.3603923219062814E-3</v>
      </c>
      <c r="D575">
        <f ca="1">_xlfn.NORM.INV(RAND(),Hitorical_Sim!$AB$4,Hitorical_Sim!$AB$5)</f>
        <v>8.4721360738428449E-3</v>
      </c>
      <c r="K575">
        <f t="shared" ca="1" si="92"/>
        <v>-1.7981716538578516</v>
      </c>
      <c r="L575">
        <f t="shared" ca="1" si="92"/>
        <v>0.75782104326610711</v>
      </c>
      <c r="M575">
        <f t="shared" ca="1" si="92"/>
        <v>-1.0561669739742077</v>
      </c>
      <c r="O575">
        <v>573</v>
      </c>
      <c r="P575" s="6">
        <f t="shared" ca="1" si="83"/>
        <v>1875.6465775086958</v>
      </c>
      <c r="Q575" s="6">
        <f t="shared" ca="1" si="84"/>
        <v>392.80767872396507</v>
      </c>
      <c r="R575" s="6">
        <f t="shared" ca="1" si="85"/>
        <v>145.98916351080769</v>
      </c>
      <c r="S575" s="6"/>
      <c r="T575" s="4">
        <f t="shared" ca="1" si="86"/>
        <v>-7.8470960317252716E-2</v>
      </c>
      <c r="U575" s="4">
        <f t="shared" ca="1" si="87"/>
        <v>6.5524829305664931E-2</v>
      </c>
      <c r="V575" s="4">
        <f t="shared" ca="1" si="88"/>
        <v>-4.3861771933657909E-2</v>
      </c>
      <c r="W575" s="4"/>
      <c r="X575">
        <v>573</v>
      </c>
      <c r="Y575" s="4">
        <f t="shared" ca="1" si="89"/>
        <v>-4.8021182558280827E-2</v>
      </c>
      <c r="Z575" s="4">
        <f ca="1"/>
        <v>3.3663723129861269E-3</v>
      </c>
      <c r="AA575" s="4"/>
    </row>
    <row r="576" spans="1:27" x14ac:dyDescent="0.35">
      <c r="A576">
        <v>574</v>
      </c>
      <c r="B576">
        <f ca="1">_xlfn.NORM.INV(RAND(),Hitorical_Sim!$AB$4,Hitorical_Sim!$AB$5)</f>
        <v>-2.032496346323746E-2</v>
      </c>
      <c r="C576">
        <f ca="1">_xlfn.NORM.INV(RAND(),Hitorical_Sim!$AB$4,Hitorical_Sim!$AB$5)</f>
        <v>1.52833165883118E-2</v>
      </c>
      <c r="D576">
        <f ca="1">_xlfn.NORM.INV(RAND(),Hitorical_Sim!$AB$4,Hitorical_Sim!$AB$5)</f>
        <v>4.5902993981692527E-3</v>
      </c>
      <c r="K576">
        <f t="shared" ca="1" si="92"/>
        <v>-0.42790082735347956</v>
      </c>
      <c r="L576">
        <f t="shared" ca="1" si="92"/>
        <v>-7.4838584863377933E-3</v>
      </c>
      <c r="M576">
        <f t="shared" ca="1" si="92"/>
        <v>-0.45178083768565064</v>
      </c>
      <c r="O576">
        <v>574</v>
      </c>
      <c r="P576" s="6">
        <f t="shared" ca="1" si="83"/>
        <v>1922.8592481130243</v>
      </c>
      <c r="Q576" s="6">
        <f t="shared" ca="1" si="84"/>
        <v>384.32406814669787</v>
      </c>
      <c r="R576" s="6">
        <f t="shared" ca="1" si="85"/>
        <v>148.70571742892344</v>
      </c>
      <c r="S576" s="6"/>
      <c r="T576" s="4">
        <f t="shared" ca="1" si="86"/>
        <v>2.4859828702617527E-2</v>
      </c>
      <c r="U576" s="4">
        <f t="shared" ca="1" si="87"/>
        <v>-2.1834000828975193E-2</v>
      </c>
      <c r="V576" s="4">
        <f t="shared" ca="1" si="88"/>
        <v>1.8436905723095039E-2</v>
      </c>
      <c r="W576" s="4"/>
      <c r="X576">
        <v>574</v>
      </c>
      <c r="Y576" s="4">
        <f t="shared" ca="1" si="89"/>
        <v>1.5223358996595156E-2</v>
      </c>
      <c r="Z576" s="4">
        <f ca="1"/>
        <v>3.372736439453411E-3</v>
      </c>
      <c r="AA576" s="4"/>
    </row>
    <row r="577" spans="1:27" x14ac:dyDescent="0.35">
      <c r="A577">
        <v>575</v>
      </c>
      <c r="B577">
        <f ca="1">_xlfn.NORM.INV(RAND(),Hitorical_Sim!$AB$4,Hitorical_Sim!$AB$5)</f>
        <v>2.7039908048920205E-3</v>
      </c>
      <c r="C577">
        <f ca="1">_xlfn.NORM.INV(RAND(),Hitorical_Sim!$AB$4,Hitorical_Sim!$AB$5)</f>
        <v>2.7297893686127465E-4</v>
      </c>
      <c r="D577">
        <f ca="1">_xlfn.NORM.INV(RAND(),Hitorical_Sim!$AB$4,Hitorical_Sim!$AB$5)</f>
        <v>-2.3227554210629081E-2</v>
      </c>
      <c r="K577">
        <f t="shared" ca="1" si="92"/>
        <v>-0.28712664750329564</v>
      </c>
      <c r="L577">
        <f t="shared" ca="1" si="92"/>
        <v>0.36458513396535941</v>
      </c>
      <c r="M577">
        <f t="shared" ca="1" si="92"/>
        <v>1.60043776104499</v>
      </c>
      <c r="O577">
        <v>575</v>
      </c>
      <c r="P577" s="6">
        <f t="shared" ca="1" si="83"/>
        <v>1927.7764373872881</v>
      </c>
      <c r="Q577" s="6">
        <f t="shared" ca="1" si="84"/>
        <v>388.42541932872768</v>
      </c>
      <c r="R577" s="6">
        <f t="shared" ca="1" si="85"/>
        <v>158.31276356301547</v>
      </c>
      <c r="S577" s="6"/>
      <c r="T577" s="4">
        <f t="shared" ca="1" si="86"/>
        <v>2.5539637341290113E-3</v>
      </c>
      <c r="U577" s="4">
        <f t="shared" ca="1" si="87"/>
        <v>1.0615056392588073E-2</v>
      </c>
      <c r="V577" s="4">
        <f t="shared" ca="1" si="88"/>
        <v>6.2603290439994325E-2</v>
      </c>
      <c r="W577" s="4"/>
      <c r="X577">
        <v>575</v>
      </c>
      <c r="Y577" s="4">
        <f t="shared" ca="1" si="89"/>
        <v>7.1345482980407823E-3</v>
      </c>
      <c r="Z577" s="4">
        <f ca="1"/>
        <v>3.4883660951341858E-3</v>
      </c>
      <c r="AA577" s="4"/>
    </row>
    <row r="578" spans="1:27" x14ac:dyDescent="0.35">
      <c r="A578">
        <v>576</v>
      </c>
      <c r="B578">
        <f ca="1">_xlfn.NORM.INV(RAND(),Hitorical_Sim!$AB$4,Hitorical_Sim!$AB$5)</f>
        <v>-3.7530512852222268E-3</v>
      </c>
      <c r="C578">
        <f ca="1">_xlfn.NORM.INV(RAND(),Hitorical_Sim!$AB$4,Hitorical_Sim!$AB$5)</f>
        <v>5.520749714261558E-3</v>
      </c>
      <c r="D578">
        <f ca="1">_xlfn.NORM.INV(RAND(),Hitorical_Sim!$AB$4,Hitorical_Sim!$AB$5)</f>
        <v>-1.407614007206681E-2</v>
      </c>
      <c r="K578">
        <f t="shared" ca="1" si="92"/>
        <v>-6.1730443789894486E-2</v>
      </c>
      <c r="L578">
        <f t="shared" ca="1" si="92"/>
        <v>1.9501383184310062</v>
      </c>
      <c r="M578">
        <f t="shared" ca="1" si="92"/>
        <v>-0.17680193952428608</v>
      </c>
      <c r="O578">
        <v>576</v>
      </c>
      <c r="P578" s="6">
        <f t="shared" ca="1" si="83"/>
        <v>1935.6756398639297</v>
      </c>
      <c r="Q578" s="6">
        <f t="shared" ca="1" si="84"/>
        <v>406.3995163700543</v>
      </c>
      <c r="R578" s="6">
        <f t="shared" ca="1" si="85"/>
        <v>149.95834896224008</v>
      </c>
      <c r="S578" s="6"/>
      <c r="T578" s="4">
        <f t="shared" ca="1" si="86"/>
        <v>4.0891996721769764E-3</v>
      </c>
      <c r="U578" s="4">
        <f t="shared" ca="1" si="87"/>
        <v>4.523552569013272E-2</v>
      </c>
      <c r="V578" s="4">
        <f t="shared" ca="1" si="88"/>
        <v>-5.4215010635341392E-2</v>
      </c>
      <c r="W578" s="4"/>
      <c r="X578">
        <v>576</v>
      </c>
      <c r="Y578" s="4">
        <f t="shared" ca="1" si="89"/>
        <v>9.4152115717013856E-3</v>
      </c>
      <c r="Z578" s="4">
        <f ca="1"/>
        <v>3.4884112753475124E-3</v>
      </c>
      <c r="AA578" s="4"/>
    </row>
    <row r="579" spans="1:27" x14ac:dyDescent="0.35">
      <c r="A579">
        <v>577</v>
      </c>
      <c r="B579">
        <f ca="1">_xlfn.NORM.INV(RAND(),Hitorical_Sim!$AB$4,Hitorical_Sim!$AB$5)</f>
        <v>8.3115827730486269E-4</v>
      </c>
      <c r="C579">
        <f ca="1">_xlfn.NORM.INV(RAND(),Hitorical_Sim!$AB$4,Hitorical_Sim!$AB$5)</f>
        <v>-4.7910040706803936E-3</v>
      </c>
      <c r="D579">
        <f ca="1">_xlfn.NORM.INV(RAND(),Hitorical_Sim!$AB$4,Hitorical_Sim!$AB$5)</f>
        <v>2.3885421992668457E-3</v>
      </c>
      <c r="K579">
        <f t="shared" ca="1" si="92"/>
        <v>3.1279954655299806</v>
      </c>
      <c r="L579">
        <f t="shared" ca="1" si="92"/>
        <v>-0.54932763255869599</v>
      </c>
      <c r="M579">
        <f t="shared" ca="1" si="92"/>
        <v>0.48245666400336495</v>
      </c>
      <c r="O579">
        <v>577</v>
      </c>
      <c r="P579" s="6">
        <f t="shared" ref="P579:P642" ca="1" si="93">$G$17*EXP(($G$15-0.5*$G$16)+($G$16*K579))</f>
        <v>2050.9955607515576</v>
      </c>
      <c r="Q579" s="6">
        <f t="shared" ref="Q579:Q642" ca="1" si="94">$H$17*EXP(($H$15-0.5*$H$16^2)+($H$16*L579))</f>
        <v>378.42860391809444</v>
      </c>
      <c r="R579" s="6">
        <f t="shared" ref="R579:R642" ca="1" si="95">$I$17*EXP(($I$15-0.5*$I$16)+($I$16*M579))</f>
        <v>153.00466053941824</v>
      </c>
      <c r="S579" s="6"/>
      <c r="T579" s="4">
        <f t="shared" ca="1" si="86"/>
        <v>5.7868881231516074E-2</v>
      </c>
      <c r="U579" s="4">
        <f t="shared" ca="1" si="87"/>
        <v>-7.1309280158716945E-2</v>
      </c>
      <c r="V579" s="4">
        <f t="shared" ca="1" si="88"/>
        <v>2.011080001771488E-2</v>
      </c>
      <c r="W579" s="4"/>
      <c r="X579">
        <v>577</v>
      </c>
      <c r="Y579" s="4">
        <f t="shared" ca="1" si="89"/>
        <v>3.0220390350512875E-2</v>
      </c>
      <c r="Z579" s="4">
        <f ca="1"/>
        <v>3.5729016593213821E-3</v>
      </c>
      <c r="AA579" s="4"/>
    </row>
    <row r="580" spans="1:27" x14ac:dyDescent="0.35">
      <c r="A580">
        <v>578</v>
      </c>
      <c r="B580">
        <f ca="1">_xlfn.NORM.INV(RAND(),Hitorical_Sim!$AB$4,Hitorical_Sim!$AB$5)</f>
        <v>-4.3131960169391064E-3</v>
      </c>
      <c r="C580">
        <f ca="1">_xlfn.NORM.INV(RAND(),Hitorical_Sim!$AB$4,Hitorical_Sim!$AB$5)</f>
        <v>-2.7009130901193151E-2</v>
      </c>
      <c r="D580">
        <f ca="1">_xlfn.NORM.INV(RAND(),Hitorical_Sim!$AB$4,Hitorical_Sim!$AB$5)</f>
        <v>-7.9743520000069151E-3</v>
      </c>
      <c r="K580">
        <f t="shared" ca="1" si="92"/>
        <v>-1.1558485189233292</v>
      </c>
      <c r="L580">
        <f t="shared" ca="1" si="92"/>
        <v>1.5410704197657124</v>
      </c>
      <c r="M580">
        <f t="shared" ca="1" si="92"/>
        <v>0.38956054815825358</v>
      </c>
      <c r="O580">
        <v>578</v>
      </c>
      <c r="P580" s="6">
        <f t="shared" ca="1" si="93"/>
        <v>1897.6317163058175</v>
      </c>
      <c r="Q580" s="6">
        <f t="shared" ca="1" si="94"/>
        <v>401.6841479586555</v>
      </c>
      <c r="R580" s="6">
        <f t="shared" ca="1" si="95"/>
        <v>152.57168780599713</v>
      </c>
      <c r="S580" s="6"/>
      <c r="T580" s="4">
        <f t="shared" ref="T580:T643" ca="1" si="96">LN(P580/P579)</f>
        <v>-7.7718671070246409E-2</v>
      </c>
      <c r="U580" s="4">
        <f t="shared" ref="U580:U643" ca="1" si="97">LN(Q580/Q579)</f>
        <v>5.9638652127832766E-2</v>
      </c>
      <c r="V580" s="4">
        <f t="shared" ref="V580:V643" ca="1" si="98">LN(R580/R579)</f>
        <v>-2.8338124040957775E-3</v>
      </c>
      <c r="W580" s="4"/>
      <c r="X580">
        <v>578</v>
      </c>
      <c r="Y580" s="4">
        <f t="shared" ref="Y580:Y643" ca="1" si="99">($G$18*T580)+($H$18*U580)+($I$18*V580)</f>
        <v>-4.6600472062871698E-2</v>
      </c>
      <c r="Z580" s="4">
        <f ca="1"/>
        <v>3.6476772217155545E-3</v>
      </c>
      <c r="AA580" s="4"/>
    </row>
    <row r="581" spans="1:27" x14ac:dyDescent="0.35">
      <c r="A581">
        <v>579</v>
      </c>
      <c r="B581">
        <f ca="1">_xlfn.NORM.INV(RAND(),Hitorical_Sim!$AB$4,Hitorical_Sim!$AB$5)</f>
        <v>-2.430484399858069E-2</v>
      </c>
      <c r="C581">
        <f ca="1">_xlfn.NORM.INV(RAND(),Hitorical_Sim!$AB$4,Hitorical_Sim!$AB$5)</f>
        <v>-2.3810693079760231E-3</v>
      </c>
      <c r="D581">
        <f ca="1">_xlfn.NORM.INV(RAND(),Hitorical_Sim!$AB$4,Hitorical_Sim!$AB$5)</f>
        <v>1.7210900755344038E-3</v>
      </c>
      <c r="K581">
        <f t="shared" ca="1" si="92"/>
        <v>1.9153121077237092</v>
      </c>
      <c r="L581">
        <f t="shared" ca="1" si="92"/>
        <v>-1.0284705481943537</v>
      </c>
      <c r="M581">
        <f t="shared" ca="1" si="92"/>
        <v>0.79357000122985721</v>
      </c>
      <c r="O581">
        <v>579</v>
      </c>
      <c r="P581" s="6">
        <f t="shared" ca="1" si="93"/>
        <v>2006.3647067789404</v>
      </c>
      <c r="Q581" s="6">
        <f t="shared" ca="1" si="94"/>
        <v>373.29073683900771</v>
      </c>
      <c r="R581" s="6">
        <f t="shared" ca="1" si="95"/>
        <v>154.46367404054601</v>
      </c>
      <c r="S581" s="6"/>
      <c r="T581" s="4">
        <f t="shared" ca="1" si="96"/>
        <v>5.5717837393822051E-2</v>
      </c>
      <c r="U581" s="4">
        <f t="shared" ca="1" si="97"/>
        <v>-7.3308506839635773E-2</v>
      </c>
      <c r="V581" s="4">
        <f t="shared" ca="1" si="98"/>
        <v>1.2324379647854707E-2</v>
      </c>
      <c r="W581" s="4"/>
      <c r="X581">
        <v>579</v>
      </c>
      <c r="Y581" s="4">
        <f t="shared" ca="1" si="99"/>
        <v>2.7820748991850417E-2</v>
      </c>
      <c r="Z581" s="4">
        <f ca="1"/>
        <v>3.6534354185812994E-3</v>
      </c>
      <c r="AA581" s="4"/>
    </row>
    <row r="582" spans="1:27" x14ac:dyDescent="0.35">
      <c r="A582">
        <v>580</v>
      </c>
      <c r="B582">
        <f ca="1">_xlfn.NORM.INV(RAND(),Hitorical_Sim!$AB$4,Hitorical_Sim!$AB$5)</f>
        <v>-1.3438476687023825E-2</v>
      </c>
      <c r="C582">
        <f ca="1">_xlfn.NORM.INV(RAND(),Hitorical_Sim!$AB$4,Hitorical_Sim!$AB$5)</f>
        <v>1.9646168333579041E-2</v>
      </c>
      <c r="D582">
        <f ca="1">_xlfn.NORM.INV(RAND(),Hitorical_Sim!$AB$4,Hitorical_Sim!$AB$5)</f>
        <v>-6.9760732801517535E-3</v>
      </c>
      <c r="K582">
        <f t="shared" ca="1" si="92"/>
        <v>-0.93974058012370942</v>
      </c>
      <c r="L582">
        <f t="shared" ca="1" si="92"/>
        <v>0.62663468594250271</v>
      </c>
      <c r="M582">
        <f t="shared" ca="1" si="92"/>
        <v>1.0945337637636299E-2</v>
      </c>
      <c r="O582">
        <v>580</v>
      </c>
      <c r="P582" s="6">
        <f t="shared" ca="1" si="93"/>
        <v>1905.0863450025251</v>
      </c>
      <c r="Q582" s="6">
        <f t="shared" ca="1" si="94"/>
        <v>391.34025680675711</v>
      </c>
      <c r="R582" s="6">
        <f t="shared" ca="1" si="95"/>
        <v>150.81966412325175</v>
      </c>
      <c r="S582" s="6"/>
      <c r="T582" s="4">
        <f t="shared" ca="1" si="96"/>
        <v>-5.1797147968112252E-2</v>
      </c>
      <c r="U582" s="4">
        <f t="shared" ca="1" si="97"/>
        <v>4.721983221515403E-2</v>
      </c>
      <c r="V582" s="4">
        <f t="shared" ca="1" si="98"/>
        <v>-2.3874103446227299E-2</v>
      </c>
      <c r="W582" s="4"/>
      <c r="X582">
        <v>580</v>
      </c>
      <c r="Y582" s="4">
        <f t="shared" ca="1" si="99"/>
        <v>-3.0654603478061281E-2</v>
      </c>
      <c r="Z582" s="4">
        <f ca="1"/>
        <v>3.6813132656667454E-3</v>
      </c>
      <c r="AA582" s="4"/>
    </row>
    <row r="583" spans="1:27" x14ac:dyDescent="0.35">
      <c r="A583">
        <v>581</v>
      </c>
      <c r="B583">
        <f ca="1">_xlfn.NORM.INV(RAND(),Hitorical_Sim!$AB$4,Hitorical_Sim!$AB$5)</f>
        <v>-3.2506663274469022E-3</v>
      </c>
      <c r="C583">
        <f ca="1">_xlfn.NORM.INV(RAND(),Hitorical_Sim!$AB$4,Hitorical_Sim!$AB$5)</f>
        <v>1.8568637485333647E-2</v>
      </c>
      <c r="D583">
        <f ca="1">_xlfn.NORM.INV(RAND(),Hitorical_Sim!$AB$4,Hitorical_Sim!$AB$5)</f>
        <v>-2.0567617270901957E-2</v>
      </c>
      <c r="K583">
        <f t="shared" ca="1" si="92"/>
        <v>0.97651462420016399</v>
      </c>
      <c r="L583">
        <f t="shared" ca="1" si="92"/>
        <v>1.305701736244042</v>
      </c>
      <c r="M583">
        <f t="shared" ca="1" si="92"/>
        <v>0.2726081014205366</v>
      </c>
      <c r="O583">
        <v>581</v>
      </c>
      <c r="P583" s="6">
        <f t="shared" ca="1" si="93"/>
        <v>1972.4818257147117</v>
      </c>
      <c r="Q583" s="6">
        <f t="shared" ca="1" si="94"/>
        <v>398.99586569929221</v>
      </c>
      <c r="R583" s="6">
        <f t="shared" ca="1" si="95"/>
        <v>152.02833448265307</v>
      </c>
      <c r="S583" s="6"/>
      <c r="T583" s="4">
        <f t="shared" ca="1" si="96"/>
        <v>3.4765226850459102E-2</v>
      </c>
      <c r="U583" s="4">
        <f t="shared" ca="1" si="97"/>
        <v>1.9373651606388903E-2</v>
      </c>
      <c r="V583" s="4">
        <f t="shared" ca="1" si="98"/>
        <v>7.9820687759893892E-3</v>
      </c>
      <c r="W583" s="4"/>
      <c r="X583">
        <v>581</v>
      </c>
      <c r="Y583" s="4">
        <f t="shared" ca="1" si="99"/>
        <v>3.0368057880580029E-2</v>
      </c>
      <c r="Z583" s="4">
        <f ca="1"/>
        <v>3.6993160648630345E-3</v>
      </c>
      <c r="AA583" s="4"/>
    </row>
    <row r="584" spans="1:27" x14ac:dyDescent="0.35">
      <c r="A584">
        <v>582</v>
      </c>
      <c r="B584">
        <f ca="1">_xlfn.NORM.INV(RAND(),Hitorical_Sim!$AB$4,Hitorical_Sim!$AB$5)</f>
        <v>5.7274809861171498E-3</v>
      </c>
      <c r="C584">
        <f ca="1">_xlfn.NORM.INV(RAND(),Hitorical_Sim!$AB$4,Hitorical_Sim!$AB$5)</f>
        <v>2.272032544056931E-2</v>
      </c>
      <c r="D584">
        <f ca="1">_xlfn.NORM.INV(RAND(),Hitorical_Sim!$AB$4,Hitorical_Sim!$AB$5)</f>
        <v>-1.8275319659815147E-3</v>
      </c>
      <c r="K584">
        <f t="shared" ref="K584:M603" ca="1" si="100">_xlfn.NORM.S.INV(RAND())</f>
        <v>-0.45180084359059652</v>
      </c>
      <c r="L584">
        <f t="shared" ca="1" si="100"/>
        <v>-0.39342665886222078</v>
      </c>
      <c r="M584">
        <f t="shared" ca="1" si="100"/>
        <v>-1.114144169801219E-2</v>
      </c>
      <c r="O584">
        <v>582</v>
      </c>
      <c r="P584" s="6">
        <f t="shared" ca="1" si="93"/>
        <v>1922.0256758409826</v>
      </c>
      <c r="Q584" s="6">
        <f t="shared" ca="1" si="94"/>
        <v>380.11553679175898</v>
      </c>
      <c r="R584" s="6">
        <f t="shared" ca="1" si="95"/>
        <v>150.71808192527826</v>
      </c>
      <c r="S584" s="6"/>
      <c r="T584" s="4">
        <f t="shared" ca="1" si="96"/>
        <v>-2.591289048542246E-2</v>
      </c>
      <c r="U584" s="4">
        <f t="shared" ca="1" si="97"/>
        <v>-4.8475804483068582E-2</v>
      </c>
      <c r="V584" s="4">
        <f t="shared" ca="1" si="98"/>
        <v>-8.655829876531464E-3</v>
      </c>
      <c r="W584" s="4"/>
      <c r="X584">
        <v>582</v>
      </c>
      <c r="Y584" s="4">
        <f t="shared" ca="1" si="99"/>
        <v>-2.9561674087019856E-2</v>
      </c>
      <c r="Z584" s="4">
        <f ca="1"/>
        <v>3.7064583866136098E-3</v>
      </c>
      <c r="AA584" s="4"/>
    </row>
    <row r="585" spans="1:27" x14ac:dyDescent="0.35">
      <c r="A585">
        <v>583</v>
      </c>
      <c r="B585">
        <f ca="1">_xlfn.NORM.INV(RAND(),Hitorical_Sim!$AB$4,Hitorical_Sim!$AB$5)</f>
        <v>-3.2622234353331406E-2</v>
      </c>
      <c r="C585">
        <f ca="1">_xlfn.NORM.INV(RAND(),Hitorical_Sim!$AB$4,Hitorical_Sim!$AB$5)</f>
        <v>-8.3647254814865641E-3</v>
      </c>
      <c r="D585">
        <f ca="1">_xlfn.NORM.INV(RAND(),Hitorical_Sim!$AB$4,Hitorical_Sim!$AB$5)</f>
        <v>1.7666390472203447E-2</v>
      </c>
      <c r="K585">
        <f t="shared" ca="1" si="100"/>
        <v>-1.8377842636539736</v>
      </c>
      <c r="L585">
        <f t="shared" ca="1" si="100"/>
        <v>0.66683976703942871</v>
      </c>
      <c r="M585">
        <f t="shared" ca="1" si="100"/>
        <v>0.25918628413158451</v>
      </c>
      <c r="O585">
        <v>583</v>
      </c>
      <c r="P585" s="6">
        <f t="shared" ca="1" si="93"/>
        <v>1874.2991043006302</v>
      </c>
      <c r="Q585" s="6">
        <f t="shared" ca="1" si="94"/>
        <v>391.78939852559415</v>
      </c>
      <c r="R585" s="6">
        <f t="shared" ca="1" si="95"/>
        <v>151.96610151708725</v>
      </c>
      <c r="S585" s="6"/>
      <c r="T585" s="4">
        <f t="shared" ca="1" si="96"/>
        <v>-2.5144890879229193E-2</v>
      </c>
      <c r="U585" s="4">
        <f t="shared" ca="1" si="97"/>
        <v>3.0249196064289087E-2</v>
      </c>
      <c r="V585" s="4">
        <f t="shared" ca="1" si="98"/>
        <v>8.2463949720369845E-3</v>
      </c>
      <c r="W585" s="4"/>
      <c r="X585">
        <v>583</v>
      </c>
      <c r="Y585" s="4">
        <f t="shared" ca="1" si="99"/>
        <v>-1.243746020427456E-2</v>
      </c>
      <c r="Z585" s="4">
        <f ca="1"/>
        <v>3.8309785924124781E-3</v>
      </c>
      <c r="AA585" s="4"/>
    </row>
    <row r="586" spans="1:27" x14ac:dyDescent="0.35">
      <c r="A586">
        <v>584</v>
      </c>
      <c r="B586">
        <f ca="1">_xlfn.NORM.INV(RAND(),Hitorical_Sim!$AB$4,Hitorical_Sim!$AB$5)</f>
        <v>4.6625518103196742E-3</v>
      </c>
      <c r="C586">
        <f ca="1">_xlfn.NORM.INV(RAND(),Hitorical_Sim!$AB$4,Hitorical_Sim!$AB$5)</f>
        <v>-3.8295105626624001E-3</v>
      </c>
      <c r="D586">
        <f ca="1">_xlfn.NORM.INV(RAND(),Hitorical_Sim!$AB$4,Hitorical_Sim!$AB$5)</f>
        <v>5.8073293906982454E-3</v>
      </c>
      <c r="K586">
        <f t="shared" ca="1" si="100"/>
        <v>-0.83395212164787347</v>
      </c>
      <c r="L586">
        <f t="shared" ca="1" si="100"/>
        <v>1.2982589086108927</v>
      </c>
      <c r="M586">
        <f t="shared" ca="1" si="100"/>
        <v>-6.3085748354789223E-2</v>
      </c>
      <c r="O586">
        <v>584</v>
      </c>
      <c r="P586" s="6">
        <f t="shared" ca="1" si="93"/>
        <v>1908.7461799355976</v>
      </c>
      <c r="Q586" s="6">
        <f t="shared" ca="1" si="94"/>
        <v>398.91115094105868</v>
      </c>
      <c r="R586" s="6">
        <f t="shared" ca="1" si="95"/>
        <v>150.47944765442992</v>
      </c>
      <c r="S586" s="6"/>
      <c r="T586" s="4">
        <f t="shared" ca="1" si="96"/>
        <v>1.8211797707256904E-2</v>
      </c>
      <c r="U586" s="4">
        <f t="shared" ca="1" si="97"/>
        <v>1.8014265985926724E-2</v>
      </c>
      <c r="V586" s="4">
        <f t="shared" ca="1" si="98"/>
        <v>-9.8309652114598346E-3</v>
      </c>
      <c r="W586" s="4"/>
      <c r="X586">
        <v>584</v>
      </c>
      <c r="Y586" s="4">
        <f t="shared" ca="1" si="99"/>
        <v>1.6784537129607771E-2</v>
      </c>
      <c r="Z586" s="4">
        <f ca="1"/>
        <v>3.8564448060388447E-3</v>
      </c>
      <c r="AA586" s="4"/>
    </row>
    <row r="587" spans="1:27" x14ac:dyDescent="0.35">
      <c r="A587">
        <v>585</v>
      </c>
      <c r="B587">
        <f ca="1">_xlfn.NORM.INV(RAND(),Hitorical_Sim!$AB$4,Hitorical_Sim!$AB$5)</f>
        <v>-2.4535440156820626E-3</v>
      </c>
      <c r="C587">
        <f ca="1">_xlfn.NORM.INV(RAND(),Hitorical_Sim!$AB$4,Hitorical_Sim!$AB$5)</f>
        <v>7.4033085878635863E-4</v>
      </c>
      <c r="D587">
        <f ca="1">_xlfn.NORM.INV(RAND(),Hitorical_Sim!$AB$4,Hitorical_Sim!$AB$5)</f>
        <v>2.5883625235056201E-2</v>
      </c>
      <c r="K587">
        <f t="shared" ca="1" si="100"/>
        <v>1.5059251047009716</v>
      </c>
      <c r="L587">
        <f t="shared" ca="1" si="100"/>
        <v>-1.1325823378836617</v>
      </c>
      <c r="M587">
        <f t="shared" ca="1" si="100"/>
        <v>1.2321396173414161</v>
      </c>
      <c r="O587">
        <v>585</v>
      </c>
      <c r="P587" s="6">
        <f t="shared" ca="1" si="93"/>
        <v>1991.5182147117525</v>
      </c>
      <c r="Q587" s="6">
        <f t="shared" ca="1" si="94"/>
        <v>372.18360045775268</v>
      </c>
      <c r="R587" s="6">
        <f t="shared" ca="1" si="95"/>
        <v>156.54407390578874</v>
      </c>
      <c r="S587" s="6"/>
      <c r="T587" s="4">
        <f t="shared" ca="1" si="96"/>
        <v>4.2450693619873595E-2</v>
      </c>
      <c r="U587" s="4">
        <f t="shared" ca="1" si="97"/>
        <v>-6.9351430612210482E-2</v>
      </c>
      <c r="V587" s="4">
        <f t="shared" ca="1" si="98"/>
        <v>3.9511078305245591E-2</v>
      </c>
      <c r="W587" s="4"/>
      <c r="X587">
        <v>585</v>
      </c>
      <c r="Y587" s="4">
        <f t="shared" ca="1" si="99"/>
        <v>1.9993075077270259E-2</v>
      </c>
      <c r="Z587" s="4">
        <f ca="1"/>
        <v>3.9521759995113622E-3</v>
      </c>
      <c r="AA587" s="4"/>
    </row>
    <row r="588" spans="1:27" x14ac:dyDescent="0.35">
      <c r="A588">
        <v>586</v>
      </c>
      <c r="B588">
        <f ca="1">_xlfn.NORM.INV(RAND(),Hitorical_Sim!$AB$4,Hitorical_Sim!$AB$5)</f>
        <v>7.8486611099045315E-3</v>
      </c>
      <c r="C588">
        <f ca="1">_xlfn.NORM.INV(RAND(),Hitorical_Sim!$AB$4,Hitorical_Sim!$AB$5)</f>
        <v>8.7834816673059684E-3</v>
      </c>
      <c r="D588">
        <f ca="1">_xlfn.NORM.INV(RAND(),Hitorical_Sim!$AB$4,Hitorical_Sim!$AB$5)</f>
        <v>-5.8300915488864111E-3</v>
      </c>
      <c r="K588">
        <f t="shared" ca="1" si="100"/>
        <v>0.99798932199251056</v>
      </c>
      <c r="L588">
        <f t="shared" ca="1" si="100"/>
        <v>-0.8812622606671725</v>
      </c>
      <c r="M588">
        <f t="shared" ca="1" si="100"/>
        <v>0.54467374514440192</v>
      </c>
      <c r="O588">
        <v>586</v>
      </c>
      <c r="P588" s="6">
        <f t="shared" ca="1" si="93"/>
        <v>1973.2504540572929</v>
      </c>
      <c r="Q588" s="6">
        <f t="shared" ca="1" si="94"/>
        <v>374.86178898591112</v>
      </c>
      <c r="R588" s="6">
        <f t="shared" ca="1" si="95"/>
        <v>153.2953304197863</v>
      </c>
      <c r="S588" s="6"/>
      <c r="T588" s="4">
        <f t="shared" ca="1" si="96"/>
        <v>-9.2151101124110669E-3</v>
      </c>
      <c r="U588" s="4">
        <f t="shared" ca="1" si="97"/>
        <v>7.1701131950386247E-3</v>
      </c>
      <c r="V588" s="4">
        <f t="shared" ca="1" si="98"/>
        <v>-2.0971267725258119E-2</v>
      </c>
      <c r="W588" s="4"/>
      <c r="X588">
        <v>586</v>
      </c>
      <c r="Y588" s="4">
        <f t="shared" ca="1" si="99"/>
        <v>-6.5269558501175086E-3</v>
      </c>
      <c r="Z588" s="4">
        <f ca="1"/>
        <v>4.009638094863043E-3</v>
      </c>
      <c r="AA588" s="4"/>
    </row>
    <row r="589" spans="1:27" x14ac:dyDescent="0.35">
      <c r="A589">
        <v>587</v>
      </c>
      <c r="B589">
        <f ca="1">_xlfn.NORM.INV(RAND(),Hitorical_Sim!$AB$4,Hitorical_Sim!$AB$5)</f>
        <v>-5.9871409039934332E-3</v>
      </c>
      <c r="C589">
        <f ca="1">_xlfn.NORM.INV(RAND(),Hitorical_Sim!$AB$4,Hitorical_Sim!$AB$5)</f>
        <v>-3.5552191089800615E-2</v>
      </c>
      <c r="D589">
        <f ca="1">_xlfn.NORM.INV(RAND(),Hitorical_Sim!$AB$4,Hitorical_Sim!$AB$5)</f>
        <v>6.9475974326185476E-3</v>
      </c>
      <c r="K589">
        <f t="shared" ca="1" si="100"/>
        <v>-0.41212823303606216</v>
      </c>
      <c r="L589">
        <f t="shared" ca="1" si="100"/>
        <v>1.6988056204775523</v>
      </c>
      <c r="M589">
        <f t="shared" ca="1" si="100"/>
        <v>-1.861763624601944</v>
      </c>
      <c r="O589">
        <v>587</v>
      </c>
      <c r="P589" s="6">
        <f t="shared" ca="1" si="93"/>
        <v>1923.4095544159391</v>
      </c>
      <c r="Q589" s="6">
        <f t="shared" ca="1" si="94"/>
        <v>403.49586223242426</v>
      </c>
      <c r="R589" s="6">
        <f t="shared" ca="1" si="95"/>
        <v>142.44522337791727</v>
      </c>
      <c r="S589" s="6"/>
      <c r="T589" s="4">
        <f t="shared" ca="1" si="96"/>
        <v>-2.5582738967005501E-2</v>
      </c>
      <c r="U589" s="4">
        <f t="shared" ca="1" si="97"/>
        <v>7.3608837636778085E-2</v>
      </c>
      <c r="V589" s="4">
        <f t="shared" ca="1" si="98"/>
        <v>-7.3408796546853824E-2</v>
      </c>
      <c r="W589" s="4"/>
      <c r="X589">
        <v>587</v>
      </c>
      <c r="Y589" s="4">
        <f t="shared" ca="1" si="99"/>
        <v>-8.1541821488325932E-3</v>
      </c>
      <c r="Z589" s="4">
        <f ca="1"/>
        <v>4.1040255056287722E-3</v>
      </c>
      <c r="AA589" s="4"/>
    </row>
    <row r="590" spans="1:27" x14ac:dyDescent="0.35">
      <c r="A590">
        <v>588</v>
      </c>
      <c r="B590">
        <f ca="1">_xlfn.NORM.INV(RAND(),Hitorical_Sim!$AB$4,Hitorical_Sim!$AB$5)</f>
        <v>-2.3421843328990898E-2</v>
      </c>
      <c r="C590">
        <f ca="1">_xlfn.NORM.INV(RAND(),Hitorical_Sim!$AB$4,Hitorical_Sim!$AB$5)</f>
        <v>-6.5622038039016353E-3</v>
      </c>
      <c r="D590">
        <f ca="1">_xlfn.NORM.INV(RAND(),Hitorical_Sim!$AB$4,Hitorical_Sim!$AB$5)</f>
        <v>-8.023494796616874E-3</v>
      </c>
      <c r="K590">
        <f t="shared" ca="1" si="100"/>
        <v>-1.4638758358443122</v>
      </c>
      <c r="L590">
        <f t="shared" ca="1" si="100"/>
        <v>0.70199101599241776</v>
      </c>
      <c r="M590">
        <f t="shared" ca="1" si="100"/>
        <v>1.1898692899790426</v>
      </c>
      <c r="O590">
        <v>588</v>
      </c>
      <c r="P590" s="6">
        <f t="shared" ca="1" si="93"/>
        <v>1887.0567264055092</v>
      </c>
      <c r="Q590" s="6">
        <f t="shared" ca="1" si="94"/>
        <v>392.18250487112221</v>
      </c>
      <c r="R590" s="6">
        <f t="shared" ca="1" si="95"/>
        <v>156.34234607860571</v>
      </c>
      <c r="S590" s="6"/>
      <c r="T590" s="4">
        <f t="shared" ca="1" si="96"/>
        <v>-1.9081093122957502E-2</v>
      </c>
      <c r="U590" s="4">
        <f t="shared" ca="1" si="97"/>
        <v>-2.843892787152574E-2</v>
      </c>
      <c r="V590" s="4">
        <f t="shared" ca="1" si="98"/>
        <v>9.3090600477905391E-2</v>
      </c>
      <c r="W590" s="4"/>
      <c r="X590">
        <v>588</v>
      </c>
      <c r="Y590" s="4">
        <f t="shared" ca="1" si="99"/>
        <v>-1.5397228812141273E-2</v>
      </c>
      <c r="Z590" s="4">
        <f ca="1"/>
        <v>4.1061162513747916E-3</v>
      </c>
      <c r="AA590" s="4"/>
    </row>
    <row r="591" spans="1:27" x14ac:dyDescent="0.35">
      <c r="A591">
        <v>589</v>
      </c>
      <c r="B591">
        <f ca="1">_xlfn.NORM.INV(RAND(),Hitorical_Sim!$AB$4,Hitorical_Sim!$AB$5)</f>
        <v>8.7778213128375665E-3</v>
      </c>
      <c r="C591">
        <f ca="1">_xlfn.NORM.INV(RAND(),Hitorical_Sim!$AB$4,Hitorical_Sim!$AB$5)</f>
        <v>-4.632007637718415E-3</v>
      </c>
      <c r="D591">
        <f ca="1">_xlfn.NORM.INV(RAND(),Hitorical_Sim!$AB$4,Hitorical_Sim!$AB$5)</f>
        <v>6.7689614985324397E-3</v>
      </c>
      <c r="K591">
        <f t="shared" ca="1" si="100"/>
        <v>-0.77372635727945183</v>
      </c>
      <c r="L591">
        <f t="shared" ca="1" si="100"/>
        <v>-0.797321549487223</v>
      </c>
      <c r="M591">
        <f t="shared" ca="1" si="100"/>
        <v>0.46285747081905837</v>
      </c>
      <c r="O591">
        <v>589</v>
      </c>
      <c r="P591" s="6">
        <f t="shared" ca="1" si="93"/>
        <v>1910.8328774823917</v>
      </c>
      <c r="Q591" s="6">
        <f t="shared" ca="1" si="94"/>
        <v>375.76058839043969</v>
      </c>
      <c r="R591" s="6">
        <f t="shared" ca="1" si="95"/>
        <v>152.91320993636026</v>
      </c>
      <c r="S591" s="6"/>
      <c r="T591" s="4">
        <f t="shared" ca="1" si="96"/>
        <v>1.2520880897750455E-2</v>
      </c>
      <c r="U591" s="4">
        <f t="shared" ca="1" si="97"/>
        <v>-4.2775097510305254E-2</v>
      </c>
      <c r="V591" s="4">
        <f t="shared" ca="1" si="98"/>
        <v>-2.2177623814701355E-2</v>
      </c>
      <c r="W591" s="4"/>
      <c r="X591">
        <v>589</v>
      </c>
      <c r="Y591" s="4">
        <f t="shared" ca="1" si="99"/>
        <v>-2.3166474108640635E-4</v>
      </c>
      <c r="Z591" s="4">
        <f ca="1"/>
        <v>4.1206664900663558E-3</v>
      </c>
      <c r="AA591" s="4"/>
    </row>
    <row r="592" spans="1:27" x14ac:dyDescent="0.35">
      <c r="A592">
        <v>590</v>
      </c>
      <c r="B592">
        <f ca="1">_xlfn.NORM.INV(RAND(),Hitorical_Sim!$AB$4,Hitorical_Sim!$AB$5)</f>
        <v>1.0163484103205372E-2</v>
      </c>
      <c r="C592">
        <f ca="1">_xlfn.NORM.INV(RAND(),Hitorical_Sim!$AB$4,Hitorical_Sim!$AB$5)</f>
        <v>9.8729992507884021E-4</v>
      </c>
      <c r="D592">
        <f ca="1">_xlfn.NORM.INV(RAND(),Hitorical_Sim!$AB$4,Hitorical_Sim!$AB$5)</f>
        <v>-2.4151710090228222E-3</v>
      </c>
      <c r="K592">
        <f t="shared" ca="1" si="100"/>
        <v>1.1348794355025003</v>
      </c>
      <c r="L592">
        <f t="shared" ca="1" si="100"/>
        <v>0.8666159140649633</v>
      </c>
      <c r="M592">
        <f t="shared" ca="1" si="100"/>
        <v>-0.43021469799940476</v>
      </c>
      <c r="O592">
        <v>590</v>
      </c>
      <c r="P592" s="6">
        <f t="shared" ca="1" si="93"/>
        <v>1978.1571078025838</v>
      </c>
      <c r="Q592" s="6">
        <f t="shared" ca="1" si="94"/>
        <v>394.02880729902989</v>
      </c>
      <c r="R592" s="6">
        <f t="shared" ca="1" si="95"/>
        <v>148.80357996948129</v>
      </c>
      <c r="S592" s="6"/>
      <c r="T592" s="4">
        <f t="shared" ca="1" si="96"/>
        <v>3.4626449130807292E-2</v>
      </c>
      <c r="U592" s="4">
        <f t="shared" ca="1" si="97"/>
        <v>4.7471814012127279E-2</v>
      </c>
      <c r="V592" s="4">
        <f t="shared" ca="1" si="98"/>
        <v>-2.7243324080095374E-2</v>
      </c>
      <c r="W592" s="4"/>
      <c r="X592">
        <v>590</v>
      </c>
      <c r="Y592" s="4">
        <f t="shared" ca="1" si="99"/>
        <v>3.4128031938087763E-2</v>
      </c>
      <c r="Z592" s="4">
        <f ca="1"/>
        <v>4.205953090495233E-3</v>
      </c>
      <c r="AA592" s="4"/>
    </row>
    <row r="593" spans="1:27" x14ac:dyDescent="0.35">
      <c r="A593">
        <v>591</v>
      </c>
      <c r="B593">
        <f ca="1">_xlfn.NORM.INV(RAND(),Hitorical_Sim!$AB$4,Hitorical_Sim!$AB$5)</f>
        <v>1.9726435785248238E-2</v>
      </c>
      <c r="C593">
        <f ca="1">_xlfn.NORM.INV(RAND(),Hitorical_Sim!$AB$4,Hitorical_Sim!$AB$5)</f>
        <v>-8.5759580998520293E-3</v>
      </c>
      <c r="D593">
        <f ca="1">_xlfn.NORM.INV(RAND(),Hitorical_Sim!$AB$4,Hitorical_Sim!$AB$5)</f>
        <v>6.9767849283467976E-3</v>
      </c>
      <c r="K593">
        <f t="shared" ca="1" si="100"/>
        <v>1.3695995132716505</v>
      </c>
      <c r="L593">
        <f t="shared" ca="1" si="100"/>
        <v>-0.28621562620609953</v>
      </c>
      <c r="M593">
        <f t="shared" ca="1" si="100"/>
        <v>-0.62157901063622611</v>
      </c>
      <c r="O593">
        <v>591</v>
      </c>
      <c r="P593" s="6">
        <f t="shared" ca="1" si="93"/>
        <v>1986.5987659276329</v>
      </c>
      <c r="Q593" s="6">
        <f t="shared" ca="1" si="94"/>
        <v>381.27997993426681</v>
      </c>
      <c r="R593" s="6">
        <f t="shared" ca="1" si="95"/>
        <v>147.93745438340181</v>
      </c>
      <c r="S593" s="6"/>
      <c r="T593" s="4">
        <f t="shared" ca="1" si="96"/>
        <v>4.2583559494525939E-3</v>
      </c>
      <c r="U593" s="4">
        <f t="shared" ca="1" si="97"/>
        <v>-3.2890060874181164E-2</v>
      </c>
      <c r="V593" s="4">
        <f t="shared" ca="1" si="98"/>
        <v>-5.8376021205845292E-3</v>
      </c>
      <c r="W593" s="4"/>
      <c r="X593">
        <v>591</v>
      </c>
      <c r="Y593" s="4">
        <f t="shared" ca="1" si="99"/>
        <v>-3.6549327142658536E-3</v>
      </c>
      <c r="Z593" s="4">
        <f ca="1"/>
        <v>4.2823303540922399E-3</v>
      </c>
      <c r="AA593" s="4"/>
    </row>
    <row r="594" spans="1:27" x14ac:dyDescent="0.35">
      <c r="A594">
        <v>592</v>
      </c>
      <c r="B594">
        <f ca="1">_xlfn.NORM.INV(RAND(),Hitorical_Sim!$AB$4,Hitorical_Sim!$AB$5)</f>
        <v>-1.0698463788137024E-2</v>
      </c>
      <c r="C594">
        <f ca="1">_xlfn.NORM.INV(RAND(),Hitorical_Sim!$AB$4,Hitorical_Sim!$AB$5)</f>
        <v>2.3720557681737871E-2</v>
      </c>
      <c r="D594">
        <f ca="1">_xlfn.NORM.INV(RAND(),Hitorical_Sim!$AB$4,Hitorical_Sim!$AB$5)</f>
        <v>3.2860356884965233E-3</v>
      </c>
      <c r="K594">
        <f t="shared" ca="1" si="100"/>
        <v>-0.7773013088336489</v>
      </c>
      <c r="L594">
        <f t="shared" ca="1" si="100"/>
        <v>0.89456086162933579</v>
      </c>
      <c r="M594">
        <f t="shared" ca="1" si="100"/>
        <v>0.40974721810345455</v>
      </c>
      <c r="O594">
        <v>592</v>
      </c>
      <c r="P594" s="6">
        <f t="shared" ca="1" si="93"/>
        <v>1910.7089491794504</v>
      </c>
      <c r="Q594" s="6">
        <f t="shared" ca="1" si="94"/>
        <v>394.34307752353521</v>
      </c>
      <c r="R594" s="6">
        <f t="shared" ca="1" si="95"/>
        <v>152.66567006934278</v>
      </c>
      <c r="S594" s="6"/>
      <c r="T594" s="4">
        <f t="shared" ca="1" si="96"/>
        <v>-3.8949662830668343E-2</v>
      </c>
      <c r="U594" s="4">
        <f t="shared" ca="1" si="97"/>
        <v>3.3687324823345563E-2</v>
      </c>
      <c r="V594" s="4">
        <f t="shared" ca="1" si="98"/>
        <v>3.1460788571017632E-2</v>
      </c>
      <c r="W594" s="4"/>
      <c r="X594">
        <v>592</v>
      </c>
      <c r="Y594" s="4">
        <f t="shared" ca="1" si="99"/>
        <v>-2.0969016751743137E-2</v>
      </c>
      <c r="Z594" s="4">
        <f ca="1"/>
        <v>4.2843791107472461E-3</v>
      </c>
      <c r="AA594" s="4"/>
    </row>
    <row r="595" spans="1:27" x14ac:dyDescent="0.35">
      <c r="A595">
        <v>593</v>
      </c>
      <c r="B595">
        <f ca="1">_xlfn.NORM.INV(RAND(),Hitorical_Sim!$AB$4,Hitorical_Sim!$AB$5)</f>
        <v>-1.8087731372147607E-2</v>
      </c>
      <c r="C595">
        <f ca="1">_xlfn.NORM.INV(RAND(),Hitorical_Sim!$AB$4,Hitorical_Sim!$AB$5)</f>
        <v>-2.7815196804295502E-2</v>
      </c>
      <c r="D595">
        <f ca="1">_xlfn.NORM.INV(RAND(),Hitorical_Sim!$AB$4,Hitorical_Sim!$AB$5)</f>
        <v>2.899146220718336E-3</v>
      </c>
      <c r="K595">
        <f t="shared" ca="1" si="100"/>
        <v>0.73846310865397025</v>
      </c>
      <c r="L595">
        <f t="shared" ca="1" si="100"/>
        <v>1.0011888017471187</v>
      </c>
      <c r="M595">
        <f t="shared" ca="1" si="100"/>
        <v>1.9095566844436129</v>
      </c>
      <c r="O595">
        <v>593</v>
      </c>
      <c r="P595" s="6">
        <f t="shared" ca="1" si="93"/>
        <v>1963.9814483873827</v>
      </c>
      <c r="Q595" s="6">
        <f t="shared" ca="1" si="94"/>
        <v>395.54452506724544</v>
      </c>
      <c r="R595" s="6">
        <f t="shared" ca="1" si="95"/>
        <v>159.81267049361639</v>
      </c>
      <c r="S595" s="6"/>
      <c r="T595" s="4">
        <f t="shared" ca="1" si="96"/>
        <v>2.7499413286344698E-2</v>
      </c>
      <c r="U595" s="4">
        <f t="shared" ca="1" si="97"/>
        <v>3.0420745085945611E-3</v>
      </c>
      <c r="V595" s="4">
        <f t="shared" ca="1" si="98"/>
        <v>4.5751952391437284E-2</v>
      </c>
      <c r="W595" s="4"/>
      <c r="X595">
        <v>593</v>
      </c>
      <c r="Y595" s="4">
        <f t="shared" ca="1" si="99"/>
        <v>2.3521828837241424E-2</v>
      </c>
      <c r="Z595" s="4">
        <f ca="1"/>
        <v>4.3270174385870875E-3</v>
      </c>
      <c r="AA595" s="4"/>
    </row>
    <row r="596" spans="1:27" x14ac:dyDescent="0.35">
      <c r="A596">
        <v>594</v>
      </c>
      <c r="B596">
        <f ca="1">_xlfn.NORM.INV(RAND(),Hitorical_Sim!$AB$4,Hitorical_Sim!$AB$5)</f>
        <v>-1.2794144676239111E-3</v>
      </c>
      <c r="C596">
        <f ca="1">_xlfn.NORM.INV(RAND(),Hitorical_Sim!$AB$4,Hitorical_Sim!$AB$5)</f>
        <v>1.5432433573419573E-2</v>
      </c>
      <c r="D596">
        <f ca="1">_xlfn.NORM.INV(RAND(),Hitorical_Sim!$AB$4,Hitorical_Sim!$AB$5)</f>
        <v>2.0709328094710513E-2</v>
      </c>
      <c r="K596">
        <f t="shared" ca="1" si="100"/>
        <v>-1.3695396150784911</v>
      </c>
      <c r="L596">
        <f t="shared" ca="1" si="100"/>
        <v>1.0483481592938642</v>
      </c>
      <c r="M596">
        <f t="shared" ca="1" si="100"/>
        <v>-7.3970887841131788E-2</v>
      </c>
      <c r="O596">
        <v>594</v>
      </c>
      <c r="P596" s="6">
        <f t="shared" ca="1" si="93"/>
        <v>1890.2891394033907</v>
      </c>
      <c r="Q596" s="6">
        <f t="shared" ca="1" si="94"/>
        <v>396.07706757379935</v>
      </c>
      <c r="R596" s="6">
        <f t="shared" ca="1" si="95"/>
        <v>150.42948878222336</v>
      </c>
      <c r="S596" s="6"/>
      <c r="T596" s="4">
        <f t="shared" ca="1" si="96"/>
        <v>-3.8243962874351507E-2</v>
      </c>
      <c r="U596" s="4">
        <f t="shared" ca="1" si="97"/>
        <v>1.3454473496927436E-3</v>
      </c>
      <c r="V596" s="4">
        <f t="shared" ca="1" si="98"/>
        <v>-6.0507858558676852E-2</v>
      </c>
      <c r="W596" s="4"/>
      <c r="X596">
        <v>594</v>
      </c>
      <c r="Y596" s="4">
        <f t="shared" ca="1" si="99"/>
        <v>-3.1445022224644383E-2</v>
      </c>
      <c r="Z596" s="4">
        <f ca="1"/>
        <v>4.3525819594475131E-3</v>
      </c>
      <c r="AA596" s="4"/>
    </row>
    <row r="597" spans="1:27" x14ac:dyDescent="0.35">
      <c r="A597">
        <v>595</v>
      </c>
      <c r="B597">
        <f ca="1">_xlfn.NORM.INV(RAND(),Hitorical_Sim!$AB$4,Hitorical_Sim!$AB$5)</f>
        <v>1.128909567339271E-2</v>
      </c>
      <c r="C597">
        <f ca="1">_xlfn.NORM.INV(RAND(),Hitorical_Sim!$AB$4,Hitorical_Sim!$AB$5)</f>
        <v>2.7993677813346357E-2</v>
      </c>
      <c r="D597">
        <f ca="1">_xlfn.NORM.INV(RAND(),Hitorical_Sim!$AB$4,Hitorical_Sim!$AB$5)</f>
        <v>-7.2875275779535863E-4</v>
      </c>
      <c r="K597">
        <f t="shared" ca="1" si="100"/>
        <v>1.2098009712790352</v>
      </c>
      <c r="L597">
        <f t="shared" ca="1" si="100"/>
        <v>0.8865066108183205</v>
      </c>
      <c r="M597">
        <f t="shared" ca="1" si="100"/>
        <v>-0.15824274424664522</v>
      </c>
      <c r="O597">
        <v>595</v>
      </c>
      <c r="P597" s="6">
        <f t="shared" ca="1" si="93"/>
        <v>1980.847740170803</v>
      </c>
      <c r="Q597" s="6">
        <f t="shared" ca="1" si="94"/>
        <v>394.25247332940751</v>
      </c>
      <c r="R597" s="6">
        <f t="shared" ca="1" si="95"/>
        <v>150.04327214783754</v>
      </c>
      <c r="S597" s="6"/>
      <c r="T597" s="4">
        <f t="shared" ca="1" si="96"/>
        <v>4.679510349507747E-2</v>
      </c>
      <c r="U597" s="4">
        <f t="shared" ca="1" si="97"/>
        <v>-4.6173080761486357E-3</v>
      </c>
      <c r="V597" s="4">
        <f t="shared" ca="1" si="98"/>
        <v>-2.5707278482589133E-3</v>
      </c>
      <c r="W597" s="4"/>
      <c r="X597">
        <v>595</v>
      </c>
      <c r="Y597" s="4">
        <f t="shared" ca="1" si="99"/>
        <v>3.4091705983743024E-2</v>
      </c>
      <c r="Z597" s="4">
        <f ca="1"/>
        <v>4.5196526425396472E-3</v>
      </c>
      <c r="AA597" s="4"/>
    </row>
    <row r="598" spans="1:27" x14ac:dyDescent="0.35">
      <c r="A598">
        <v>596</v>
      </c>
      <c r="B598">
        <f ca="1">_xlfn.NORM.INV(RAND(),Hitorical_Sim!$AB$4,Hitorical_Sim!$AB$5)</f>
        <v>2.3779218023507132E-2</v>
      </c>
      <c r="C598">
        <f ca="1">_xlfn.NORM.INV(RAND(),Hitorical_Sim!$AB$4,Hitorical_Sim!$AB$5)</f>
        <v>7.8168281896721578E-3</v>
      </c>
      <c r="D598">
        <f ca="1">_xlfn.NORM.INV(RAND(),Hitorical_Sim!$AB$4,Hitorical_Sim!$AB$5)</f>
        <v>6.7679464936057374E-3</v>
      </c>
      <c r="K598">
        <f t="shared" ca="1" si="100"/>
        <v>0.36683670965484688</v>
      </c>
      <c r="L598">
        <f t="shared" ca="1" si="100"/>
        <v>-0.71250620380113727</v>
      </c>
      <c r="M598">
        <f t="shared" ca="1" si="100"/>
        <v>-1.1357060163359121</v>
      </c>
      <c r="O598">
        <v>596</v>
      </c>
      <c r="P598" s="6">
        <f t="shared" ca="1" si="93"/>
        <v>1950.7845326942231</v>
      </c>
      <c r="Q598" s="6">
        <f t="shared" ca="1" si="94"/>
        <v>376.67094184070561</v>
      </c>
      <c r="R598" s="6">
        <f t="shared" ca="1" si="95"/>
        <v>145.63537172128193</v>
      </c>
      <c r="S598" s="6"/>
      <c r="T598" s="4">
        <f t="shared" ca="1" si="96"/>
        <v>-1.5293288553668996E-2</v>
      </c>
      <c r="U598" s="4">
        <f t="shared" ca="1" si="97"/>
        <v>-4.5619526335186816E-2</v>
      </c>
      <c r="V598" s="4">
        <f t="shared" ca="1" si="98"/>
        <v>-2.981768957501961E-2</v>
      </c>
      <c r="W598" s="4"/>
      <c r="X598">
        <v>596</v>
      </c>
      <c r="Y598" s="4">
        <f t="shared" ca="1" si="99"/>
        <v>-2.2064251940497978E-2</v>
      </c>
      <c r="Z598" s="4">
        <f ca="1"/>
        <v>4.623809736609045E-3</v>
      </c>
      <c r="AA598" s="4"/>
    </row>
    <row r="599" spans="1:27" x14ac:dyDescent="0.35">
      <c r="A599">
        <v>597</v>
      </c>
      <c r="B599">
        <f ca="1">_xlfn.NORM.INV(RAND(),Hitorical_Sim!$AB$4,Hitorical_Sim!$AB$5)</f>
        <v>5.695841345540271E-3</v>
      </c>
      <c r="C599">
        <f ca="1">_xlfn.NORM.INV(RAND(),Hitorical_Sim!$AB$4,Hitorical_Sim!$AB$5)</f>
        <v>6.3285320392165003E-3</v>
      </c>
      <c r="D599">
        <f ca="1">_xlfn.NORM.INV(RAND(),Hitorical_Sim!$AB$4,Hitorical_Sim!$AB$5)</f>
        <v>1.6321967673539666E-3</v>
      </c>
      <c r="K599">
        <f t="shared" ca="1" si="100"/>
        <v>2.0029695620429715</v>
      </c>
      <c r="L599">
        <f t="shared" ca="1" si="100"/>
        <v>0.92600337773158348</v>
      </c>
      <c r="M599">
        <f t="shared" ca="1" si="100"/>
        <v>-6.3643573976269699E-2</v>
      </c>
      <c r="O599">
        <v>597</v>
      </c>
      <c r="P599" s="6">
        <f t="shared" ca="1" si="93"/>
        <v>2009.5579781708523</v>
      </c>
      <c r="Q599" s="6">
        <f t="shared" ca="1" si="94"/>
        <v>394.69698125941329</v>
      </c>
      <c r="R599" s="6">
        <f t="shared" ca="1" si="95"/>
        <v>150.47688703231179</v>
      </c>
      <c r="S599" s="6"/>
      <c r="T599" s="4">
        <f t="shared" ca="1" si="96"/>
        <v>2.9683170405703892E-2</v>
      </c>
      <c r="U599" s="4">
        <f t="shared" ca="1" si="97"/>
        <v>4.6746361456131862E-2</v>
      </c>
      <c r="V599" s="4">
        <f t="shared" ca="1" si="98"/>
        <v>3.2703453954838445E-2</v>
      </c>
      <c r="W599" s="4"/>
      <c r="X599">
        <v>597</v>
      </c>
      <c r="Y599" s="4">
        <f t="shared" ca="1" si="99"/>
        <v>3.3237912749284289E-2</v>
      </c>
      <c r="Z599" s="4">
        <f ca="1"/>
        <v>4.6342745824316765E-3</v>
      </c>
      <c r="AA599" s="4"/>
    </row>
    <row r="600" spans="1:27" x14ac:dyDescent="0.35">
      <c r="A600">
        <v>598</v>
      </c>
      <c r="B600">
        <f ca="1">_xlfn.NORM.INV(RAND(),Hitorical_Sim!$AB$4,Hitorical_Sim!$AB$5)</f>
        <v>4.6754818013301017E-3</v>
      </c>
      <c r="C600">
        <f ca="1">_xlfn.NORM.INV(RAND(),Hitorical_Sim!$AB$4,Hitorical_Sim!$AB$5)</f>
        <v>1.7415033600014659E-2</v>
      </c>
      <c r="D600">
        <f ca="1">_xlfn.NORM.INV(RAND(),Hitorical_Sim!$AB$4,Hitorical_Sim!$AB$5)</f>
        <v>2.7804169561574089E-2</v>
      </c>
      <c r="K600">
        <f t="shared" ca="1" si="100"/>
        <v>-0.89198065213417232</v>
      </c>
      <c r="L600">
        <f t="shared" ca="1" si="100"/>
        <v>-0.56054904127403393</v>
      </c>
      <c r="M600">
        <f t="shared" ca="1" si="100"/>
        <v>-1.0403069605141044</v>
      </c>
      <c r="O600">
        <v>598</v>
      </c>
      <c r="P600" s="6">
        <f t="shared" ca="1" si="93"/>
        <v>1906.7377675644029</v>
      </c>
      <c r="Q600" s="6">
        <f t="shared" ca="1" si="94"/>
        <v>378.30747142737084</v>
      </c>
      <c r="R600" s="6">
        <f t="shared" ca="1" si="95"/>
        <v>146.05981198320461</v>
      </c>
      <c r="S600" s="6"/>
      <c r="T600" s="4">
        <f t="shared" ca="1" si="96"/>
        <v>-5.2520979820203595E-2</v>
      </c>
      <c r="U600" s="4">
        <f t="shared" ca="1" si="97"/>
        <v>-4.2411052999347942E-2</v>
      </c>
      <c r="V600" s="4">
        <f t="shared" ca="1" si="98"/>
        <v>-2.9793288925144362E-2</v>
      </c>
      <c r="W600" s="4"/>
      <c r="X600">
        <v>598</v>
      </c>
      <c r="Y600" s="4">
        <f t="shared" ca="1" si="99"/>
        <v>-4.9378564696132603E-2</v>
      </c>
      <c r="Z600" s="4">
        <f ca="1"/>
        <v>4.6691764202681221E-3</v>
      </c>
      <c r="AA600" s="4"/>
    </row>
    <row r="601" spans="1:27" x14ac:dyDescent="0.35">
      <c r="A601">
        <v>599</v>
      </c>
      <c r="B601">
        <f ca="1">_xlfn.NORM.INV(RAND(),Hitorical_Sim!$AB$4,Hitorical_Sim!$AB$5)</f>
        <v>2.847343692102507E-2</v>
      </c>
      <c r="C601">
        <f ca="1">_xlfn.NORM.INV(RAND(),Hitorical_Sim!$AB$4,Hitorical_Sim!$AB$5)</f>
        <v>-4.0655761727747325E-3</v>
      </c>
      <c r="D601">
        <f ca="1">_xlfn.NORM.INV(RAND(),Hitorical_Sim!$AB$4,Hitorical_Sim!$AB$5)</f>
        <v>2.1821440887549018E-2</v>
      </c>
      <c r="K601">
        <f t="shared" ca="1" si="100"/>
        <v>-1.6248301477568818</v>
      </c>
      <c r="L601">
        <f t="shared" ca="1" si="100"/>
        <v>-2.3124997425893419</v>
      </c>
      <c r="M601">
        <f t="shared" ca="1" si="100"/>
        <v>0.4047226006353653</v>
      </c>
      <c r="O601">
        <v>599</v>
      </c>
      <c r="P601" s="6">
        <f t="shared" ca="1" si="93"/>
        <v>1881.5544125499332</v>
      </c>
      <c r="Q601" s="6">
        <f t="shared" ca="1" si="94"/>
        <v>359.86338265060692</v>
      </c>
      <c r="R601" s="6">
        <f t="shared" ca="1" si="95"/>
        <v>152.64227175074942</v>
      </c>
      <c r="S601" s="6"/>
      <c r="T601" s="4">
        <f t="shared" ca="1" si="96"/>
        <v>-1.3295556304337796E-2</v>
      </c>
      <c r="U601" s="4">
        <f t="shared" ca="1" si="97"/>
        <v>-4.9982814662822658E-2</v>
      </c>
      <c r="V601" s="4">
        <f t="shared" ca="1" si="98"/>
        <v>4.408088171843523E-2</v>
      </c>
      <c r="W601" s="4"/>
      <c r="X601">
        <v>599</v>
      </c>
      <c r="Y601" s="4">
        <f t="shared" ca="1" si="99"/>
        <v>-1.7777596064916319E-2</v>
      </c>
      <c r="Z601" s="4">
        <f ca="1"/>
        <v>4.6706230965671688E-3</v>
      </c>
      <c r="AA601" s="4"/>
    </row>
    <row r="602" spans="1:27" x14ac:dyDescent="0.35">
      <c r="A602">
        <v>600</v>
      </c>
      <c r="B602">
        <f ca="1">_xlfn.NORM.INV(RAND(),Hitorical_Sim!$AB$4,Hitorical_Sim!$AB$5)</f>
        <v>-1.0225876602263489E-2</v>
      </c>
      <c r="C602">
        <f ca="1">_xlfn.NORM.INV(RAND(),Hitorical_Sim!$AB$4,Hitorical_Sim!$AB$5)</f>
        <v>-2.1463979622520866E-2</v>
      </c>
      <c r="D602">
        <f ca="1">_xlfn.NORM.INV(RAND(),Hitorical_Sim!$AB$4,Hitorical_Sim!$AB$5)</f>
        <v>5.6929889905445209E-3</v>
      </c>
      <c r="K602">
        <f t="shared" ca="1" si="100"/>
        <v>0.15686651039748647</v>
      </c>
      <c r="L602">
        <f t="shared" ca="1" si="100"/>
        <v>1.5343714431262332</v>
      </c>
      <c r="M602">
        <f t="shared" ca="1" si="100"/>
        <v>-0.99449389281860101</v>
      </c>
      <c r="O602">
        <v>600</v>
      </c>
      <c r="P602" s="6">
        <f t="shared" ca="1" si="93"/>
        <v>1943.3674732495483</v>
      </c>
      <c r="Q602" s="6">
        <f t="shared" ca="1" si="94"/>
        <v>401.60738521599438</v>
      </c>
      <c r="R602" s="6">
        <f t="shared" ca="1" si="95"/>
        <v>146.2640784883269</v>
      </c>
      <c r="S602" s="6"/>
      <c r="T602" s="4">
        <f t="shared" ca="1" si="96"/>
        <v>3.2324028845258722E-2</v>
      </c>
      <c r="U602" s="4">
        <f t="shared" ca="1" si="97"/>
        <v>0.10975049090309361</v>
      </c>
      <c r="V602" s="4">
        <f t="shared" ca="1" si="98"/>
        <v>-4.2683346005298932E-2</v>
      </c>
      <c r="W602" s="4"/>
      <c r="X602">
        <v>600</v>
      </c>
      <c r="Y602" s="4">
        <f t="shared" ca="1" si="99"/>
        <v>4.4063756495264027E-2</v>
      </c>
      <c r="Z602" s="4">
        <f ca="1"/>
        <v>4.672993493682936E-3</v>
      </c>
      <c r="AA602" s="4"/>
    </row>
    <row r="603" spans="1:27" x14ac:dyDescent="0.35">
      <c r="A603">
        <v>601</v>
      </c>
      <c r="B603">
        <f ca="1">_xlfn.NORM.INV(RAND(),Hitorical_Sim!$AB$4,Hitorical_Sim!$AB$5)</f>
        <v>-3.33665261790742E-3</v>
      </c>
      <c r="C603">
        <f ca="1">_xlfn.NORM.INV(RAND(),Hitorical_Sim!$AB$4,Hitorical_Sim!$AB$5)</f>
        <v>6.0134402174378985E-3</v>
      </c>
      <c r="D603">
        <f ca="1">_xlfn.NORM.INV(RAND(),Hitorical_Sim!$AB$4,Hitorical_Sim!$AB$5)</f>
        <v>-1.1828107009957995E-2</v>
      </c>
      <c r="K603">
        <f t="shared" ca="1" si="100"/>
        <v>3.0087240884699287E-2</v>
      </c>
      <c r="L603">
        <f t="shared" ca="1" si="100"/>
        <v>0.66649651650103992</v>
      </c>
      <c r="M603">
        <f t="shared" ca="1" si="100"/>
        <v>-0.41283477308618183</v>
      </c>
      <c r="O603">
        <v>601</v>
      </c>
      <c r="P603" s="6">
        <f t="shared" ca="1" si="93"/>
        <v>1938.9027397800628</v>
      </c>
      <c r="Q603" s="6">
        <f t="shared" ca="1" si="94"/>
        <v>391.78556180115663</v>
      </c>
      <c r="R603" s="6">
        <f t="shared" ca="1" si="95"/>
        <v>148.88249322285318</v>
      </c>
      <c r="S603" s="6"/>
      <c r="T603" s="4">
        <f t="shared" ca="1" si="96"/>
        <v>-2.300064237061156E-3</v>
      </c>
      <c r="U603" s="4">
        <f t="shared" ca="1" si="97"/>
        <v>-2.4760303800472241E-2</v>
      </c>
      <c r="V603" s="4">
        <f t="shared" ca="1" si="98"/>
        <v>1.7743614073180702E-2</v>
      </c>
      <c r="W603" s="4"/>
      <c r="X603">
        <v>601</v>
      </c>
      <c r="Y603" s="4">
        <f t="shared" ca="1" si="99"/>
        <v>-5.7904474845202423E-3</v>
      </c>
      <c r="Z603" s="4">
        <f ca="1"/>
        <v>4.739517432228486E-3</v>
      </c>
      <c r="AA603" s="4"/>
    </row>
    <row r="604" spans="1:27" x14ac:dyDescent="0.35">
      <c r="A604">
        <v>602</v>
      </c>
      <c r="B604">
        <f ca="1">_xlfn.NORM.INV(RAND(),Hitorical_Sim!$AB$4,Hitorical_Sim!$AB$5)</f>
        <v>-7.0226938125631183E-3</v>
      </c>
      <c r="C604">
        <f ca="1">_xlfn.NORM.INV(RAND(),Hitorical_Sim!$AB$4,Hitorical_Sim!$AB$5)</f>
        <v>-1.720512255998155E-2</v>
      </c>
      <c r="D604">
        <f ca="1">_xlfn.NORM.INV(RAND(),Hitorical_Sim!$AB$4,Hitorical_Sim!$AB$5)</f>
        <v>-2.1187955450002766E-2</v>
      </c>
      <c r="K604">
        <f t="shared" ref="K604:M623" ca="1" si="101">_xlfn.NORM.S.INV(RAND())</f>
        <v>1.3197589493418243</v>
      </c>
      <c r="L604">
        <f t="shared" ca="1" si="101"/>
        <v>0.35111725276380029</v>
      </c>
      <c r="M604">
        <f t="shared" ca="1" si="101"/>
        <v>-0.64570819027995818</v>
      </c>
      <c r="O604">
        <v>602</v>
      </c>
      <c r="P604" s="6">
        <f t="shared" ca="1" si="93"/>
        <v>1984.8032531717581</v>
      </c>
      <c r="Q604" s="6">
        <f t="shared" ca="1" si="94"/>
        <v>388.27620095087258</v>
      </c>
      <c r="R604" s="6">
        <f t="shared" ca="1" si="95"/>
        <v>147.82860288425181</v>
      </c>
      <c r="S604" s="6"/>
      <c r="T604" s="4">
        <f t="shared" ca="1" si="96"/>
        <v>2.3397577423906461E-2</v>
      </c>
      <c r="U604" s="4">
        <f t="shared" ca="1" si="97"/>
        <v>-8.9977093967548352E-3</v>
      </c>
      <c r="V604" s="4">
        <f t="shared" ca="1" si="98"/>
        <v>-7.1038446788043502E-3</v>
      </c>
      <c r="W604" s="4"/>
      <c r="X604">
        <v>602</v>
      </c>
      <c r="Y604" s="4">
        <f t="shared" ca="1" si="99"/>
        <v>1.5422993029897077E-2</v>
      </c>
      <c r="Z604" s="4">
        <f ca="1"/>
        <v>5.0863209547260726E-3</v>
      </c>
      <c r="AA604" s="4"/>
    </row>
    <row r="605" spans="1:27" x14ac:dyDescent="0.35">
      <c r="A605">
        <v>603</v>
      </c>
      <c r="B605">
        <f ca="1">_xlfn.NORM.INV(RAND(),Hitorical_Sim!$AB$4,Hitorical_Sim!$AB$5)</f>
        <v>-2.8850282400165387E-3</v>
      </c>
      <c r="C605">
        <f ca="1">_xlfn.NORM.INV(RAND(),Hitorical_Sim!$AB$4,Hitorical_Sim!$AB$5)</f>
        <v>-1.8485208064272427E-2</v>
      </c>
      <c r="D605">
        <f ca="1">_xlfn.NORM.INV(RAND(),Hitorical_Sim!$AB$4,Hitorical_Sim!$AB$5)</f>
        <v>-2.9550535640565363E-3</v>
      </c>
      <c r="K605">
        <f t="shared" ca="1" si="101"/>
        <v>2.6263305123419722</v>
      </c>
      <c r="L605">
        <f t="shared" ca="1" si="101"/>
        <v>-0.69731514252068882</v>
      </c>
      <c r="M605">
        <f t="shared" ca="1" si="101"/>
        <v>1.1038299561051168</v>
      </c>
      <c r="O605">
        <v>603</v>
      </c>
      <c r="P605" s="6">
        <f t="shared" ca="1" si="93"/>
        <v>2032.4134360656174</v>
      </c>
      <c r="Q605" s="6">
        <f t="shared" ca="1" si="94"/>
        <v>376.83422566959706</v>
      </c>
      <c r="R605" s="6">
        <f t="shared" ca="1" si="95"/>
        <v>155.93254094402312</v>
      </c>
      <c r="S605" s="6"/>
      <c r="T605" s="4">
        <f t="shared" ca="1" si="96"/>
        <v>2.3704179214524966E-2</v>
      </c>
      <c r="U605" s="4">
        <f t="shared" ca="1" si="97"/>
        <v>-2.9911573459607647E-2</v>
      </c>
      <c r="V605" s="4">
        <f t="shared" ca="1" si="98"/>
        <v>5.3369969837394643E-2</v>
      </c>
      <c r="W605" s="4"/>
      <c r="X605">
        <v>603</v>
      </c>
      <c r="Y605" s="4">
        <f t="shared" ca="1" si="99"/>
        <v>1.4472348914896661E-2</v>
      </c>
      <c r="Z605" s="4">
        <f ca="1"/>
        <v>5.1572904835386233E-3</v>
      </c>
      <c r="AA605" s="4"/>
    </row>
    <row r="606" spans="1:27" x14ac:dyDescent="0.35">
      <c r="A606">
        <v>604</v>
      </c>
      <c r="B606">
        <f ca="1">_xlfn.NORM.INV(RAND(),Hitorical_Sim!$AB$4,Hitorical_Sim!$AB$5)</f>
        <v>5.2768934605858953E-3</v>
      </c>
      <c r="C606">
        <f ca="1">_xlfn.NORM.INV(RAND(),Hitorical_Sim!$AB$4,Hitorical_Sim!$AB$5)</f>
        <v>-1.0301644455969795E-2</v>
      </c>
      <c r="D606">
        <f ca="1">_xlfn.NORM.INV(RAND(),Hitorical_Sim!$AB$4,Hitorical_Sim!$AB$5)</f>
        <v>-1.0459406942039668E-2</v>
      </c>
      <c r="K606">
        <f t="shared" ca="1" si="101"/>
        <v>0.88810822865069083</v>
      </c>
      <c r="L606">
        <f t="shared" ca="1" si="101"/>
        <v>-0.31810621342666962</v>
      </c>
      <c r="M606">
        <f t="shared" ca="1" si="101"/>
        <v>1.3756917987004746</v>
      </c>
      <c r="O606">
        <v>604</v>
      </c>
      <c r="P606" s="6">
        <f t="shared" ca="1" si="93"/>
        <v>1969.3207115535288</v>
      </c>
      <c r="Q606" s="6">
        <f t="shared" ca="1" si="94"/>
        <v>380.93323686167582</v>
      </c>
      <c r="R606" s="6">
        <f t="shared" ca="1" si="95"/>
        <v>157.23109682006208</v>
      </c>
      <c r="S606" s="6"/>
      <c r="T606" s="4">
        <f t="shared" ca="1" si="96"/>
        <v>-3.1535304834500261E-2</v>
      </c>
      <c r="U606" s="4">
        <f t="shared" ca="1" si="97"/>
        <v>1.0818757404054651E-2</v>
      </c>
      <c r="V606" s="4">
        <f t="shared" ca="1" si="98"/>
        <v>8.2931934746508194E-3</v>
      </c>
      <c r="W606" s="4"/>
      <c r="X606">
        <v>604</v>
      </c>
      <c r="Y606" s="4">
        <f t="shared" ca="1" si="99"/>
        <v>-2.1111668572081535E-2</v>
      </c>
      <c r="Z606" s="4">
        <f ca="1"/>
        <v>5.1619401909490442E-3</v>
      </c>
      <c r="AA606" s="4"/>
    </row>
    <row r="607" spans="1:27" x14ac:dyDescent="0.35">
      <c r="A607">
        <v>605</v>
      </c>
      <c r="B607">
        <f ca="1">_xlfn.NORM.INV(RAND(),Hitorical_Sim!$AB$4,Hitorical_Sim!$AB$5)</f>
        <v>5.1905894849996808E-3</v>
      </c>
      <c r="C607">
        <f ca="1">_xlfn.NORM.INV(RAND(),Hitorical_Sim!$AB$4,Hitorical_Sim!$AB$5)</f>
        <v>4.2839203164982955E-3</v>
      </c>
      <c r="D607">
        <f ca="1">_xlfn.NORM.INV(RAND(),Hitorical_Sim!$AB$4,Hitorical_Sim!$AB$5)</f>
        <v>-7.7174747295641393E-3</v>
      </c>
      <c r="K607">
        <f t="shared" ca="1" si="101"/>
        <v>1.4823479206202577</v>
      </c>
      <c r="L607">
        <f t="shared" ca="1" si="101"/>
        <v>3.5811031166750498E-3</v>
      </c>
      <c r="M607">
        <f t="shared" ca="1" si="101"/>
        <v>0.5822069646370327</v>
      </c>
      <c r="O607">
        <v>605</v>
      </c>
      <c r="P607" s="6">
        <f t="shared" ca="1" si="93"/>
        <v>1990.6665374405197</v>
      </c>
      <c r="Q607" s="6">
        <f t="shared" ca="1" si="94"/>
        <v>384.44541118712579</v>
      </c>
      <c r="R607" s="6">
        <f t="shared" ca="1" si="95"/>
        <v>153.47094757333718</v>
      </c>
      <c r="S607" s="6"/>
      <c r="T607" s="4">
        <f t="shared" ca="1" si="96"/>
        <v>1.0780859276078848E-2</v>
      </c>
      <c r="U607" s="4">
        <f t="shared" ca="1" si="97"/>
        <v>9.1776769232691912E-3</v>
      </c>
      <c r="V607" s="4">
        <f t="shared" ca="1" si="98"/>
        <v>-2.4205394862579603E-2</v>
      </c>
      <c r="W607" s="4"/>
      <c r="X607">
        <v>605</v>
      </c>
      <c r="Y607" s="4">
        <f t="shared" ca="1" si="99"/>
        <v>8.7294416132620133E-3</v>
      </c>
      <c r="Z607" s="4">
        <f ca="1"/>
        <v>5.1672446144878205E-3</v>
      </c>
      <c r="AA607" s="4"/>
    </row>
    <row r="608" spans="1:27" x14ac:dyDescent="0.35">
      <c r="A608">
        <v>606</v>
      </c>
      <c r="B608">
        <f ca="1">_xlfn.NORM.INV(RAND(),Hitorical_Sim!$AB$4,Hitorical_Sim!$AB$5)</f>
        <v>-3.5851338422959664E-2</v>
      </c>
      <c r="C608">
        <f ca="1">_xlfn.NORM.INV(RAND(),Hitorical_Sim!$AB$4,Hitorical_Sim!$AB$5)</f>
        <v>1.7954483357496272E-2</v>
      </c>
      <c r="D608">
        <f ca="1">_xlfn.NORM.INV(RAND(),Hitorical_Sim!$AB$4,Hitorical_Sim!$AB$5)</f>
        <v>-1.1693512400560315E-2</v>
      </c>
      <c r="K608">
        <f t="shared" ca="1" si="101"/>
        <v>0.21453182898890227</v>
      </c>
      <c r="L608">
        <f t="shared" ca="1" si="101"/>
        <v>-0.58975261226325937</v>
      </c>
      <c r="M608">
        <f t="shared" ca="1" si="101"/>
        <v>1.3994510630076424</v>
      </c>
      <c r="O608">
        <v>606</v>
      </c>
      <c r="P608" s="6">
        <f t="shared" ca="1" si="93"/>
        <v>1945.4016493170986</v>
      </c>
      <c r="Q608" s="6">
        <f t="shared" ca="1" si="94"/>
        <v>377.9924074165209</v>
      </c>
      <c r="R608" s="6">
        <f t="shared" ca="1" si="95"/>
        <v>157.34509616810757</v>
      </c>
      <c r="S608" s="6"/>
      <c r="T608" s="4">
        <f t="shared" ca="1" si="96"/>
        <v>-2.3001066836386554E-2</v>
      </c>
      <c r="U608" s="4">
        <f t="shared" ca="1" si="97"/>
        <v>-1.6927696142804791E-2</v>
      </c>
      <c r="V608" s="4">
        <f t="shared" ca="1" si="98"/>
        <v>2.4930175412264579E-2</v>
      </c>
      <c r="W608" s="4"/>
      <c r="X608">
        <v>606</v>
      </c>
      <c r="Y608" s="4">
        <f t="shared" ca="1" si="99"/>
        <v>-1.9416893251176185E-2</v>
      </c>
      <c r="Z608" s="4">
        <f ca="1"/>
        <v>5.1781085542348514E-3</v>
      </c>
      <c r="AA608" s="4"/>
    </row>
    <row r="609" spans="1:27" x14ac:dyDescent="0.35">
      <c r="A609">
        <v>607</v>
      </c>
      <c r="B609">
        <f ca="1">_xlfn.NORM.INV(RAND(),Hitorical_Sim!$AB$4,Hitorical_Sim!$AB$5)</f>
        <v>-3.6364208823121372E-2</v>
      </c>
      <c r="C609">
        <f ca="1">_xlfn.NORM.INV(RAND(),Hitorical_Sim!$AB$4,Hitorical_Sim!$AB$5)</f>
        <v>-5.868489131070586E-3</v>
      </c>
      <c r="D609">
        <f ca="1">_xlfn.NORM.INV(RAND(),Hitorical_Sim!$AB$4,Hitorical_Sim!$AB$5)</f>
        <v>-2.64402824391546E-3</v>
      </c>
      <c r="K609">
        <f t="shared" ca="1" si="101"/>
        <v>2.0972475601588547</v>
      </c>
      <c r="L609">
        <f t="shared" ca="1" si="101"/>
        <v>-0.54766224164871513</v>
      </c>
      <c r="M609">
        <f t="shared" ca="1" si="101"/>
        <v>0.58980803338817422</v>
      </c>
      <c r="O609">
        <v>607</v>
      </c>
      <c r="P609" s="6">
        <f t="shared" ca="1" si="93"/>
        <v>2012.9981020228436</v>
      </c>
      <c r="Q609" s="6">
        <f t="shared" ca="1" si="94"/>
        <v>378.44658472968371</v>
      </c>
      <c r="R609" s="6">
        <f t="shared" ca="1" si="95"/>
        <v>153.50653730617074</v>
      </c>
      <c r="S609" s="6"/>
      <c r="T609" s="4">
        <f t="shared" ca="1" si="96"/>
        <v>3.4156744540790783E-2</v>
      </c>
      <c r="U609" s="4">
        <f t="shared" ca="1" si="97"/>
        <v>1.2008301329123631E-3</v>
      </c>
      <c r="V609" s="4">
        <f t="shared" ca="1" si="98"/>
        <v>-2.4698303468907071E-2</v>
      </c>
      <c r="W609" s="4"/>
      <c r="X609">
        <v>607</v>
      </c>
      <c r="Y609" s="4">
        <f t="shared" ca="1" si="99"/>
        <v>2.4667052641056213E-2</v>
      </c>
      <c r="Z609" s="4">
        <f ca="1"/>
        <v>5.318811348248095E-3</v>
      </c>
      <c r="AA609" s="4"/>
    </row>
    <row r="610" spans="1:27" x14ac:dyDescent="0.35">
      <c r="A610">
        <v>608</v>
      </c>
      <c r="B610">
        <f ca="1">_xlfn.NORM.INV(RAND(),Hitorical_Sim!$AB$4,Hitorical_Sim!$AB$5)</f>
        <v>4.7839701294799817E-3</v>
      </c>
      <c r="C610">
        <f ca="1">_xlfn.NORM.INV(RAND(),Hitorical_Sim!$AB$4,Hitorical_Sim!$AB$5)</f>
        <v>-9.5809969768728548E-3</v>
      </c>
      <c r="D610">
        <f ca="1">_xlfn.NORM.INV(RAND(),Hitorical_Sim!$AB$4,Hitorical_Sim!$AB$5)</f>
        <v>1.645626776986513E-2</v>
      </c>
      <c r="K610">
        <f t="shared" ca="1" si="101"/>
        <v>0.5207283969251878</v>
      </c>
      <c r="L610">
        <f t="shared" ca="1" si="101"/>
        <v>0.85260410875153181</v>
      </c>
      <c r="M610">
        <f t="shared" ca="1" si="101"/>
        <v>0.49649421917308817</v>
      </c>
      <c r="O610">
        <v>608</v>
      </c>
      <c r="P610" s="6">
        <f t="shared" ca="1" si="93"/>
        <v>1956.2386263256078</v>
      </c>
      <c r="Q610" s="6">
        <f t="shared" ca="1" si="94"/>
        <v>393.87132414890715</v>
      </c>
      <c r="R610" s="6">
        <f t="shared" ca="1" si="95"/>
        <v>153.07019393430639</v>
      </c>
      <c r="S610" s="6"/>
      <c r="T610" s="4">
        <f t="shared" ca="1" si="96"/>
        <v>-2.8601642526655476E-2</v>
      </c>
      <c r="U610" s="4">
        <f t="shared" ca="1" si="97"/>
        <v>3.9949328150670357E-2</v>
      </c>
      <c r="V610" s="4">
        <f t="shared" ca="1" si="98"/>
        <v>-2.846554366569015E-3</v>
      </c>
      <c r="W610" s="4"/>
      <c r="X610">
        <v>608</v>
      </c>
      <c r="Y610" s="4">
        <f t="shared" ca="1" si="99"/>
        <v>-1.3646433932434782E-2</v>
      </c>
      <c r="Z610" s="4">
        <f ca="1"/>
        <v>5.3258921472618317E-3</v>
      </c>
      <c r="AA610" s="4"/>
    </row>
    <row r="611" spans="1:27" x14ac:dyDescent="0.35">
      <c r="A611">
        <v>609</v>
      </c>
      <c r="B611">
        <f ca="1">_xlfn.NORM.INV(RAND(),Hitorical_Sim!$AB$4,Hitorical_Sim!$AB$5)</f>
        <v>7.7064843633669194E-3</v>
      </c>
      <c r="C611">
        <f ca="1">_xlfn.NORM.INV(RAND(),Hitorical_Sim!$AB$4,Hitorical_Sim!$AB$5)</f>
        <v>-4.4448574266916584E-2</v>
      </c>
      <c r="D611">
        <f ca="1">_xlfn.NORM.INV(RAND(),Hitorical_Sim!$AB$4,Hitorical_Sim!$AB$5)</f>
        <v>-1.7382393919548562E-2</v>
      </c>
      <c r="K611">
        <f t="shared" ca="1" si="101"/>
        <v>1.1829356408092397</v>
      </c>
      <c r="L611">
        <f t="shared" ca="1" si="101"/>
        <v>-0.76828513884356098</v>
      </c>
      <c r="M611">
        <f t="shared" ca="1" si="101"/>
        <v>0.67623092520082395</v>
      </c>
      <c r="O611">
        <v>609</v>
      </c>
      <c r="P611" s="6">
        <f t="shared" ca="1" si="93"/>
        <v>1979.8825138217778</v>
      </c>
      <c r="Q611" s="6">
        <f t="shared" ca="1" si="94"/>
        <v>376.07199862548003</v>
      </c>
      <c r="R611" s="6">
        <f t="shared" ca="1" si="95"/>
        <v>153.9117675133929</v>
      </c>
      <c r="S611" s="6"/>
      <c r="T611" s="4">
        <f t="shared" ca="1" si="96"/>
        <v>1.2013945221753152E-2</v>
      </c>
      <c r="U611" s="4">
        <f t="shared" ca="1" si="97"/>
        <v>-4.6243656736849235E-2</v>
      </c>
      <c r="V611" s="4">
        <f t="shared" ca="1" si="98"/>
        <v>5.4828999294432891E-3</v>
      </c>
      <c r="W611" s="4"/>
      <c r="X611">
        <v>609</v>
      </c>
      <c r="Y611" s="4">
        <f t="shared" ca="1" si="99"/>
        <v>6.4364672691821919E-5</v>
      </c>
      <c r="Z611" s="4">
        <f ca="1"/>
        <v>5.3442141482156983E-3</v>
      </c>
      <c r="AA611" s="4"/>
    </row>
    <row r="612" spans="1:27" x14ac:dyDescent="0.35">
      <c r="A612">
        <v>610</v>
      </c>
      <c r="B612">
        <f ca="1">_xlfn.NORM.INV(RAND(),Hitorical_Sim!$AB$4,Hitorical_Sim!$AB$5)</f>
        <v>8.8420673746836456E-3</v>
      </c>
      <c r="C612">
        <f ca="1">_xlfn.NORM.INV(RAND(),Hitorical_Sim!$AB$4,Hitorical_Sim!$AB$5)</f>
        <v>5.4430874845463615E-3</v>
      </c>
      <c r="D612">
        <f ca="1">_xlfn.NORM.INV(RAND(),Hitorical_Sim!$AB$4,Hitorical_Sim!$AB$5)</f>
        <v>-2.5914967315852539E-2</v>
      </c>
      <c r="K612">
        <f t="shared" ca="1" si="101"/>
        <v>7.3851134344710884E-2</v>
      </c>
      <c r="L612">
        <f t="shared" ca="1" si="101"/>
        <v>0.79173649549673886</v>
      </c>
      <c r="M612">
        <f t="shared" ca="1" si="101"/>
        <v>0.65859399402119034</v>
      </c>
      <c r="O612">
        <v>610</v>
      </c>
      <c r="P612" s="6">
        <f t="shared" ca="1" si="93"/>
        <v>1940.4427943786943</v>
      </c>
      <c r="Q612" s="6">
        <f t="shared" ca="1" si="94"/>
        <v>393.18794388447759</v>
      </c>
      <c r="R612" s="6">
        <f t="shared" ca="1" si="95"/>
        <v>153.82898253051806</v>
      </c>
      <c r="S612" s="6"/>
      <c r="T612" s="4">
        <f t="shared" ca="1" si="96"/>
        <v>-2.0121314935801139E-2</v>
      </c>
      <c r="U612" s="4">
        <f t="shared" ca="1" si="97"/>
        <v>4.450711550312713E-2</v>
      </c>
      <c r="V612" s="4">
        <f t="shared" ca="1" si="98"/>
        <v>-5.3801769742852434E-4</v>
      </c>
      <c r="W612" s="4"/>
      <c r="X612">
        <v>610</v>
      </c>
      <c r="Y612" s="4">
        <f t="shared" ca="1" si="99"/>
        <v>-6.2543628794337492E-3</v>
      </c>
      <c r="Z612" s="4">
        <f ca="1"/>
        <v>5.3576324022397486E-3</v>
      </c>
      <c r="AA612" s="4"/>
    </row>
    <row r="613" spans="1:27" x14ac:dyDescent="0.35">
      <c r="A613">
        <v>611</v>
      </c>
      <c r="B613">
        <f ca="1">_xlfn.NORM.INV(RAND(),Hitorical_Sim!$AB$4,Hitorical_Sim!$AB$5)</f>
        <v>4.9077393740293421E-2</v>
      </c>
      <c r="C613">
        <f ca="1">_xlfn.NORM.INV(RAND(),Hitorical_Sim!$AB$4,Hitorical_Sim!$AB$5)</f>
        <v>4.143230978223237E-2</v>
      </c>
      <c r="D613">
        <f ca="1">_xlfn.NORM.INV(RAND(),Hitorical_Sim!$AB$4,Hitorical_Sim!$AB$5)</f>
        <v>9.2195123822672292E-3</v>
      </c>
      <c r="K613">
        <f t="shared" ca="1" si="101"/>
        <v>0.82489707544503132</v>
      </c>
      <c r="L613">
        <f t="shared" ca="1" si="101"/>
        <v>-9.2460261828722107E-2</v>
      </c>
      <c r="M613">
        <f t="shared" ca="1" si="101"/>
        <v>-0.22989215339166996</v>
      </c>
      <c r="O613">
        <v>611</v>
      </c>
      <c r="P613" s="6">
        <f t="shared" ca="1" si="93"/>
        <v>1967.0636007325197</v>
      </c>
      <c r="Q613" s="6">
        <f t="shared" ca="1" si="94"/>
        <v>383.39345663818278</v>
      </c>
      <c r="R613" s="6">
        <f t="shared" ca="1" si="95"/>
        <v>149.71568402020623</v>
      </c>
      <c r="S613" s="6"/>
      <c r="T613" s="4">
        <f t="shared" ca="1" si="96"/>
        <v>1.3625681202876071E-2</v>
      </c>
      <c r="U613" s="4">
        <f t="shared" ca="1" si="97"/>
        <v>-2.5225962473537245E-2</v>
      </c>
      <c r="V613" s="4">
        <f t="shared" ca="1" si="98"/>
        <v>-2.7103426687977033E-2</v>
      </c>
      <c r="W613" s="4"/>
      <c r="X613">
        <v>611</v>
      </c>
      <c r="Y613" s="4">
        <f t="shared" ca="1" si="99"/>
        <v>3.8564448060388447E-3</v>
      </c>
      <c r="Z613" s="4">
        <f ca="1"/>
        <v>5.5134936036113566E-3</v>
      </c>
      <c r="AA613" s="4"/>
    </row>
    <row r="614" spans="1:27" x14ac:dyDescent="0.35">
      <c r="A614">
        <v>612</v>
      </c>
      <c r="B614">
        <f ca="1">_xlfn.NORM.INV(RAND(),Hitorical_Sim!$AB$4,Hitorical_Sim!$AB$5)</f>
        <v>1.7819384043263869E-2</v>
      </c>
      <c r="C614">
        <f ca="1">_xlfn.NORM.INV(RAND(),Hitorical_Sim!$AB$4,Hitorical_Sim!$AB$5)</f>
        <v>-9.5668321084302656E-3</v>
      </c>
      <c r="D614">
        <f ca="1">_xlfn.NORM.INV(RAND(),Hitorical_Sim!$AB$4,Hitorical_Sim!$AB$5)</f>
        <v>6.8987410749866557E-3</v>
      </c>
      <c r="K614">
        <f t="shared" ca="1" si="101"/>
        <v>0.3027271224801531</v>
      </c>
      <c r="L614">
        <f t="shared" ca="1" si="101"/>
        <v>-1.7083014401268775</v>
      </c>
      <c r="M614">
        <f t="shared" ca="1" si="101"/>
        <v>-0.87081003855249384</v>
      </c>
      <c r="O614">
        <v>612</v>
      </c>
      <c r="P614" s="6">
        <f t="shared" ca="1" si="93"/>
        <v>1948.5169064952702</v>
      </c>
      <c r="Q614" s="6">
        <f t="shared" ca="1" si="94"/>
        <v>366.12035842497903</v>
      </c>
      <c r="R614" s="6">
        <f t="shared" ca="1" si="95"/>
        <v>146.81697491680623</v>
      </c>
      <c r="S614" s="6"/>
      <c r="T614" s="4">
        <f t="shared" ca="1" si="96"/>
        <v>-9.4733503284719252E-3</v>
      </c>
      <c r="U614" s="4">
        <f t="shared" ca="1" si="97"/>
        <v>-4.6099636296157445E-2</v>
      </c>
      <c r="V614" s="4">
        <f t="shared" ca="1" si="98"/>
        <v>-1.9551313167967439E-2</v>
      </c>
      <c r="W614" s="4"/>
      <c r="X614">
        <v>612</v>
      </c>
      <c r="Y614" s="4">
        <f t="shared" ca="1" si="99"/>
        <v>-1.7281547632486322E-2</v>
      </c>
      <c r="Z614" s="4">
        <f ca="1"/>
        <v>5.5865039568782013E-3</v>
      </c>
      <c r="AA614" s="4"/>
    </row>
    <row r="615" spans="1:27" x14ac:dyDescent="0.35">
      <c r="A615">
        <v>613</v>
      </c>
      <c r="B615">
        <f ca="1">_xlfn.NORM.INV(RAND(),Hitorical_Sim!$AB$4,Hitorical_Sim!$AB$5)</f>
        <v>-1.8460638647997671E-2</v>
      </c>
      <c r="C615">
        <f ca="1">_xlfn.NORM.INV(RAND(),Hitorical_Sim!$AB$4,Hitorical_Sim!$AB$5)</f>
        <v>3.2277173999478014E-2</v>
      </c>
      <c r="D615">
        <f ca="1">_xlfn.NORM.INV(RAND(),Hitorical_Sim!$AB$4,Hitorical_Sim!$AB$5)</f>
        <v>9.0307994143525687E-3</v>
      </c>
      <c r="K615">
        <f t="shared" ca="1" si="101"/>
        <v>-0.53175254130395433</v>
      </c>
      <c r="L615">
        <f t="shared" ca="1" si="101"/>
        <v>1.874998898524043E-2</v>
      </c>
      <c r="M615">
        <f t="shared" ca="1" si="101"/>
        <v>-0.43630946805677223</v>
      </c>
      <c r="O615">
        <v>613</v>
      </c>
      <c r="P615" s="6">
        <f t="shared" ca="1" si="93"/>
        <v>1919.2397877931992</v>
      </c>
      <c r="Q615" s="6">
        <f t="shared" ca="1" si="94"/>
        <v>384.61182185738181</v>
      </c>
      <c r="R615" s="6">
        <f t="shared" ca="1" si="95"/>
        <v>148.77591667662603</v>
      </c>
      <c r="S615" s="6"/>
      <c r="T615" s="4">
        <f t="shared" ca="1" si="96"/>
        <v>-1.5139358655407059E-2</v>
      </c>
      <c r="U615" s="4">
        <f t="shared" ca="1" si="97"/>
        <v>4.9272443242646971E-2</v>
      </c>
      <c r="V615" s="4">
        <f t="shared" ca="1" si="98"/>
        <v>1.3254516564615388E-2</v>
      </c>
      <c r="W615" s="4"/>
      <c r="X615">
        <v>613</v>
      </c>
      <c r="Y615" s="4">
        <f t="shared" ca="1" si="99"/>
        <v>-8.796023201944822E-4</v>
      </c>
      <c r="Z615" s="4">
        <f ca="1"/>
        <v>5.5957948703677877E-3</v>
      </c>
      <c r="AA615" s="4"/>
    </row>
    <row r="616" spans="1:27" x14ac:dyDescent="0.35">
      <c r="A616">
        <v>614</v>
      </c>
      <c r="B616">
        <f ca="1">_xlfn.NORM.INV(RAND(),Hitorical_Sim!$AB$4,Hitorical_Sim!$AB$5)</f>
        <v>3.2673869136408008E-3</v>
      </c>
      <c r="C616">
        <f ca="1">_xlfn.NORM.INV(RAND(),Hitorical_Sim!$AB$4,Hitorical_Sim!$AB$5)</f>
        <v>1.7716311383354333E-2</v>
      </c>
      <c r="D616">
        <f ca="1">_xlfn.NORM.INV(RAND(),Hitorical_Sim!$AB$4,Hitorical_Sim!$AB$5)</f>
        <v>1.2548875680345527E-2</v>
      </c>
      <c r="K616">
        <f t="shared" ca="1" si="101"/>
        <v>1.1581119549916814</v>
      </c>
      <c r="L616">
        <f t="shared" ca="1" si="101"/>
        <v>3.0704992884867121E-2</v>
      </c>
      <c r="M616">
        <f t="shared" ca="1" si="101"/>
        <v>-1.2832781069520518</v>
      </c>
      <c r="O616">
        <v>614</v>
      </c>
      <c r="P616" s="6">
        <f t="shared" ca="1" si="93"/>
        <v>1978.9910584304778</v>
      </c>
      <c r="Q616" s="6">
        <f t="shared" ca="1" si="94"/>
        <v>384.74302530407425</v>
      </c>
      <c r="R616" s="6">
        <f t="shared" ca="1" si="95"/>
        <v>144.98123659335661</v>
      </c>
      <c r="S616" s="6"/>
      <c r="T616" s="4">
        <f t="shared" ca="1" si="96"/>
        <v>3.0657984608570797E-2</v>
      </c>
      <c r="U616" s="4">
        <f t="shared" ca="1" si="97"/>
        <v>3.4107394903269499E-4</v>
      </c>
      <c r="V616" s="4">
        <f t="shared" ca="1" si="98"/>
        <v>-2.5836927765455899E-2</v>
      </c>
      <c r="W616" s="4"/>
      <c r="X616">
        <v>614</v>
      </c>
      <c r="Y616" s="4">
        <f t="shared" ca="1" si="99"/>
        <v>2.1811757043921871E-2</v>
      </c>
      <c r="Z616" s="4">
        <f ca="1"/>
        <v>5.7318319148798287E-3</v>
      </c>
      <c r="AA616" s="4"/>
    </row>
    <row r="617" spans="1:27" x14ac:dyDescent="0.35">
      <c r="A617">
        <v>615</v>
      </c>
      <c r="B617">
        <f ca="1">_xlfn.NORM.INV(RAND(),Hitorical_Sim!$AB$4,Hitorical_Sim!$AB$5)</f>
        <v>-1.6096209992119378E-3</v>
      </c>
      <c r="C617">
        <f ca="1">_xlfn.NORM.INV(RAND(),Hitorical_Sim!$AB$4,Hitorical_Sim!$AB$5)</f>
        <v>1.6917098632843439E-2</v>
      </c>
      <c r="D617">
        <f ca="1">_xlfn.NORM.INV(RAND(),Hitorical_Sim!$AB$4,Hitorical_Sim!$AB$5)</f>
        <v>-3.5329481873105175E-3</v>
      </c>
      <c r="K617">
        <f t="shared" ca="1" si="101"/>
        <v>-0.37665070241799559</v>
      </c>
      <c r="L617">
        <f t="shared" ca="1" si="101"/>
        <v>-1.3874842340391893</v>
      </c>
      <c r="M617">
        <f t="shared" ca="1" si="101"/>
        <v>-0.74476667283566478</v>
      </c>
      <c r="O617">
        <v>615</v>
      </c>
      <c r="P617" s="6">
        <f t="shared" ca="1" si="93"/>
        <v>1924.6479421609899</v>
      </c>
      <c r="Q617" s="6">
        <f t="shared" ca="1" si="94"/>
        <v>369.48678689790427</v>
      </c>
      <c r="R617" s="6">
        <f t="shared" ca="1" si="95"/>
        <v>147.38256918219091</v>
      </c>
      <c r="S617" s="6"/>
      <c r="T617" s="4">
        <f t="shared" ca="1" si="96"/>
        <v>-2.7844084559335781E-2</v>
      </c>
      <c r="U617" s="4">
        <f t="shared" ca="1" si="97"/>
        <v>-4.0460664351421718E-2</v>
      </c>
      <c r="V617" s="4">
        <f t="shared" ca="1" si="98"/>
        <v>1.6427386310648693E-2</v>
      </c>
      <c r="W617" s="4"/>
      <c r="X617">
        <v>615</v>
      </c>
      <c r="Y617" s="4">
        <f t="shared" ca="1" si="99"/>
        <v>-2.8170951123024892E-2</v>
      </c>
      <c r="Z617" s="4">
        <f ca="1"/>
        <v>5.743530344525077E-3</v>
      </c>
      <c r="AA617" s="4"/>
    </row>
    <row r="618" spans="1:27" x14ac:dyDescent="0.35">
      <c r="A618">
        <v>616</v>
      </c>
      <c r="B618">
        <f ca="1">_xlfn.NORM.INV(RAND(),Hitorical_Sim!$AB$4,Hitorical_Sim!$AB$5)</f>
        <v>3.7505158225660223E-2</v>
      </c>
      <c r="C618">
        <f ca="1">_xlfn.NORM.INV(RAND(),Hitorical_Sim!$AB$4,Hitorical_Sim!$AB$5)</f>
        <v>1.3850482408957416E-2</v>
      </c>
      <c r="D618">
        <f ca="1">_xlfn.NORM.INV(RAND(),Hitorical_Sim!$AB$4,Hitorical_Sim!$AB$5)</f>
        <v>6.227061259864307E-3</v>
      </c>
      <c r="K618">
        <f t="shared" ca="1" si="101"/>
        <v>-1.2404003951908193</v>
      </c>
      <c r="L618">
        <f t="shared" ca="1" si="101"/>
        <v>0.47563852587634187</v>
      </c>
      <c r="M618">
        <f t="shared" ca="1" si="101"/>
        <v>0.73044152541479068</v>
      </c>
      <c r="O618">
        <v>616</v>
      </c>
      <c r="P618" s="6">
        <f t="shared" ca="1" si="93"/>
        <v>1894.7230503576666</v>
      </c>
      <c r="Q618" s="6">
        <f t="shared" ca="1" si="94"/>
        <v>389.65803156488852</v>
      </c>
      <c r="R618" s="6">
        <f t="shared" ca="1" si="95"/>
        <v>154.16650257745144</v>
      </c>
      <c r="S618" s="6"/>
      <c r="T618" s="4">
        <f t="shared" ca="1" si="96"/>
        <v>-1.5670383539470707E-2</v>
      </c>
      <c r="U618" s="4">
        <f t="shared" ca="1" si="97"/>
        <v>5.3154531992840696E-2</v>
      </c>
      <c r="V618" s="4">
        <f t="shared" ca="1" si="98"/>
        <v>4.500148636780571E-2</v>
      </c>
      <c r="W618" s="4"/>
      <c r="X618">
        <v>616</v>
      </c>
      <c r="Y618" s="4">
        <f t="shared" ca="1" si="99"/>
        <v>1.0675309325526641E-3</v>
      </c>
      <c r="Z618" s="4">
        <f ca="1"/>
        <v>5.8756506690906696E-3</v>
      </c>
      <c r="AA618" s="4"/>
    </row>
    <row r="619" spans="1:27" x14ac:dyDescent="0.35">
      <c r="A619">
        <v>617</v>
      </c>
      <c r="B619">
        <f ca="1">_xlfn.NORM.INV(RAND(),Hitorical_Sim!$AB$4,Hitorical_Sim!$AB$5)</f>
        <v>1.0242157927979813E-2</v>
      </c>
      <c r="C619">
        <f ca="1">_xlfn.NORM.INV(RAND(),Hitorical_Sim!$AB$4,Hitorical_Sim!$AB$5)</f>
        <v>-3.7411809983333689E-3</v>
      </c>
      <c r="D619">
        <f ca="1">_xlfn.NORM.INV(RAND(),Hitorical_Sim!$AB$4,Hitorical_Sim!$AB$5)</f>
        <v>2.8742800238200604E-2</v>
      </c>
      <c r="K619">
        <f t="shared" ca="1" si="101"/>
        <v>1.5871680595853521</v>
      </c>
      <c r="L619">
        <f t="shared" ca="1" si="101"/>
        <v>2.3917638597638406</v>
      </c>
      <c r="M619">
        <f t="shared" ca="1" si="101"/>
        <v>7.3813095617998786E-2</v>
      </c>
      <c r="O619">
        <v>617</v>
      </c>
      <c r="P619" s="6">
        <f t="shared" ca="1" si="93"/>
        <v>1994.4557413488083</v>
      </c>
      <c r="Q619" s="6">
        <f t="shared" ca="1" si="94"/>
        <v>411.5523368244892</v>
      </c>
      <c r="R619" s="6">
        <f t="shared" ca="1" si="95"/>
        <v>151.10918240518572</v>
      </c>
      <c r="S619" s="6"/>
      <c r="T619" s="4">
        <f t="shared" ca="1" si="96"/>
        <v>5.1298521482779566E-2</v>
      </c>
      <c r="U619" s="4">
        <f t="shared" ca="1" si="97"/>
        <v>5.466668517700566E-2</v>
      </c>
      <c r="V619" s="4">
        <f t="shared" ca="1" si="98"/>
        <v>-2.0030566103996891E-2</v>
      </c>
      <c r="W619" s="4"/>
      <c r="X619">
        <v>617</v>
      </c>
      <c r="Y619" s="4">
        <f t="shared" ca="1" si="99"/>
        <v>4.8440614716825862E-2</v>
      </c>
      <c r="Z619" s="4">
        <f ca="1"/>
        <v>5.9906134151026368E-3</v>
      </c>
      <c r="AA619" s="4"/>
    </row>
    <row r="620" spans="1:27" x14ac:dyDescent="0.35">
      <c r="A620">
        <v>618</v>
      </c>
      <c r="B620">
        <f ca="1">_xlfn.NORM.INV(RAND(),Hitorical_Sim!$AB$4,Hitorical_Sim!$AB$5)</f>
        <v>-1.3575731336121562E-2</v>
      </c>
      <c r="C620">
        <f ca="1">_xlfn.NORM.INV(RAND(),Hitorical_Sim!$AB$4,Hitorical_Sim!$AB$5)</f>
        <v>-1.6635431443684418E-2</v>
      </c>
      <c r="D620">
        <f ca="1">_xlfn.NORM.INV(RAND(),Hitorical_Sim!$AB$4,Hitorical_Sim!$AB$5)</f>
        <v>1.0142796485125191E-2</v>
      </c>
      <c r="K620">
        <f t="shared" ca="1" si="101"/>
        <v>-0.9851920831843104</v>
      </c>
      <c r="L620">
        <f t="shared" ca="1" si="101"/>
        <v>-0.21781975203058923</v>
      </c>
      <c r="M620">
        <f t="shared" ca="1" si="101"/>
        <v>-1.1230080223894274</v>
      </c>
      <c r="O620">
        <v>618</v>
      </c>
      <c r="P620" s="6">
        <f t="shared" ca="1" si="93"/>
        <v>1903.5160704662189</v>
      </c>
      <c r="Q620" s="6">
        <f t="shared" ca="1" si="94"/>
        <v>382.0247059530123</v>
      </c>
      <c r="R620" s="6">
        <f t="shared" ca="1" si="95"/>
        <v>145.69179517177085</v>
      </c>
      <c r="S620" s="6"/>
      <c r="T620" s="4">
        <f t="shared" ca="1" si="96"/>
        <v>-4.6668462375303033E-2</v>
      </c>
      <c r="U620" s="4">
        <f t="shared" ca="1" si="97"/>
        <v>-7.4450915723561509E-2</v>
      </c>
      <c r="V620" s="4">
        <f t="shared" ca="1" si="98"/>
        <v>-3.6509239367424874E-2</v>
      </c>
      <c r="W620" s="4"/>
      <c r="X620">
        <v>618</v>
      </c>
      <c r="Y620" s="4">
        <f t="shared" ca="1" si="99"/>
        <v>-5.1710172052238421E-2</v>
      </c>
      <c r="Z620" s="4">
        <f ca="1"/>
        <v>6.036149676959748E-3</v>
      </c>
      <c r="AA620" s="4"/>
    </row>
    <row r="621" spans="1:27" x14ac:dyDescent="0.35">
      <c r="A621">
        <v>619</v>
      </c>
      <c r="B621">
        <f ca="1">_xlfn.NORM.INV(RAND(),Hitorical_Sim!$AB$4,Hitorical_Sim!$AB$5)</f>
        <v>-4.4896819322149412E-3</v>
      </c>
      <c r="C621">
        <f ca="1">_xlfn.NORM.INV(RAND(),Hitorical_Sim!$AB$4,Hitorical_Sim!$AB$5)</f>
        <v>-2.6025276251097275E-2</v>
      </c>
      <c r="D621">
        <f ca="1">_xlfn.NORM.INV(RAND(),Hitorical_Sim!$AB$4,Hitorical_Sim!$AB$5)</f>
        <v>5.8275314601101387E-3</v>
      </c>
      <c r="K621">
        <f t="shared" ca="1" si="101"/>
        <v>0.17803534123244977</v>
      </c>
      <c r="L621">
        <f t="shared" ca="1" si="101"/>
        <v>0.83811977503307744</v>
      </c>
      <c r="M621">
        <f t="shared" ca="1" si="101"/>
        <v>0.17765116324484118</v>
      </c>
      <c r="O621">
        <v>619</v>
      </c>
      <c r="P621" s="6">
        <f t="shared" ca="1" si="93"/>
        <v>1944.1139682791061</v>
      </c>
      <c r="Q621" s="6">
        <f t="shared" ca="1" si="94"/>
        <v>393.7085962626789</v>
      </c>
      <c r="R621" s="6">
        <f t="shared" ca="1" si="95"/>
        <v>151.58859452757548</v>
      </c>
      <c r="S621" s="6"/>
      <c r="T621" s="4">
        <f t="shared" ca="1" si="96"/>
        <v>2.1103590585050895E-2</v>
      </c>
      <c r="U621" s="4">
        <f t="shared" ca="1" si="97"/>
        <v>3.0125750477309175E-2</v>
      </c>
      <c r="V621" s="4">
        <f t="shared" ca="1" si="98"/>
        <v>3.9676837941178864E-2</v>
      </c>
      <c r="W621" s="4"/>
      <c r="X621">
        <v>619</v>
      </c>
      <c r="Y621" s="4">
        <f t="shared" ca="1" si="99"/>
        <v>2.3823317652989947E-2</v>
      </c>
      <c r="Z621" s="4">
        <f ca="1"/>
        <v>6.0801567213954796E-3</v>
      </c>
      <c r="AA621" s="4"/>
    </row>
    <row r="622" spans="1:27" x14ac:dyDescent="0.35">
      <c r="A622">
        <v>620</v>
      </c>
      <c r="B622">
        <f ca="1">_xlfn.NORM.INV(RAND(),Hitorical_Sim!$AB$4,Hitorical_Sim!$AB$5)</f>
        <v>-2.2505013967109449E-2</v>
      </c>
      <c r="C622">
        <f ca="1">_xlfn.NORM.INV(RAND(),Hitorical_Sim!$AB$4,Hitorical_Sim!$AB$5)</f>
        <v>2.4309998441021746E-2</v>
      </c>
      <c r="D622">
        <f ca="1">_xlfn.NORM.INV(RAND(),Hitorical_Sim!$AB$4,Hitorical_Sim!$AB$5)</f>
        <v>-3.6918312331415286E-2</v>
      </c>
      <c r="K622">
        <f t="shared" ca="1" si="101"/>
        <v>-0.53541485973902914</v>
      </c>
      <c r="L622">
        <f t="shared" ca="1" si="101"/>
        <v>-1.3085834683683195</v>
      </c>
      <c r="M622">
        <f t="shared" ca="1" si="101"/>
        <v>1.5181535923053251</v>
      </c>
      <c r="O622">
        <v>620</v>
      </c>
      <c r="P622" s="6">
        <f t="shared" ca="1" si="93"/>
        <v>1919.1122723942556</v>
      </c>
      <c r="Q622" s="6">
        <f t="shared" ca="1" si="94"/>
        <v>370.31944718669337</v>
      </c>
      <c r="R622" s="6">
        <f t="shared" ca="1" si="95"/>
        <v>157.9158821029651</v>
      </c>
      <c r="S622" s="6"/>
      <c r="T622" s="4">
        <f t="shared" ca="1" si="96"/>
        <v>-1.2943608986586247E-2</v>
      </c>
      <c r="U622" s="4">
        <f t="shared" ca="1" si="97"/>
        <v>-6.1245028339242662E-2</v>
      </c>
      <c r="V622" s="4">
        <f t="shared" ca="1" si="98"/>
        <v>4.0892263111687345E-2</v>
      </c>
      <c r="W622" s="4"/>
      <c r="X622">
        <v>620</v>
      </c>
      <c r="Y622" s="4">
        <f t="shared" ca="1" si="99"/>
        <v>-1.9918687660942205E-2</v>
      </c>
      <c r="Z622" s="4">
        <f ca="1"/>
        <v>6.0936108005038535E-3</v>
      </c>
      <c r="AA622" s="4"/>
    </row>
    <row r="623" spans="1:27" x14ac:dyDescent="0.35">
      <c r="A623">
        <v>621</v>
      </c>
      <c r="B623">
        <f ca="1">_xlfn.NORM.INV(RAND(),Hitorical_Sim!$AB$4,Hitorical_Sim!$AB$5)</f>
        <v>5.3680859055989828E-3</v>
      </c>
      <c r="C623">
        <f ca="1">_xlfn.NORM.INV(RAND(),Hitorical_Sim!$AB$4,Hitorical_Sim!$AB$5)</f>
        <v>1.6025556000251476E-2</v>
      </c>
      <c r="D623">
        <f ca="1">_xlfn.NORM.INV(RAND(),Hitorical_Sim!$AB$4,Hitorical_Sim!$AB$5)</f>
        <v>-8.1011575616518807E-3</v>
      </c>
      <c r="K623">
        <f t="shared" ca="1" si="101"/>
        <v>-1.2122042896385901</v>
      </c>
      <c r="L623">
        <f t="shared" ca="1" si="101"/>
        <v>-0.39536539508157209</v>
      </c>
      <c r="M623">
        <f t="shared" ca="1" si="101"/>
        <v>-1.592821997364736</v>
      </c>
      <c r="O623">
        <v>621</v>
      </c>
      <c r="P623" s="6">
        <f t="shared" ca="1" si="93"/>
        <v>1895.6925277165744</v>
      </c>
      <c r="Q623" s="6">
        <f t="shared" ca="1" si="94"/>
        <v>380.09451251030595</v>
      </c>
      <c r="R623" s="6">
        <f t="shared" ca="1" si="95"/>
        <v>143.61866686343339</v>
      </c>
      <c r="S623" s="6"/>
      <c r="T623" s="4">
        <f t="shared" ca="1" si="96"/>
        <v>-1.2278499235050066E-2</v>
      </c>
      <c r="U623" s="4">
        <f t="shared" ca="1" si="97"/>
        <v>2.605393500488494E-2</v>
      </c>
      <c r="V623" s="4">
        <f t="shared" ca="1" si="98"/>
        <v>-9.4900859251695668E-2</v>
      </c>
      <c r="W623" s="4"/>
      <c r="X623">
        <v>621</v>
      </c>
      <c r="Y623" s="4">
        <f t="shared" ca="1" si="99"/>
        <v>-8.7175580828849665E-3</v>
      </c>
      <c r="Z623" s="4">
        <f ca="1"/>
        <v>6.0971333197096939E-3</v>
      </c>
      <c r="AA623" s="4"/>
    </row>
    <row r="624" spans="1:27" x14ac:dyDescent="0.35">
      <c r="A624">
        <v>622</v>
      </c>
      <c r="B624">
        <f ca="1">_xlfn.NORM.INV(RAND(),Hitorical_Sim!$AB$4,Hitorical_Sim!$AB$5)</f>
        <v>1.312844103686722E-2</v>
      </c>
      <c r="C624">
        <f ca="1">_xlfn.NORM.INV(RAND(),Hitorical_Sim!$AB$4,Hitorical_Sim!$AB$5)</f>
        <v>-9.6383759663270212E-3</v>
      </c>
      <c r="D624">
        <f ca="1">_xlfn.NORM.INV(RAND(),Hitorical_Sim!$AB$4,Hitorical_Sim!$AB$5)</f>
        <v>-7.4659863877685161E-3</v>
      </c>
      <c r="K624">
        <f t="shared" ref="K624:M643" ca="1" si="102">_xlfn.NORM.S.INV(RAND())</f>
        <v>-0.83762647344056018</v>
      </c>
      <c r="L624">
        <f t="shared" ca="1" si="102"/>
        <v>0.59874673017099667</v>
      </c>
      <c r="M624">
        <f t="shared" ca="1" si="102"/>
        <v>0.96950546027807016</v>
      </c>
      <c r="O624">
        <v>622</v>
      </c>
      <c r="P624" s="6">
        <f t="shared" ca="1" si="93"/>
        <v>1908.618945062653</v>
      </c>
      <c r="Q624" s="6">
        <f t="shared" ca="1" si="94"/>
        <v>391.02901546777628</v>
      </c>
      <c r="R624" s="6">
        <f t="shared" ca="1" si="95"/>
        <v>155.29490023039975</v>
      </c>
      <c r="S624" s="6"/>
      <c r="T624" s="4">
        <f t="shared" ca="1" si="96"/>
        <v>6.7956933522687786E-3</v>
      </c>
      <c r="U624" s="4">
        <f t="shared" ca="1" si="97"/>
        <v>2.8361826661708639E-2</v>
      </c>
      <c r="V624" s="4">
        <f t="shared" ca="1" si="98"/>
        <v>7.81642511827952E-2</v>
      </c>
      <c r="W624" s="4"/>
      <c r="X624">
        <v>622</v>
      </c>
      <c r="Y624" s="4">
        <f t="shared" ca="1" si="99"/>
        <v>1.4631643019966794E-2</v>
      </c>
      <c r="Z624" s="4">
        <f ca="1"/>
        <v>6.180204571814848E-3</v>
      </c>
      <c r="AA624" s="4"/>
    </row>
    <row r="625" spans="1:27" x14ac:dyDescent="0.35">
      <c r="A625">
        <v>623</v>
      </c>
      <c r="B625">
        <f ca="1">_xlfn.NORM.INV(RAND(),Hitorical_Sim!$AB$4,Hitorical_Sim!$AB$5)</f>
        <v>1.715324554117531E-2</v>
      </c>
      <c r="C625">
        <f ca="1">_xlfn.NORM.INV(RAND(),Hitorical_Sim!$AB$4,Hitorical_Sim!$AB$5)</f>
        <v>-4.3108797490485205E-2</v>
      </c>
      <c r="D625">
        <f ca="1">_xlfn.NORM.INV(RAND(),Hitorical_Sim!$AB$4,Hitorical_Sim!$AB$5)</f>
        <v>3.1445060055415246E-2</v>
      </c>
      <c r="K625">
        <f t="shared" ca="1" si="102"/>
        <v>-0.65369331612329373</v>
      </c>
      <c r="L625">
        <f t="shared" ca="1" si="102"/>
        <v>0.6792364337834581</v>
      </c>
      <c r="M625">
        <f t="shared" ca="1" si="102"/>
        <v>-1.1406878255981889</v>
      </c>
      <c r="O625">
        <v>623</v>
      </c>
      <c r="P625" s="6">
        <f t="shared" ca="1" si="93"/>
        <v>1914.9985794573895</v>
      </c>
      <c r="Q625" s="6">
        <f t="shared" ca="1" si="94"/>
        <v>391.92798895351586</v>
      </c>
      <c r="R625" s="6">
        <f t="shared" ca="1" si="95"/>
        <v>145.61324105415184</v>
      </c>
      <c r="S625" s="6"/>
      <c r="T625" s="4">
        <f t="shared" ca="1" si="96"/>
        <v>3.3369657261867374E-3</v>
      </c>
      <c r="U625" s="4">
        <f t="shared" ca="1" si="97"/>
        <v>2.2963556765078583E-3</v>
      </c>
      <c r="V625" s="4">
        <f t="shared" ca="1" si="98"/>
        <v>-6.4371818500207206E-2</v>
      </c>
      <c r="W625" s="4"/>
      <c r="X625">
        <v>623</v>
      </c>
      <c r="Y625" s="4">
        <f t="shared" ca="1" si="99"/>
        <v>-2.2162197628693538E-4</v>
      </c>
      <c r="Z625" s="4">
        <f ca="1"/>
        <v>6.1875852657366677E-3</v>
      </c>
      <c r="AA625" s="4"/>
    </row>
    <row r="626" spans="1:27" x14ac:dyDescent="0.35">
      <c r="A626">
        <v>624</v>
      </c>
      <c r="B626">
        <f ca="1">_xlfn.NORM.INV(RAND(),Hitorical_Sim!$AB$4,Hitorical_Sim!$AB$5)</f>
        <v>1.2740064716826569E-2</v>
      </c>
      <c r="C626">
        <f ca="1">_xlfn.NORM.INV(RAND(),Hitorical_Sim!$AB$4,Hitorical_Sim!$AB$5)</f>
        <v>1.5043841356406802E-2</v>
      </c>
      <c r="D626">
        <f ca="1">_xlfn.NORM.INV(RAND(),Hitorical_Sim!$AB$4,Hitorical_Sim!$AB$5)</f>
        <v>2.7446056384802476E-3</v>
      </c>
      <c r="K626">
        <f t="shared" ca="1" si="102"/>
        <v>-7.8929975780794151E-2</v>
      </c>
      <c r="L626">
        <f t="shared" ca="1" si="102"/>
        <v>8.5481279295697103E-3</v>
      </c>
      <c r="M626">
        <f t="shared" ca="1" si="102"/>
        <v>-0.27494728708477273</v>
      </c>
      <c r="O626">
        <v>624</v>
      </c>
      <c r="P626" s="6">
        <f t="shared" ca="1" si="93"/>
        <v>1935.0717285333494</v>
      </c>
      <c r="Q626" s="6">
        <f t="shared" ca="1" si="94"/>
        <v>384.49989413659864</v>
      </c>
      <c r="R626" s="6">
        <f t="shared" ca="1" si="95"/>
        <v>149.51005391080056</v>
      </c>
      <c r="S626" s="6"/>
      <c r="T626" s="4">
        <f t="shared" ca="1" si="96"/>
        <v>1.0427513969562896E-2</v>
      </c>
      <c r="U626" s="4">
        <f t="shared" ca="1" si="97"/>
        <v>-1.9134607647834659E-2</v>
      </c>
      <c r="V626" s="4">
        <f t="shared" ca="1" si="98"/>
        <v>2.6409567875350103E-2</v>
      </c>
      <c r="W626" s="4"/>
      <c r="X626">
        <v>624</v>
      </c>
      <c r="Y626" s="4">
        <f t="shared" ca="1" si="99"/>
        <v>5.318811348248095E-3</v>
      </c>
      <c r="Z626" s="4">
        <f ca="1"/>
        <v>6.2614432618592654E-3</v>
      </c>
      <c r="AA626" s="4"/>
    </row>
    <row r="627" spans="1:27" x14ac:dyDescent="0.35">
      <c r="A627">
        <v>625</v>
      </c>
      <c r="B627">
        <f ca="1">_xlfn.NORM.INV(RAND(),Hitorical_Sim!$AB$4,Hitorical_Sim!$AB$5)</f>
        <v>-5.2719363676819401E-3</v>
      </c>
      <c r="C627">
        <f ca="1">_xlfn.NORM.INV(RAND(),Hitorical_Sim!$AB$4,Hitorical_Sim!$AB$5)</f>
        <v>2.9243933990287966E-2</v>
      </c>
      <c r="D627">
        <f ca="1">_xlfn.NORM.INV(RAND(),Hitorical_Sim!$AB$4,Hitorical_Sim!$AB$5)</f>
        <v>1.2484604424591358E-2</v>
      </c>
      <c r="K627">
        <f t="shared" ca="1" si="102"/>
        <v>-0.73154242032897754</v>
      </c>
      <c r="L627">
        <f t="shared" ca="1" si="102"/>
        <v>1.2233987973133531</v>
      </c>
      <c r="M627">
        <f t="shared" ca="1" si="102"/>
        <v>0.60852820046687628</v>
      </c>
      <c r="O627">
        <v>625</v>
      </c>
      <c r="P627" s="6">
        <f t="shared" ca="1" si="93"/>
        <v>1912.29582157852</v>
      </c>
      <c r="Q627" s="6">
        <f t="shared" ca="1" si="94"/>
        <v>398.06008779602746</v>
      </c>
      <c r="R627" s="6">
        <f t="shared" ca="1" si="95"/>
        <v>153.59422409123684</v>
      </c>
      <c r="S627" s="6"/>
      <c r="T627" s="4">
        <f t="shared" ca="1" si="96"/>
        <v>-1.1839873743829282E-2</v>
      </c>
      <c r="U627" s="4">
        <f t="shared" ca="1" si="97"/>
        <v>3.4659454632614627E-2</v>
      </c>
      <c r="V627" s="4">
        <f t="shared" ca="1" si="98"/>
        <v>2.6950575624849201E-2</v>
      </c>
      <c r="W627" s="4"/>
      <c r="X627">
        <v>625</v>
      </c>
      <c r="Y627" s="4">
        <f t="shared" ca="1" si="99"/>
        <v>-6.4034796154901997E-4</v>
      </c>
      <c r="Z627" s="4">
        <f ca="1"/>
        <v>6.279973192399234E-3</v>
      </c>
      <c r="AA627" s="4"/>
    </row>
    <row r="628" spans="1:27" x14ac:dyDescent="0.35">
      <c r="A628">
        <v>626</v>
      </c>
      <c r="B628">
        <f ca="1">_xlfn.NORM.INV(RAND(),Hitorical_Sim!$AB$4,Hitorical_Sim!$AB$5)</f>
        <v>5.1726372343298853E-3</v>
      </c>
      <c r="C628">
        <f ca="1">_xlfn.NORM.INV(RAND(),Hitorical_Sim!$AB$4,Hitorical_Sim!$AB$5)</f>
        <v>-3.101246563828969E-3</v>
      </c>
      <c r="D628">
        <f ca="1">_xlfn.NORM.INV(RAND(),Hitorical_Sim!$AB$4,Hitorical_Sim!$AB$5)</f>
        <v>-1.8537407557707906E-3</v>
      </c>
      <c r="K628">
        <f t="shared" ca="1" si="102"/>
        <v>0.24157586301914497</v>
      </c>
      <c r="L628">
        <f t="shared" ca="1" si="102"/>
        <v>0.33871064109664661</v>
      </c>
      <c r="M628">
        <f t="shared" ca="1" si="102"/>
        <v>-0.34120139819198431</v>
      </c>
      <c r="O628">
        <v>626</v>
      </c>
      <c r="P628" s="6">
        <f t="shared" ca="1" si="93"/>
        <v>1946.3563759093677</v>
      </c>
      <c r="Q628" s="6">
        <f t="shared" ca="1" si="94"/>
        <v>388.13879171353011</v>
      </c>
      <c r="R628" s="6">
        <f t="shared" ca="1" si="95"/>
        <v>149.20818529032718</v>
      </c>
      <c r="S628" s="6"/>
      <c r="T628" s="4">
        <f t="shared" ca="1" si="96"/>
        <v>1.7654578469814924E-2</v>
      </c>
      <c r="U628" s="4">
        <f t="shared" ca="1" si="97"/>
        <v>-2.5239981988862802E-2</v>
      </c>
      <c r="V628" s="4">
        <f t="shared" ca="1" si="98"/>
        <v>-2.8971668973800414E-2</v>
      </c>
      <c r="W628" s="4"/>
      <c r="X628">
        <v>626</v>
      </c>
      <c r="Y628" s="4">
        <f t="shared" ca="1" si="99"/>
        <v>6.7866547822663485E-3</v>
      </c>
      <c r="Z628" s="4">
        <f ca="1"/>
        <v>6.3288413152973785E-3</v>
      </c>
      <c r="AA628" s="4"/>
    </row>
    <row r="629" spans="1:27" x14ac:dyDescent="0.35">
      <c r="A629">
        <v>627</v>
      </c>
      <c r="B629">
        <f ca="1">_xlfn.NORM.INV(RAND(),Hitorical_Sim!$AB$4,Hitorical_Sim!$AB$5)</f>
        <v>-5.4792892492975366E-3</v>
      </c>
      <c r="C629">
        <f ca="1">_xlfn.NORM.INV(RAND(),Hitorical_Sim!$AB$4,Hitorical_Sim!$AB$5)</f>
        <v>1.5497550468236046E-2</v>
      </c>
      <c r="D629">
        <f ca="1">_xlfn.NORM.INV(RAND(),Hitorical_Sim!$AB$4,Hitorical_Sim!$AB$5)</f>
        <v>8.9243177623591907E-3</v>
      </c>
      <c r="K629">
        <f t="shared" ca="1" si="102"/>
        <v>0.13100273025079065</v>
      </c>
      <c r="L629">
        <f t="shared" ca="1" si="102"/>
        <v>0.66348196423495998</v>
      </c>
      <c r="M629">
        <f t="shared" ca="1" si="102"/>
        <v>1.6220553925269203</v>
      </c>
      <c r="O629">
        <v>627</v>
      </c>
      <c r="P629" s="6">
        <f t="shared" ca="1" si="93"/>
        <v>1942.4558051423883</v>
      </c>
      <c r="Q629" s="6">
        <f t="shared" ca="1" si="94"/>
        <v>391.75186789226564</v>
      </c>
      <c r="R629" s="6">
        <f t="shared" ca="1" si="95"/>
        <v>158.41719729212403</v>
      </c>
      <c r="S629" s="6"/>
      <c r="T629" s="4">
        <f t="shared" ca="1" si="96"/>
        <v>-2.0060480647796043E-3</v>
      </c>
      <c r="U629" s="4">
        <f t="shared" ca="1" si="97"/>
        <v>9.2656630349443343E-3</v>
      </c>
      <c r="V629" s="4">
        <f t="shared" ca="1" si="98"/>
        <v>5.9889494790510561E-2</v>
      </c>
      <c r="W629" s="4"/>
      <c r="X629">
        <v>627</v>
      </c>
      <c r="Y629" s="4">
        <f t="shared" ca="1" si="99"/>
        <v>3.3066429638259113E-3</v>
      </c>
      <c r="Z629" s="4">
        <f ca="1"/>
        <v>6.4641490815315929E-3</v>
      </c>
      <c r="AA629" s="4"/>
    </row>
    <row r="630" spans="1:27" x14ac:dyDescent="0.35">
      <c r="A630">
        <v>628</v>
      </c>
      <c r="B630">
        <f ca="1">_xlfn.NORM.INV(RAND(),Hitorical_Sim!$AB$4,Hitorical_Sim!$AB$5)</f>
        <v>2.3836130593173466E-2</v>
      </c>
      <c r="C630">
        <f ca="1">_xlfn.NORM.INV(RAND(),Hitorical_Sim!$AB$4,Hitorical_Sim!$AB$5)</f>
        <v>1.120845938429944E-2</v>
      </c>
      <c r="D630">
        <f ca="1">_xlfn.NORM.INV(RAND(),Hitorical_Sim!$AB$4,Hitorical_Sim!$AB$5)</f>
        <v>-8.2499844894766E-3</v>
      </c>
      <c r="K630">
        <f t="shared" ca="1" si="102"/>
        <v>1.220555870036852</v>
      </c>
      <c r="L630">
        <f t="shared" ca="1" si="102"/>
        <v>-0.30575081840370422</v>
      </c>
      <c r="M630">
        <f t="shared" ca="1" si="102"/>
        <v>-0.51627707850099447</v>
      </c>
      <c r="O630">
        <v>628</v>
      </c>
      <c r="P630" s="6">
        <f t="shared" ca="1" si="93"/>
        <v>1981.2342775619511</v>
      </c>
      <c r="Q630" s="6">
        <f t="shared" ca="1" si="94"/>
        <v>381.06753836547807</v>
      </c>
      <c r="R630" s="6">
        <f t="shared" ca="1" si="95"/>
        <v>148.41343113561916</v>
      </c>
      <c r="S630" s="6"/>
      <c r="T630" s="4">
        <f t="shared" ca="1" si="96"/>
        <v>1.9766971531152339E-2</v>
      </c>
      <c r="U630" s="4">
        <f t="shared" ca="1" si="97"/>
        <v>-2.7652023828860679E-2</v>
      </c>
      <c r="V630" s="4">
        <f t="shared" ca="1" si="98"/>
        <v>-6.5230209308030182E-2</v>
      </c>
      <c r="W630" s="4"/>
      <c r="X630">
        <v>628</v>
      </c>
      <c r="Y630" s="4">
        <f t="shared" ca="1" si="99"/>
        <v>6.0971333197096939E-3</v>
      </c>
      <c r="Z630" s="4">
        <f ca="1"/>
        <v>6.5284714976185723E-3</v>
      </c>
      <c r="AA630" s="4"/>
    </row>
    <row r="631" spans="1:27" x14ac:dyDescent="0.35">
      <c r="A631">
        <v>629</v>
      </c>
      <c r="B631">
        <f ca="1">_xlfn.NORM.INV(RAND(),Hitorical_Sim!$AB$4,Hitorical_Sim!$AB$5)</f>
        <v>1.2061315590351491E-2</v>
      </c>
      <c r="C631">
        <f ca="1">_xlfn.NORM.INV(RAND(),Hitorical_Sim!$AB$4,Hitorical_Sim!$AB$5)</f>
        <v>4.5149905488986088E-3</v>
      </c>
      <c r="D631">
        <f ca="1">_xlfn.NORM.INV(RAND(),Hitorical_Sim!$AB$4,Hitorical_Sim!$AB$5)</f>
        <v>-2.4299398104194399E-2</v>
      </c>
      <c r="K631">
        <f t="shared" ca="1" si="102"/>
        <v>0.24415630152759851</v>
      </c>
      <c r="L631">
        <f t="shared" ca="1" si="102"/>
        <v>1.9630979628028509</v>
      </c>
      <c r="M631">
        <f t="shared" ca="1" si="102"/>
        <v>1.7408429431115335</v>
      </c>
      <c r="O631">
        <v>629</v>
      </c>
      <c r="P631" s="6">
        <f t="shared" ca="1" si="93"/>
        <v>1946.4474967594024</v>
      </c>
      <c r="Q631" s="6">
        <f t="shared" ca="1" si="94"/>
        <v>406.54980474335099</v>
      </c>
      <c r="R631" s="6">
        <f t="shared" ca="1" si="95"/>
        <v>158.99228474706914</v>
      </c>
      <c r="S631" s="6"/>
      <c r="T631" s="4">
        <f t="shared" ca="1" si="96"/>
        <v>-1.7714108444074082E-2</v>
      </c>
      <c r="U631" s="4">
        <f t="shared" ca="1" si="97"/>
        <v>6.4729816908591309E-2</v>
      </c>
      <c r="V631" s="4">
        <f t="shared" ca="1" si="98"/>
        <v>6.8853844497041808E-2</v>
      </c>
      <c r="W631" s="4"/>
      <c r="X631">
        <v>629</v>
      </c>
      <c r="Y631" s="4">
        <f t="shared" ca="1" si="99"/>
        <v>3.0233257850231865E-3</v>
      </c>
      <c r="Z631" s="4">
        <f ca="1"/>
        <v>6.5560572422808383E-3</v>
      </c>
      <c r="AA631" s="4"/>
    </row>
    <row r="632" spans="1:27" x14ac:dyDescent="0.35">
      <c r="A632">
        <v>630</v>
      </c>
      <c r="B632">
        <f ca="1">_xlfn.NORM.INV(RAND(),Hitorical_Sim!$AB$4,Hitorical_Sim!$AB$5)</f>
        <v>5.3263736274587851E-3</v>
      </c>
      <c r="C632">
        <f ca="1">_xlfn.NORM.INV(RAND(),Hitorical_Sim!$AB$4,Hitorical_Sim!$AB$5)</f>
        <v>-3.4589397814148451E-2</v>
      </c>
      <c r="D632">
        <f ca="1">_xlfn.NORM.INV(RAND(),Hitorical_Sim!$AB$4,Hitorical_Sim!$AB$5)</f>
        <v>1.6451112083607933E-2</v>
      </c>
      <c r="K632">
        <f t="shared" ca="1" si="102"/>
        <v>0.3359724880351368</v>
      </c>
      <c r="L632">
        <f t="shared" ca="1" si="102"/>
        <v>-0.31556553129243475</v>
      </c>
      <c r="M632">
        <f t="shared" ca="1" si="102"/>
        <v>-1.6103451828418489</v>
      </c>
      <c r="O632">
        <v>630</v>
      </c>
      <c r="P632" s="6">
        <f t="shared" ca="1" si="93"/>
        <v>1949.6925021967959</v>
      </c>
      <c r="Q632" s="6">
        <f t="shared" ca="1" si="94"/>
        <v>380.96084987282319</v>
      </c>
      <c r="R632" s="6">
        <f t="shared" ca="1" si="95"/>
        <v>143.54191632697516</v>
      </c>
      <c r="S632" s="6"/>
      <c r="T632" s="4">
        <f t="shared" ca="1" si="96"/>
        <v>1.6657544074901681E-3</v>
      </c>
      <c r="U632" s="4">
        <f t="shared" ca="1" si="97"/>
        <v>-6.5009828769038228E-2</v>
      </c>
      <c r="V632" s="4">
        <f t="shared" ca="1" si="98"/>
        <v>-0.10222858505321313</v>
      </c>
      <c r="W632" s="4"/>
      <c r="X632">
        <v>630</v>
      </c>
      <c r="Y632" s="4">
        <f t="shared" ca="1" si="99"/>
        <v>-1.6782306525965643E-2</v>
      </c>
      <c r="Z632" s="4">
        <f ca="1"/>
        <v>6.617990425388456E-3</v>
      </c>
      <c r="AA632" s="4"/>
    </row>
    <row r="633" spans="1:27" x14ac:dyDescent="0.35">
      <c r="A633">
        <v>631</v>
      </c>
      <c r="B633">
        <f ca="1">_xlfn.NORM.INV(RAND(),Hitorical_Sim!$AB$4,Hitorical_Sim!$AB$5)</f>
        <v>-1.739151369185531E-2</v>
      </c>
      <c r="C633">
        <f ca="1">_xlfn.NORM.INV(RAND(),Hitorical_Sim!$AB$4,Hitorical_Sim!$AB$5)</f>
        <v>2.9352883913508427E-3</v>
      </c>
      <c r="D633">
        <f ca="1">_xlfn.NORM.INV(RAND(),Hitorical_Sim!$AB$4,Hitorical_Sim!$AB$5)</f>
        <v>1.2846377871661509E-2</v>
      </c>
      <c r="K633">
        <f t="shared" ca="1" si="102"/>
        <v>0.13159354016436225</v>
      </c>
      <c r="L633">
        <f t="shared" ca="1" si="102"/>
        <v>-0.79436413146439733</v>
      </c>
      <c r="M633">
        <f t="shared" ca="1" si="102"/>
        <v>1.0771199273746972</v>
      </c>
      <c r="O633">
        <v>631</v>
      </c>
      <c r="P633" s="6">
        <f t="shared" ca="1" si="93"/>
        <v>1942.4766257293277</v>
      </c>
      <c r="Q633" s="6">
        <f t="shared" ca="1" si="94"/>
        <v>375.79229436389699</v>
      </c>
      <c r="R633" s="6">
        <f t="shared" ca="1" si="95"/>
        <v>155.80553977050874</v>
      </c>
      <c r="S633" s="6"/>
      <c r="T633" s="4">
        <f t="shared" ca="1" si="96"/>
        <v>-3.7078988592714546E-3</v>
      </c>
      <c r="U633" s="4">
        <f t="shared" ca="1" si="97"/>
        <v>-1.3660031458217925E-2</v>
      </c>
      <c r="V633" s="4">
        <f t="shared" ca="1" si="98"/>
        <v>8.1981597353373001E-2</v>
      </c>
      <c r="W633" s="4"/>
      <c r="X633">
        <v>631</v>
      </c>
      <c r="Y633" s="4">
        <f t="shared" ca="1" si="99"/>
        <v>-1.4532444019546651E-3</v>
      </c>
      <c r="Z633" s="4">
        <f ca="1"/>
        <v>6.6483113605175772E-3</v>
      </c>
      <c r="AA633" s="4"/>
    </row>
    <row r="634" spans="1:27" x14ac:dyDescent="0.35">
      <c r="A634">
        <v>632</v>
      </c>
      <c r="B634">
        <f ca="1">_xlfn.NORM.INV(RAND(),Hitorical_Sim!$AB$4,Hitorical_Sim!$AB$5)</f>
        <v>1.3633128872161641E-2</v>
      </c>
      <c r="C634">
        <f ca="1">_xlfn.NORM.INV(RAND(),Hitorical_Sim!$AB$4,Hitorical_Sim!$AB$5)</f>
        <v>-1.0558992576674197E-4</v>
      </c>
      <c r="D634">
        <f ca="1">_xlfn.NORM.INV(RAND(),Hitorical_Sim!$AB$4,Hitorical_Sim!$AB$5)</f>
        <v>4.4140669351786814E-3</v>
      </c>
      <c r="K634">
        <f t="shared" ca="1" si="102"/>
        <v>1.1938698972391339</v>
      </c>
      <c r="L634">
        <f t="shared" ca="1" si="102"/>
        <v>0.27130109734020696</v>
      </c>
      <c r="M634">
        <f t="shared" ca="1" si="102"/>
        <v>1.8561949158491875</v>
      </c>
      <c r="O634">
        <v>632</v>
      </c>
      <c r="P634" s="6">
        <f t="shared" ca="1" si="93"/>
        <v>1980.2753065794789</v>
      </c>
      <c r="Q634" s="6">
        <f t="shared" ca="1" si="94"/>
        <v>387.3930477988028</v>
      </c>
      <c r="R634" s="6">
        <f t="shared" ca="1" si="95"/>
        <v>159.55273742218856</v>
      </c>
      <c r="S634" s="6"/>
      <c r="T634" s="4">
        <f t="shared" ca="1" si="96"/>
        <v>1.9272108667078239E-2</v>
      </c>
      <c r="U634" s="4">
        <f t="shared" ca="1" si="97"/>
        <v>3.0403222866925161E-2</v>
      </c>
      <c r="V634" s="4">
        <f t="shared" ca="1" si="98"/>
        <v>2.3765819980469591E-2</v>
      </c>
      <c r="W634" s="4"/>
      <c r="X634">
        <v>632</v>
      </c>
      <c r="Y634" s="4">
        <f t="shared" ca="1" si="99"/>
        <v>2.1715917957790338E-2</v>
      </c>
      <c r="Z634" s="4">
        <f ca="1"/>
        <v>6.728813355029447E-3</v>
      </c>
      <c r="AA634" s="4"/>
    </row>
    <row r="635" spans="1:27" x14ac:dyDescent="0.35">
      <c r="A635">
        <v>633</v>
      </c>
      <c r="B635">
        <f ca="1">_xlfn.NORM.INV(RAND(),Hitorical_Sim!$AB$4,Hitorical_Sim!$AB$5)</f>
        <v>-1.2587520803327789E-2</v>
      </c>
      <c r="C635">
        <f ca="1">_xlfn.NORM.INV(RAND(),Hitorical_Sim!$AB$4,Hitorical_Sim!$AB$5)</f>
        <v>-1.2057124967032283E-2</v>
      </c>
      <c r="D635">
        <f ca="1">_xlfn.NORM.INV(RAND(),Hitorical_Sim!$AB$4,Hitorical_Sim!$AB$5)</f>
        <v>-2.6853460560088686E-2</v>
      </c>
      <c r="K635">
        <f t="shared" ca="1" si="102"/>
        <v>-1.2223816374833327</v>
      </c>
      <c r="L635">
        <f t="shared" ca="1" si="102"/>
        <v>-0.15593481044540669</v>
      </c>
      <c r="M635">
        <f t="shared" ca="1" si="102"/>
        <v>2.0365741447093844</v>
      </c>
      <c r="O635">
        <v>633</v>
      </c>
      <c r="P635" s="6">
        <f t="shared" ca="1" si="93"/>
        <v>1895.3425389194076</v>
      </c>
      <c r="Q635" s="6">
        <f t="shared" ca="1" si="94"/>
        <v>382.69979133956213</v>
      </c>
      <c r="R635" s="6">
        <f t="shared" ca="1" si="95"/>
        <v>160.43309625813512</v>
      </c>
      <c r="S635" s="6"/>
      <c r="T635" s="4">
        <f t="shared" ca="1" si="96"/>
        <v>-4.3836297244153187E-2</v>
      </c>
      <c r="U635" s="4">
        <f t="shared" ca="1" si="97"/>
        <v>-1.2188957817202755E-2</v>
      </c>
      <c r="V635" s="4">
        <f t="shared" ca="1" si="98"/>
        <v>5.5025002018117978E-3</v>
      </c>
      <c r="W635" s="4"/>
      <c r="X635">
        <v>633</v>
      </c>
      <c r="Y635" s="4">
        <f t="shared" ca="1" si="99"/>
        <v>-3.5078715348894313E-2</v>
      </c>
      <c r="Z635" s="4">
        <f ca="1"/>
        <v>6.7696304024931495E-3</v>
      </c>
      <c r="AA635" s="4"/>
    </row>
    <row r="636" spans="1:27" x14ac:dyDescent="0.35">
      <c r="A636">
        <v>634</v>
      </c>
      <c r="B636">
        <f ca="1">_xlfn.NORM.INV(RAND(),Hitorical_Sim!$AB$4,Hitorical_Sim!$AB$5)</f>
        <v>3.7872436988192107E-2</v>
      </c>
      <c r="C636">
        <f ca="1">_xlfn.NORM.INV(RAND(),Hitorical_Sim!$AB$4,Hitorical_Sim!$AB$5)</f>
        <v>-1.5024105786166505E-2</v>
      </c>
      <c r="D636">
        <f ca="1">_xlfn.NORM.INV(RAND(),Hitorical_Sim!$AB$4,Hitorical_Sim!$AB$5)</f>
        <v>9.4098743194626043E-3</v>
      </c>
      <c r="K636">
        <f t="shared" ca="1" si="102"/>
        <v>-0.32877695163997528</v>
      </c>
      <c r="L636">
        <f t="shared" ca="1" si="102"/>
        <v>-0.46876741936314076</v>
      </c>
      <c r="M636">
        <f t="shared" ca="1" si="102"/>
        <v>-2.2297919888709195</v>
      </c>
      <c r="O636">
        <v>634</v>
      </c>
      <c r="P636" s="6">
        <f t="shared" ca="1" si="93"/>
        <v>1926.3202995330091</v>
      </c>
      <c r="Q636" s="6">
        <f t="shared" ca="1" si="94"/>
        <v>379.29937213648861</v>
      </c>
      <c r="R636" s="6">
        <f t="shared" ca="1" si="95"/>
        <v>140.85496701538779</v>
      </c>
      <c r="S636" s="6"/>
      <c r="T636" s="4">
        <f t="shared" ca="1" si="96"/>
        <v>1.6212021002149767E-2</v>
      </c>
      <c r="U636" s="4">
        <f t="shared" ca="1" si="97"/>
        <v>-8.9250538273041337E-3</v>
      </c>
      <c r="V636" s="4">
        <f t="shared" ca="1" si="98"/>
        <v>-0.13014625164643159</v>
      </c>
      <c r="W636" s="4"/>
      <c r="X636">
        <v>634</v>
      </c>
      <c r="Y636" s="4">
        <f t="shared" ca="1" si="99"/>
        <v>3.9521759995113622E-3</v>
      </c>
      <c r="Z636" s="4">
        <f ca="1"/>
        <v>6.7866547822663485E-3</v>
      </c>
      <c r="AA636" s="4"/>
    </row>
    <row r="637" spans="1:27" x14ac:dyDescent="0.35">
      <c r="A637">
        <v>635</v>
      </c>
      <c r="B637">
        <f ca="1">_xlfn.NORM.INV(RAND(),Hitorical_Sim!$AB$4,Hitorical_Sim!$AB$5)</f>
        <v>1.7792850066325441E-3</v>
      </c>
      <c r="C637">
        <f ca="1">_xlfn.NORM.INV(RAND(),Hitorical_Sim!$AB$4,Hitorical_Sim!$AB$5)</f>
        <v>-1.7516060777115166E-3</v>
      </c>
      <c r="D637">
        <f ca="1">_xlfn.NORM.INV(RAND(),Hitorical_Sim!$AB$4,Hitorical_Sim!$AB$5)</f>
        <v>9.1313229482282328E-3</v>
      </c>
      <c r="K637">
        <f t="shared" ca="1" si="102"/>
        <v>-1.1949186818567974</v>
      </c>
      <c r="L637">
        <f t="shared" ca="1" si="102"/>
        <v>0.81402493605805393</v>
      </c>
      <c r="M637">
        <f t="shared" ca="1" si="102"/>
        <v>-0.19304896701086749</v>
      </c>
      <c r="O637">
        <v>635</v>
      </c>
      <c r="P637" s="6">
        <f t="shared" ca="1" si="93"/>
        <v>1896.287110557997</v>
      </c>
      <c r="Q637" s="6">
        <f t="shared" ca="1" si="94"/>
        <v>393.43804566977161</v>
      </c>
      <c r="R637" s="6">
        <f t="shared" ca="1" si="95"/>
        <v>149.88404525392104</v>
      </c>
      <c r="S637" s="6"/>
      <c r="T637" s="4">
        <f t="shared" ca="1" si="96"/>
        <v>-1.5713780538047652E-2</v>
      </c>
      <c r="U637" s="4">
        <f t="shared" ca="1" si="97"/>
        <v>3.6597817794624996E-2</v>
      </c>
      <c r="V637" s="4">
        <f t="shared" ca="1" si="98"/>
        <v>6.2131205237104935E-2</v>
      </c>
      <c r="W637" s="4"/>
      <c r="X637">
        <v>635</v>
      </c>
      <c r="Y637" s="4">
        <f t="shared" ca="1" si="99"/>
        <v>-1.4214978482750716E-3</v>
      </c>
      <c r="Z637" s="4">
        <f ca="1"/>
        <v>6.8015972344143858E-3</v>
      </c>
      <c r="AA637" s="4"/>
    </row>
    <row r="638" spans="1:27" x14ac:dyDescent="0.35">
      <c r="A638">
        <v>636</v>
      </c>
      <c r="B638">
        <f ca="1">_xlfn.NORM.INV(RAND(),Hitorical_Sim!$AB$4,Hitorical_Sim!$AB$5)</f>
        <v>2.9515728177052964E-2</v>
      </c>
      <c r="C638">
        <f ca="1">_xlfn.NORM.INV(RAND(),Hitorical_Sim!$AB$4,Hitorical_Sim!$AB$5)</f>
        <v>1.6831789609511597E-2</v>
      </c>
      <c r="D638">
        <f ca="1">_xlfn.NORM.INV(RAND(),Hitorical_Sim!$AB$4,Hitorical_Sim!$AB$5)</f>
        <v>-6.1302908580958314E-3</v>
      </c>
      <c r="K638">
        <f t="shared" ca="1" si="102"/>
        <v>-0.38571670599436281</v>
      </c>
      <c r="L638">
        <f t="shared" ca="1" si="102"/>
        <v>0.46503859535365771</v>
      </c>
      <c r="M638">
        <f t="shared" ca="1" si="102"/>
        <v>-0.71884776014930751</v>
      </c>
      <c r="O638">
        <v>636</v>
      </c>
      <c r="P638" s="6">
        <f t="shared" ca="1" si="93"/>
        <v>1924.3314061022745</v>
      </c>
      <c r="Q638" s="6">
        <f t="shared" ca="1" si="94"/>
        <v>389.54021134966422</v>
      </c>
      <c r="R638" s="6">
        <f t="shared" ca="1" si="95"/>
        <v>147.49914491225996</v>
      </c>
      <c r="S638" s="6"/>
      <c r="T638" s="4">
        <f t="shared" ca="1" si="96"/>
        <v>1.4680763916632533E-2</v>
      </c>
      <c r="U638" s="4">
        <f t="shared" ca="1" si="97"/>
        <v>-9.9565128026654105E-3</v>
      </c>
      <c r="V638" s="4">
        <f t="shared" ca="1" si="98"/>
        <v>-1.6039584954645768E-2</v>
      </c>
      <c r="W638" s="4"/>
      <c r="X638">
        <v>636</v>
      </c>
      <c r="Y638" s="4">
        <f t="shared" ca="1" si="99"/>
        <v>8.2435961387673472E-3</v>
      </c>
      <c r="Z638" s="4">
        <f ca="1"/>
        <v>7.0270199902728774E-3</v>
      </c>
      <c r="AA638" s="4"/>
    </row>
    <row r="639" spans="1:27" x14ac:dyDescent="0.35">
      <c r="A639">
        <v>637</v>
      </c>
      <c r="B639">
        <f ca="1">_xlfn.NORM.INV(RAND(),Hitorical_Sim!$AB$4,Hitorical_Sim!$AB$5)</f>
        <v>1.5665943555462896E-2</v>
      </c>
      <c r="C639">
        <f ca="1">_xlfn.NORM.INV(RAND(),Hitorical_Sim!$AB$4,Hitorical_Sim!$AB$5)</f>
        <v>3.7751012390290502E-2</v>
      </c>
      <c r="D639">
        <f ca="1">_xlfn.NORM.INV(RAND(),Hitorical_Sim!$AB$4,Hitorical_Sim!$AB$5)</f>
        <v>1.3149420765669826E-2</v>
      </c>
      <c r="K639">
        <f t="shared" ca="1" si="102"/>
        <v>1.6462101797597997</v>
      </c>
      <c r="L639">
        <f t="shared" ca="1" si="102"/>
        <v>1.4859364776311923</v>
      </c>
      <c r="M639">
        <f t="shared" ca="1" si="102"/>
        <v>-0.55166741602766367</v>
      </c>
      <c r="O639">
        <v>637</v>
      </c>
      <c r="P639" s="6">
        <f t="shared" ca="1" si="93"/>
        <v>1996.5932638142197</v>
      </c>
      <c r="Q639" s="6">
        <f t="shared" ca="1" si="94"/>
        <v>401.05281124194386</v>
      </c>
      <c r="R639" s="6">
        <f t="shared" ca="1" si="95"/>
        <v>148.2532921611965</v>
      </c>
      <c r="S639" s="6"/>
      <c r="T639" s="4">
        <f t="shared" ca="1" si="96"/>
        <v>3.6863774181746072E-2</v>
      </c>
      <c r="U639" s="4">
        <f t="shared" ca="1" si="97"/>
        <v>2.9126019128983622E-2</v>
      </c>
      <c r="V639" s="4">
        <f t="shared" ca="1" si="98"/>
        <v>5.0998658941005144E-3</v>
      </c>
      <c r="W639" s="4"/>
      <c r="X639">
        <v>637</v>
      </c>
      <c r="Y639" s="4">
        <f t="shared" ca="1" si="99"/>
        <v>3.3747565593400752E-2</v>
      </c>
      <c r="Z639" s="4">
        <f ca="1"/>
        <v>7.031137144327319E-3</v>
      </c>
      <c r="AA639" s="4"/>
    </row>
    <row r="640" spans="1:27" x14ac:dyDescent="0.35">
      <c r="A640">
        <v>638</v>
      </c>
      <c r="B640">
        <f ca="1">_xlfn.NORM.INV(RAND(),Hitorical_Sim!$AB$4,Hitorical_Sim!$AB$5)</f>
        <v>1.2003015454780106E-2</v>
      </c>
      <c r="C640">
        <f ca="1">_xlfn.NORM.INV(RAND(),Hitorical_Sim!$AB$4,Hitorical_Sim!$AB$5)</f>
        <v>-2.1101603833549301E-3</v>
      </c>
      <c r="D640">
        <f ca="1">_xlfn.NORM.INV(RAND(),Hitorical_Sim!$AB$4,Hitorical_Sim!$AB$5)</f>
        <v>-5.4414092799153949E-2</v>
      </c>
      <c r="K640">
        <f t="shared" ca="1" si="102"/>
        <v>0.62839101583891965</v>
      </c>
      <c r="L640">
        <f t="shared" ca="1" si="102"/>
        <v>9.0940682960340774E-2</v>
      </c>
      <c r="M640">
        <f t="shared" ca="1" si="102"/>
        <v>-1.2999700157694261</v>
      </c>
      <c r="O640">
        <v>638</v>
      </c>
      <c r="P640" s="6">
        <f t="shared" ca="1" si="93"/>
        <v>1960.0633732209219</v>
      </c>
      <c r="Q640" s="6">
        <f t="shared" ca="1" si="94"/>
        <v>385.40477948965133</v>
      </c>
      <c r="R640" s="6">
        <f t="shared" ca="1" si="95"/>
        <v>144.90743244382472</v>
      </c>
      <c r="S640" s="6"/>
      <c r="T640" s="4">
        <f t="shared" ca="1" si="96"/>
        <v>-1.8465554090400675E-2</v>
      </c>
      <c r="U640" s="4">
        <f t="shared" ca="1" si="97"/>
        <v>-3.9798960215091848E-2</v>
      </c>
      <c r="V640" s="4">
        <f t="shared" ca="1" si="98"/>
        <v>-2.282710283281339E-2</v>
      </c>
      <c r="W640" s="4"/>
      <c r="X640">
        <v>638</v>
      </c>
      <c r="Y640" s="4">
        <f t="shared" ca="1" si="99"/>
        <v>-2.2938874552655197E-2</v>
      </c>
      <c r="Z640" s="4">
        <f ca="1"/>
        <v>7.1258319969303395E-3</v>
      </c>
      <c r="AA640" s="4"/>
    </row>
    <row r="641" spans="1:27" x14ac:dyDescent="0.35">
      <c r="A641">
        <v>639</v>
      </c>
      <c r="B641">
        <f ca="1">_xlfn.NORM.INV(RAND(),Hitorical_Sim!$AB$4,Hitorical_Sim!$AB$5)</f>
        <v>-6.8756670685033057E-3</v>
      </c>
      <c r="C641">
        <f ca="1">_xlfn.NORM.INV(RAND(),Hitorical_Sim!$AB$4,Hitorical_Sim!$AB$5)</f>
        <v>2.3510049359554853E-2</v>
      </c>
      <c r="D641">
        <f ca="1">_xlfn.NORM.INV(RAND(),Hitorical_Sim!$AB$4,Hitorical_Sim!$AB$5)</f>
        <v>1.5435990392252019E-2</v>
      </c>
      <c r="K641">
        <f t="shared" ca="1" si="102"/>
        <v>0.11945150900790538</v>
      </c>
      <c r="L641">
        <f t="shared" ca="1" si="102"/>
        <v>-1.1504184526878058</v>
      </c>
      <c r="M641">
        <f t="shared" ca="1" si="102"/>
        <v>0.6647401771673126</v>
      </c>
      <c r="O641">
        <v>639</v>
      </c>
      <c r="P641" s="6">
        <f t="shared" ca="1" si="93"/>
        <v>1942.0487762266446</v>
      </c>
      <c r="Q641" s="6">
        <f t="shared" ca="1" si="94"/>
        <v>371.99425895207895</v>
      </c>
      <c r="R641" s="6">
        <f t="shared" ca="1" si="95"/>
        <v>153.85782669209874</v>
      </c>
      <c r="S641" s="6"/>
      <c r="T641" s="4">
        <f t="shared" ca="1" si="96"/>
        <v>-9.233319950399943E-3</v>
      </c>
      <c r="U641" s="4">
        <f t="shared" ca="1" si="97"/>
        <v>-3.5415736048120684E-2</v>
      </c>
      <c r="V641" s="4">
        <f t="shared" ca="1" si="98"/>
        <v>5.9933831081598388E-2</v>
      </c>
      <c r="W641" s="4"/>
      <c r="X641">
        <v>639</v>
      </c>
      <c r="Y641" s="4">
        <f t="shared" ca="1" si="99"/>
        <v>-1.1035404775697621E-2</v>
      </c>
      <c r="Z641" s="4">
        <f ca="1"/>
        <v>7.1345482980407823E-3</v>
      </c>
      <c r="AA641" s="4"/>
    </row>
    <row r="642" spans="1:27" x14ac:dyDescent="0.35">
      <c r="A642">
        <v>640</v>
      </c>
      <c r="B642">
        <f ca="1">_xlfn.NORM.INV(RAND(),Hitorical_Sim!$AB$4,Hitorical_Sim!$AB$5)</f>
        <v>-3.6248115015654627E-3</v>
      </c>
      <c r="C642">
        <f ca="1">_xlfn.NORM.INV(RAND(),Hitorical_Sim!$AB$4,Hitorical_Sim!$AB$5)</f>
        <v>-1.1097654407029687E-3</v>
      </c>
      <c r="D642">
        <f ca="1">_xlfn.NORM.INV(RAND(),Hitorical_Sim!$AB$4,Hitorical_Sim!$AB$5)</f>
        <v>-1.4903967604984469E-2</v>
      </c>
      <c r="K642">
        <f t="shared" ca="1" si="102"/>
        <v>0.82086653870417936</v>
      </c>
      <c r="L642">
        <f t="shared" ca="1" si="102"/>
        <v>3.4183220032666135</v>
      </c>
      <c r="M642">
        <f t="shared" ca="1" si="102"/>
        <v>-0.23688802649557752</v>
      </c>
      <c r="O642">
        <v>640</v>
      </c>
      <c r="P642" s="6">
        <f t="shared" ca="1" si="93"/>
        <v>1966.9197681996632</v>
      </c>
      <c r="Q642" s="6">
        <f t="shared" ca="1" si="94"/>
        <v>423.78392004523414</v>
      </c>
      <c r="R642" s="6">
        <f t="shared" ca="1" si="95"/>
        <v>149.68373655375419</v>
      </c>
      <c r="S642" s="6"/>
      <c r="T642" s="4">
        <f t="shared" ca="1" si="96"/>
        <v>1.2725263612430215E-2</v>
      </c>
      <c r="U642" s="4">
        <f t="shared" ca="1" si="97"/>
        <v>0.13034528156589401</v>
      </c>
      <c r="V642" s="4">
        <f t="shared" ca="1" si="98"/>
        <v>-2.7504327432619508E-2</v>
      </c>
      <c r="W642" s="4"/>
      <c r="X642">
        <v>640</v>
      </c>
      <c r="Y642" s="4">
        <f t="shared" ca="1" si="99"/>
        <v>3.4207498889445E-2</v>
      </c>
      <c r="Z642" s="4">
        <f ca="1"/>
        <v>7.1802408398364999E-3</v>
      </c>
      <c r="AA642" s="4"/>
    </row>
    <row r="643" spans="1:27" x14ac:dyDescent="0.35">
      <c r="A643">
        <v>641</v>
      </c>
      <c r="B643">
        <f ca="1">_xlfn.NORM.INV(RAND(),Hitorical_Sim!$AB$4,Hitorical_Sim!$AB$5)</f>
        <v>-3.612092709624886E-2</v>
      </c>
      <c r="C643">
        <f ca="1">_xlfn.NORM.INV(RAND(),Hitorical_Sim!$AB$4,Hitorical_Sim!$AB$5)</f>
        <v>3.3165915928111476E-3</v>
      </c>
      <c r="D643">
        <f ca="1">_xlfn.NORM.INV(RAND(),Hitorical_Sim!$AB$4,Hitorical_Sim!$AB$5)</f>
        <v>-8.9145480670084812E-4</v>
      </c>
      <c r="K643">
        <f t="shared" ca="1" si="102"/>
        <v>-0.17463048087752009</v>
      </c>
      <c r="L643">
        <f t="shared" ca="1" si="102"/>
        <v>0.64352805850366612</v>
      </c>
      <c r="M643">
        <f t="shared" ca="1" si="102"/>
        <v>6.3698106157911603E-3</v>
      </c>
      <c r="O643">
        <v>641</v>
      </c>
      <c r="P643" s="6">
        <f t="shared" ref="P643:P706" ca="1" si="103">$G$17*EXP(($G$15-0.5*$G$16)+($G$16*K643))</f>
        <v>1931.7149239752409</v>
      </c>
      <c r="Q643" s="6">
        <f t="shared" ref="Q643:Q706" ca="1" si="104">$H$17*EXP(($H$15-0.5*$H$16^2)+($H$16*L643))</f>
        <v>391.52891443687236</v>
      </c>
      <c r="R643" s="6">
        <f t="shared" ref="R643:R706" ca="1" si="105">$I$17*EXP(($I$15-0.5*$I$16)+($I$16*M643))</f>
        <v>150.79861459696829</v>
      </c>
      <c r="S643" s="6"/>
      <c r="T643" s="4">
        <f t="shared" ca="1" si="96"/>
        <v>-1.8060579632933036E-2</v>
      </c>
      <c r="U643" s="4">
        <f t="shared" ca="1" si="97"/>
        <v>-7.9164334569736011E-2</v>
      </c>
      <c r="V643" s="4">
        <f t="shared" ca="1" si="98"/>
        <v>7.4206232405785192E-3</v>
      </c>
      <c r="W643" s="4"/>
      <c r="X643">
        <v>641</v>
      </c>
      <c r="Y643" s="4">
        <f t="shared" ca="1" si="99"/>
        <v>-2.8993871585471252E-2</v>
      </c>
      <c r="Z643" s="4">
        <f ca="1"/>
        <v>7.2007753178785217E-3</v>
      </c>
      <c r="AA643" s="4"/>
    </row>
    <row r="644" spans="1:27" x14ac:dyDescent="0.35">
      <c r="A644">
        <v>642</v>
      </c>
      <c r="B644">
        <f ca="1">_xlfn.NORM.INV(RAND(),Hitorical_Sim!$AB$4,Hitorical_Sim!$AB$5)</f>
        <v>-3.9676732215296086E-3</v>
      </c>
      <c r="C644">
        <f ca="1">_xlfn.NORM.INV(RAND(),Hitorical_Sim!$AB$4,Hitorical_Sim!$AB$5)</f>
        <v>1.6550473871557029E-3</v>
      </c>
      <c r="D644">
        <f ca="1">_xlfn.NORM.INV(RAND(),Hitorical_Sim!$AB$4,Hitorical_Sim!$AB$5)</f>
        <v>6.0196737570590662E-3</v>
      </c>
      <c r="K644">
        <f t="shared" ref="K644:M663" ca="1" si="106">_xlfn.NORM.S.INV(RAND())</f>
        <v>-0.51697099966778337</v>
      </c>
      <c r="L644">
        <f t="shared" ca="1" si="106"/>
        <v>0.95730744392210554</v>
      </c>
      <c r="M644">
        <f t="shared" ca="1" si="106"/>
        <v>-0.48898782565775883</v>
      </c>
      <c r="O644">
        <v>642</v>
      </c>
      <c r="P644" s="6">
        <f t="shared" ca="1" si="103"/>
        <v>1919.7545408372271</v>
      </c>
      <c r="Q644" s="6">
        <f t="shared" ca="1" si="104"/>
        <v>395.04964217758311</v>
      </c>
      <c r="R644" s="6">
        <f t="shared" ca="1" si="105"/>
        <v>148.53703133509964</v>
      </c>
      <c r="S644" s="6"/>
      <c r="T644" s="4">
        <f t="shared" ref="T644:T707" ca="1" si="107">LN(P644/P643)</f>
        <v>-6.2108354717016435E-3</v>
      </c>
      <c r="U644" s="4">
        <f t="shared" ref="U644:U707" ca="1" si="108">LN(Q644/Q643)</f>
        <v>8.9520651777524295E-3</v>
      </c>
      <c r="V644" s="4">
        <f t="shared" ref="V644:V707" ca="1" si="109">LN(R644/R643)</f>
        <v>-1.5110972093559324E-2</v>
      </c>
      <c r="W644" s="4"/>
      <c r="X644">
        <v>642</v>
      </c>
      <c r="Y644" s="4">
        <f t="shared" ref="Y644:Y707" ca="1" si="110">($G$18*T644)+($H$18*U644)+($I$18*V644)</f>
        <v>-3.6252730418414388E-3</v>
      </c>
      <c r="Z644" s="4">
        <f ca="1"/>
        <v>7.2697341410420876E-3</v>
      </c>
      <c r="AA644" s="4"/>
    </row>
    <row r="645" spans="1:27" x14ac:dyDescent="0.35">
      <c r="A645">
        <v>643</v>
      </c>
      <c r="B645">
        <f ca="1">_xlfn.NORM.INV(RAND(),Hitorical_Sim!$AB$4,Hitorical_Sim!$AB$5)</f>
        <v>2.221698367980807E-2</v>
      </c>
      <c r="C645">
        <f ca="1">_xlfn.NORM.INV(RAND(),Hitorical_Sim!$AB$4,Hitorical_Sim!$AB$5)</f>
        <v>-3.0896182986760489E-3</v>
      </c>
      <c r="D645">
        <f ca="1">_xlfn.NORM.INV(RAND(),Hitorical_Sim!$AB$4,Hitorical_Sim!$AB$5)</f>
        <v>-9.0167417810714575E-3</v>
      </c>
      <c r="K645">
        <f t="shared" ca="1" si="106"/>
        <v>-0.47036617242159112</v>
      </c>
      <c r="L645">
        <f t="shared" ca="1" si="106"/>
        <v>-0.52759243485560214</v>
      </c>
      <c r="M645">
        <f t="shared" ca="1" si="106"/>
        <v>0.11732486083087509</v>
      </c>
      <c r="O645">
        <v>643</v>
      </c>
      <c r="P645" s="6">
        <f t="shared" ca="1" si="103"/>
        <v>1921.3784133887998</v>
      </c>
      <c r="Q645" s="6">
        <f t="shared" ca="1" si="104"/>
        <v>378.66334064147691</v>
      </c>
      <c r="R645" s="6">
        <f t="shared" ca="1" si="105"/>
        <v>151.30988794420125</v>
      </c>
      <c r="S645" s="6"/>
      <c r="T645" s="4">
        <f t="shared" ca="1" si="107"/>
        <v>8.4551754269706215E-4</v>
      </c>
      <c r="U645" s="4">
        <f t="shared" ca="1" si="108"/>
        <v>-4.2363906346264205E-2</v>
      </c>
      <c r="V645" s="4">
        <f t="shared" ca="1" si="109"/>
        <v>1.8495675476861494E-2</v>
      </c>
      <c r="W645" s="4"/>
      <c r="X645">
        <v>643</v>
      </c>
      <c r="Y645" s="4">
        <f t="shared" ca="1" si="110"/>
        <v>-6.9041963838778128E-3</v>
      </c>
      <c r="Z645" s="4">
        <f ca="1"/>
        <v>7.2766743577011113E-3</v>
      </c>
      <c r="AA645" s="4"/>
    </row>
    <row r="646" spans="1:27" x14ac:dyDescent="0.35">
      <c r="A646">
        <v>644</v>
      </c>
      <c r="B646">
        <f ca="1">_xlfn.NORM.INV(RAND(),Hitorical_Sim!$AB$4,Hitorical_Sim!$AB$5)</f>
        <v>-3.0754688518670513E-3</v>
      </c>
      <c r="C646">
        <f ca="1">_xlfn.NORM.INV(RAND(),Hitorical_Sim!$AB$4,Hitorical_Sim!$AB$5)</f>
        <v>1.7485329818851633E-2</v>
      </c>
      <c r="D646">
        <f ca="1">_xlfn.NORM.INV(RAND(),Hitorical_Sim!$AB$4,Hitorical_Sim!$AB$5)</f>
        <v>-8.104003849550288E-3</v>
      </c>
      <c r="K646">
        <f t="shared" ca="1" si="106"/>
        <v>-0.91079740183638103</v>
      </c>
      <c r="L646">
        <f t="shared" ca="1" si="106"/>
        <v>0.60170132444844837</v>
      </c>
      <c r="M646">
        <f t="shared" ca="1" si="106"/>
        <v>-1.274110149718654</v>
      </c>
      <c r="O646">
        <v>644</v>
      </c>
      <c r="P646" s="6">
        <f t="shared" ca="1" si="103"/>
        <v>1906.0869591342823</v>
      </c>
      <c r="Q646" s="6">
        <f t="shared" ca="1" si="104"/>
        <v>391.06197825815434</v>
      </c>
      <c r="R646" s="6">
        <f t="shared" ca="1" si="105"/>
        <v>145.0217891883826</v>
      </c>
      <c r="S646" s="6"/>
      <c r="T646" s="4">
        <f t="shared" ca="1" si="107"/>
        <v>-7.9904240145478918E-3</v>
      </c>
      <c r="U646" s="4">
        <f t="shared" ca="1" si="108"/>
        <v>3.2218532535646917E-2</v>
      </c>
      <c r="V646" s="4">
        <f t="shared" ca="1" si="109"/>
        <v>-4.2445970496363609E-2</v>
      </c>
      <c r="W646" s="4"/>
      <c r="X646">
        <v>644</v>
      </c>
      <c r="Y646" s="4">
        <f t="shared" ca="1" si="110"/>
        <v>-1.6712080726214522E-3</v>
      </c>
      <c r="Z646" s="4">
        <f ca="1"/>
        <v>7.4069053208673441E-3</v>
      </c>
      <c r="AA646" s="4"/>
    </row>
    <row r="647" spans="1:27" x14ac:dyDescent="0.35">
      <c r="A647">
        <v>645</v>
      </c>
      <c r="B647">
        <f ca="1">_xlfn.NORM.INV(RAND(),Hitorical_Sim!$AB$4,Hitorical_Sim!$AB$5)</f>
        <v>3.3324195473114831E-3</v>
      </c>
      <c r="C647">
        <f ca="1">_xlfn.NORM.INV(RAND(),Hitorical_Sim!$AB$4,Hitorical_Sim!$AB$5)</f>
        <v>1.7761515407178876E-2</v>
      </c>
      <c r="D647">
        <f ca="1">_xlfn.NORM.INV(RAND(),Hitorical_Sim!$AB$4,Hitorical_Sim!$AB$5)</f>
        <v>-8.5131794472637062E-3</v>
      </c>
      <c r="K647">
        <f t="shared" ca="1" si="106"/>
        <v>-0.68804705229284746</v>
      </c>
      <c r="L647">
        <f t="shared" ca="1" si="106"/>
        <v>0.50004065927778241</v>
      </c>
      <c r="M647">
        <f t="shared" ca="1" si="106"/>
        <v>1.1265394204733059</v>
      </c>
      <c r="O647">
        <v>645</v>
      </c>
      <c r="P647" s="6">
        <f t="shared" ca="1" si="103"/>
        <v>1913.8054190840332</v>
      </c>
      <c r="Q647" s="6">
        <f t="shared" ca="1" si="104"/>
        <v>389.92940131882227</v>
      </c>
      <c r="R647" s="6">
        <f t="shared" ca="1" si="105"/>
        <v>156.04060160677159</v>
      </c>
      <c r="S647" s="6"/>
      <c r="T647" s="4">
        <f t="shared" ca="1" si="107"/>
        <v>4.0411978610293657E-3</v>
      </c>
      <c r="U647" s="4">
        <f t="shared" ca="1" si="108"/>
        <v>-2.9003591150768013E-3</v>
      </c>
      <c r="V647" s="4">
        <f t="shared" ca="1" si="109"/>
        <v>7.3232238700270083E-2</v>
      </c>
      <c r="W647" s="4"/>
      <c r="X647">
        <v>645</v>
      </c>
      <c r="Y647" s="4">
        <f t="shared" ca="1" si="110"/>
        <v>6.0801567213954796E-3</v>
      </c>
      <c r="Z647" s="4">
        <f ca="1"/>
        <v>7.4500031627543657E-3</v>
      </c>
      <c r="AA647" s="4"/>
    </row>
    <row r="648" spans="1:27" x14ac:dyDescent="0.35">
      <c r="A648">
        <v>646</v>
      </c>
      <c r="B648">
        <f ca="1">_xlfn.NORM.INV(RAND(),Hitorical_Sim!$AB$4,Hitorical_Sim!$AB$5)</f>
        <v>3.8250085012660659E-3</v>
      </c>
      <c r="C648">
        <f ca="1">_xlfn.NORM.INV(RAND(),Hitorical_Sim!$AB$4,Hitorical_Sim!$AB$5)</f>
        <v>7.2290122933319923E-3</v>
      </c>
      <c r="D648">
        <f ca="1">_xlfn.NORM.INV(RAND(),Hitorical_Sim!$AB$4,Hitorical_Sim!$AB$5)</f>
        <v>1.6046024459970425E-2</v>
      </c>
      <c r="K648">
        <f t="shared" ca="1" si="106"/>
        <v>-1.066519680143339</v>
      </c>
      <c r="L648">
        <f t="shared" ca="1" si="106"/>
        <v>1.9704141529406881E-2</v>
      </c>
      <c r="M648">
        <f t="shared" ca="1" si="106"/>
        <v>-5.6269009258216929E-2</v>
      </c>
      <c r="O648">
        <v>646</v>
      </c>
      <c r="P648" s="6">
        <f t="shared" ca="1" si="103"/>
        <v>1900.7095652500898</v>
      </c>
      <c r="Q648" s="6">
        <f t="shared" ca="1" si="104"/>
        <v>384.62229182118745</v>
      </c>
      <c r="R648" s="6">
        <f t="shared" ca="1" si="105"/>
        <v>150.51074248160054</v>
      </c>
      <c r="S648" s="6"/>
      <c r="T648" s="4">
        <f t="shared" ca="1" si="107"/>
        <v>-6.8663540922015648E-3</v>
      </c>
      <c r="U648" s="4">
        <f t="shared" ca="1" si="108"/>
        <v>-1.3703907949223397E-2</v>
      </c>
      <c r="V648" s="4">
        <f t="shared" ca="1" si="109"/>
        <v>-3.6081779839222464E-2</v>
      </c>
      <c r="W648" s="4"/>
      <c r="X648">
        <v>646</v>
      </c>
      <c r="Y648" s="4">
        <f t="shared" ca="1" si="110"/>
        <v>-9.6767861979997691E-3</v>
      </c>
      <c r="Z648" s="4">
        <f ca="1"/>
        <v>7.4806102703507934E-3</v>
      </c>
      <c r="AA648" s="4"/>
    </row>
    <row r="649" spans="1:27" x14ac:dyDescent="0.35">
      <c r="A649">
        <v>647</v>
      </c>
      <c r="B649">
        <f ca="1">_xlfn.NORM.INV(RAND(),Hitorical_Sim!$AB$4,Hitorical_Sim!$AB$5)</f>
        <v>-1.5426181841512416E-2</v>
      </c>
      <c r="C649">
        <f ca="1">_xlfn.NORM.INV(RAND(),Hitorical_Sim!$AB$4,Hitorical_Sim!$AB$5)</f>
        <v>-4.0195991895968092E-3</v>
      </c>
      <c r="D649">
        <f ca="1">_xlfn.NORM.INV(RAND(),Hitorical_Sim!$AB$4,Hitorical_Sim!$AB$5)</f>
        <v>1.1969339053290184E-3</v>
      </c>
      <c r="K649">
        <f t="shared" ca="1" si="106"/>
        <v>-0.3152686381615068</v>
      </c>
      <c r="L649">
        <f t="shared" ca="1" si="106"/>
        <v>-1.3240111465242466</v>
      </c>
      <c r="M649">
        <f t="shared" ca="1" si="106"/>
        <v>-0.15250152202582012</v>
      </c>
      <c r="O649">
        <v>647</v>
      </c>
      <c r="P649" s="6">
        <f t="shared" ca="1" si="103"/>
        <v>1926.7924436358471</v>
      </c>
      <c r="Q649" s="6">
        <f t="shared" ca="1" si="104"/>
        <v>370.15648743897913</v>
      </c>
      <c r="R649" s="6">
        <f t="shared" ca="1" si="105"/>
        <v>150.069552577183</v>
      </c>
      <c r="S649" s="6"/>
      <c r="T649" s="4">
        <f t="shared" ca="1" si="107"/>
        <v>1.3629402199253253E-2</v>
      </c>
      <c r="U649" s="4">
        <f t="shared" ca="1" si="108"/>
        <v>-3.8335937279492867E-2</v>
      </c>
      <c r="V649" s="4">
        <f t="shared" ca="1" si="109"/>
        <v>-2.9355897808776795E-3</v>
      </c>
      <c r="W649" s="4"/>
      <c r="X649">
        <v>647</v>
      </c>
      <c r="Y649" s="4">
        <f t="shared" ca="1" si="110"/>
        <v>2.4389753204601817E-3</v>
      </c>
      <c r="Z649" s="4">
        <f ca="1"/>
        <v>7.698458277205153E-3</v>
      </c>
      <c r="AA649" s="4"/>
    </row>
    <row r="650" spans="1:27" x14ac:dyDescent="0.35">
      <c r="A650">
        <v>648</v>
      </c>
      <c r="B650">
        <f ca="1">_xlfn.NORM.INV(RAND(),Hitorical_Sim!$AB$4,Hitorical_Sim!$AB$5)</f>
        <v>-4.27504862725575E-3</v>
      </c>
      <c r="C650">
        <f ca="1">_xlfn.NORM.INV(RAND(),Hitorical_Sim!$AB$4,Hitorical_Sim!$AB$5)</f>
        <v>-1.9118964646165037E-2</v>
      </c>
      <c r="D650">
        <f ca="1">_xlfn.NORM.INV(RAND(),Hitorical_Sim!$AB$4,Hitorical_Sim!$AB$5)</f>
        <v>-3.2743983345034466E-3</v>
      </c>
      <c r="K650">
        <f t="shared" ca="1" si="106"/>
        <v>1.8530356972794537</v>
      </c>
      <c r="L650">
        <f t="shared" ca="1" si="106"/>
        <v>-2.2205701652886587</v>
      </c>
      <c r="M650">
        <f t="shared" ca="1" si="106"/>
        <v>0.4920205823692157</v>
      </c>
      <c r="O650">
        <v>648</v>
      </c>
      <c r="P650" s="6">
        <f t="shared" ca="1" si="103"/>
        <v>2004.0991244187217</v>
      </c>
      <c r="Q650" s="6">
        <f t="shared" ca="1" si="104"/>
        <v>360.80844702550809</v>
      </c>
      <c r="R650" s="6">
        <f t="shared" ca="1" si="105"/>
        <v>153.0493060110729</v>
      </c>
      <c r="S650" s="6"/>
      <c r="T650" s="4">
        <f t="shared" ca="1" si="107"/>
        <v>3.9337971232822566E-2</v>
      </c>
      <c r="U650" s="4">
        <f t="shared" ca="1" si="108"/>
        <v>-2.5578655401399079E-2</v>
      </c>
      <c r="V650" s="4">
        <f t="shared" ca="1" si="109"/>
        <v>1.9661260511621974E-2</v>
      </c>
      <c r="W650" s="4"/>
      <c r="X650">
        <v>648</v>
      </c>
      <c r="Y650" s="4">
        <f t="shared" ca="1" si="110"/>
        <v>2.5408881205885307E-2</v>
      </c>
      <c r="Z650" s="4">
        <f ca="1"/>
        <v>7.8071502762880971E-3</v>
      </c>
      <c r="AA650" s="4"/>
    </row>
    <row r="651" spans="1:27" x14ac:dyDescent="0.35">
      <c r="A651">
        <v>649</v>
      </c>
      <c r="B651">
        <f ca="1">_xlfn.NORM.INV(RAND(),Hitorical_Sim!$AB$4,Hitorical_Sim!$AB$5)</f>
        <v>2.6838579758030359E-2</v>
      </c>
      <c r="C651">
        <f ca="1">_xlfn.NORM.INV(RAND(),Hitorical_Sim!$AB$4,Hitorical_Sim!$AB$5)</f>
        <v>2.5367130880298468E-3</v>
      </c>
      <c r="D651">
        <f ca="1">_xlfn.NORM.INV(RAND(),Hitorical_Sim!$AB$4,Hitorical_Sim!$AB$5)</f>
        <v>-1.2192780544916534E-2</v>
      </c>
      <c r="K651">
        <f t="shared" ca="1" si="106"/>
        <v>1.1426251578699491</v>
      </c>
      <c r="L651">
        <f t="shared" ca="1" si="106"/>
        <v>1.0528561122492375</v>
      </c>
      <c r="M651">
        <f t="shared" ca="1" si="106"/>
        <v>1.033956948484015</v>
      </c>
      <c r="O651">
        <v>649</v>
      </c>
      <c r="P651" s="6">
        <f t="shared" ca="1" si="103"/>
        <v>1978.4351078963759</v>
      </c>
      <c r="Q651" s="6">
        <f t="shared" ca="1" si="104"/>
        <v>396.12801072766325</v>
      </c>
      <c r="R651" s="6">
        <f t="shared" ca="1" si="105"/>
        <v>155.60052650599243</v>
      </c>
      <c r="S651" s="6"/>
      <c r="T651" s="4">
        <f t="shared" ca="1" si="107"/>
        <v>-1.2888462613852422E-2</v>
      </c>
      <c r="U651" s="4">
        <f t="shared" ca="1" si="108"/>
        <v>9.3390218583064524E-2</v>
      </c>
      <c r="V651" s="4">
        <f t="shared" ca="1" si="109"/>
        <v>1.6531864465542195E-2</v>
      </c>
      <c r="W651" s="4"/>
      <c r="X651">
        <v>649</v>
      </c>
      <c r="Y651" s="4">
        <f t="shared" ca="1" si="110"/>
        <v>9.7773860185112662E-3</v>
      </c>
      <c r="Z651" s="4">
        <f ca="1"/>
        <v>7.8080166238367714E-3</v>
      </c>
      <c r="AA651" s="4"/>
    </row>
    <row r="652" spans="1:27" x14ac:dyDescent="0.35">
      <c r="A652">
        <v>650</v>
      </c>
      <c r="B652">
        <f ca="1">_xlfn.NORM.INV(RAND(),Hitorical_Sim!$AB$4,Hitorical_Sim!$AB$5)</f>
        <v>-3.9365771393415246E-3</v>
      </c>
      <c r="C652">
        <f ca="1">_xlfn.NORM.INV(RAND(),Hitorical_Sim!$AB$4,Hitorical_Sim!$AB$5)</f>
        <v>-6.3309969786312197E-3</v>
      </c>
      <c r="D652">
        <f ca="1">_xlfn.NORM.INV(RAND(),Hitorical_Sim!$AB$4,Hitorical_Sim!$AB$5)</f>
        <v>2.0551387261989362E-2</v>
      </c>
      <c r="K652">
        <f t="shared" ca="1" si="106"/>
        <v>0.62640684182631201</v>
      </c>
      <c r="L652">
        <f t="shared" ca="1" si="106"/>
        <v>-0.78998721230693947</v>
      </c>
      <c r="M652">
        <f t="shared" ca="1" si="106"/>
        <v>-0.49948670436111225</v>
      </c>
      <c r="O652">
        <v>650</v>
      </c>
      <c r="P652" s="6">
        <f t="shared" ca="1" si="103"/>
        <v>1959.9928172497605</v>
      </c>
      <c r="Q652" s="6">
        <f t="shared" ca="1" si="104"/>
        <v>375.83922347620239</v>
      </c>
      <c r="R652" s="6">
        <f t="shared" ca="1" si="105"/>
        <v>148.48946697533393</v>
      </c>
      <c r="S652" s="6"/>
      <c r="T652" s="4">
        <f t="shared" ca="1" si="107"/>
        <v>-9.3653741010719799E-3</v>
      </c>
      <c r="U652" s="4">
        <f t="shared" ca="1" si="108"/>
        <v>-5.2575963624294626E-2</v>
      </c>
      <c r="V652" s="4">
        <f t="shared" ca="1" si="109"/>
        <v>-4.677796918506031E-2</v>
      </c>
      <c r="W652" s="4"/>
      <c r="X652">
        <v>650</v>
      </c>
      <c r="Y652" s="4">
        <f t="shared" ca="1" si="110"/>
        <v>-1.9840382215791666E-2</v>
      </c>
      <c r="Z652" s="4">
        <f ca="1"/>
        <v>7.8304139355444852E-3</v>
      </c>
      <c r="AA652" s="4"/>
    </row>
    <row r="653" spans="1:27" x14ac:dyDescent="0.35">
      <c r="A653">
        <v>651</v>
      </c>
      <c r="B653">
        <f ca="1">_xlfn.NORM.INV(RAND(),Hitorical_Sim!$AB$4,Hitorical_Sim!$AB$5)</f>
        <v>5.5839267625105299E-3</v>
      </c>
      <c r="C653">
        <f ca="1">_xlfn.NORM.INV(RAND(),Hitorical_Sim!$AB$4,Hitorical_Sim!$AB$5)</f>
        <v>-4.1000176772926486E-2</v>
      </c>
      <c r="D653">
        <f ca="1">_xlfn.NORM.INV(RAND(),Hitorical_Sim!$AB$4,Hitorical_Sim!$AB$5)</f>
        <v>1.0670660039563405E-2</v>
      </c>
      <c r="K653">
        <f t="shared" ca="1" si="106"/>
        <v>0.81476096151600597</v>
      </c>
      <c r="L653">
        <f t="shared" ca="1" si="106"/>
        <v>-1.4049073528185514</v>
      </c>
      <c r="M653">
        <f t="shared" ca="1" si="106"/>
        <v>0.22975571666094277</v>
      </c>
      <c r="O653">
        <v>651</v>
      </c>
      <c r="P653" s="6">
        <f t="shared" ca="1" si="103"/>
        <v>1966.7019064242513</v>
      </c>
      <c r="Q653" s="6">
        <f t="shared" ca="1" si="104"/>
        <v>369.30316870771981</v>
      </c>
      <c r="R653" s="6">
        <f t="shared" ca="1" si="105"/>
        <v>151.82972990865025</v>
      </c>
      <c r="S653" s="6"/>
      <c r="T653" s="4">
        <f t="shared" ca="1" si="107"/>
        <v>3.4171720366135997E-3</v>
      </c>
      <c r="U653" s="4">
        <f t="shared" ca="1" si="108"/>
        <v>-1.754355267676962E-2</v>
      </c>
      <c r="V653" s="4">
        <f t="shared" ca="1" si="109"/>
        <v>2.2245668718062606E-2</v>
      </c>
      <c r="W653" s="4"/>
      <c r="X653">
        <v>651</v>
      </c>
      <c r="Y653" s="4">
        <f t="shared" ca="1" si="110"/>
        <v>1.6590458262677119E-4</v>
      </c>
      <c r="Z653" s="4">
        <f ca="1"/>
        <v>7.8595124466624058E-3</v>
      </c>
      <c r="AA653" s="4"/>
    </row>
    <row r="654" spans="1:27" x14ac:dyDescent="0.35">
      <c r="A654">
        <v>652</v>
      </c>
      <c r="B654">
        <f ca="1">_xlfn.NORM.INV(RAND(),Hitorical_Sim!$AB$4,Hitorical_Sim!$AB$5)</f>
        <v>-2.7165055815421557E-3</v>
      </c>
      <c r="C654">
        <f ca="1">_xlfn.NORM.INV(RAND(),Hitorical_Sim!$AB$4,Hitorical_Sim!$AB$5)</f>
        <v>-3.0879644031922046E-2</v>
      </c>
      <c r="D654">
        <f ca="1">_xlfn.NORM.INV(RAND(),Hitorical_Sim!$AB$4,Hitorical_Sim!$AB$5)</f>
        <v>8.975320254917386E-3</v>
      </c>
      <c r="K654">
        <f t="shared" ca="1" si="106"/>
        <v>-2.3863171828340048</v>
      </c>
      <c r="L654">
        <f t="shared" ca="1" si="106"/>
        <v>0.93908257445610777</v>
      </c>
      <c r="M654">
        <f t="shared" ca="1" si="106"/>
        <v>0.29746959046289584</v>
      </c>
      <c r="O654">
        <v>652</v>
      </c>
      <c r="P654" s="6">
        <f t="shared" ca="1" si="103"/>
        <v>1855.7392682270795</v>
      </c>
      <c r="Q654" s="6">
        <f t="shared" ca="1" si="104"/>
        <v>394.84428871724293</v>
      </c>
      <c r="R654" s="6">
        <f t="shared" ca="1" si="105"/>
        <v>152.14367712895623</v>
      </c>
      <c r="S654" s="6"/>
      <c r="T654" s="4">
        <f t="shared" ca="1" si="107"/>
        <v>-5.8074836589232633E-2</v>
      </c>
      <c r="U654" s="4">
        <f t="shared" ca="1" si="108"/>
        <v>6.6873579272825917E-2</v>
      </c>
      <c r="V654" s="4">
        <f t="shared" ca="1" si="109"/>
        <v>2.0656236675094118E-3</v>
      </c>
      <c r="W654" s="4"/>
      <c r="X654">
        <v>652</v>
      </c>
      <c r="Y654" s="4">
        <f t="shared" ca="1" si="110"/>
        <v>-3.0162761559662701E-2</v>
      </c>
      <c r="Z654" s="4">
        <f ca="1"/>
        <v>7.9150747144790239E-3</v>
      </c>
      <c r="AA654" s="4"/>
    </row>
    <row r="655" spans="1:27" x14ac:dyDescent="0.35">
      <c r="A655">
        <v>653</v>
      </c>
      <c r="B655">
        <f ca="1">_xlfn.NORM.INV(RAND(),Hitorical_Sim!$AB$4,Hitorical_Sim!$AB$5)</f>
        <v>7.4898421632971631E-3</v>
      </c>
      <c r="C655">
        <f ca="1">_xlfn.NORM.INV(RAND(),Hitorical_Sim!$AB$4,Hitorical_Sim!$AB$5)</f>
        <v>1.7951102276789609E-2</v>
      </c>
      <c r="D655">
        <f ca="1">_xlfn.NORM.INV(RAND(),Hitorical_Sim!$AB$4,Hitorical_Sim!$AB$5)</f>
        <v>2.4905260527681484E-2</v>
      </c>
      <c r="K655">
        <f t="shared" ca="1" si="106"/>
        <v>1.6083004585411134</v>
      </c>
      <c r="L655">
        <f t="shared" ca="1" si="106"/>
        <v>-0.48413713887202919</v>
      </c>
      <c r="M655">
        <f t="shared" ca="1" si="106"/>
        <v>1.4973407145317152</v>
      </c>
      <c r="O655">
        <v>653</v>
      </c>
      <c r="P655" s="6">
        <f t="shared" ca="1" si="103"/>
        <v>1995.2205418773483</v>
      </c>
      <c r="Q655" s="6">
        <f t="shared" ca="1" si="104"/>
        <v>379.13308767104849</v>
      </c>
      <c r="R655" s="6">
        <f t="shared" ca="1" si="105"/>
        <v>157.81565305020237</v>
      </c>
      <c r="S655" s="6"/>
      <c r="T655" s="4">
        <f t="shared" ca="1" si="107"/>
        <v>7.2471447524262697E-2</v>
      </c>
      <c r="U655" s="4">
        <f t="shared" ca="1" si="108"/>
        <v>-4.0604183155581286E-2</v>
      </c>
      <c r="V655" s="4">
        <f t="shared" ca="1" si="109"/>
        <v>3.6602280340459044E-2</v>
      </c>
      <c r="W655" s="4"/>
      <c r="X655">
        <v>653</v>
      </c>
      <c r="Y655" s="4">
        <f t="shared" ca="1" si="110"/>
        <v>4.8129990365551586E-2</v>
      </c>
      <c r="Z655" s="4">
        <f ca="1"/>
        <v>7.9186215847231699E-3</v>
      </c>
      <c r="AA655" s="4"/>
    </row>
    <row r="656" spans="1:27" x14ac:dyDescent="0.35">
      <c r="A656">
        <v>654</v>
      </c>
      <c r="B656">
        <f ca="1">_xlfn.NORM.INV(RAND(),Hitorical_Sim!$AB$4,Hitorical_Sim!$AB$5)</f>
        <v>3.9455314054975876E-2</v>
      </c>
      <c r="C656">
        <f ca="1">_xlfn.NORM.INV(RAND(),Hitorical_Sim!$AB$4,Hitorical_Sim!$AB$5)</f>
        <v>6.1584033964197675E-3</v>
      </c>
      <c r="D656">
        <f ca="1">_xlfn.NORM.INV(RAND(),Hitorical_Sim!$AB$4,Hitorical_Sim!$AB$5)</f>
        <v>2.2570223505951184E-2</v>
      </c>
      <c r="K656">
        <f t="shared" ca="1" si="106"/>
        <v>1.438097196415316</v>
      </c>
      <c r="L656">
        <f t="shared" ca="1" si="106"/>
        <v>-0.3739896877967186</v>
      </c>
      <c r="M656">
        <f t="shared" ca="1" si="106"/>
        <v>0.2577074915788935</v>
      </c>
      <c r="O656">
        <v>654</v>
      </c>
      <c r="P656" s="6">
        <f t="shared" ca="1" si="103"/>
        <v>1989.0690542276925</v>
      </c>
      <c r="Q656" s="6">
        <f t="shared" ca="1" si="104"/>
        <v>380.32638186517079</v>
      </c>
      <c r="R656" s="6">
        <f t="shared" ca="1" si="105"/>
        <v>151.95924635508274</v>
      </c>
      <c r="S656" s="6"/>
      <c r="T656" s="4">
        <f t="shared" ca="1" si="107"/>
        <v>-3.0878742064940406E-3</v>
      </c>
      <c r="U656" s="4">
        <f t="shared" ca="1" si="108"/>
        <v>3.1424854755024508E-3</v>
      </c>
      <c r="V656" s="4">
        <f t="shared" ca="1" si="109"/>
        <v>-3.7815230182390518E-2</v>
      </c>
      <c r="W656" s="4"/>
      <c r="X656">
        <v>654</v>
      </c>
      <c r="Y656" s="4">
        <f t="shared" ca="1" si="110"/>
        <v>-3.5631538378491315E-3</v>
      </c>
      <c r="Z656" s="4">
        <f ca="1"/>
        <v>8.1554943861904435E-3</v>
      </c>
      <c r="AA656" s="4"/>
    </row>
    <row r="657" spans="1:27" x14ac:dyDescent="0.35">
      <c r="A657">
        <v>655</v>
      </c>
      <c r="B657">
        <f ca="1">_xlfn.NORM.INV(RAND(),Hitorical_Sim!$AB$4,Hitorical_Sim!$AB$5)</f>
        <v>-1.0897337105088868E-2</v>
      </c>
      <c r="C657">
        <f ca="1">_xlfn.NORM.INV(RAND(),Hitorical_Sim!$AB$4,Hitorical_Sim!$AB$5)</f>
        <v>-2.1625376055185868E-2</v>
      </c>
      <c r="D657">
        <f ca="1">_xlfn.NORM.INV(RAND(),Hitorical_Sim!$AB$4,Hitorical_Sim!$AB$5)</f>
        <v>4.8416991487485253E-2</v>
      </c>
      <c r="K657">
        <f t="shared" ca="1" si="106"/>
        <v>-0.13520184884459646</v>
      </c>
      <c r="L657">
        <f t="shared" ca="1" si="106"/>
        <v>1.5401533306145583E-2</v>
      </c>
      <c r="M657">
        <f t="shared" ca="1" si="106"/>
        <v>-1.0613488448780877</v>
      </c>
      <c r="O657">
        <v>655</v>
      </c>
      <c r="P657" s="6">
        <f t="shared" ca="1" si="103"/>
        <v>1933.0972223742867</v>
      </c>
      <c r="Q657" s="6">
        <f t="shared" ca="1" si="104"/>
        <v>384.57508134003507</v>
      </c>
      <c r="R657" s="6">
        <f t="shared" ca="1" si="105"/>
        <v>145.96608826023484</v>
      </c>
      <c r="S657" s="6"/>
      <c r="T657" s="4">
        <f t="shared" ca="1" si="107"/>
        <v>-2.8543222264265401E-2</v>
      </c>
      <c r="U657" s="4">
        <f t="shared" ca="1" si="108"/>
        <v>1.1109256225704252E-2</v>
      </c>
      <c r="V657" s="4">
        <f t="shared" ca="1" si="109"/>
        <v>-4.0238046272949773E-2</v>
      </c>
      <c r="W657" s="4"/>
      <c r="X657">
        <v>655</v>
      </c>
      <c r="Y657" s="4">
        <f t="shared" ca="1" si="110"/>
        <v>-2.1208630773804724E-2</v>
      </c>
      <c r="Z657" s="4">
        <f ca="1"/>
        <v>8.1556957477361379E-3</v>
      </c>
      <c r="AA657" s="4"/>
    </row>
    <row r="658" spans="1:27" x14ac:dyDescent="0.35">
      <c r="A658">
        <v>656</v>
      </c>
      <c r="B658">
        <f ca="1">_xlfn.NORM.INV(RAND(),Hitorical_Sim!$AB$4,Hitorical_Sim!$AB$5)</f>
        <v>-2.8260083182354415E-2</v>
      </c>
      <c r="C658">
        <f ca="1">_xlfn.NORM.INV(RAND(),Hitorical_Sim!$AB$4,Hitorical_Sim!$AB$5)</f>
        <v>-1.5244713688600616E-2</v>
      </c>
      <c r="D658">
        <f ca="1">_xlfn.NORM.INV(RAND(),Hitorical_Sim!$AB$4,Hitorical_Sim!$AB$5)</f>
        <v>-8.3884198858501669E-3</v>
      </c>
      <c r="K658">
        <f t="shared" ca="1" si="106"/>
        <v>-4.4521527628461711E-2</v>
      </c>
      <c r="L658">
        <f t="shared" ca="1" si="106"/>
        <v>0.22107483819823262</v>
      </c>
      <c r="M658">
        <f t="shared" ca="1" si="106"/>
        <v>-0.34467090394198852</v>
      </c>
      <c r="O658">
        <v>656</v>
      </c>
      <c r="P658" s="6">
        <f t="shared" ca="1" si="103"/>
        <v>1936.2800693195993</v>
      </c>
      <c r="Q658" s="6">
        <f t="shared" ca="1" si="104"/>
        <v>386.83833222359868</v>
      </c>
      <c r="R658" s="6">
        <f t="shared" ca="1" si="105"/>
        <v>149.19239424722392</v>
      </c>
      <c r="S658" s="6"/>
      <c r="T658" s="4">
        <f t="shared" ca="1" si="107"/>
        <v>1.6451472282178561E-3</v>
      </c>
      <c r="U658" s="4">
        <f t="shared" ca="1" si="108"/>
        <v>5.8678196091898607E-3</v>
      </c>
      <c r="V658" s="4">
        <f t="shared" ca="1" si="109"/>
        <v>2.1862387036211146E-2</v>
      </c>
      <c r="W658" s="4"/>
      <c r="X658">
        <v>656</v>
      </c>
      <c r="Y658" s="4">
        <f t="shared" ca="1" si="110"/>
        <v>3.4884112753475124E-3</v>
      </c>
      <c r="Z658" s="4">
        <f ca="1"/>
        <v>8.235289474650867E-3</v>
      </c>
      <c r="AA658" s="4"/>
    </row>
    <row r="659" spans="1:27" x14ac:dyDescent="0.35">
      <c r="A659">
        <v>657</v>
      </c>
      <c r="B659">
        <f ca="1">_xlfn.NORM.INV(RAND(),Hitorical_Sim!$AB$4,Hitorical_Sim!$AB$5)</f>
        <v>1.5002003534884775E-2</v>
      </c>
      <c r="C659">
        <f ca="1">_xlfn.NORM.INV(RAND(),Hitorical_Sim!$AB$4,Hitorical_Sim!$AB$5)</f>
        <v>3.9086895750358494E-2</v>
      </c>
      <c r="D659">
        <f ca="1">_xlfn.NORM.INV(RAND(),Hitorical_Sim!$AB$4,Hitorical_Sim!$AB$5)</f>
        <v>6.5709727180105837E-4</v>
      </c>
      <c r="K659">
        <f t="shared" ca="1" si="106"/>
        <v>-0.3848946000035926</v>
      </c>
      <c r="L659">
        <f t="shared" ca="1" si="106"/>
        <v>1.4558313305639676</v>
      </c>
      <c r="M659">
        <f t="shared" ca="1" si="106"/>
        <v>-1.5091500248103904</v>
      </c>
      <c r="O659">
        <v>657</v>
      </c>
      <c r="P659" s="6">
        <f t="shared" ca="1" si="103"/>
        <v>1924.3601074730934</v>
      </c>
      <c r="Q659" s="6">
        <f t="shared" ca="1" si="104"/>
        <v>400.70849726516542</v>
      </c>
      <c r="R659" s="6">
        <f t="shared" ca="1" si="105"/>
        <v>143.98571143927433</v>
      </c>
      <c r="S659" s="6"/>
      <c r="T659" s="4">
        <f t="shared" ca="1" si="107"/>
        <v>-6.1751415198814793E-3</v>
      </c>
      <c r="U659" s="4">
        <f t="shared" ca="1" si="108"/>
        <v>3.5227363912294113E-2</v>
      </c>
      <c r="V659" s="4">
        <f t="shared" ca="1" si="109"/>
        <v>-3.5522641038399E-2</v>
      </c>
      <c r="W659" s="4"/>
      <c r="X659">
        <v>657</v>
      </c>
      <c r="Y659" s="4">
        <f t="shared" ca="1" si="110"/>
        <v>6.3506647760386455E-4</v>
      </c>
      <c r="Z659" s="4">
        <f ca="1"/>
        <v>8.2435961387673472E-3</v>
      </c>
      <c r="AA659" s="4"/>
    </row>
    <row r="660" spans="1:27" x14ac:dyDescent="0.35">
      <c r="A660">
        <v>658</v>
      </c>
      <c r="B660">
        <f ca="1">_xlfn.NORM.INV(RAND(),Hitorical_Sim!$AB$4,Hitorical_Sim!$AB$5)</f>
        <v>-3.0466149552813453E-2</v>
      </c>
      <c r="C660">
        <f ca="1">_xlfn.NORM.INV(RAND(),Hitorical_Sim!$AB$4,Hitorical_Sim!$AB$5)</f>
        <v>-6.0214962040615909E-3</v>
      </c>
      <c r="D660">
        <f ca="1">_xlfn.NORM.INV(RAND(),Hitorical_Sim!$AB$4,Hitorical_Sim!$AB$5)</f>
        <v>-1.6862046049515213E-3</v>
      </c>
      <c r="K660">
        <f t="shared" ca="1" si="106"/>
        <v>-0.28277162593006139</v>
      </c>
      <c r="L660">
        <f t="shared" ca="1" si="106"/>
        <v>-1.2992128150433835</v>
      </c>
      <c r="M660">
        <f t="shared" ca="1" si="106"/>
        <v>0.3299824108185776</v>
      </c>
      <c r="O660">
        <v>658</v>
      </c>
      <c r="P660" s="6">
        <f t="shared" ca="1" si="103"/>
        <v>1927.9287570100867</v>
      </c>
      <c r="Q660" s="6">
        <f t="shared" ca="1" si="104"/>
        <v>370.41846270658067</v>
      </c>
      <c r="R660" s="6">
        <f t="shared" ca="1" si="105"/>
        <v>152.29464950165067</v>
      </c>
      <c r="S660" s="6"/>
      <c r="T660" s="4">
        <f t="shared" ca="1" si="107"/>
        <v>1.8527429709251965E-3</v>
      </c>
      <c r="U660" s="4">
        <f t="shared" ca="1" si="108"/>
        <v>-7.8600876619645918E-2</v>
      </c>
      <c r="V660" s="4">
        <f t="shared" ca="1" si="109"/>
        <v>5.610305943845853E-2</v>
      </c>
      <c r="W660" s="4"/>
      <c r="X660">
        <v>658</v>
      </c>
      <c r="Y660" s="4">
        <f t="shared" ca="1" si="110"/>
        <v>-1.1518378096560655E-2</v>
      </c>
      <c r="Z660" s="4">
        <f ca="1"/>
        <v>8.2907093766172221E-3</v>
      </c>
      <c r="AA660" s="4"/>
    </row>
    <row r="661" spans="1:27" x14ac:dyDescent="0.35">
      <c r="A661">
        <v>659</v>
      </c>
      <c r="B661">
        <f ca="1">_xlfn.NORM.INV(RAND(),Hitorical_Sim!$AB$4,Hitorical_Sim!$AB$5)</f>
        <v>2.0282959301221048E-2</v>
      </c>
      <c r="C661">
        <f ca="1">_xlfn.NORM.INV(RAND(),Hitorical_Sim!$AB$4,Hitorical_Sim!$AB$5)</f>
        <v>-1.1212543900473528E-2</v>
      </c>
      <c r="D661">
        <f ca="1">_xlfn.NORM.INV(RAND(),Hitorical_Sim!$AB$4,Hitorical_Sim!$AB$5)</f>
        <v>-3.6495172634598678E-3</v>
      </c>
      <c r="K661">
        <f t="shared" ca="1" si="106"/>
        <v>1.8223684063980414</v>
      </c>
      <c r="L661">
        <f t="shared" ca="1" si="106"/>
        <v>-0.8964735369332496</v>
      </c>
      <c r="M661">
        <f t="shared" ca="1" si="106"/>
        <v>2.3051373988006532</v>
      </c>
      <c r="O661">
        <v>659</v>
      </c>
      <c r="P661" s="6">
        <f t="shared" ca="1" si="103"/>
        <v>2002.9844051160921</v>
      </c>
      <c r="Q661" s="6">
        <f t="shared" ca="1" si="104"/>
        <v>374.69914372183348</v>
      </c>
      <c r="R661" s="6">
        <f t="shared" ca="1" si="105"/>
        <v>161.75285426428533</v>
      </c>
      <c r="S661" s="6"/>
      <c r="T661" s="4">
        <f t="shared" ca="1" si="107"/>
        <v>3.8192027142695997E-2</v>
      </c>
      <c r="U661" s="4">
        <f t="shared" ca="1" si="108"/>
        <v>1.1490073710467286E-2</v>
      </c>
      <c r="V661" s="4">
        <f t="shared" ca="1" si="109"/>
        <v>6.0252451397296514E-2</v>
      </c>
      <c r="W661" s="4"/>
      <c r="X661">
        <v>659</v>
      </c>
      <c r="Y661" s="4">
        <f t="shared" ca="1" si="110"/>
        <v>3.3954941796577993E-2</v>
      </c>
      <c r="Z661" s="4">
        <f ca="1"/>
        <v>8.403566978843497E-3</v>
      </c>
      <c r="AA661" s="4"/>
    </row>
    <row r="662" spans="1:27" x14ac:dyDescent="0.35">
      <c r="A662">
        <v>660</v>
      </c>
      <c r="B662">
        <f ca="1">_xlfn.NORM.INV(RAND(),Hitorical_Sim!$AB$4,Hitorical_Sim!$AB$5)</f>
        <v>-9.6236153864585824E-3</v>
      </c>
      <c r="C662">
        <f ca="1">_xlfn.NORM.INV(RAND(),Hitorical_Sim!$AB$4,Hitorical_Sim!$AB$5)</f>
        <v>-9.0488428943881778E-3</v>
      </c>
      <c r="D662">
        <f ca="1">_xlfn.NORM.INV(RAND(),Hitorical_Sim!$AB$4,Hitorical_Sim!$AB$5)</f>
        <v>7.3094307332459149E-3</v>
      </c>
      <c r="K662">
        <f t="shared" ca="1" si="106"/>
        <v>0.92545557435510306</v>
      </c>
      <c r="L662">
        <f t="shared" ca="1" si="106"/>
        <v>-1.0049850100532143</v>
      </c>
      <c r="M662">
        <f t="shared" ca="1" si="106"/>
        <v>-1.4524638105268857</v>
      </c>
      <c r="O662">
        <v>660</v>
      </c>
      <c r="P662" s="6">
        <f t="shared" ca="1" si="103"/>
        <v>1970.6555080259595</v>
      </c>
      <c r="Q662" s="6">
        <f t="shared" ca="1" si="104"/>
        <v>373.5409395790756</v>
      </c>
      <c r="R662" s="6">
        <f t="shared" ca="1" si="105"/>
        <v>144.23491023663627</v>
      </c>
      <c r="S662" s="6"/>
      <c r="T662" s="4">
        <f t="shared" ca="1" si="107"/>
        <v>-1.6272038296727156E-2</v>
      </c>
      <c r="U662" s="4">
        <f t="shared" ca="1" si="108"/>
        <v>-3.0958113408517101E-3</v>
      </c>
      <c r="V662" s="4">
        <f t="shared" ca="1" si="109"/>
        <v>-0.11462628786753466</v>
      </c>
      <c r="W662" s="4"/>
      <c r="X662">
        <v>660</v>
      </c>
      <c r="Y662" s="4">
        <f t="shared" ca="1" si="110"/>
        <v>-1.8510046259064258E-2</v>
      </c>
      <c r="Z662" s="4">
        <f ca="1"/>
        <v>8.4089395507250565E-3</v>
      </c>
      <c r="AA662" s="4"/>
    </row>
    <row r="663" spans="1:27" x14ac:dyDescent="0.35">
      <c r="A663">
        <v>661</v>
      </c>
      <c r="B663">
        <f ca="1">_xlfn.NORM.INV(RAND(),Hitorical_Sim!$AB$4,Hitorical_Sim!$AB$5)</f>
        <v>1.5837958569702722E-2</v>
      </c>
      <c r="C663">
        <f ca="1">_xlfn.NORM.INV(RAND(),Hitorical_Sim!$AB$4,Hitorical_Sim!$AB$5)</f>
        <v>1.1665973262271872E-2</v>
      </c>
      <c r="D663">
        <f ca="1">_xlfn.NORM.INV(RAND(),Hitorical_Sim!$AB$4,Hitorical_Sim!$AB$5)</f>
        <v>2.9642077320113622E-2</v>
      </c>
      <c r="K663">
        <f t="shared" ca="1" si="106"/>
        <v>-1.1790144733512358</v>
      </c>
      <c r="L663">
        <f t="shared" ca="1" si="106"/>
        <v>-0.99205890793066109</v>
      </c>
      <c r="M663">
        <f t="shared" ca="1" si="106"/>
        <v>-0.25453923318984917</v>
      </c>
      <c r="O663">
        <v>661</v>
      </c>
      <c r="P663" s="6">
        <f t="shared" ca="1" si="103"/>
        <v>1896.8343413553798</v>
      </c>
      <c r="Q663" s="6">
        <f t="shared" ca="1" si="104"/>
        <v>373.67871910906786</v>
      </c>
      <c r="R663" s="6">
        <f t="shared" ca="1" si="105"/>
        <v>149.6031605657777</v>
      </c>
      <c r="S663" s="6"/>
      <c r="T663" s="4">
        <f t="shared" ca="1" si="107"/>
        <v>-3.8179872098154065E-2</v>
      </c>
      <c r="U663" s="4">
        <f t="shared" ca="1" si="108"/>
        <v>3.6877919351224373E-4</v>
      </c>
      <c r="V663" s="4">
        <f t="shared" ca="1" si="109"/>
        <v>3.6542900588964873E-2</v>
      </c>
      <c r="W663" s="4"/>
      <c r="X663">
        <v>661</v>
      </c>
      <c r="Y663" s="4">
        <f t="shared" ca="1" si="110"/>
        <v>-2.6788752926412952E-2</v>
      </c>
      <c r="Z663" s="4">
        <f ca="1"/>
        <v>8.602295287109759E-3</v>
      </c>
      <c r="AA663" s="4"/>
    </row>
    <row r="664" spans="1:27" x14ac:dyDescent="0.35">
      <c r="A664">
        <v>662</v>
      </c>
      <c r="B664">
        <f ca="1">_xlfn.NORM.INV(RAND(),Hitorical_Sim!$AB$4,Hitorical_Sim!$AB$5)</f>
        <v>1.244533166830844E-2</v>
      </c>
      <c r="C664">
        <f ca="1">_xlfn.NORM.INV(RAND(),Hitorical_Sim!$AB$4,Hitorical_Sim!$AB$5)</f>
        <v>2.278380570286015E-3</v>
      </c>
      <c r="D664">
        <f ca="1">_xlfn.NORM.INV(RAND(),Hitorical_Sim!$AB$4,Hitorical_Sim!$AB$5)</f>
        <v>-1.354199310685153E-2</v>
      </c>
      <c r="K664">
        <f t="shared" ref="K664:M683" ca="1" si="111">_xlfn.NORM.S.INV(RAND())</f>
        <v>1.1480454480411073</v>
      </c>
      <c r="L664">
        <f t="shared" ca="1" si="111"/>
        <v>0.2832378245425396</v>
      </c>
      <c r="M664">
        <f t="shared" ca="1" si="111"/>
        <v>-1.6001099712383176</v>
      </c>
      <c r="O664">
        <v>662</v>
      </c>
      <c r="P664" s="6">
        <f t="shared" ca="1" si="103"/>
        <v>1978.6296696270563</v>
      </c>
      <c r="Q664" s="6">
        <f t="shared" ca="1" si="104"/>
        <v>387.52499794354077</v>
      </c>
      <c r="R664" s="6">
        <f t="shared" ca="1" si="105"/>
        <v>143.58674097704019</v>
      </c>
      <c r="S664" s="6"/>
      <c r="T664" s="4">
        <f t="shared" ca="1" si="107"/>
        <v>4.2218158562215967E-2</v>
      </c>
      <c r="U664" s="4">
        <f t="shared" ca="1" si="108"/>
        <v>3.6383969121651163E-2</v>
      </c>
      <c r="V664" s="4">
        <f t="shared" ca="1" si="109"/>
        <v>-4.1046872771599352E-2</v>
      </c>
      <c r="W664" s="4"/>
      <c r="X664">
        <v>662</v>
      </c>
      <c r="Y664" s="4">
        <f t="shared" ca="1" si="110"/>
        <v>3.6933044684578531E-2</v>
      </c>
      <c r="Z664" s="4">
        <f ca="1"/>
        <v>8.6044416636336662E-3</v>
      </c>
      <c r="AA664" s="4"/>
    </row>
    <row r="665" spans="1:27" x14ac:dyDescent="0.35">
      <c r="A665">
        <v>663</v>
      </c>
      <c r="B665">
        <f ca="1">_xlfn.NORM.INV(RAND(),Hitorical_Sim!$AB$4,Hitorical_Sim!$AB$5)</f>
        <v>-2.2667656779520548E-3</v>
      </c>
      <c r="C665">
        <f ca="1">_xlfn.NORM.INV(RAND(),Hitorical_Sim!$AB$4,Hitorical_Sim!$AB$5)</f>
        <v>1.4508533734710368E-2</v>
      </c>
      <c r="D665">
        <f ca="1">_xlfn.NORM.INV(RAND(),Hitorical_Sim!$AB$4,Hitorical_Sim!$AB$5)</f>
        <v>-1.3172434787230186E-2</v>
      </c>
      <c r="K665">
        <f t="shared" ca="1" si="111"/>
        <v>-1.0507231150633654</v>
      </c>
      <c r="L665">
        <f t="shared" ca="1" si="111"/>
        <v>0.79664774364054192</v>
      </c>
      <c r="M665">
        <f t="shared" ca="1" si="111"/>
        <v>-0.68751299667827948</v>
      </c>
      <c r="O665">
        <v>663</v>
      </c>
      <c r="P665" s="6">
        <f t="shared" ca="1" si="103"/>
        <v>1901.2543593234241</v>
      </c>
      <c r="Q665" s="6">
        <f t="shared" ca="1" si="104"/>
        <v>393.24304004361096</v>
      </c>
      <c r="R665" s="6">
        <f t="shared" ca="1" si="105"/>
        <v>147.64020269281067</v>
      </c>
      <c r="S665" s="6"/>
      <c r="T665" s="4">
        <f t="shared" ca="1" si="107"/>
        <v>-3.989066159638003E-2</v>
      </c>
      <c r="U665" s="4">
        <f t="shared" ca="1" si="108"/>
        <v>1.4647485692984559E-2</v>
      </c>
      <c r="V665" s="4">
        <f t="shared" ca="1" si="109"/>
        <v>2.7838931724125306E-2</v>
      </c>
      <c r="W665" s="4"/>
      <c r="X665">
        <v>663</v>
      </c>
      <c r="Y665" s="4">
        <f t="shared" ca="1" si="110"/>
        <v>-2.5654642456283419E-2</v>
      </c>
      <c r="Z665" s="4">
        <f ca="1"/>
        <v>8.6093700993621972E-3</v>
      </c>
      <c r="AA665" s="4"/>
    </row>
    <row r="666" spans="1:27" x14ac:dyDescent="0.35">
      <c r="A666">
        <v>664</v>
      </c>
      <c r="B666">
        <f ca="1">_xlfn.NORM.INV(RAND(),Hitorical_Sim!$AB$4,Hitorical_Sim!$AB$5)</f>
        <v>-8.9586724175035118E-3</v>
      </c>
      <c r="C666">
        <f ca="1">_xlfn.NORM.INV(RAND(),Hitorical_Sim!$AB$4,Hitorical_Sim!$AB$5)</f>
        <v>-1.5020672970770683E-2</v>
      </c>
      <c r="D666">
        <f ca="1">_xlfn.NORM.INV(RAND(),Hitorical_Sim!$AB$4,Hitorical_Sim!$AB$5)</f>
        <v>2.6127032625289939E-2</v>
      </c>
      <c r="K666">
        <f t="shared" ca="1" si="111"/>
        <v>-1.2837265933823929</v>
      </c>
      <c r="L666">
        <f t="shared" ca="1" si="111"/>
        <v>-0.30915401852801105</v>
      </c>
      <c r="M666">
        <f t="shared" ca="1" si="111"/>
        <v>0.24126592540166175</v>
      </c>
      <c r="O666">
        <v>664</v>
      </c>
      <c r="P666" s="6">
        <f t="shared" ca="1" si="103"/>
        <v>1893.2343154679741</v>
      </c>
      <c r="Q666" s="6">
        <f t="shared" ca="1" si="104"/>
        <v>381.03054130775246</v>
      </c>
      <c r="R666" s="6">
        <f t="shared" ca="1" si="105"/>
        <v>151.88304986774872</v>
      </c>
      <c r="S666" s="6"/>
      <c r="T666" s="4">
        <f t="shared" ca="1" si="107"/>
        <v>-4.2272129319879453E-3</v>
      </c>
      <c r="U666" s="4">
        <f t="shared" ca="1" si="108"/>
        <v>-3.1548310400970628E-2</v>
      </c>
      <c r="V666" s="4">
        <f t="shared" ca="1" si="109"/>
        <v>2.8332564888302058E-2</v>
      </c>
      <c r="W666" s="4"/>
      <c r="X666">
        <v>664</v>
      </c>
      <c r="Y666" s="4">
        <f t="shared" ca="1" si="110"/>
        <v>-8.0682451574806812E-3</v>
      </c>
      <c r="Z666" s="4">
        <f ca="1"/>
        <v>8.7294416132620133E-3</v>
      </c>
      <c r="AA666" s="4"/>
    </row>
    <row r="667" spans="1:27" x14ac:dyDescent="0.35">
      <c r="A667">
        <v>665</v>
      </c>
      <c r="B667">
        <f ca="1">_xlfn.NORM.INV(RAND(),Hitorical_Sim!$AB$4,Hitorical_Sim!$AB$5)</f>
        <v>-6.3870006490619772E-3</v>
      </c>
      <c r="C667">
        <f ca="1">_xlfn.NORM.INV(RAND(),Hitorical_Sim!$AB$4,Hitorical_Sim!$AB$5)</f>
        <v>1.9090083250926166E-2</v>
      </c>
      <c r="D667">
        <f ca="1">_xlfn.NORM.INV(RAND(),Hitorical_Sim!$AB$4,Hitorical_Sim!$AB$5)</f>
        <v>2.6798272184514879E-3</v>
      </c>
      <c r="K667">
        <f t="shared" ca="1" si="111"/>
        <v>-0.65097980086500695</v>
      </c>
      <c r="L667">
        <f t="shared" ca="1" si="111"/>
        <v>-0.38167677074589629</v>
      </c>
      <c r="M667">
        <f t="shared" ca="1" si="111"/>
        <v>-1.3985650598038963</v>
      </c>
      <c r="O667">
        <v>665</v>
      </c>
      <c r="P667" s="6">
        <f t="shared" ca="1" si="103"/>
        <v>1915.0928558886608</v>
      </c>
      <c r="Q667" s="6">
        <f t="shared" ca="1" si="104"/>
        <v>380.24298125559488</v>
      </c>
      <c r="R667" s="6">
        <f t="shared" ca="1" si="105"/>
        <v>144.4722550301872</v>
      </c>
      <c r="S667" s="6"/>
      <c r="T667" s="4">
        <f t="shared" ca="1" si="107"/>
        <v>1.1479465642745048E-2</v>
      </c>
      <c r="U667" s="4">
        <f t="shared" ca="1" si="108"/>
        <v>-2.0690600941127954E-3</v>
      </c>
      <c r="V667" s="4">
        <f t="shared" ca="1" si="109"/>
        <v>-5.0023333529295534E-2</v>
      </c>
      <c r="W667" s="4"/>
      <c r="X667">
        <v>665</v>
      </c>
      <c r="Y667" s="4">
        <f t="shared" ca="1" si="110"/>
        <v>5.7318319148798287E-3</v>
      </c>
      <c r="Z667" s="4">
        <f ca="1"/>
        <v>8.8276056584051278E-3</v>
      </c>
      <c r="AA667" s="4"/>
    </row>
    <row r="668" spans="1:27" x14ac:dyDescent="0.35">
      <c r="A668">
        <v>666</v>
      </c>
      <c r="B668">
        <f ca="1">_xlfn.NORM.INV(RAND(),Hitorical_Sim!$AB$4,Hitorical_Sim!$AB$5)</f>
        <v>-6.8478603390601249E-4</v>
      </c>
      <c r="C668">
        <f ca="1">_xlfn.NORM.INV(RAND(),Hitorical_Sim!$AB$4,Hitorical_Sim!$AB$5)</f>
        <v>-1.4896612376319949E-2</v>
      </c>
      <c r="D668">
        <f ca="1">_xlfn.NORM.INV(RAND(),Hitorical_Sim!$AB$4,Hitorical_Sim!$AB$5)</f>
        <v>3.1494877098507471E-2</v>
      </c>
      <c r="K668">
        <f t="shared" ca="1" si="111"/>
        <v>2.1828779031860606</v>
      </c>
      <c r="L668">
        <f t="shared" ca="1" si="111"/>
        <v>0.72957134499394827</v>
      </c>
      <c r="M668">
        <f t="shared" ca="1" si="111"/>
        <v>1.7036596163776536</v>
      </c>
      <c r="O668">
        <v>666</v>
      </c>
      <c r="P668" s="6">
        <f t="shared" ca="1" si="103"/>
        <v>2016.1277836305269</v>
      </c>
      <c r="Q668" s="6">
        <f t="shared" ca="1" si="104"/>
        <v>392.49121960832326</v>
      </c>
      <c r="R668" s="6">
        <f t="shared" ca="1" si="105"/>
        <v>158.81204459257989</v>
      </c>
      <c r="S668" s="6"/>
      <c r="T668" s="4">
        <f t="shared" ca="1" si="107"/>
        <v>5.1412622765984198E-2</v>
      </c>
      <c r="U668" s="4">
        <f t="shared" ca="1" si="108"/>
        <v>3.1703693814977285E-2</v>
      </c>
      <c r="V668" s="4">
        <f t="shared" ca="1" si="109"/>
        <v>9.4633911091750372E-2</v>
      </c>
      <c r="W668" s="4"/>
      <c r="X668">
        <v>666</v>
      </c>
      <c r="Y668" s="4">
        <f t="shared" ca="1" si="110"/>
        <v>4.9618375311443835E-2</v>
      </c>
      <c r="Z668" s="4">
        <f ca="1"/>
        <v>9.0030052226786721E-3</v>
      </c>
      <c r="AA668" s="4"/>
    </row>
    <row r="669" spans="1:27" x14ac:dyDescent="0.35">
      <c r="A669">
        <v>667</v>
      </c>
      <c r="B669">
        <f ca="1">_xlfn.NORM.INV(RAND(),Hitorical_Sim!$AB$4,Hitorical_Sim!$AB$5)</f>
        <v>-1.5455210729602949E-3</v>
      </c>
      <c r="C669">
        <f ca="1">_xlfn.NORM.INV(RAND(),Hitorical_Sim!$AB$4,Hitorical_Sim!$AB$5)</f>
        <v>3.4264024224084061E-2</v>
      </c>
      <c r="D669">
        <f ca="1">_xlfn.NORM.INV(RAND(),Hitorical_Sim!$AB$4,Hitorical_Sim!$AB$5)</f>
        <v>5.3288713376222537E-4</v>
      </c>
      <c r="K669">
        <f t="shared" ca="1" si="111"/>
        <v>1.4541146489548459E-2</v>
      </c>
      <c r="L669">
        <f t="shared" ca="1" si="111"/>
        <v>-9.1655757467716925E-2</v>
      </c>
      <c r="M669">
        <f t="shared" ca="1" si="111"/>
        <v>1.8439996867154766</v>
      </c>
      <c r="O669">
        <v>667</v>
      </c>
      <c r="P669" s="6">
        <f t="shared" ca="1" si="103"/>
        <v>1938.3559658469292</v>
      </c>
      <c r="Q669" s="6">
        <f t="shared" ca="1" si="104"/>
        <v>383.40225652144039</v>
      </c>
      <c r="R669" s="6">
        <f t="shared" ca="1" si="105"/>
        <v>159.49339203257165</v>
      </c>
      <c r="S669" s="6"/>
      <c r="T669" s="4">
        <f t="shared" ca="1" si="107"/>
        <v>-3.933855942812229E-2</v>
      </c>
      <c r="U669" s="4">
        <f t="shared" ca="1" si="108"/>
        <v>-2.3429450399267009E-2</v>
      </c>
      <c r="V669" s="4">
        <f t="shared" ca="1" si="109"/>
        <v>4.2810986067286635E-3</v>
      </c>
      <c r="W669" s="4"/>
      <c r="X669">
        <v>667</v>
      </c>
      <c r="Y669" s="4">
        <f t="shared" ca="1" si="110"/>
        <v>-3.4004866971861218E-2</v>
      </c>
      <c r="Z669" s="4">
        <f ca="1"/>
        <v>9.0069331377161891E-3</v>
      </c>
      <c r="AA669" s="4"/>
    </row>
    <row r="670" spans="1:27" x14ac:dyDescent="0.35">
      <c r="A670">
        <v>668</v>
      </c>
      <c r="B670">
        <f ca="1">_xlfn.NORM.INV(RAND(),Hitorical_Sim!$AB$4,Hitorical_Sim!$AB$5)</f>
        <v>1.2154326769493829E-4</v>
      </c>
      <c r="C670">
        <f ca="1">_xlfn.NORM.INV(RAND(),Hitorical_Sim!$AB$4,Hitorical_Sim!$AB$5)</f>
        <v>4.7473184271383521E-2</v>
      </c>
      <c r="D670">
        <f ca="1">_xlfn.NORM.INV(RAND(),Hitorical_Sim!$AB$4,Hitorical_Sim!$AB$5)</f>
        <v>-2.0636562498956078E-2</v>
      </c>
      <c r="K670">
        <f t="shared" ca="1" si="111"/>
        <v>0.75973773510903531</v>
      </c>
      <c r="L670">
        <f t="shared" ca="1" si="111"/>
        <v>-0.17661163468270838</v>
      </c>
      <c r="M670">
        <f t="shared" ca="1" si="111"/>
        <v>0.25956998433875039</v>
      </c>
      <c r="O670">
        <v>668</v>
      </c>
      <c r="P670" s="6">
        <f t="shared" ca="1" si="103"/>
        <v>1964.7396328143438</v>
      </c>
      <c r="Q670" s="6">
        <f t="shared" ca="1" si="104"/>
        <v>382.47410108891779</v>
      </c>
      <c r="R670" s="6">
        <f t="shared" ca="1" si="105"/>
        <v>151.9678802667836</v>
      </c>
      <c r="S670" s="6"/>
      <c r="T670" s="4">
        <f t="shared" ca="1" si="107"/>
        <v>1.3519560647813542E-2</v>
      </c>
      <c r="U670" s="4">
        <f t="shared" ca="1" si="108"/>
        <v>-2.4237747455830103E-3</v>
      </c>
      <c r="V670" s="4">
        <f t="shared" ca="1" si="109"/>
        <v>-4.8333307621808416E-2</v>
      </c>
      <c r="W670" s="4"/>
      <c r="X670">
        <v>668</v>
      </c>
      <c r="Y670" s="4">
        <f t="shared" ca="1" si="110"/>
        <v>7.2766743577011113E-3</v>
      </c>
      <c r="Z670" s="4">
        <f ca="1"/>
        <v>9.0098895728346305E-3</v>
      </c>
      <c r="AA670" s="4"/>
    </row>
    <row r="671" spans="1:27" x14ac:dyDescent="0.35">
      <c r="A671">
        <v>669</v>
      </c>
      <c r="B671">
        <f ca="1">_xlfn.NORM.INV(RAND(),Hitorical_Sim!$AB$4,Hitorical_Sim!$AB$5)</f>
        <v>1.2805421816122192E-2</v>
      </c>
      <c r="C671">
        <f ca="1">_xlfn.NORM.INV(RAND(),Hitorical_Sim!$AB$4,Hitorical_Sim!$AB$5)</f>
        <v>2.2209827873730728E-2</v>
      </c>
      <c r="D671">
        <f ca="1">_xlfn.NORM.INV(RAND(),Hitorical_Sim!$AB$4,Hitorical_Sim!$AB$5)</f>
        <v>-4.535915520829369E-3</v>
      </c>
      <c r="K671">
        <f t="shared" ca="1" si="111"/>
        <v>1.2343847273654447</v>
      </c>
      <c r="L671">
        <f t="shared" ca="1" si="111"/>
        <v>0.56729199840951827</v>
      </c>
      <c r="M671">
        <f t="shared" ca="1" si="111"/>
        <v>-0.86321751821850445</v>
      </c>
      <c r="O671">
        <v>669</v>
      </c>
      <c r="P671" s="6">
        <f t="shared" ca="1" si="103"/>
        <v>1981.7314056823379</v>
      </c>
      <c r="Q671" s="6">
        <f t="shared" ca="1" si="104"/>
        <v>390.67826444576923</v>
      </c>
      <c r="R671" s="6">
        <f t="shared" ca="1" si="105"/>
        <v>146.85098330670206</v>
      </c>
      <c r="S671" s="6"/>
      <c r="T671" s="4">
        <f t="shared" ca="1" si="107"/>
        <v>8.6111757569913051E-3</v>
      </c>
      <c r="U671" s="4">
        <f t="shared" ca="1" si="108"/>
        <v>2.1223426773329685E-2</v>
      </c>
      <c r="V671" s="4">
        <f t="shared" ca="1" si="109"/>
        <v>-3.4250830865905198E-2</v>
      </c>
      <c r="W671" s="4"/>
      <c r="X671">
        <v>669</v>
      </c>
      <c r="Y671" s="4">
        <f t="shared" ca="1" si="110"/>
        <v>9.0069331377161891E-3</v>
      </c>
      <c r="Z671" s="4">
        <f ca="1"/>
        <v>9.0401590080139097E-3</v>
      </c>
      <c r="AA671" s="4"/>
    </row>
    <row r="672" spans="1:27" x14ac:dyDescent="0.35">
      <c r="A672">
        <v>670</v>
      </c>
      <c r="B672">
        <f ca="1">_xlfn.NORM.INV(RAND(),Hitorical_Sim!$AB$4,Hitorical_Sim!$AB$5)</f>
        <v>-1.079280574179836E-2</v>
      </c>
      <c r="C672">
        <f ca="1">_xlfn.NORM.INV(RAND(),Hitorical_Sim!$AB$4,Hitorical_Sim!$AB$5)</f>
        <v>-6.24988433320392E-2</v>
      </c>
      <c r="D672">
        <f ca="1">_xlfn.NORM.INV(RAND(),Hitorical_Sim!$AB$4,Hitorical_Sim!$AB$5)</f>
        <v>1.9137718279254475E-2</v>
      </c>
      <c r="K672">
        <f t="shared" ca="1" si="111"/>
        <v>-7.7731089338277687E-2</v>
      </c>
      <c r="L672">
        <f t="shared" ca="1" si="111"/>
        <v>-1.0187306820695741</v>
      </c>
      <c r="M672">
        <f t="shared" ca="1" si="111"/>
        <v>-0.64598562065750131</v>
      </c>
      <c r="O672">
        <v>670</v>
      </c>
      <c r="P672" s="6">
        <f t="shared" ca="1" si="103"/>
        <v>1935.1138178195256</v>
      </c>
      <c r="Q672" s="6">
        <f t="shared" ca="1" si="104"/>
        <v>373.39447997445075</v>
      </c>
      <c r="R672" s="6">
        <f t="shared" ca="1" si="105"/>
        <v>147.82735180682317</v>
      </c>
      <c r="S672" s="6"/>
      <c r="T672" s="4">
        <f t="shared" ca="1" si="107"/>
        <v>-2.3804764583992621E-2</v>
      </c>
      <c r="U672" s="4">
        <f t="shared" ca="1" si="108"/>
        <v>-4.5248920320590851E-2</v>
      </c>
      <c r="V672" s="4">
        <f t="shared" ca="1" si="109"/>
        <v>6.6266973626757731E-3</v>
      </c>
      <c r="W672" s="4"/>
      <c r="X672">
        <v>670</v>
      </c>
      <c r="Y672" s="4">
        <f t="shared" ca="1" si="110"/>
        <v>-2.6578277196203412E-2</v>
      </c>
      <c r="Z672" s="4">
        <f ca="1"/>
        <v>9.082613253266E-3</v>
      </c>
      <c r="AA672" s="4"/>
    </row>
    <row r="673" spans="1:27" x14ac:dyDescent="0.35">
      <c r="A673">
        <v>671</v>
      </c>
      <c r="B673">
        <f ca="1">_xlfn.NORM.INV(RAND(),Hitorical_Sim!$AB$4,Hitorical_Sim!$AB$5)</f>
        <v>9.9731426271917785E-3</v>
      </c>
      <c r="C673">
        <f ca="1">_xlfn.NORM.INV(RAND(),Hitorical_Sim!$AB$4,Hitorical_Sim!$AB$5)</f>
        <v>-3.1826895805734607E-3</v>
      </c>
      <c r="D673">
        <f ca="1">_xlfn.NORM.INV(RAND(),Hitorical_Sim!$AB$4,Hitorical_Sim!$AB$5)</f>
        <v>-1.367707084323895E-2</v>
      </c>
      <c r="K673">
        <f t="shared" ca="1" si="111"/>
        <v>-1.0948750940570013</v>
      </c>
      <c r="L673">
        <f t="shared" ca="1" si="111"/>
        <v>-0.84757687223103551</v>
      </c>
      <c r="M673">
        <f t="shared" ca="1" si="111"/>
        <v>0.47816693992916232</v>
      </c>
      <c r="O673">
        <v>671</v>
      </c>
      <c r="P673" s="6">
        <f t="shared" ca="1" si="103"/>
        <v>1899.7320314810049</v>
      </c>
      <c r="Q673" s="6">
        <f t="shared" ca="1" si="104"/>
        <v>375.22221843167989</v>
      </c>
      <c r="R673" s="6">
        <f t="shared" ca="1" si="105"/>
        <v>152.98463984468501</v>
      </c>
      <c r="S673" s="6"/>
      <c r="T673" s="4">
        <f t="shared" ca="1" si="107"/>
        <v>-1.8453305167203827E-2</v>
      </c>
      <c r="U673" s="4">
        <f t="shared" ca="1" si="108"/>
        <v>4.88298509174549E-3</v>
      </c>
      <c r="V673" s="4">
        <f t="shared" ca="1" si="109"/>
        <v>3.4292472201938103E-2</v>
      </c>
      <c r="W673" s="4"/>
      <c r="X673">
        <v>671</v>
      </c>
      <c r="Y673" s="4">
        <f t="shared" ca="1" si="110"/>
        <v>-1.1185731881050825E-2</v>
      </c>
      <c r="Z673" s="4">
        <f ca="1"/>
        <v>9.1738311410168132E-3</v>
      </c>
      <c r="AA673" s="4"/>
    </row>
    <row r="674" spans="1:27" x14ac:dyDescent="0.35">
      <c r="A674">
        <v>672</v>
      </c>
      <c r="B674">
        <f ca="1">_xlfn.NORM.INV(RAND(),Hitorical_Sim!$AB$4,Hitorical_Sim!$AB$5)</f>
        <v>-1.6474683514054764E-3</v>
      </c>
      <c r="C674">
        <f ca="1">_xlfn.NORM.INV(RAND(),Hitorical_Sim!$AB$4,Hitorical_Sim!$AB$5)</f>
        <v>1.0967667189094147E-2</v>
      </c>
      <c r="D674">
        <f ca="1">_xlfn.NORM.INV(RAND(),Hitorical_Sim!$AB$4,Hitorical_Sim!$AB$5)</f>
        <v>1.4714468442458236E-2</v>
      </c>
      <c r="K674">
        <f t="shared" ca="1" si="111"/>
        <v>-1.452207210369205</v>
      </c>
      <c r="L674">
        <f t="shared" ca="1" si="111"/>
        <v>-0.61095996032849753</v>
      </c>
      <c r="M674">
        <f t="shared" ca="1" si="111"/>
        <v>-0.26016346586442879</v>
      </c>
      <c r="O674">
        <v>672</v>
      </c>
      <c r="P674" s="6">
        <f t="shared" ca="1" si="103"/>
        <v>1887.4562499208798</v>
      </c>
      <c r="Q674" s="6">
        <f t="shared" ca="1" si="104"/>
        <v>377.76377548165073</v>
      </c>
      <c r="R674" s="6">
        <f t="shared" ca="1" si="105"/>
        <v>149.5774956210079</v>
      </c>
      <c r="S674" s="6"/>
      <c r="T674" s="4">
        <f t="shared" ca="1" si="107"/>
        <v>-6.482817140700997E-3</v>
      </c>
      <c r="U674" s="4">
        <f t="shared" ca="1" si="108"/>
        <v>6.7506347323783066E-3</v>
      </c>
      <c r="V674" s="4">
        <f t="shared" ca="1" si="109"/>
        <v>-2.2522899296968272E-2</v>
      </c>
      <c r="W674" s="4"/>
      <c r="X674">
        <v>672</v>
      </c>
      <c r="Y674" s="4">
        <f t="shared" ca="1" si="110"/>
        <v>-4.6356677971159466E-3</v>
      </c>
      <c r="Z674" s="4">
        <f ca="1"/>
        <v>9.2116406004409436E-3</v>
      </c>
      <c r="AA674" s="4"/>
    </row>
    <row r="675" spans="1:27" x14ac:dyDescent="0.35">
      <c r="A675">
        <v>673</v>
      </c>
      <c r="B675">
        <f ca="1">_xlfn.NORM.INV(RAND(),Hitorical_Sim!$AB$4,Hitorical_Sim!$AB$5)</f>
        <v>2.2471139073042226E-2</v>
      </c>
      <c r="C675">
        <f ca="1">_xlfn.NORM.INV(RAND(),Hitorical_Sim!$AB$4,Hitorical_Sim!$AB$5)</f>
        <v>-9.5986616101157631E-3</v>
      </c>
      <c r="D675">
        <f ca="1">_xlfn.NORM.INV(RAND(),Hitorical_Sim!$AB$4,Hitorical_Sim!$AB$5)</f>
        <v>-4.2990897035422712E-3</v>
      </c>
      <c r="K675">
        <f t="shared" ca="1" si="111"/>
        <v>-8.738126250651343E-2</v>
      </c>
      <c r="L675">
        <f t="shared" ca="1" si="111"/>
        <v>-1.3397638103012326</v>
      </c>
      <c r="M675">
        <f t="shared" ca="1" si="111"/>
        <v>-1.317396335684291</v>
      </c>
      <c r="O675">
        <v>673</v>
      </c>
      <c r="P675" s="6">
        <f t="shared" ca="1" si="103"/>
        <v>1934.7750553234346</v>
      </c>
      <c r="Q675" s="6">
        <f t="shared" ca="1" si="104"/>
        <v>369.99016891978931</v>
      </c>
      <c r="R675" s="6">
        <f t="shared" ca="1" si="105"/>
        <v>144.83042114350508</v>
      </c>
      <c r="S675" s="6"/>
      <c r="T675" s="4">
        <f t="shared" ca="1" si="107"/>
        <v>2.4761046222745369E-2</v>
      </c>
      <c r="U675" s="4">
        <f t="shared" ca="1" si="108"/>
        <v>-2.0792632881387555E-2</v>
      </c>
      <c r="V675" s="4">
        <f t="shared" ca="1" si="109"/>
        <v>-3.2251075228038689E-2</v>
      </c>
      <c r="W675" s="4"/>
      <c r="X675">
        <v>673</v>
      </c>
      <c r="Y675" s="4">
        <f t="shared" ca="1" si="110"/>
        <v>1.2848449210701973E-2</v>
      </c>
      <c r="Z675" s="4">
        <f ca="1"/>
        <v>9.3319795543641698E-3</v>
      </c>
      <c r="AA675" s="4"/>
    </row>
    <row r="676" spans="1:27" x14ac:dyDescent="0.35">
      <c r="A676">
        <v>674</v>
      </c>
      <c r="B676">
        <f ca="1">_xlfn.NORM.INV(RAND(),Hitorical_Sim!$AB$4,Hitorical_Sim!$AB$5)</f>
        <v>1.6110041251192246E-2</v>
      </c>
      <c r="C676">
        <f ca="1">_xlfn.NORM.INV(RAND(),Hitorical_Sim!$AB$4,Hitorical_Sim!$AB$5)</f>
        <v>-1.2591221547768849E-2</v>
      </c>
      <c r="D676">
        <f ca="1">_xlfn.NORM.INV(RAND(),Hitorical_Sim!$AB$4,Hitorical_Sim!$AB$5)</f>
        <v>8.3904843349385562E-3</v>
      </c>
      <c r="K676">
        <f t="shared" ca="1" si="111"/>
        <v>-1.1292332840975803</v>
      </c>
      <c r="L676">
        <f t="shared" ca="1" si="111"/>
        <v>0.70004458059371366</v>
      </c>
      <c r="M676">
        <f t="shared" ca="1" si="111"/>
        <v>-0.72600944681385016</v>
      </c>
      <c r="O676">
        <v>674</v>
      </c>
      <c r="P676" s="6">
        <f t="shared" ca="1" si="103"/>
        <v>1898.5482296848006</v>
      </c>
      <c r="Q676" s="6">
        <f t="shared" ca="1" si="104"/>
        <v>392.16072702226779</v>
      </c>
      <c r="R676" s="6">
        <f t="shared" ca="1" si="105"/>
        <v>147.46692451276505</v>
      </c>
      <c r="S676" s="6"/>
      <c r="T676" s="4">
        <f t="shared" ca="1" si="107"/>
        <v>-1.8901564777747366E-2</v>
      </c>
      <c r="U676" s="4">
        <f t="shared" ca="1" si="108"/>
        <v>5.8195338871823224E-2</v>
      </c>
      <c r="V676" s="4">
        <f t="shared" ca="1" si="109"/>
        <v>1.8040361387067022E-2</v>
      </c>
      <c r="W676" s="4"/>
      <c r="X676">
        <v>674</v>
      </c>
      <c r="Y676" s="4">
        <f t="shared" ca="1" si="110"/>
        <v>-1.6872229195211267E-3</v>
      </c>
      <c r="Z676" s="4">
        <f ca="1"/>
        <v>9.4152115717013856E-3</v>
      </c>
      <c r="AA676" s="4"/>
    </row>
    <row r="677" spans="1:27" x14ac:dyDescent="0.35">
      <c r="A677">
        <v>675</v>
      </c>
      <c r="B677">
        <f ca="1">_xlfn.NORM.INV(RAND(),Hitorical_Sim!$AB$4,Hitorical_Sim!$AB$5)</f>
        <v>8.7269637023160724E-3</v>
      </c>
      <c r="C677">
        <f ca="1">_xlfn.NORM.INV(RAND(),Hitorical_Sim!$AB$4,Hitorical_Sim!$AB$5)</f>
        <v>-4.9518024301244169E-3</v>
      </c>
      <c r="D677">
        <f ca="1">_xlfn.NORM.INV(RAND(),Hitorical_Sim!$AB$4,Hitorical_Sim!$AB$5)</f>
        <v>5.096167513177885E-2</v>
      </c>
      <c r="K677">
        <f t="shared" ca="1" si="111"/>
        <v>-2.0755416859586822</v>
      </c>
      <c r="L677">
        <f t="shared" ca="1" si="111"/>
        <v>-1.3558678002149067</v>
      </c>
      <c r="M677">
        <f t="shared" ca="1" si="111"/>
        <v>-0.57362830644296325</v>
      </c>
      <c r="O677">
        <v>675</v>
      </c>
      <c r="P677" s="6">
        <f t="shared" ca="1" si="103"/>
        <v>1866.2318010544279</v>
      </c>
      <c r="Q677" s="6">
        <f t="shared" ca="1" si="104"/>
        <v>369.82021830548223</v>
      </c>
      <c r="R677" s="6">
        <f t="shared" ca="1" si="105"/>
        <v>148.15400745181222</v>
      </c>
      <c r="S677" s="6"/>
      <c r="T677" s="4">
        <f t="shared" ca="1" si="107"/>
        <v>-1.7168186255653105E-2</v>
      </c>
      <c r="U677" s="4">
        <f t="shared" ca="1" si="108"/>
        <v>-5.865478258937909E-2</v>
      </c>
      <c r="V677" s="4">
        <f t="shared" ca="1" si="109"/>
        <v>4.6484135725681558E-3</v>
      </c>
      <c r="W677" s="4"/>
      <c r="X677">
        <v>675</v>
      </c>
      <c r="Y677" s="4">
        <f t="shared" ca="1" si="110"/>
        <v>-2.4367880962448848E-2</v>
      </c>
      <c r="Z677" s="4">
        <f ca="1"/>
        <v>9.4258155961794675E-3</v>
      </c>
      <c r="AA677" s="4"/>
    </row>
    <row r="678" spans="1:27" x14ac:dyDescent="0.35">
      <c r="A678">
        <v>676</v>
      </c>
      <c r="B678">
        <f ca="1">_xlfn.NORM.INV(RAND(),Hitorical_Sim!$AB$4,Hitorical_Sim!$AB$5)</f>
        <v>9.1154140990104219E-3</v>
      </c>
      <c r="C678">
        <f ca="1">_xlfn.NORM.INV(RAND(),Hitorical_Sim!$AB$4,Hitorical_Sim!$AB$5)</f>
        <v>-2.7684089421827398E-2</v>
      </c>
      <c r="D678">
        <f ca="1">_xlfn.NORM.INV(RAND(),Hitorical_Sim!$AB$4,Hitorical_Sim!$AB$5)</f>
        <v>2.1128996811645129E-3</v>
      </c>
      <c r="K678">
        <f t="shared" ca="1" si="111"/>
        <v>-1.0129160534919088</v>
      </c>
      <c r="L678">
        <f t="shared" ca="1" si="111"/>
        <v>1.0084958502217549</v>
      </c>
      <c r="M678">
        <f t="shared" ca="1" si="111"/>
        <v>-9.7929542699514982E-2</v>
      </c>
      <c r="O678">
        <v>676</v>
      </c>
      <c r="P678" s="6">
        <f t="shared" ca="1" si="103"/>
        <v>1902.558888566014</v>
      </c>
      <c r="Q678" s="6">
        <f t="shared" ca="1" si="104"/>
        <v>395.62699230777696</v>
      </c>
      <c r="R678" s="6">
        <f t="shared" ca="1" si="105"/>
        <v>150.31958560269734</v>
      </c>
      <c r="S678" s="6"/>
      <c r="T678" s="4">
        <f t="shared" ca="1" si="107"/>
        <v>1.9278445316919562E-2</v>
      </c>
      <c r="U678" s="4">
        <f t="shared" ca="1" si="108"/>
        <v>6.7454837654145477E-2</v>
      </c>
      <c r="V678" s="4">
        <f t="shared" ca="1" si="109"/>
        <v>1.4511274718491233E-2</v>
      </c>
      <c r="W678" s="4"/>
      <c r="X678">
        <v>676</v>
      </c>
      <c r="Y678" s="4">
        <f t="shared" ca="1" si="110"/>
        <v>2.8656987923065393E-2</v>
      </c>
      <c r="Z678" s="4">
        <f ca="1"/>
        <v>9.4419955383268344E-3</v>
      </c>
      <c r="AA678" s="4"/>
    </row>
    <row r="679" spans="1:27" x14ac:dyDescent="0.35">
      <c r="A679">
        <v>677</v>
      </c>
      <c r="B679">
        <f ca="1">_xlfn.NORM.INV(RAND(),Hitorical_Sim!$AB$4,Hitorical_Sim!$AB$5)</f>
        <v>-1.0360194322604484E-3</v>
      </c>
      <c r="C679">
        <f ca="1">_xlfn.NORM.INV(RAND(),Hitorical_Sim!$AB$4,Hitorical_Sim!$AB$5)</f>
        <v>-1.0166306633715832E-2</v>
      </c>
      <c r="D679">
        <f ca="1">_xlfn.NORM.INV(RAND(),Hitorical_Sim!$AB$4,Hitorical_Sim!$AB$5)</f>
        <v>-3.0466082391803217E-2</v>
      </c>
      <c r="K679">
        <f t="shared" ca="1" si="111"/>
        <v>-0.48200673172348474</v>
      </c>
      <c r="L679">
        <f t="shared" ca="1" si="111"/>
        <v>0.34392274295218556</v>
      </c>
      <c r="M679">
        <f t="shared" ca="1" si="111"/>
        <v>1.9417496187634087</v>
      </c>
      <c r="O679">
        <v>677</v>
      </c>
      <c r="P679" s="6">
        <f t="shared" ca="1" si="103"/>
        <v>1920.9726875962242</v>
      </c>
      <c r="Q679" s="6">
        <f t="shared" ca="1" si="104"/>
        <v>388.19651234337454</v>
      </c>
      <c r="R679" s="6">
        <f t="shared" ca="1" si="105"/>
        <v>159.96969179794485</v>
      </c>
      <c r="S679" s="6"/>
      <c r="T679" s="4">
        <f t="shared" ca="1" si="107"/>
        <v>9.6319023513441789E-3</v>
      </c>
      <c r="U679" s="4">
        <f t="shared" ca="1" si="108"/>
        <v>-1.8960142214967966E-2</v>
      </c>
      <c r="V679" s="4">
        <f t="shared" ca="1" si="109"/>
        <v>6.222077269373185E-2</v>
      </c>
      <c r="W679" s="4"/>
      <c r="X679">
        <v>677</v>
      </c>
      <c r="Y679" s="4">
        <f t="shared" ca="1" si="110"/>
        <v>6.5284714976185723E-3</v>
      </c>
      <c r="Z679" s="4">
        <f ca="1"/>
        <v>9.4429211867312519E-3</v>
      </c>
      <c r="AA679" s="4"/>
    </row>
    <row r="680" spans="1:27" x14ac:dyDescent="0.35">
      <c r="A680">
        <v>678</v>
      </c>
      <c r="B680">
        <f ca="1">_xlfn.NORM.INV(RAND(),Hitorical_Sim!$AB$4,Hitorical_Sim!$AB$5)</f>
        <v>-1.375156109075977E-2</v>
      </c>
      <c r="C680">
        <f ca="1">_xlfn.NORM.INV(RAND(),Hitorical_Sim!$AB$4,Hitorical_Sim!$AB$5)</f>
        <v>7.0067021340174092E-3</v>
      </c>
      <c r="D680">
        <f ca="1">_xlfn.NORM.INV(RAND(),Hitorical_Sim!$AB$4,Hitorical_Sim!$AB$5)</f>
        <v>1.4234177221358122E-2</v>
      </c>
      <c r="K680">
        <f t="shared" ca="1" si="111"/>
        <v>-1.3862888127167734</v>
      </c>
      <c r="L680">
        <f t="shared" ca="1" si="111"/>
        <v>0.80072990418937295</v>
      </c>
      <c r="M680">
        <f t="shared" ca="1" si="111"/>
        <v>-1.6538608844215403</v>
      </c>
      <c r="O680">
        <v>678</v>
      </c>
      <c r="P680" s="6">
        <f t="shared" ca="1" si="103"/>
        <v>1889.7148272800664</v>
      </c>
      <c r="Q680" s="6">
        <f t="shared" ca="1" si="104"/>
        <v>393.28884107347483</v>
      </c>
      <c r="R680" s="6">
        <f t="shared" ca="1" si="105"/>
        <v>143.35149742795264</v>
      </c>
      <c r="S680" s="6"/>
      <c r="T680" s="4">
        <f t="shared" ca="1" si="107"/>
        <v>-1.6405733229895827E-2</v>
      </c>
      <c r="U680" s="4">
        <f t="shared" ca="1" si="108"/>
        <v>1.3032619958784486E-2</v>
      </c>
      <c r="V680" s="4">
        <f t="shared" ca="1" si="109"/>
        <v>-0.10968473279562506</v>
      </c>
      <c r="W680" s="4"/>
      <c r="X680">
        <v>678</v>
      </c>
      <c r="Y680" s="4">
        <f t="shared" ca="1" si="110"/>
        <v>-1.5147165056533005E-2</v>
      </c>
      <c r="Z680" s="4">
        <f ca="1"/>
        <v>9.4536800604842937E-3</v>
      </c>
      <c r="AA680" s="4"/>
    </row>
    <row r="681" spans="1:27" x14ac:dyDescent="0.35">
      <c r="A681">
        <v>679</v>
      </c>
      <c r="B681">
        <f ca="1">_xlfn.NORM.INV(RAND(),Hitorical_Sim!$AB$4,Hitorical_Sim!$AB$5)</f>
        <v>-5.8665420524757735E-3</v>
      </c>
      <c r="C681">
        <f ca="1">_xlfn.NORM.INV(RAND(),Hitorical_Sim!$AB$4,Hitorical_Sim!$AB$5)</f>
        <v>1.3975790472508616E-2</v>
      </c>
      <c r="D681">
        <f ca="1">_xlfn.NORM.INV(RAND(),Hitorical_Sim!$AB$4,Hitorical_Sim!$AB$5)</f>
        <v>-2.1878331116178398E-2</v>
      </c>
      <c r="K681">
        <f t="shared" ca="1" si="111"/>
        <v>-0.15780223982650876</v>
      </c>
      <c r="L681">
        <f t="shared" ca="1" si="111"/>
        <v>-0.54814755666806192</v>
      </c>
      <c r="M681">
        <f t="shared" ca="1" si="111"/>
        <v>2.0783969327737224</v>
      </c>
      <c r="O681">
        <v>679</v>
      </c>
      <c r="P681" s="6">
        <f t="shared" ca="1" si="103"/>
        <v>1932.304771521246</v>
      </c>
      <c r="Q681" s="6">
        <f t="shared" ca="1" si="104"/>
        <v>378.44134481587781</v>
      </c>
      <c r="R681" s="6">
        <f t="shared" ca="1" si="105"/>
        <v>160.637909275591</v>
      </c>
      <c r="S681" s="6"/>
      <c r="T681" s="4">
        <f t="shared" ca="1" si="107"/>
        <v>2.2287539933566761E-2</v>
      </c>
      <c r="U681" s="4">
        <f t="shared" ca="1" si="108"/>
        <v>-3.8483213071166048E-2</v>
      </c>
      <c r="V681" s="4">
        <f t="shared" ca="1" si="109"/>
        <v>0.11385318321904679</v>
      </c>
      <c r="W681" s="4"/>
      <c r="X681">
        <v>679</v>
      </c>
      <c r="Y681" s="4">
        <f t="shared" ca="1" si="110"/>
        <v>1.4691230360266549E-2</v>
      </c>
      <c r="Z681" s="4">
        <f ca="1"/>
        <v>9.5231757849699589E-3</v>
      </c>
      <c r="AA681" s="4"/>
    </row>
    <row r="682" spans="1:27" x14ac:dyDescent="0.35">
      <c r="A682">
        <v>680</v>
      </c>
      <c r="B682">
        <f ca="1">_xlfn.NORM.INV(RAND(),Hitorical_Sim!$AB$4,Hitorical_Sim!$AB$5)</f>
        <v>-5.9245770994878358E-4</v>
      </c>
      <c r="C682">
        <f ca="1">_xlfn.NORM.INV(RAND(),Hitorical_Sim!$AB$4,Hitorical_Sim!$AB$5)</f>
        <v>-2.1927410647839745E-2</v>
      </c>
      <c r="D682">
        <f ca="1">_xlfn.NORM.INV(RAND(),Hitorical_Sim!$AB$4,Hitorical_Sim!$AB$5)</f>
        <v>-2.3005579372761278E-2</v>
      </c>
      <c r="K682">
        <f t="shared" ca="1" si="111"/>
        <v>-0.47421090783385267</v>
      </c>
      <c r="L682">
        <f t="shared" ca="1" si="111"/>
        <v>0.49940205712319913</v>
      </c>
      <c r="M682">
        <f t="shared" ca="1" si="111"/>
        <v>1.4229600848554242</v>
      </c>
      <c r="O682">
        <v>680</v>
      </c>
      <c r="P682" s="6">
        <f t="shared" ca="1" si="103"/>
        <v>1921.2443976086936</v>
      </c>
      <c r="Q682" s="6">
        <f t="shared" ca="1" si="104"/>
        <v>389.92229718336597</v>
      </c>
      <c r="R682" s="6">
        <f t="shared" ca="1" si="105"/>
        <v>157.45797618058774</v>
      </c>
      <c r="S682" s="6"/>
      <c r="T682" s="4">
        <f t="shared" ca="1" si="107"/>
        <v>-5.7403727310988157E-3</v>
      </c>
      <c r="U682" s="4">
        <f t="shared" ca="1" si="108"/>
        <v>2.9886387874344868E-2</v>
      </c>
      <c r="V682" s="4">
        <f t="shared" ca="1" si="109"/>
        <v>-1.9994216688555055E-2</v>
      </c>
      <c r="W682" s="4"/>
      <c r="X682">
        <v>680</v>
      </c>
      <c r="Y682" s="4">
        <f t="shared" ca="1" si="110"/>
        <v>6.6416756367346642E-4</v>
      </c>
      <c r="Z682" s="4">
        <f ca="1"/>
        <v>9.7773860185112662E-3</v>
      </c>
      <c r="AA682" s="4"/>
    </row>
    <row r="683" spans="1:27" x14ac:dyDescent="0.35">
      <c r="A683">
        <v>681</v>
      </c>
      <c r="B683">
        <f ca="1">_xlfn.NORM.INV(RAND(),Hitorical_Sim!$AB$4,Hitorical_Sim!$AB$5)</f>
        <v>7.3157239533187942E-3</v>
      </c>
      <c r="C683">
        <f ca="1">_xlfn.NORM.INV(RAND(),Hitorical_Sim!$AB$4,Hitorical_Sim!$AB$5)</f>
        <v>2.7280204060065486E-2</v>
      </c>
      <c r="D683">
        <f ca="1">_xlfn.NORM.INV(RAND(),Hitorical_Sim!$AB$4,Hitorical_Sim!$AB$5)</f>
        <v>1.7333473091458895E-2</v>
      </c>
      <c r="K683">
        <f t="shared" ca="1" si="111"/>
        <v>0.78690168450649323</v>
      </c>
      <c r="L683">
        <f t="shared" ca="1" si="111"/>
        <v>0.14577825318291382</v>
      </c>
      <c r="M683">
        <f t="shared" ca="1" si="111"/>
        <v>-0.95548790692641128</v>
      </c>
      <c r="O683">
        <v>681</v>
      </c>
      <c r="P683" s="6">
        <f t="shared" ca="1" si="103"/>
        <v>1965.7081261950814</v>
      </c>
      <c r="Q683" s="6">
        <f t="shared" ca="1" si="104"/>
        <v>386.00821921836058</v>
      </c>
      <c r="R683" s="6">
        <f t="shared" ca="1" si="105"/>
        <v>146.43821942880712</v>
      </c>
      <c r="S683" s="6"/>
      <c r="T683" s="4">
        <f t="shared" ca="1" si="107"/>
        <v>2.2879450115910936E-2</v>
      </c>
      <c r="U683" s="4">
        <f t="shared" ca="1" si="108"/>
        <v>-1.0088818731851008E-2</v>
      </c>
      <c r="V683" s="4">
        <f t="shared" ca="1" si="109"/>
        <v>-7.2554975633706109E-2</v>
      </c>
      <c r="W683" s="4"/>
      <c r="X683">
        <v>681</v>
      </c>
      <c r="Y683" s="4">
        <f t="shared" ca="1" si="110"/>
        <v>1.1576975366640813E-2</v>
      </c>
      <c r="Z683" s="4">
        <f ca="1"/>
        <v>9.8625455947323332E-3</v>
      </c>
      <c r="AA683" s="4"/>
    </row>
    <row r="684" spans="1:27" x14ac:dyDescent="0.35">
      <c r="A684">
        <v>682</v>
      </c>
      <c r="B684">
        <f ca="1">_xlfn.NORM.INV(RAND(),Hitorical_Sim!$AB$4,Hitorical_Sim!$AB$5)</f>
        <v>9.0240423227595269E-3</v>
      </c>
      <c r="C684">
        <f ca="1">_xlfn.NORM.INV(RAND(),Hitorical_Sim!$AB$4,Hitorical_Sim!$AB$5)</f>
        <v>-6.1805718456324488E-4</v>
      </c>
      <c r="D684">
        <f ca="1">_xlfn.NORM.INV(RAND(),Hitorical_Sim!$AB$4,Hitorical_Sim!$AB$5)</f>
        <v>-5.7124327236903498E-3</v>
      </c>
      <c r="K684">
        <f t="shared" ref="K684:M703" ca="1" si="112">_xlfn.NORM.S.INV(RAND())</f>
        <v>7.3466575800249997E-2</v>
      </c>
      <c r="L684">
        <f t="shared" ca="1" si="112"/>
        <v>0.89863195982414024</v>
      </c>
      <c r="M684">
        <f t="shared" ca="1" si="112"/>
        <v>-0.86663238872104786</v>
      </c>
      <c r="O684">
        <v>682</v>
      </c>
      <c r="P684" s="6">
        <f t="shared" ca="1" si="103"/>
        <v>1940.4292564097173</v>
      </c>
      <c r="Q684" s="6">
        <f t="shared" ca="1" si="104"/>
        <v>394.38888220295979</v>
      </c>
      <c r="R684" s="6">
        <f t="shared" ca="1" si="105"/>
        <v>146.83568645631709</v>
      </c>
      <c r="S684" s="6"/>
      <c r="T684" s="4">
        <f t="shared" ca="1" si="107"/>
        <v>-1.2943335178576019E-2</v>
      </c>
      <c r="U684" s="4">
        <f t="shared" ca="1" si="108"/>
        <v>2.1478770640644049E-2</v>
      </c>
      <c r="V684" s="4">
        <f t="shared" ca="1" si="109"/>
        <v>2.7105532601874979E-3</v>
      </c>
      <c r="W684" s="4"/>
      <c r="X684">
        <v>682</v>
      </c>
      <c r="Y684" s="4">
        <f t="shared" ca="1" si="110"/>
        <v>-5.2990685387770122E-3</v>
      </c>
      <c r="Z684" s="4">
        <f ca="1"/>
        <v>9.8747343047047853E-3</v>
      </c>
      <c r="AA684" s="4"/>
    </row>
    <row r="685" spans="1:27" x14ac:dyDescent="0.35">
      <c r="A685">
        <v>683</v>
      </c>
      <c r="B685">
        <f ca="1">_xlfn.NORM.INV(RAND(),Hitorical_Sim!$AB$4,Hitorical_Sim!$AB$5)</f>
        <v>2.6884929004048562E-2</v>
      </c>
      <c r="C685">
        <f ca="1">_xlfn.NORM.INV(RAND(),Hitorical_Sim!$AB$4,Hitorical_Sim!$AB$5)</f>
        <v>1.6969845299880448E-2</v>
      </c>
      <c r="D685">
        <f ca="1">_xlfn.NORM.INV(RAND(),Hitorical_Sim!$AB$4,Hitorical_Sim!$AB$5)</f>
        <v>-1.7160526303935875E-2</v>
      </c>
      <c r="K685">
        <f t="shared" ca="1" si="112"/>
        <v>-0.31780092113926006</v>
      </c>
      <c r="L685">
        <f t="shared" ca="1" si="112"/>
        <v>-0.68932194062579843</v>
      </c>
      <c r="M685">
        <f t="shared" ca="1" si="112"/>
        <v>0.50165010567255142</v>
      </c>
      <c r="O685">
        <v>683</v>
      </c>
      <c r="P685" s="6">
        <f t="shared" ca="1" si="103"/>
        <v>1926.7039261817727</v>
      </c>
      <c r="Q685" s="6">
        <f t="shared" ca="1" si="104"/>
        <v>376.92017044295892</v>
      </c>
      <c r="R685" s="6">
        <f t="shared" ca="1" si="105"/>
        <v>153.09427089565665</v>
      </c>
      <c r="S685" s="6"/>
      <c r="T685" s="4">
        <f t="shared" ca="1" si="107"/>
        <v>-7.0984821122052708E-3</v>
      </c>
      <c r="U685" s="4">
        <f t="shared" ca="1" si="108"/>
        <v>-4.5304017652840659E-2</v>
      </c>
      <c r="V685" s="4">
        <f t="shared" ca="1" si="109"/>
        <v>4.1739698906083811E-2</v>
      </c>
      <c r="W685" s="4"/>
      <c r="X685">
        <v>683</v>
      </c>
      <c r="Y685" s="4">
        <f t="shared" ca="1" si="110"/>
        <v>-1.2306080871721234E-2</v>
      </c>
      <c r="Z685" s="4">
        <f ca="1"/>
        <v>9.9937168173240762E-3</v>
      </c>
      <c r="AA685" s="4"/>
    </row>
    <row r="686" spans="1:27" x14ac:dyDescent="0.35">
      <c r="A686">
        <v>684</v>
      </c>
      <c r="B686">
        <f ca="1">_xlfn.NORM.INV(RAND(),Hitorical_Sim!$AB$4,Hitorical_Sim!$AB$5)</f>
        <v>1.5510065324250972E-2</v>
      </c>
      <c r="C686">
        <f ca="1">_xlfn.NORM.INV(RAND(),Hitorical_Sim!$AB$4,Hitorical_Sim!$AB$5)</f>
        <v>-2.5808763553465878E-3</v>
      </c>
      <c r="D686">
        <f ca="1">_xlfn.NORM.INV(RAND(),Hitorical_Sim!$AB$4,Hitorical_Sim!$AB$5)</f>
        <v>-2.604398818360254E-2</v>
      </c>
      <c r="K686">
        <f t="shared" ca="1" si="112"/>
        <v>-1.2391466657876502</v>
      </c>
      <c r="L686">
        <f t="shared" ca="1" si="112"/>
        <v>-1.3226939140084941</v>
      </c>
      <c r="M686">
        <f t="shared" ca="1" si="112"/>
        <v>0.40342323802252827</v>
      </c>
      <c r="O686">
        <v>684</v>
      </c>
      <c r="P686" s="6">
        <f t="shared" ca="1" si="103"/>
        <v>1894.7661472752486</v>
      </c>
      <c r="Q686" s="6">
        <f t="shared" ca="1" si="104"/>
        <v>370.17039832512046</v>
      </c>
      <c r="R686" s="6">
        <f t="shared" ca="1" si="105"/>
        <v>152.63622154531274</v>
      </c>
      <c r="S686" s="6"/>
      <c r="T686" s="4">
        <f t="shared" ca="1" si="107"/>
        <v>-1.6715306890299191E-2</v>
      </c>
      <c r="U686" s="4">
        <f t="shared" ca="1" si="108"/>
        <v>-1.806997989980309E-2</v>
      </c>
      <c r="V686" s="4">
        <f t="shared" ca="1" si="109"/>
        <v>-2.9964279284422773E-3</v>
      </c>
      <c r="W686" s="4"/>
      <c r="X686">
        <v>684</v>
      </c>
      <c r="Y686" s="4">
        <f t="shared" ca="1" si="110"/>
        <v>-1.6306707436540616E-2</v>
      </c>
      <c r="Z686" s="4">
        <f ca="1"/>
        <v>1.0047930707724403E-2</v>
      </c>
      <c r="AA686" s="4"/>
    </row>
    <row r="687" spans="1:27" x14ac:dyDescent="0.35">
      <c r="A687">
        <v>685</v>
      </c>
      <c r="B687">
        <f ca="1">_xlfn.NORM.INV(RAND(),Hitorical_Sim!$AB$4,Hitorical_Sim!$AB$5)</f>
        <v>1.294529078192946E-3</v>
      </c>
      <c r="C687">
        <f ca="1">_xlfn.NORM.INV(RAND(),Hitorical_Sim!$AB$4,Hitorical_Sim!$AB$5)</f>
        <v>1.563438164230093E-2</v>
      </c>
      <c r="D687">
        <f ca="1">_xlfn.NORM.INV(RAND(),Hitorical_Sim!$AB$4,Hitorical_Sim!$AB$5)</f>
        <v>1.7908851130198588E-2</v>
      </c>
      <c r="K687">
        <f t="shared" ca="1" si="112"/>
        <v>1.9757309724462084</v>
      </c>
      <c r="L687">
        <f t="shared" ca="1" si="112"/>
        <v>-0.63145284125161116</v>
      </c>
      <c r="M687">
        <f t="shared" ca="1" si="112"/>
        <v>-1.5686391704178677</v>
      </c>
      <c r="O687">
        <v>685</v>
      </c>
      <c r="P687" s="6">
        <f t="shared" ca="1" si="103"/>
        <v>2008.5651603275405</v>
      </c>
      <c r="Q687" s="6">
        <f t="shared" ca="1" si="104"/>
        <v>377.54297744690223</v>
      </c>
      <c r="R687" s="6">
        <f t="shared" ca="1" si="105"/>
        <v>143.72465364393014</v>
      </c>
      <c r="S687" s="6"/>
      <c r="T687" s="4">
        <f t="shared" ca="1" si="107"/>
        <v>5.8325190787468312E-2</v>
      </c>
      <c r="U687" s="4">
        <f t="shared" ca="1" si="108"/>
        <v>1.9720974112455849E-2</v>
      </c>
      <c r="V687" s="4">
        <f t="shared" ca="1" si="109"/>
        <v>-6.0158111712734531E-2</v>
      </c>
      <c r="W687" s="4"/>
      <c r="X687">
        <v>685</v>
      </c>
      <c r="Y687" s="4">
        <f t="shared" ca="1" si="110"/>
        <v>4.4757268974855116E-2</v>
      </c>
      <c r="Z687" s="4">
        <f ca="1"/>
        <v>1.0167869171327844E-2</v>
      </c>
      <c r="AA687" s="4"/>
    </row>
    <row r="688" spans="1:27" x14ac:dyDescent="0.35">
      <c r="A688">
        <v>686</v>
      </c>
      <c r="B688">
        <f ca="1">_xlfn.NORM.INV(RAND(),Hitorical_Sim!$AB$4,Hitorical_Sim!$AB$5)</f>
        <v>1.8857510703086434E-2</v>
      </c>
      <c r="C688">
        <f ca="1">_xlfn.NORM.INV(RAND(),Hitorical_Sim!$AB$4,Hitorical_Sim!$AB$5)</f>
        <v>-1.1284070960842378E-2</v>
      </c>
      <c r="D688">
        <f ca="1">_xlfn.NORM.INV(RAND(),Hitorical_Sim!$AB$4,Hitorical_Sim!$AB$5)</f>
        <v>4.5762958384979206E-3</v>
      </c>
      <c r="K688">
        <f t="shared" ca="1" si="112"/>
        <v>1.9927480819404604</v>
      </c>
      <c r="L688">
        <f t="shared" ca="1" si="112"/>
        <v>1.8070195560037412</v>
      </c>
      <c r="M688">
        <f t="shared" ca="1" si="112"/>
        <v>-0.41923365653716221</v>
      </c>
      <c r="O688">
        <v>686</v>
      </c>
      <c r="P688" s="6">
        <f t="shared" ca="1" si="103"/>
        <v>2009.1853584972566</v>
      </c>
      <c r="Q688" s="6">
        <f t="shared" ca="1" si="104"/>
        <v>404.74350910063453</v>
      </c>
      <c r="R688" s="6">
        <f t="shared" ca="1" si="105"/>
        <v>148.85343433506145</v>
      </c>
      <c r="S688" s="6"/>
      <c r="T688" s="4">
        <f t="shared" ca="1" si="107"/>
        <v>3.0872906206410049E-4</v>
      </c>
      <c r="U688" s="4">
        <f t="shared" ca="1" si="108"/>
        <v>6.9569145867471038E-2</v>
      </c>
      <c r="V688" s="4">
        <f t="shared" ca="1" si="109"/>
        <v>3.5062817997708662E-2</v>
      </c>
      <c r="W688" s="4"/>
      <c r="X688">
        <v>686</v>
      </c>
      <c r="Y688" s="4">
        <f t="shared" ca="1" si="110"/>
        <v>1.5850881748766719E-2</v>
      </c>
      <c r="Z688" s="4">
        <f ca="1"/>
        <v>1.0251664711227116E-2</v>
      </c>
      <c r="AA688" s="4"/>
    </row>
    <row r="689" spans="1:27" x14ac:dyDescent="0.35">
      <c r="A689">
        <v>687</v>
      </c>
      <c r="B689">
        <f ca="1">_xlfn.NORM.INV(RAND(),Hitorical_Sim!$AB$4,Hitorical_Sim!$AB$5)</f>
        <v>6.8733005091326915E-4</v>
      </c>
      <c r="C689">
        <f ca="1">_xlfn.NORM.INV(RAND(),Hitorical_Sim!$AB$4,Hitorical_Sim!$AB$5)</f>
        <v>1.8661548463253536E-2</v>
      </c>
      <c r="D689">
        <f ca="1">_xlfn.NORM.INV(RAND(),Hitorical_Sim!$AB$4,Hitorical_Sim!$AB$5)</f>
        <v>4.5953489109091653E-2</v>
      </c>
      <c r="K689">
        <f t="shared" ca="1" si="112"/>
        <v>-1.0270074596825665</v>
      </c>
      <c r="L689">
        <f t="shared" ca="1" si="112"/>
        <v>1.4104252381462454</v>
      </c>
      <c r="M689">
        <f t="shared" ca="1" si="112"/>
        <v>-0.56959687229394018</v>
      </c>
      <c r="O689">
        <v>687</v>
      </c>
      <c r="P689" s="6">
        <f t="shared" ca="1" si="103"/>
        <v>1902.0725612658218</v>
      </c>
      <c r="Q689" s="6">
        <f t="shared" ca="1" si="104"/>
        <v>400.1897447203695</v>
      </c>
      <c r="R689" s="6">
        <f t="shared" ca="1" si="105"/>
        <v>148.17222849425499</v>
      </c>
      <c r="S689" s="6"/>
      <c r="T689" s="4">
        <f t="shared" ca="1" si="107"/>
        <v>-5.4785232259550509E-2</v>
      </c>
      <c r="U689" s="4">
        <f t="shared" ca="1" si="108"/>
        <v>-1.1314759182959563E-2</v>
      </c>
      <c r="V689" s="4">
        <f t="shared" ca="1" si="109"/>
        <v>-4.5868564261797966E-3</v>
      </c>
      <c r="W689" s="4"/>
      <c r="X689">
        <v>687</v>
      </c>
      <c r="Y689" s="4">
        <f t="shared" ca="1" si="110"/>
        <v>-4.3625589452592151E-2</v>
      </c>
      <c r="Z689" s="4">
        <f ca="1"/>
        <v>1.0385843501142675E-2</v>
      </c>
      <c r="AA689" s="4"/>
    </row>
    <row r="690" spans="1:27" x14ac:dyDescent="0.35">
      <c r="A690">
        <v>688</v>
      </c>
      <c r="B690">
        <f ca="1">_xlfn.NORM.INV(RAND(),Hitorical_Sim!$AB$4,Hitorical_Sim!$AB$5)</f>
        <v>-4.4385037991600445E-3</v>
      </c>
      <c r="C690">
        <f ca="1">_xlfn.NORM.INV(RAND(),Hitorical_Sim!$AB$4,Hitorical_Sim!$AB$5)</f>
        <v>-1.0536356648098395E-2</v>
      </c>
      <c r="D690">
        <f ca="1">_xlfn.NORM.INV(RAND(),Hitorical_Sim!$AB$4,Hitorical_Sim!$AB$5)</f>
        <v>1.7834084619486937E-2</v>
      </c>
      <c r="K690">
        <f t="shared" ca="1" si="112"/>
        <v>-0.27260520577620173</v>
      </c>
      <c r="L690">
        <f t="shared" ca="1" si="112"/>
        <v>-1.384542236812865</v>
      </c>
      <c r="M690">
        <f t="shared" ca="1" si="112"/>
        <v>-1.3942742939541517</v>
      </c>
      <c r="O690">
        <v>688</v>
      </c>
      <c r="P690" s="6">
        <f t="shared" ca="1" si="103"/>
        <v>1928.2843808011266</v>
      </c>
      <c r="Q690" s="6">
        <f t="shared" ca="1" si="104"/>
        <v>369.5178009295048</v>
      </c>
      <c r="R690" s="6">
        <f t="shared" ca="1" si="105"/>
        <v>144.49116632352312</v>
      </c>
      <c r="S690" s="6"/>
      <c r="T690" s="4">
        <f t="shared" ca="1" si="107"/>
        <v>1.3686572349222459E-2</v>
      </c>
      <c r="U690" s="4">
        <f t="shared" ca="1" si="108"/>
        <v>-7.9739881484459485E-2</v>
      </c>
      <c r="V690" s="4">
        <f t="shared" ca="1" si="109"/>
        <v>-2.515693025072151E-2</v>
      </c>
      <c r="W690" s="4"/>
      <c r="X690">
        <v>688</v>
      </c>
      <c r="Y690" s="4">
        <f t="shared" ca="1" si="110"/>
        <v>-6.8807358173678919E-3</v>
      </c>
      <c r="Z690" s="4">
        <f ca="1"/>
        <v>1.0411534755951661E-2</v>
      </c>
      <c r="AA690" s="4"/>
    </row>
    <row r="691" spans="1:27" x14ac:dyDescent="0.35">
      <c r="A691">
        <v>689</v>
      </c>
      <c r="B691">
        <f ca="1">_xlfn.NORM.INV(RAND(),Hitorical_Sim!$AB$4,Hitorical_Sim!$AB$5)</f>
        <v>-1.1406826785652474E-2</v>
      </c>
      <c r="C691">
        <f ca="1">_xlfn.NORM.INV(RAND(),Hitorical_Sim!$AB$4,Hitorical_Sim!$AB$5)</f>
        <v>5.4774307129148211E-4</v>
      </c>
      <c r="D691">
        <f ca="1">_xlfn.NORM.INV(RAND(),Hitorical_Sim!$AB$4,Hitorical_Sim!$AB$5)</f>
        <v>-1.6156597220282801E-2</v>
      </c>
      <c r="K691">
        <f t="shared" ca="1" si="112"/>
        <v>0.47141232176488473</v>
      </c>
      <c r="L691">
        <f t="shared" ca="1" si="112"/>
        <v>-0.73078821920655423</v>
      </c>
      <c r="M691">
        <f t="shared" ca="1" si="112"/>
        <v>7.4773305214283686E-2</v>
      </c>
      <c r="O691">
        <v>689</v>
      </c>
      <c r="P691" s="6">
        <f t="shared" ca="1" si="103"/>
        <v>1954.4891511373685</v>
      </c>
      <c r="Q691" s="6">
        <f t="shared" ca="1" si="104"/>
        <v>376.47452814797941</v>
      </c>
      <c r="R691" s="6">
        <f t="shared" ca="1" si="105"/>
        <v>151.11360866394816</v>
      </c>
      <c r="S691" s="6"/>
      <c r="T691" s="4">
        <f t="shared" ca="1" si="107"/>
        <v>1.349816979874034E-2</v>
      </c>
      <c r="U691" s="4">
        <f t="shared" ca="1" si="108"/>
        <v>1.8651475679400828E-2</v>
      </c>
      <c r="V691" s="4">
        <f t="shared" ca="1" si="109"/>
        <v>4.4813556205855962E-2</v>
      </c>
      <c r="W691" s="4"/>
      <c r="X691">
        <v>689</v>
      </c>
      <c r="Y691" s="4">
        <f t="shared" ca="1" si="110"/>
        <v>1.6076406979958231E-2</v>
      </c>
      <c r="Z691" s="4">
        <f ca="1"/>
        <v>1.0586797915070506E-2</v>
      </c>
      <c r="AA691" s="4"/>
    </row>
    <row r="692" spans="1:27" x14ac:dyDescent="0.35">
      <c r="A692">
        <v>690</v>
      </c>
      <c r="B692">
        <f ca="1">_xlfn.NORM.INV(RAND(),Hitorical_Sim!$AB$4,Hitorical_Sim!$AB$5)</f>
        <v>4.8602344103298098E-3</v>
      </c>
      <c r="C692">
        <f ca="1">_xlfn.NORM.INV(RAND(),Hitorical_Sim!$AB$4,Hitorical_Sim!$AB$5)</f>
        <v>-1.7940325823003478E-2</v>
      </c>
      <c r="D692">
        <f ca="1">_xlfn.NORM.INV(RAND(),Hitorical_Sim!$AB$4,Hitorical_Sim!$AB$5)</f>
        <v>-3.0442149236558552E-2</v>
      </c>
      <c r="K692">
        <f t="shared" ca="1" si="112"/>
        <v>-1.0394443057632385</v>
      </c>
      <c r="L692">
        <f t="shared" ca="1" si="112"/>
        <v>0.95929817424221109</v>
      </c>
      <c r="M692">
        <f t="shared" ca="1" si="112"/>
        <v>0.10686057573742093</v>
      </c>
      <c r="O692">
        <v>690</v>
      </c>
      <c r="P692" s="6">
        <f t="shared" ca="1" si="103"/>
        <v>1901.6434399718346</v>
      </c>
      <c r="Q692" s="6">
        <f t="shared" ca="1" si="104"/>
        <v>395.07207971883059</v>
      </c>
      <c r="R692" s="6">
        <f t="shared" ca="1" si="105"/>
        <v>151.2615952873193</v>
      </c>
      <c r="S692" s="6"/>
      <c r="T692" s="4">
        <f t="shared" ca="1" si="107"/>
        <v>-2.741037481647329E-2</v>
      </c>
      <c r="U692" s="4">
        <f t="shared" ca="1" si="108"/>
        <v>4.8217837924598231E-2</v>
      </c>
      <c r="V692" s="4">
        <f t="shared" ca="1" si="109"/>
        <v>9.7882784866540015E-4</v>
      </c>
      <c r="W692" s="4"/>
      <c r="X692">
        <v>690</v>
      </c>
      <c r="Y692" s="4">
        <f t="shared" ca="1" si="110"/>
        <v>-1.0912411942901556E-2</v>
      </c>
      <c r="Z692" s="4">
        <f ca="1"/>
        <v>1.0627898236423218E-2</v>
      </c>
      <c r="AA692" s="4"/>
    </row>
    <row r="693" spans="1:27" x14ac:dyDescent="0.35">
      <c r="A693">
        <v>691</v>
      </c>
      <c r="B693">
        <f ca="1">_xlfn.NORM.INV(RAND(),Hitorical_Sim!$AB$4,Hitorical_Sim!$AB$5)</f>
        <v>-2.7855574068493105E-2</v>
      </c>
      <c r="C693">
        <f ca="1">_xlfn.NORM.INV(RAND(),Hitorical_Sim!$AB$4,Hitorical_Sim!$AB$5)</f>
        <v>9.7090344507782169E-3</v>
      </c>
      <c r="D693">
        <f ca="1">_xlfn.NORM.INV(RAND(),Hitorical_Sim!$AB$4,Hitorical_Sim!$AB$5)</f>
        <v>2.1577992471895648E-2</v>
      </c>
      <c r="K693">
        <f t="shared" ca="1" si="112"/>
        <v>4.0385755418599525E-2</v>
      </c>
      <c r="L693">
        <f t="shared" ca="1" si="112"/>
        <v>-1.4441315345908217</v>
      </c>
      <c r="M693">
        <f t="shared" ca="1" si="112"/>
        <v>-0.10405680585946159</v>
      </c>
      <c r="O693">
        <v>691</v>
      </c>
      <c r="P693" s="6">
        <f t="shared" ca="1" si="103"/>
        <v>1939.2650352492838</v>
      </c>
      <c r="Q693" s="6">
        <f t="shared" ca="1" si="104"/>
        <v>368.89012807570697</v>
      </c>
      <c r="R693" s="6">
        <f t="shared" ca="1" si="105"/>
        <v>150.29149150701195</v>
      </c>
      <c r="S693" s="6"/>
      <c r="T693" s="4">
        <f t="shared" ca="1" si="107"/>
        <v>1.9590572775601459E-2</v>
      </c>
      <c r="U693" s="4">
        <f t="shared" ca="1" si="108"/>
        <v>-6.8569384744406964E-2</v>
      </c>
      <c r="V693" s="4">
        <f t="shared" ca="1" si="109"/>
        <v>-6.4340719390808942E-3</v>
      </c>
      <c r="W693" s="4"/>
      <c r="X693">
        <v>691</v>
      </c>
      <c r="Y693" s="4">
        <f t="shared" ca="1" si="110"/>
        <v>7.0869583954261692E-4</v>
      </c>
      <c r="Z693" s="4">
        <f ca="1"/>
        <v>1.0649003892099551E-2</v>
      </c>
      <c r="AA693" s="4"/>
    </row>
    <row r="694" spans="1:27" x14ac:dyDescent="0.35">
      <c r="A694">
        <v>692</v>
      </c>
      <c r="B694">
        <f ca="1">_xlfn.NORM.INV(RAND(),Hitorical_Sim!$AB$4,Hitorical_Sim!$AB$5)</f>
        <v>-1.5319868149050269E-3</v>
      </c>
      <c r="C694">
        <f ca="1">_xlfn.NORM.INV(RAND(),Hitorical_Sim!$AB$4,Hitorical_Sim!$AB$5)</f>
        <v>-4.2021811310147547E-3</v>
      </c>
      <c r="D694">
        <f ca="1">_xlfn.NORM.INV(RAND(),Hitorical_Sim!$AB$4,Hitorical_Sim!$AB$5)</f>
        <v>-5.7076993960378424E-3</v>
      </c>
      <c r="K694">
        <f t="shared" ca="1" si="112"/>
        <v>-4.4984779040543571E-2</v>
      </c>
      <c r="L694">
        <f t="shared" ca="1" si="112"/>
        <v>0.28262992540653636</v>
      </c>
      <c r="M694">
        <f t="shared" ca="1" si="112"/>
        <v>-0.6399057325192512</v>
      </c>
      <c r="O694">
        <v>692</v>
      </c>
      <c r="P694" s="6">
        <f t="shared" ca="1" si="103"/>
        <v>1936.2637960498967</v>
      </c>
      <c r="Q694" s="6">
        <f t="shared" ca="1" si="104"/>
        <v>387.5182770609257</v>
      </c>
      <c r="R694" s="6">
        <f t="shared" ca="1" si="105"/>
        <v>147.85477160170191</v>
      </c>
      <c r="S694" s="6"/>
      <c r="T694" s="4">
        <f t="shared" ca="1" si="107"/>
        <v>-1.5488156223243002E-3</v>
      </c>
      <c r="U694" s="4">
        <f t="shared" ca="1" si="108"/>
        <v>4.9264170479885815E-2</v>
      </c>
      <c r="V694" s="4">
        <f t="shared" ca="1" si="109"/>
        <v>-1.6346166050922237E-2</v>
      </c>
      <c r="W694" s="4"/>
      <c r="X694">
        <v>692</v>
      </c>
      <c r="Y694" s="4">
        <f t="shared" ca="1" si="110"/>
        <v>7.8595124466624058E-3</v>
      </c>
      <c r="Z694" s="4">
        <f ca="1"/>
        <v>1.0686814381205657E-2</v>
      </c>
      <c r="AA694" s="4"/>
    </row>
    <row r="695" spans="1:27" x14ac:dyDescent="0.35">
      <c r="A695">
        <v>693</v>
      </c>
      <c r="B695">
        <f ca="1">_xlfn.NORM.INV(RAND(),Hitorical_Sim!$AB$4,Hitorical_Sim!$AB$5)</f>
        <v>-7.4219260850831425E-3</v>
      </c>
      <c r="C695">
        <f ca="1">_xlfn.NORM.INV(RAND(),Hitorical_Sim!$AB$4,Hitorical_Sim!$AB$5)</f>
        <v>-2.2475403144101395E-2</v>
      </c>
      <c r="D695">
        <f ca="1">_xlfn.NORM.INV(RAND(),Hitorical_Sim!$AB$4,Hitorical_Sim!$AB$5)</f>
        <v>5.6206682669408996E-3</v>
      </c>
      <c r="K695">
        <f t="shared" ca="1" si="112"/>
        <v>0.28088801208036585</v>
      </c>
      <c r="L695">
        <f t="shared" ca="1" si="112"/>
        <v>0.62873950705279491</v>
      </c>
      <c r="M695">
        <f t="shared" ca="1" si="112"/>
        <v>-0.99401169849673132</v>
      </c>
      <c r="O695">
        <v>693</v>
      </c>
      <c r="P695" s="6">
        <f t="shared" ca="1" si="103"/>
        <v>1947.7450353448141</v>
      </c>
      <c r="Q695" s="6">
        <f t="shared" ca="1" si="104"/>
        <v>391.36375754925029</v>
      </c>
      <c r="R695" s="6">
        <f t="shared" ca="1" si="105"/>
        <v>146.26622996433082</v>
      </c>
      <c r="S695" s="6"/>
      <c r="T695" s="4">
        <f t="shared" ca="1" si="107"/>
        <v>5.9120734452006449E-3</v>
      </c>
      <c r="U695" s="4">
        <f t="shared" ca="1" si="108"/>
        <v>9.8744394231323456E-3</v>
      </c>
      <c r="V695" s="4">
        <f t="shared" ca="1" si="109"/>
        <v>-1.0802064969265409E-2</v>
      </c>
      <c r="W695" s="4"/>
      <c r="X695">
        <v>693</v>
      </c>
      <c r="Y695" s="4">
        <f t="shared" ca="1" si="110"/>
        <v>5.8756506690906696E-3</v>
      </c>
      <c r="Z695" s="4">
        <f ca="1"/>
        <v>1.0692211260268552E-2</v>
      </c>
      <c r="AA695" s="4"/>
    </row>
    <row r="696" spans="1:27" x14ac:dyDescent="0.35">
      <c r="A696">
        <v>694</v>
      </c>
      <c r="B696">
        <f ca="1">_xlfn.NORM.INV(RAND(),Hitorical_Sim!$AB$4,Hitorical_Sim!$AB$5)</f>
        <v>2.0373082848252205E-3</v>
      </c>
      <c r="C696">
        <f ca="1">_xlfn.NORM.INV(RAND(),Hitorical_Sim!$AB$4,Hitorical_Sim!$AB$5)</f>
        <v>1.3718288307513326E-2</v>
      </c>
      <c r="D696">
        <f ca="1">_xlfn.NORM.INV(RAND(),Hitorical_Sim!$AB$4,Hitorical_Sim!$AB$5)</f>
        <v>5.0354266104279148E-3</v>
      </c>
      <c r="K696">
        <f t="shared" ca="1" si="112"/>
        <v>1.0434842151686927</v>
      </c>
      <c r="L696">
        <f t="shared" ca="1" si="112"/>
        <v>0.48226196883451067</v>
      </c>
      <c r="M696">
        <f t="shared" ca="1" si="112"/>
        <v>1.3574638125333092</v>
      </c>
      <c r="O696">
        <v>694</v>
      </c>
      <c r="P696" s="6">
        <f t="shared" ca="1" si="103"/>
        <v>1974.879809451603</v>
      </c>
      <c r="Q696" s="6">
        <f t="shared" ca="1" si="104"/>
        <v>389.73167046518034</v>
      </c>
      <c r="R696" s="6">
        <f t="shared" ca="1" si="105"/>
        <v>157.14369309608006</v>
      </c>
      <c r="S696" s="6"/>
      <c r="T696" s="4">
        <f t="shared" ca="1" si="107"/>
        <v>1.3835229219909239E-2</v>
      </c>
      <c r="U696" s="4">
        <f t="shared" ca="1" si="108"/>
        <v>-4.1789758350703095E-3</v>
      </c>
      <c r="V696" s="4">
        <f t="shared" ca="1" si="109"/>
        <v>7.1732175349449798E-2</v>
      </c>
      <c r="W696" s="4"/>
      <c r="X696">
        <v>694</v>
      </c>
      <c r="Y696" s="4">
        <f t="shared" ca="1" si="110"/>
        <v>1.3105494799032266E-2</v>
      </c>
      <c r="Z696" s="4">
        <f ca="1"/>
        <v>1.0707116356631838E-2</v>
      </c>
      <c r="AA696" s="4"/>
    </row>
    <row r="697" spans="1:27" x14ac:dyDescent="0.35">
      <c r="A697">
        <v>695</v>
      </c>
      <c r="B697">
        <f ca="1">_xlfn.NORM.INV(RAND(),Hitorical_Sim!$AB$4,Hitorical_Sim!$AB$5)</f>
        <v>-1.4142336191994263E-2</v>
      </c>
      <c r="C697">
        <f ca="1">_xlfn.NORM.INV(RAND(),Hitorical_Sim!$AB$4,Hitorical_Sim!$AB$5)</f>
        <v>5.0990645639881881E-3</v>
      </c>
      <c r="D697">
        <f ca="1">_xlfn.NORM.INV(RAND(),Hitorical_Sim!$AB$4,Hitorical_Sim!$AB$5)</f>
        <v>-1.4485647235672205E-2</v>
      </c>
      <c r="K697">
        <f t="shared" ca="1" si="112"/>
        <v>9.4073719503858459E-3</v>
      </c>
      <c r="L697">
        <f t="shared" ca="1" si="112"/>
        <v>1.9447409427770266</v>
      </c>
      <c r="M697">
        <f t="shared" ca="1" si="112"/>
        <v>1.2595909604845859</v>
      </c>
      <c r="O697">
        <v>695</v>
      </c>
      <c r="P697" s="6">
        <f t="shared" ca="1" si="103"/>
        <v>1938.1754389892628</v>
      </c>
      <c r="Q697" s="6">
        <f t="shared" ca="1" si="104"/>
        <v>406.33694131815992</v>
      </c>
      <c r="R697" s="6">
        <f t="shared" ca="1" si="105"/>
        <v>156.67522007972906</v>
      </c>
      <c r="S697" s="6"/>
      <c r="T697" s="4">
        <f t="shared" ca="1" si="107"/>
        <v>-1.876050536179806E-2</v>
      </c>
      <c r="U697" s="4">
        <f t="shared" ca="1" si="108"/>
        <v>4.1724242267755347E-2</v>
      </c>
      <c r="V697" s="4">
        <f t="shared" ca="1" si="109"/>
        <v>-2.9856286200636104E-3</v>
      </c>
      <c r="W697" s="4"/>
      <c r="X697">
        <v>695</v>
      </c>
      <c r="Y697" s="4">
        <f t="shared" ca="1" si="110"/>
        <v>-5.9089793231196014E-3</v>
      </c>
      <c r="Z697" s="4">
        <f ca="1"/>
        <v>1.0806844657367844E-2</v>
      </c>
      <c r="AA697" s="4"/>
    </row>
    <row r="698" spans="1:27" x14ac:dyDescent="0.35">
      <c r="A698">
        <v>696</v>
      </c>
      <c r="B698">
        <f ca="1">_xlfn.NORM.INV(RAND(),Hitorical_Sim!$AB$4,Hitorical_Sim!$AB$5)</f>
        <v>-1.556076568520115E-2</v>
      </c>
      <c r="C698">
        <f ca="1">_xlfn.NORM.INV(RAND(),Hitorical_Sim!$AB$4,Hitorical_Sim!$AB$5)</f>
        <v>-3.1786115907348612E-3</v>
      </c>
      <c r="D698">
        <f ca="1">_xlfn.NORM.INV(RAND(),Hitorical_Sim!$AB$4,Hitorical_Sim!$AB$5)</f>
        <v>2.0600354244524447E-2</v>
      </c>
      <c r="K698">
        <f t="shared" ca="1" si="112"/>
        <v>2.3685682978550591</v>
      </c>
      <c r="L698">
        <f t="shared" ca="1" si="112"/>
        <v>-0.5680376508051872</v>
      </c>
      <c r="M698">
        <f t="shared" ca="1" si="112"/>
        <v>1.4300604427732391</v>
      </c>
      <c r="O698">
        <v>696</v>
      </c>
      <c r="P698" s="6">
        <f t="shared" ca="1" si="103"/>
        <v>2022.9312611648181</v>
      </c>
      <c r="Q698" s="6">
        <f t="shared" ca="1" si="104"/>
        <v>378.22665520615431</v>
      </c>
      <c r="R698" s="6">
        <f t="shared" ca="1" si="105"/>
        <v>157.49208490531743</v>
      </c>
      <c r="S698" s="6"/>
      <c r="T698" s="4">
        <f t="shared" ca="1" si="107"/>
        <v>4.2800543779738486E-2</v>
      </c>
      <c r="U698" s="4">
        <f t="shared" ca="1" si="108"/>
        <v>-7.1689087277076166E-2</v>
      </c>
      <c r="V698" s="4">
        <f t="shared" ca="1" si="109"/>
        <v>5.2002016342083913E-3</v>
      </c>
      <c r="W698" s="4"/>
      <c r="X698">
        <v>696</v>
      </c>
      <c r="Y698" s="4">
        <f t="shared" ca="1" si="110"/>
        <v>1.8091221481899643E-2</v>
      </c>
      <c r="Z698" s="4">
        <f ca="1"/>
        <v>1.081482651741383E-2</v>
      </c>
      <c r="AA698" s="4"/>
    </row>
    <row r="699" spans="1:27" x14ac:dyDescent="0.35">
      <c r="A699">
        <v>697</v>
      </c>
      <c r="B699">
        <f ca="1">_xlfn.NORM.INV(RAND(),Hitorical_Sim!$AB$4,Hitorical_Sim!$AB$5)</f>
        <v>1.7797363498616131E-2</v>
      </c>
      <c r="C699">
        <f ca="1">_xlfn.NORM.INV(RAND(),Hitorical_Sim!$AB$4,Hitorical_Sim!$AB$5)</f>
        <v>-1.1696125002579592E-4</v>
      </c>
      <c r="D699">
        <f ca="1">_xlfn.NORM.INV(RAND(),Hitorical_Sim!$AB$4,Hitorical_Sim!$AB$5)</f>
        <v>-3.2844960423379067E-2</v>
      </c>
      <c r="K699">
        <f t="shared" ca="1" si="112"/>
        <v>-0.29779476966232721</v>
      </c>
      <c r="L699">
        <f t="shared" ca="1" si="112"/>
        <v>-0.11315491466064545</v>
      </c>
      <c r="M699">
        <f t="shared" ca="1" si="112"/>
        <v>0.11708376577472127</v>
      </c>
      <c r="O699">
        <v>697</v>
      </c>
      <c r="P699" s="6">
        <f t="shared" ca="1" si="103"/>
        <v>1927.4033639391184</v>
      </c>
      <c r="Q699" s="6">
        <f t="shared" ca="1" si="104"/>
        <v>383.16716241439764</v>
      </c>
      <c r="R699" s="6">
        <f t="shared" ca="1" si="105"/>
        <v>151.30877511744586</v>
      </c>
      <c r="S699" s="6"/>
      <c r="T699" s="4">
        <f t="shared" ca="1" si="107"/>
        <v>-4.8373889186975536E-2</v>
      </c>
      <c r="U699" s="4">
        <f t="shared" ca="1" si="108"/>
        <v>1.2977716483095331E-2</v>
      </c>
      <c r="V699" s="4">
        <f t="shared" ca="1" si="109"/>
        <v>-4.0052585188497025E-2</v>
      </c>
      <c r="W699" s="4"/>
      <c r="X699">
        <v>697</v>
      </c>
      <c r="Y699" s="4">
        <f t="shared" ca="1" si="110"/>
        <v>-3.5718243822064351E-2</v>
      </c>
      <c r="Z699" s="4">
        <f ca="1"/>
        <v>1.0887609672911301E-2</v>
      </c>
      <c r="AA699" s="4"/>
    </row>
    <row r="700" spans="1:27" x14ac:dyDescent="0.35">
      <c r="A700">
        <v>698</v>
      </c>
      <c r="B700">
        <f ca="1">_xlfn.NORM.INV(RAND(),Hitorical_Sim!$AB$4,Hitorical_Sim!$AB$5)</f>
        <v>7.6782757886963105E-3</v>
      </c>
      <c r="C700">
        <f ca="1">_xlfn.NORM.INV(RAND(),Hitorical_Sim!$AB$4,Hitorical_Sim!$AB$5)</f>
        <v>-1.061696784454589E-2</v>
      </c>
      <c r="D700">
        <f ca="1">_xlfn.NORM.INV(RAND(),Hitorical_Sim!$AB$4,Hitorical_Sim!$AB$5)</f>
        <v>-2.7122219817403361E-3</v>
      </c>
      <c r="K700">
        <f t="shared" ca="1" si="112"/>
        <v>-0.32576427153287391</v>
      </c>
      <c r="L700">
        <f t="shared" ca="1" si="112"/>
        <v>-1.1067778482327737</v>
      </c>
      <c r="M700">
        <f t="shared" ca="1" si="112"/>
        <v>6.2175445694913518E-2</v>
      </c>
      <c r="O700">
        <v>698</v>
      </c>
      <c r="P700" s="6">
        <f t="shared" ca="1" si="103"/>
        <v>1926.4255890443096</v>
      </c>
      <c r="Q700" s="6">
        <f t="shared" ca="1" si="104"/>
        <v>372.45770182859746</v>
      </c>
      <c r="R700" s="6">
        <f t="shared" ca="1" si="105"/>
        <v>151.05554687240161</v>
      </c>
      <c r="S700" s="6"/>
      <c r="T700" s="4">
        <f t="shared" ca="1" si="107"/>
        <v>-5.0743036482307866E-4</v>
      </c>
      <c r="U700" s="4">
        <f t="shared" ca="1" si="108"/>
        <v>-2.8347870117680595E-2</v>
      </c>
      <c r="V700" s="4">
        <f t="shared" ca="1" si="109"/>
        <v>-1.6749879918517125E-3</v>
      </c>
      <c r="W700" s="4"/>
      <c r="X700">
        <v>698</v>
      </c>
      <c r="Y700" s="4">
        <f t="shared" ca="1" si="110"/>
        <v>-6.1212762783398791E-3</v>
      </c>
      <c r="Z700" s="4">
        <f ca="1"/>
        <v>1.1006490790151167E-2</v>
      </c>
      <c r="AA700" s="4"/>
    </row>
    <row r="701" spans="1:27" x14ac:dyDescent="0.35">
      <c r="A701">
        <v>699</v>
      </c>
      <c r="B701">
        <f ca="1">_xlfn.NORM.INV(RAND(),Hitorical_Sim!$AB$4,Hitorical_Sim!$AB$5)</f>
        <v>4.3666051020496786E-3</v>
      </c>
      <c r="C701">
        <f ca="1">_xlfn.NORM.INV(RAND(),Hitorical_Sim!$AB$4,Hitorical_Sim!$AB$5)</f>
        <v>-2.1306209964353363E-3</v>
      </c>
      <c r="D701">
        <f ca="1">_xlfn.NORM.INV(RAND(),Hitorical_Sim!$AB$4,Hitorical_Sim!$AB$5)</f>
        <v>-1.8452210998166182E-2</v>
      </c>
      <c r="K701">
        <f t="shared" ca="1" si="112"/>
        <v>-0.79525104930976231</v>
      </c>
      <c r="L701">
        <f t="shared" ca="1" si="112"/>
        <v>1.2249435389512975</v>
      </c>
      <c r="M701">
        <f t="shared" ca="1" si="112"/>
        <v>-0.34740566842591769</v>
      </c>
      <c r="O701">
        <v>699</v>
      </c>
      <c r="P701" s="6">
        <f t="shared" ca="1" si="103"/>
        <v>1910.0868298147429</v>
      </c>
      <c r="Q701" s="6">
        <f t="shared" ca="1" si="104"/>
        <v>398.07763116044731</v>
      </c>
      <c r="R701" s="6">
        <f t="shared" ca="1" si="105"/>
        <v>149.17994846949264</v>
      </c>
      <c r="S701" s="6"/>
      <c r="T701" s="4">
        <f t="shared" ca="1" si="107"/>
        <v>-8.5175577323289408E-3</v>
      </c>
      <c r="U701" s="4">
        <f t="shared" ca="1" si="108"/>
        <v>6.652356019690632E-2</v>
      </c>
      <c r="V701" s="4">
        <f t="shared" ca="1" si="109"/>
        <v>-1.2494344151204434E-2</v>
      </c>
      <c r="W701" s="4"/>
      <c r="X701">
        <v>699</v>
      </c>
      <c r="Y701" s="4">
        <f t="shared" ca="1" si="110"/>
        <v>6.2614432618592654E-3</v>
      </c>
      <c r="Z701" s="4">
        <f ca="1"/>
        <v>1.1076185593490915E-2</v>
      </c>
      <c r="AA701" s="4"/>
    </row>
    <row r="702" spans="1:27" x14ac:dyDescent="0.35">
      <c r="A702">
        <v>700</v>
      </c>
      <c r="B702">
        <f ca="1">_xlfn.NORM.INV(RAND(),Hitorical_Sim!$AB$4,Hitorical_Sim!$AB$5)</f>
        <v>-3.0475503753230122E-2</v>
      </c>
      <c r="C702">
        <f ca="1">_xlfn.NORM.INV(RAND(),Hitorical_Sim!$AB$4,Hitorical_Sim!$AB$5)</f>
        <v>5.2838940402444223E-3</v>
      </c>
      <c r="D702">
        <f ca="1">_xlfn.NORM.INV(RAND(),Hitorical_Sim!$AB$4,Hitorical_Sim!$AB$5)</f>
        <v>1.5939126361650152E-2</v>
      </c>
      <c r="K702">
        <f t="shared" ca="1" si="112"/>
        <v>0.6278505791876513</v>
      </c>
      <c r="L702">
        <f t="shared" ca="1" si="112"/>
        <v>0.18028928897488702</v>
      </c>
      <c r="M702">
        <f t="shared" ca="1" si="112"/>
        <v>-1.3291532777433057</v>
      </c>
      <c r="O702">
        <v>700</v>
      </c>
      <c r="P702" s="6">
        <f t="shared" ca="1" si="103"/>
        <v>1960.0441553842211</v>
      </c>
      <c r="Q702" s="6">
        <f t="shared" ca="1" si="104"/>
        <v>386.38846744120127</v>
      </c>
      <c r="R702" s="6">
        <f t="shared" ca="1" si="105"/>
        <v>144.77848737525093</v>
      </c>
      <c r="S702" s="6"/>
      <c r="T702" s="4">
        <f t="shared" ca="1" si="107"/>
        <v>2.5818299584697967E-2</v>
      </c>
      <c r="U702" s="4">
        <f t="shared" ca="1" si="108"/>
        <v>-2.9803783704701159E-2</v>
      </c>
      <c r="V702" s="4">
        <f t="shared" ca="1" si="109"/>
        <v>-2.994838403807551E-2</v>
      </c>
      <c r="W702" s="4"/>
      <c r="X702">
        <v>700</v>
      </c>
      <c r="Y702" s="4">
        <f t="shared" ca="1" si="110"/>
        <v>1.1958007233209257E-2</v>
      </c>
      <c r="Z702" s="4">
        <f ca="1"/>
        <v>1.1216638905871953E-2</v>
      </c>
      <c r="AA702" s="4"/>
    </row>
    <row r="703" spans="1:27" x14ac:dyDescent="0.35">
      <c r="A703">
        <v>701</v>
      </c>
      <c r="B703">
        <f ca="1">_xlfn.NORM.INV(RAND(),Hitorical_Sim!$AB$4,Hitorical_Sim!$AB$5)</f>
        <v>2.4947985086117924E-2</v>
      </c>
      <c r="C703">
        <f ca="1">_xlfn.NORM.INV(RAND(),Hitorical_Sim!$AB$4,Hitorical_Sim!$AB$5)</f>
        <v>-1.5299780945285273E-2</v>
      </c>
      <c r="D703">
        <f ca="1">_xlfn.NORM.INV(RAND(),Hitorical_Sim!$AB$4,Hitorical_Sim!$AB$5)</f>
        <v>-9.5552210701153207E-3</v>
      </c>
      <c r="K703">
        <f t="shared" ca="1" si="112"/>
        <v>-0.31121719530239139</v>
      </c>
      <c r="L703">
        <f t="shared" ca="1" si="112"/>
        <v>1.5944084691159892</v>
      </c>
      <c r="M703">
        <f t="shared" ca="1" si="112"/>
        <v>0.65609797999814112</v>
      </c>
      <c r="O703">
        <v>701</v>
      </c>
      <c r="P703" s="6">
        <f t="shared" ca="1" si="103"/>
        <v>1926.9340726831219</v>
      </c>
      <c r="Q703" s="6">
        <f t="shared" ca="1" si="104"/>
        <v>402.29586577501215</v>
      </c>
      <c r="R703" s="6">
        <f t="shared" ca="1" si="105"/>
        <v>153.81727023030288</v>
      </c>
      <c r="S703" s="6"/>
      <c r="T703" s="4">
        <f t="shared" ca="1" si="107"/>
        <v>-1.703682481040996E-2</v>
      </c>
      <c r="U703" s="4">
        <f t="shared" ca="1" si="108"/>
        <v>4.0344546703894035E-2</v>
      </c>
      <c r="V703" s="4">
        <f t="shared" ca="1" si="109"/>
        <v>6.0560439887654062E-2</v>
      </c>
      <c r="W703" s="4"/>
      <c r="X703">
        <v>701</v>
      </c>
      <c r="Y703" s="4">
        <f t="shared" ca="1" si="110"/>
        <v>-1.7450369060678251E-3</v>
      </c>
      <c r="Z703" s="4">
        <f ca="1"/>
        <v>1.139221023953787E-2</v>
      </c>
      <c r="AA703" s="4"/>
    </row>
    <row r="704" spans="1:27" x14ac:dyDescent="0.35">
      <c r="A704">
        <v>702</v>
      </c>
      <c r="B704">
        <f ca="1">_xlfn.NORM.INV(RAND(),Hitorical_Sim!$AB$4,Hitorical_Sim!$AB$5)</f>
        <v>2.3555839053292199E-2</v>
      </c>
      <c r="C704">
        <f ca="1">_xlfn.NORM.INV(RAND(),Hitorical_Sim!$AB$4,Hitorical_Sim!$AB$5)</f>
        <v>4.6363884827804059E-3</v>
      </c>
      <c r="D704">
        <f ca="1">_xlfn.NORM.INV(RAND(),Hitorical_Sim!$AB$4,Hitorical_Sim!$AB$5)</f>
        <v>-2.8005307914126924E-2</v>
      </c>
      <c r="K704">
        <f t="shared" ref="K704:M723" ca="1" si="113">_xlfn.NORM.S.INV(RAND())</f>
        <v>-0.92525721902496127</v>
      </c>
      <c r="L704">
        <f t="shared" ca="1" si="113"/>
        <v>-0.38427463350920832</v>
      </c>
      <c r="M704">
        <f t="shared" ca="1" si="113"/>
        <v>1.5038003844152932</v>
      </c>
      <c r="O704">
        <v>702</v>
      </c>
      <c r="P704" s="6">
        <f t="shared" ca="1" si="103"/>
        <v>1905.586993367446</v>
      </c>
      <c r="Q704" s="6">
        <f t="shared" ca="1" si="104"/>
        <v>380.21480001260034</v>
      </c>
      <c r="R704" s="6">
        <f t="shared" ca="1" si="105"/>
        <v>157.84675422059323</v>
      </c>
      <c r="S704" s="6"/>
      <c r="T704" s="4">
        <f t="shared" ca="1" si="107"/>
        <v>-1.1140082318789423E-2</v>
      </c>
      <c r="U704" s="4">
        <f t="shared" ca="1" si="108"/>
        <v>-5.6451446219761309E-2</v>
      </c>
      <c r="V704" s="4">
        <f t="shared" ca="1" si="109"/>
        <v>2.5859311412163178E-2</v>
      </c>
      <c r="W704" s="4"/>
      <c r="X704">
        <v>702</v>
      </c>
      <c r="Y704" s="4">
        <f t="shared" ca="1" si="110"/>
        <v>-1.8351680505806805E-2</v>
      </c>
      <c r="Z704" s="4">
        <f ca="1"/>
        <v>1.1405267911172509E-2</v>
      </c>
      <c r="AA704" s="4"/>
    </row>
    <row r="705" spans="1:27" x14ac:dyDescent="0.35">
      <c r="A705">
        <v>703</v>
      </c>
      <c r="B705">
        <f ca="1">_xlfn.NORM.INV(RAND(),Hitorical_Sim!$AB$4,Hitorical_Sim!$AB$5)</f>
        <v>-1.7917537493475591E-2</v>
      </c>
      <c r="C705">
        <f ca="1">_xlfn.NORM.INV(RAND(),Hitorical_Sim!$AB$4,Hitorical_Sim!$AB$5)</f>
        <v>-1.8430519966779985E-2</v>
      </c>
      <c r="D705">
        <f ca="1">_xlfn.NORM.INV(RAND(),Hitorical_Sim!$AB$4,Hitorical_Sim!$AB$5)</f>
        <v>1.2876692967923836E-3</v>
      </c>
      <c r="K705">
        <f t="shared" ca="1" si="113"/>
        <v>0.69640227817069467</v>
      </c>
      <c r="L705">
        <f t="shared" ca="1" si="113"/>
        <v>-1.2018832750409307</v>
      </c>
      <c r="M705">
        <f t="shared" ca="1" si="113"/>
        <v>-1.9305476439006901</v>
      </c>
      <c r="O705">
        <v>703</v>
      </c>
      <c r="P705" s="6">
        <f t="shared" ca="1" si="103"/>
        <v>1962.4833468320276</v>
      </c>
      <c r="Q705" s="6">
        <f t="shared" ca="1" si="104"/>
        <v>371.44846747617305</v>
      </c>
      <c r="R705" s="6">
        <f t="shared" ca="1" si="105"/>
        <v>142.14664838693218</v>
      </c>
      <c r="S705" s="6"/>
      <c r="T705" s="4">
        <f t="shared" ca="1" si="107"/>
        <v>2.9420590831011392E-2</v>
      </c>
      <c r="U705" s="4">
        <f t="shared" ca="1" si="108"/>
        <v>-2.332621640878418E-2</v>
      </c>
      <c r="V705" s="4">
        <f t="shared" ca="1" si="109"/>
        <v>-0.10476539254720407</v>
      </c>
      <c r="W705" s="4"/>
      <c r="X705">
        <v>703</v>
      </c>
      <c r="Y705" s="4">
        <f t="shared" ca="1" si="110"/>
        <v>1.2253132099590849E-2</v>
      </c>
      <c r="Z705" s="4">
        <f ca="1"/>
        <v>1.1448253825903117E-2</v>
      </c>
      <c r="AA705" s="4"/>
    </row>
    <row r="706" spans="1:27" x14ac:dyDescent="0.35">
      <c r="A706">
        <v>704</v>
      </c>
      <c r="B706">
        <f ca="1">_xlfn.NORM.INV(RAND(),Hitorical_Sim!$AB$4,Hitorical_Sim!$AB$5)</f>
        <v>1.0445946079958874E-2</v>
      </c>
      <c r="C706">
        <f ca="1">_xlfn.NORM.INV(RAND(),Hitorical_Sim!$AB$4,Hitorical_Sim!$AB$5)</f>
        <v>7.5032419625060669E-3</v>
      </c>
      <c r="D706">
        <f ca="1">_xlfn.NORM.INV(RAND(),Hitorical_Sim!$AB$4,Hitorical_Sim!$AB$5)</f>
        <v>-8.1734452658840748E-3</v>
      </c>
      <c r="K706">
        <f t="shared" ca="1" si="113"/>
        <v>-2.4466037082875802</v>
      </c>
      <c r="L706">
        <f t="shared" ca="1" si="113"/>
        <v>-0.51506277157911107</v>
      </c>
      <c r="M706">
        <f t="shared" ca="1" si="113"/>
        <v>-1.6249943067065669</v>
      </c>
      <c r="O706">
        <v>704</v>
      </c>
      <c r="P706" s="6">
        <f t="shared" ca="1" si="103"/>
        <v>1853.7106914350193</v>
      </c>
      <c r="Q706" s="6">
        <f t="shared" ca="1" si="104"/>
        <v>378.79872519437208</v>
      </c>
      <c r="R706" s="6">
        <f t="shared" ca="1" si="105"/>
        <v>143.47778549140952</v>
      </c>
      <c r="S706" s="6"/>
      <c r="T706" s="4">
        <f t="shared" ca="1" si="107"/>
        <v>-5.7021275592635472E-2</v>
      </c>
      <c r="U706" s="4">
        <f t="shared" ca="1" si="108"/>
        <v>1.9594856125452344E-2</v>
      </c>
      <c r="V706" s="4">
        <f t="shared" ca="1" si="109"/>
        <v>9.3209584617860945E-3</v>
      </c>
      <c r="W706" s="4"/>
      <c r="X706">
        <v>704</v>
      </c>
      <c r="Y706" s="4">
        <f t="shared" ca="1" si="110"/>
        <v>-3.8447855703010056E-2</v>
      </c>
      <c r="Z706" s="4">
        <f ca="1"/>
        <v>1.1504896376631869E-2</v>
      </c>
      <c r="AA706" s="4"/>
    </row>
    <row r="707" spans="1:27" x14ac:dyDescent="0.35">
      <c r="A707">
        <v>705</v>
      </c>
      <c r="B707">
        <f ca="1">_xlfn.NORM.INV(RAND(),Hitorical_Sim!$AB$4,Hitorical_Sim!$AB$5)</f>
        <v>6.8659054730921716E-3</v>
      </c>
      <c r="C707">
        <f ca="1">_xlfn.NORM.INV(RAND(),Hitorical_Sim!$AB$4,Hitorical_Sim!$AB$5)</f>
        <v>3.4804356039871587E-2</v>
      </c>
      <c r="D707">
        <f ca="1">_xlfn.NORM.INV(RAND(),Hitorical_Sim!$AB$4,Hitorical_Sim!$AB$5)</f>
        <v>1.1051911974893514E-2</v>
      </c>
      <c r="K707">
        <f t="shared" ca="1" si="113"/>
        <v>0.19405264405668426</v>
      </c>
      <c r="L707">
        <f t="shared" ca="1" si="113"/>
        <v>1.3013897728051085E-2</v>
      </c>
      <c r="M707">
        <f t="shared" ca="1" si="113"/>
        <v>-0.24541638162777979</v>
      </c>
      <c r="O707">
        <v>705</v>
      </c>
      <c r="P707" s="6">
        <f t="shared" ref="P707:P770" ca="1" si="114">$G$17*EXP(($G$15-0.5*$G$16)+($G$16*K707))</f>
        <v>1944.6789910228622</v>
      </c>
      <c r="Q707" s="6">
        <f t="shared" ref="Q707:Q770" ca="1" si="115">$H$17*EXP(($H$15-0.5*$H$16^2)+($H$16*L707))</f>
        <v>384.54888544642171</v>
      </c>
      <c r="R707" s="6">
        <f t="shared" ref="R707:R770" ca="1" si="116">$I$17*EXP(($I$15-0.5*$I$16)+($I$16*M707))</f>
        <v>149.64480005088637</v>
      </c>
      <c r="S707" s="6"/>
      <c r="T707" s="4">
        <f t="shared" ca="1" si="107"/>
        <v>4.7907510918279002E-2</v>
      </c>
      <c r="U707" s="4">
        <f t="shared" ca="1" si="108"/>
        <v>1.5065925239748024E-2</v>
      </c>
      <c r="V707" s="4">
        <f t="shared" ca="1" si="109"/>
        <v>4.2084268012059292E-2</v>
      </c>
      <c r="W707" s="4"/>
      <c r="X707">
        <v>705</v>
      </c>
      <c r="Y707" s="4">
        <f t="shared" ca="1" si="110"/>
        <v>4.1065185085524612E-2</v>
      </c>
      <c r="Z707" s="4">
        <f ca="1"/>
        <v>1.1506696043922139E-2</v>
      </c>
      <c r="AA707" s="4"/>
    </row>
    <row r="708" spans="1:27" x14ac:dyDescent="0.35">
      <c r="A708">
        <v>706</v>
      </c>
      <c r="B708">
        <f ca="1">_xlfn.NORM.INV(RAND(),Hitorical_Sim!$AB$4,Hitorical_Sim!$AB$5)</f>
        <v>-6.0649941463437815E-3</v>
      </c>
      <c r="C708">
        <f ca="1">_xlfn.NORM.INV(RAND(),Hitorical_Sim!$AB$4,Hitorical_Sim!$AB$5)</f>
        <v>1.7824097628282954E-2</v>
      </c>
      <c r="D708">
        <f ca="1">_xlfn.NORM.INV(RAND(),Hitorical_Sim!$AB$4,Hitorical_Sim!$AB$5)</f>
        <v>-2.2328399867562877E-3</v>
      </c>
      <c r="K708">
        <f t="shared" ca="1" si="113"/>
        <v>0.42098174328020604</v>
      </c>
      <c r="L708">
        <f t="shared" ca="1" si="113"/>
        <v>-0.20888091103227632</v>
      </c>
      <c r="M708">
        <f t="shared" ca="1" si="113"/>
        <v>0.5675613908978443</v>
      </c>
      <c r="O708">
        <v>706</v>
      </c>
      <c r="P708" s="6">
        <f t="shared" ca="1" si="114"/>
        <v>1952.7017572189307</v>
      </c>
      <c r="Q708" s="6">
        <f t="shared" ca="1" si="115"/>
        <v>382.12214361816274</v>
      </c>
      <c r="R708" s="6">
        <f t="shared" ca="1" si="116"/>
        <v>153.40239731508743</v>
      </c>
      <c r="S708" s="6"/>
      <c r="T708" s="4">
        <f t="shared" ref="T708:T771" ca="1" si="117">LN(P708/P707)</f>
        <v>4.1170098824387154E-3</v>
      </c>
      <c r="U708" s="4">
        <f t="shared" ref="U708:U771" ca="1" si="118">LN(Q708/Q707)</f>
        <v>-6.3306159771408174E-3</v>
      </c>
      <c r="V708" s="4">
        <f t="shared" ref="V708:V771" ca="1" si="119">LN(R708/R707)</f>
        <v>2.4800030389628854E-2</v>
      </c>
      <c r="W708" s="4"/>
      <c r="X708">
        <v>706</v>
      </c>
      <c r="Y708" s="4">
        <f t="shared" ref="Y708:Y771" ca="1" si="120">($G$18*T708)+($H$18*U708)+($I$18*V708)</f>
        <v>3.0556020585457925E-3</v>
      </c>
      <c r="Z708" s="4">
        <f ca="1"/>
        <v>1.1576975366640813E-2</v>
      </c>
      <c r="AA708" s="4"/>
    </row>
    <row r="709" spans="1:27" x14ac:dyDescent="0.35">
      <c r="A709">
        <v>707</v>
      </c>
      <c r="B709">
        <f ca="1">_xlfn.NORM.INV(RAND(),Hitorical_Sim!$AB$4,Hitorical_Sim!$AB$5)</f>
        <v>-8.7428150806552821E-3</v>
      </c>
      <c r="C709">
        <f ca="1">_xlfn.NORM.INV(RAND(),Hitorical_Sim!$AB$4,Hitorical_Sim!$AB$5)</f>
        <v>3.405358084312958E-2</v>
      </c>
      <c r="D709">
        <f ca="1">_xlfn.NORM.INV(RAND(),Hitorical_Sim!$AB$4,Hitorical_Sim!$AB$5)</f>
        <v>1.4915754288663983E-2</v>
      </c>
      <c r="K709">
        <f t="shared" ca="1" si="113"/>
        <v>-1.7941193448366688</v>
      </c>
      <c r="L709">
        <f t="shared" ca="1" si="113"/>
        <v>0.41088991390484381</v>
      </c>
      <c r="M709">
        <f t="shared" ca="1" si="113"/>
        <v>-1.0400200754921172</v>
      </c>
      <c r="O709">
        <v>707</v>
      </c>
      <c r="P709" s="6">
        <f t="shared" ca="1" si="114"/>
        <v>1875.7844765509601</v>
      </c>
      <c r="Q709" s="6">
        <f t="shared" ca="1" si="115"/>
        <v>388.93889419778748</v>
      </c>
      <c r="R709" s="6">
        <f t="shared" ca="1" si="116"/>
        <v>146.06109022806018</v>
      </c>
      <c r="S709" s="6"/>
      <c r="T709" s="4">
        <f t="shared" ca="1" si="117"/>
        <v>-4.0186970739241358E-2</v>
      </c>
      <c r="U709" s="4">
        <f t="shared" ca="1" si="118"/>
        <v>1.7681941765255928E-2</v>
      </c>
      <c r="V709" s="4">
        <f t="shared" ca="1" si="119"/>
        <v>-4.9039556267842142E-2</v>
      </c>
      <c r="W709" s="4"/>
      <c r="X709">
        <v>707</v>
      </c>
      <c r="Y709" s="4">
        <f t="shared" ca="1" si="120"/>
        <v>-2.9076297529584828E-2</v>
      </c>
      <c r="Z709" s="4">
        <f ca="1"/>
        <v>1.1764529028409996E-2</v>
      </c>
      <c r="AA709" s="4"/>
    </row>
    <row r="710" spans="1:27" x14ac:dyDescent="0.35">
      <c r="A710">
        <v>708</v>
      </c>
      <c r="B710">
        <f ca="1">_xlfn.NORM.INV(RAND(),Hitorical_Sim!$AB$4,Hitorical_Sim!$AB$5)</f>
        <v>3.9135621904665678E-2</v>
      </c>
      <c r="C710">
        <f ca="1">_xlfn.NORM.INV(RAND(),Hitorical_Sim!$AB$4,Hitorical_Sim!$AB$5)</f>
        <v>1.0892703177891739E-3</v>
      </c>
      <c r="D710">
        <f ca="1">_xlfn.NORM.INV(RAND(),Hitorical_Sim!$AB$4,Hitorical_Sim!$AB$5)</f>
        <v>-1.6590657510372638E-2</v>
      </c>
      <c r="K710">
        <f t="shared" ca="1" si="113"/>
        <v>0.77083991642871275</v>
      </c>
      <c r="L710">
        <f t="shared" ca="1" si="113"/>
        <v>-4.5452334271107064E-2</v>
      </c>
      <c r="M710">
        <f t="shared" ca="1" si="113"/>
        <v>-1.2667408439790411</v>
      </c>
      <c r="O710">
        <v>708</v>
      </c>
      <c r="P710" s="6">
        <f t="shared" ca="1" si="114"/>
        <v>1965.1354081995469</v>
      </c>
      <c r="Q710" s="6">
        <f t="shared" ca="1" si="115"/>
        <v>383.90798092981953</v>
      </c>
      <c r="R710" s="6">
        <f t="shared" ca="1" si="116"/>
        <v>145.05439403722588</v>
      </c>
      <c r="S710" s="6"/>
      <c r="T710" s="4">
        <f t="shared" ca="1" si="117"/>
        <v>4.6534193555675472E-2</v>
      </c>
      <c r="U710" s="4">
        <f t="shared" ca="1" si="118"/>
        <v>-1.301935607906657E-2</v>
      </c>
      <c r="V710" s="4">
        <f t="shared" ca="1" si="119"/>
        <v>-6.9161570444516672E-3</v>
      </c>
      <c r="W710" s="4"/>
      <c r="X710">
        <v>708</v>
      </c>
      <c r="Y710" s="4">
        <f t="shared" ca="1" si="120"/>
        <v>3.2003941375998643E-2</v>
      </c>
      <c r="Z710" s="4">
        <f ca="1"/>
        <v>1.1825313429105588E-2</v>
      </c>
      <c r="AA710" s="4"/>
    </row>
    <row r="711" spans="1:27" x14ac:dyDescent="0.35">
      <c r="A711">
        <v>709</v>
      </c>
      <c r="B711">
        <f ca="1">_xlfn.NORM.INV(RAND(),Hitorical_Sim!$AB$4,Hitorical_Sim!$AB$5)</f>
        <v>9.6167350991941472E-3</v>
      </c>
      <c r="C711">
        <f ca="1">_xlfn.NORM.INV(RAND(),Hitorical_Sim!$AB$4,Hitorical_Sim!$AB$5)</f>
        <v>8.0146666816827937E-3</v>
      </c>
      <c r="D711">
        <f ca="1">_xlfn.NORM.INV(RAND(),Hitorical_Sim!$AB$4,Hitorical_Sim!$AB$5)</f>
        <v>-9.1711483016718495E-3</v>
      </c>
      <c r="K711">
        <f t="shared" ca="1" si="113"/>
        <v>2.7400602203635187</v>
      </c>
      <c r="L711">
        <f t="shared" ca="1" si="113"/>
        <v>0.25124456728707523</v>
      </c>
      <c r="M711">
        <f t="shared" ca="1" si="113"/>
        <v>0.6930611466608585</v>
      </c>
      <c r="O711">
        <v>709</v>
      </c>
      <c r="P711" s="6">
        <f t="shared" ca="1" si="114"/>
        <v>2036.6112754910228</v>
      </c>
      <c r="Q711" s="6">
        <f t="shared" ca="1" si="115"/>
        <v>387.17144144865091</v>
      </c>
      <c r="R711" s="6">
        <f t="shared" ca="1" si="116"/>
        <v>153.99080746898764</v>
      </c>
      <c r="S711" s="6"/>
      <c r="T711" s="4">
        <f t="shared" ca="1" si="117"/>
        <v>3.5726134196712715E-2</v>
      </c>
      <c r="U711" s="4">
        <f t="shared" ca="1" si="118"/>
        <v>8.4647052171515687E-3</v>
      </c>
      <c r="V711" s="4">
        <f t="shared" ca="1" si="119"/>
        <v>5.978410550454856E-2</v>
      </c>
      <c r="W711" s="4"/>
      <c r="X711">
        <v>709</v>
      </c>
      <c r="Y711" s="4">
        <f t="shared" ca="1" si="120"/>
        <v>3.147625422709413E-2</v>
      </c>
      <c r="Z711" s="4">
        <f ca="1"/>
        <v>1.1911189135318316E-2</v>
      </c>
      <c r="AA711" s="4"/>
    </row>
    <row r="712" spans="1:27" x14ac:dyDescent="0.35">
      <c r="A712">
        <v>710</v>
      </c>
      <c r="B712">
        <f ca="1">_xlfn.NORM.INV(RAND(),Hitorical_Sim!$AB$4,Hitorical_Sim!$AB$5)</f>
        <v>-1.0234741248236215E-2</v>
      </c>
      <c r="C712">
        <f ca="1">_xlfn.NORM.INV(RAND(),Hitorical_Sim!$AB$4,Hitorical_Sim!$AB$5)</f>
        <v>1.6867704350303207E-2</v>
      </c>
      <c r="D712">
        <f ca="1">_xlfn.NORM.INV(RAND(),Hitorical_Sim!$AB$4,Hitorical_Sim!$AB$5)</f>
        <v>-2.0605647613277826E-2</v>
      </c>
      <c r="K712">
        <f t="shared" ca="1" si="113"/>
        <v>0.29671589042668017</v>
      </c>
      <c r="L712">
        <f t="shared" ca="1" si="113"/>
        <v>0.58781647299843742</v>
      </c>
      <c r="M712">
        <f t="shared" ca="1" si="113"/>
        <v>-1.1666476910831325</v>
      </c>
      <c r="O712">
        <v>710</v>
      </c>
      <c r="P712" s="6">
        <f t="shared" ca="1" si="114"/>
        <v>1948.3044178582632</v>
      </c>
      <c r="Q712" s="6">
        <f t="shared" ca="1" si="115"/>
        <v>390.90709672395678</v>
      </c>
      <c r="R712" s="6">
        <f t="shared" ca="1" si="116"/>
        <v>145.4979740786865</v>
      </c>
      <c r="S712" s="6"/>
      <c r="T712" s="4">
        <f t="shared" ca="1" si="117"/>
        <v>-4.4327822156657336E-2</v>
      </c>
      <c r="U712" s="4">
        <f t="shared" ca="1" si="118"/>
        <v>9.6023313733966647E-3</v>
      </c>
      <c r="V712" s="4">
        <f t="shared" ca="1" si="119"/>
        <v>-5.6730746215400051E-2</v>
      </c>
      <c r="W712" s="4"/>
      <c r="X712">
        <v>710</v>
      </c>
      <c r="Y712" s="4">
        <f t="shared" ca="1" si="120"/>
        <v>-3.4178906155159831E-2</v>
      </c>
      <c r="Z712" s="4">
        <f ca="1"/>
        <v>1.1958007233209257E-2</v>
      </c>
      <c r="AA712" s="4"/>
    </row>
    <row r="713" spans="1:27" x14ac:dyDescent="0.35">
      <c r="A713">
        <v>711</v>
      </c>
      <c r="B713">
        <f ca="1">_xlfn.NORM.INV(RAND(),Hitorical_Sim!$AB$4,Hitorical_Sim!$AB$5)</f>
        <v>-1.2620551314245885E-2</v>
      </c>
      <c r="C713">
        <f ca="1">_xlfn.NORM.INV(RAND(),Hitorical_Sim!$AB$4,Hitorical_Sim!$AB$5)</f>
        <v>4.0507264260293517E-3</v>
      </c>
      <c r="D713">
        <f ca="1">_xlfn.NORM.INV(RAND(),Hitorical_Sim!$AB$4,Hitorical_Sim!$AB$5)</f>
        <v>2.0243269530461267E-3</v>
      </c>
      <c r="K713">
        <f t="shared" ca="1" si="113"/>
        <v>0.11057308778171837</v>
      </c>
      <c r="L713">
        <f t="shared" ca="1" si="113"/>
        <v>1.7625224330337719</v>
      </c>
      <c r="M713">
        <f t="shared" ca="1" si="113"/>
        <v>2.3263767319952993</v>
      </c>
      <c r="O713">
        <v>711</v>
      </c>
      <c r="P713" s="6">
        <f t="shared" ca="1" si="114"/>
        <v>1941.7359863974441</v>
      </c>
      <c r="Q713" s="6">
        <f t="shared" ca="1" si="115"/>
        <v>404.23001552551261</v>
      </c>
      <c r="R713" s="6">
        <f t="shared" ca="1" si="116"/>
        <v>161.85768945063523</v>
      </c>
      <c r="S713" s="6"/>
      <c r="T713" s="4">
        <f t="shared" ca="1" si="117"/>
        <v>-3.377053717025924E-3</v>
      </c>
      <c r="U713" s="4">
        <f t="shared" ca="1" si="118"/>
        <v>3.3514133839313044E-2</v>
      </c>
      <c r="V713" s="4">
        <f t="shared" ca="1" si="119"/>
        <v>0.10655532632207448</v>
      </c>
      <c r="W713" s="4"/>
      <c r="X713">
        <v>711</v>
      </c>
      <c r="Y713" s="4">
        <f t="shared" ca="1" si="120"/>
        <v>9.4258155961794675E-3</v>
      </c>
      <c r="Z713" s="4">
        <f ca="1"/>
        <v>1.2009847571740848E-2</v>
      </c>
      <c r="AA713" s="4"/>
    </row>
    <row r="714" spans="1:27" x14ac:dyDescent="0.35">
      <c r="A714">
        <v>712</v>
      </c>
      <c r="B714">
        <f ca="1">_xlfn.NORM.INV(RAND(),Hitorical_Sim!$AB$4,Hitorical_Sim!$AB$5)</f>
        <v>3.8053556415935427E-2</v>
      </c>
      <c r="C714">
        <f ca="1">_xlfn.NORM.INV(RAND(),Hitorical_Sim!$AB$4,Hitorical_Sim!$AB$5)</f>
        <v>1.7769319236431054E-2</v>
      </c>
      <c r="D714">
        <f ca="1">_xlfn.NORM.INV(RAND(),Hitorical_Sim!$AB$4,Hitorical_Sim!$AB$5)</f>
        <v>-4.825145328118413E-3</v>
      </c>
      <c r="K714">
        <f t="shared" ca="1" si="113"/>
        <v>0.1820802494979574</v>
      </c>
      <c r="L714">
        <f t="shared" ca="1" si="113"/>
        <v>0.27609517595853217</v>
      </c>
      <c r="M714">
        <f t="shared" ca="1" si="113"/>
        <v>0.75181161261567697</v>
      </c>
      <c r="O714">
        <v>712</v>
      </c>
      <c r="P714" s="6">
        <f t="shared" ca="1" si="114"/>
        <v>1944.2566400502867</v>
      </c>
      <c r="Q714" s="6">
        <f t="shared" ca="1" si="115"/>
        <v>387.44603677179111</v>
      </c>
      <c r="R714" s="6">
        <f t="shared" ca="1" si="116"/>
        <v>154.26703622068982</v>
      </c>
      <c r="S714" s="6"/>
      <c r="T714" s="4">
        <f t="shared" ca="1" si="117"/>
        <v>1.2973025163288941E-3</v>
      </c>
      <c r="U714" s="4">
        <f t="shared" ca="1" si="118"/>
        <v>-4.2407482153681966E-2</v>
      </c>
      <c r="V714" s="4">
        <f t="shared" ca="1" si="119"/>
        <v>-4.8032386777011826E-2</v>
      </c>
      <c r="W714" s="4"/>
      <c r="X714">
        <v>712</v>
      </c>
      <c r="Y714" s="4">
        <f t="shared" ca="1" si="120"/>
        <v>-9.8661095619952469E-3</v>
      </c>
      <c r="Z714" s="4">
        <f ca="1"/>
        <v>1.206322346565045E-2</v>
      </c>
      <c r="AA714" s="4"/>
    </row>
    <row r="715" spans="1:27" x14ac:dyDescent="0.35">
      <c r="A715">
        <v>713</v>
      </c>
      <c r="B715">
        <f ca="1">_xlfn.NORM.INV(RAND(),Hitorical_Sim!$AB$4,Hitorical_Sim!$AB$5)</f>
        <v>3.4214702642974777E-2</v>
      </c>
      <c r="C715">
        <f ca="1">_xlfn.NORM.INV(RAND(),Hitorical_Sim!$AB$4,Hitorical_Sim!$AB$5)</f>
        <v>-4.2353681690771748E-3</v>
      </c>
      <c r="D715">
        <f ca="1">_xlfn.NORM.INV(RAND(),Hitorical_Sim!$AB$4,Hitorical_Sim!$AB$5)</f>
        <v>3.5691003363264176E-3</v>
      </c>
      <c r="K715">
        <f t="shared" ca="1" si="113"/>
        <v>-0.19821373371900869</v>
      </c>
      <c r="L715">
        <f t="shared" ca="1" si="113"/>
        <v>2.6366440398340814</v>
      </c>
      <c r="M715">
        <f t="shared" ca="1" si="113"/>
        <v>-1.8357709486120868</v>
      </c>
      <c r="O715">
        <v>713</v>
      </c>
      <c r="P715" s="6">
        <f t="shared" ca="1" si="114"/>
        <v>1930.8886091236127</v>
      </c>
      <c r="Q715" s="6">
        <f t="shared" ca="1" si="115"/>
        <v>414.43766683365652</v>
      </c>
      <c r="R715" s="6">
        <f t="shared" ca="1" si="116"/>
        <v>142.55821457630822</v>
      </c>
      <c r="S715" s="6"/>
      <c r="T715" s="4">
        <f t="shared" ca="1" si="117"/>
        <v>-6.8993976201972094E-3</v>
      </c>
      <c r="U715" s="4">
        <f t="shared" ca="1" si="118"/>
        <v>6.7346002531376736E-2</v>
      </c>
      <c r="V715" s="4">
        <f t="shared" ca="1" si="119"/>
        <v>-7.8934662573569597E-2</v>
      </c>
      <c r="W715" s="4"/>
      <c r="X715">
        <v>713</v>
      </c>
      <c r="Y715" s="4">
        <f t="shared" ca="1" si="120"/>
        <v>4.3525819594475131E-3</v>
      </c>
      <c r="Z715" s="4">
        <f ca="1"/>
        <v>1.2102752261453277E-2</v>
      </c>
      <c r="AA715" s="4"/>
    </row>
    <row r="716" spans="1:27" x14ac:dyDescent="0.35">
      <c r="A716">
        <v>714</v>
      </c>
      <c r="B716">
        <f ca="1">_xlfn.NORM.INV(RAND(),Hitorical_Sim!$AB$4,Hitorical_Sim!$AB$5)</f>
        <v>2.0339577854982135E-2</v>
      </c>
      <c r="C716">
        <f ca="1">_xlfn.NORM.INV(RAND(),Hitorical_Sim!$AB$4,Hitorical_Sim!$AB$5)</f>
        <v>9.2221374007429406E-3</v>
      </c>
      <c r="D716">
        <f ca="1">_xlfn.NORM.INV(RAND(),Hitorical_Sim!$AB$4,Hitorical_Sim!$AB$5)</f>
        <v>2.3227291772391009E-3</v>
      </c>
      <c r="K716">
        <f t="shared" ca="1" si="113"/>
        <v>-0.79874616266206744</v>
      </c>
      <c r="L716">
        <f t="shared" ca="1" si="113"/>
        <v>1.1046331154237774</v>
      </c>
      <c r="M716">
        <f t="shared" ca="1" si="113"/>
        <v>-0.3941393314700124</v>
      </c>
      <c r="O716">
        <v>714</v>
      </c>
      <c r="P716" s="6">
        <f t="shared" ca="1" si="114"/>
        <v>1909.9657163784154</v>
      </c>
      <c r="Q716" s="6">
        <f t="shared" ca="1" si="115"/>
        <v>396.71359863175064</v>
      </c>
      <c r="R716" s="6">
        <f t="shared" ca="1" si="116"/>
        <v>148.9674262785289</v>
      </c>
      <c r="S716" s="6"/>
      <c r="T716" s="4">
        <f t="shared" ca="1" si="117"/>
        <v>-1.0895023834066611E-2</v>
      </c>
      <c r="U716" s="4">
        <f t="shared" ca="1" si="118"/>
        <v>-4.370797536639047E-2</v>
      </c>
      <c r="V716" s="4">
        <f t="shared" ca="1" si="119"/>
        <v>4.3977226836969287E-2</v>
      </c>
      <c r="W716" s="4"/>
      <c r="X716">
        <v>714</v>
      </c>
      <c r="Y716" s="4">
        <f t="shared" ca="1" si="120"/>
        <v>-1.4727808109925623E-2</v>
      </c>
      <c r="Z716" s="4">
        <f ca="1"/>
        <v>1.2127213972211488E-2</v>
      </c>
      <c r="AA716" s="4"/>
    </row>
    <row r="717" spans="1:27" x14ac:dyDescent="0.35">
      <c r="A717">
        <v>715</v>
      </c>
      <c r="B717">
        <f ca="1">_xlfn.NORM.INV(RAND(),Hitorical_Sim!$AB$4,Hitorical_Sim!$AB$5)</f>
        <v>1.6576754054595147E-2</v>
      </c>
      <c r="C717">
        <f ca="1">_xlfn.NORM.INV(RAND(),Hitorical_Sim!$AB$4,Hitorical_Sim!$AB$5)</f>
        <v>1.3844221395226662E-4</v>
      </c>
      <c r="D717">
        <f ca="1">_xlfn.NORM.INV(RAND(),Hitorical_Sim!$AB$4,Hitorical_Sim!$AB$5)</f>
        <v>5.9743290879882621E-3</v>
      </c>
      <c r="K717">
        <f t="shared" ca="1" si="113"/>
        <v>-1.1788103007094515</v>
      </c>
      <c r="L717">
        <f t="shared" ca="1" si="113"/>
        <v>8.3811351330852088E-2</v>
      </c>
      <c r="M717">
        <f t="shared" ca="1" si="113"/>
        <v>-0.25661328278502826</v>
      </c>
      <c r="O717">
        <v>715</v>
      </c>
      <c r="P717" s="6">
        <f t="shared" ca="1" si="114"/>
        <v>1896.8413675386951</v>
      </c>
      <c r="Q717" s="6">
        <f t="shared" ca="1" si="115"/>
        <v>385.32639672565318</v>
      </c>
      <c r="R717" s="6">
        <f t="shared" ca="1" si="116"/>
        <v>149.59369558560908</v>
      </c>
      <c r="S717" s="6"/>
      <c r="T717" s="4">
        <f t="shared" ca="1" si="117"/>
        <v>-6.8952277061673931E-3</v>
      </c>
      <c r="U717" s="4">
        <f t="shared" ca="1" si="118"/>
        <v>-2.9123847491898645E-2</v>
      </c>
      <c r="V717" s="4">
        <f t="shared" ca="1" si="119"/>
        <v>4.1952563797131442E-3</v>
      </c>
      <c r="W717" s="4"/>
      <c r="X717">
        <v>715</v>
      </c>
      <c r="Y717" s="4">
        <f t="shared" ca="1" si="120"/>
        <v>-1.0782481556674963E-2</v>
      </c>
      <c r="Z717" s="4">
        <f ca="1"/>
        <v>1.2136673365222575E-2</v>
      </c>
      <c r="AA717" s="4"/>
    </row>
    <row r="718" spans="1:27" x14ac:dyDescent="0.35">
      <c r="A718">
        <v>716</v>
      </c>
      <c r="B718">
        <f ca="1">_xlfn.NORM.INV(RAND(),Hitorical_Sim!$AB$4,Hitorical_Sim!$AB$5)</f>
        <v>7.9125989898673251E-3</v>
      </c>
      <c r="C718">
        <f ca="1">_xlfn.NORM.INV(RAND(),Hitorical_Sim!$AB$4,Hitorical_Sim!$AB$5)</f>
        <v>-7.5264290361526402E-3</v>
      </c>
      <c r="D718">
        <f ca="1">_xlfn.NORM.INV(RAND(),Hitorical_Sim!$AB$4,Hitorical_Sim!$AB$5)</f>
        <v>-3.7736160835237356E-2</v>
      </c>
      <c r="K718">
        <f t="shared" ca="1" si="113"/>
        <v>0.51182233484493489</v>
      </c>
      <c r="L718">
        <f t="shared" ca="1" si="113"/>
        <v>1.3576261016987508</v>
      </c>
      <c r="M718">
        <f t="shared" ca="1" si="113"/>
        <v>-0.51073710912238734</v>
      </c>
      <c r="O718">
        <v>716</v>
      </c>
      <c r="P718" s="6">
        <f t="shared" ca="1" si="114"/>
        <v>1955.9225702211979</v>
      </c>
      <c r="Q718" s="6">
        <f t="shared" ca="1" si="115"/>
        <v>399.58737304313087</v>
      </c>
      <c r="R718" s="6">
        <f t="shared" ca="1" si="116"/>
        <v>148.43851479004408</v>
      </c>
      <c r="S718" s="6"/>
      <c r="T718" s="4">
        <f t="shared" ca="1" si="117"/>
        <v>3.0671920401424968E-2</v>
      </c>
      <c r="U718" s="4">
        <f t="shared" ca="1" si="118"/>
        <v>3.6341688458817752E-2</v>
      </c>
      <c r="V718" s="4">
        <f t="shared" ca="1" si="119"/>
        <v>-7.7520921590713537E-3</v>
      </c>
      <c r="W718" s="4"/>
      <c r="X718">
        <v>716</v>
      </c>
      <c r="Y718" s="4">
        <f t="shared" ca="1" si="120"/>
        <v>2.990181634668896E-2</v>
      </c>
      <c r="Z718" s="4">
        <f ca="1"/>
        <v>1.2190439784920402E-2</v>
      </c>
      <c r="AA718" s="4"/>
    </row>
    <row r="719" spans="1:27" x14ac:dyDescent="0.35">
      <c r="A719">
        <v>717</v>
      </c>
      <c r="B719">
        <f ca="1">_xlfn.NORM.INV(RAND(),Hitorical_Sim!$AB$4,Hitorical_Sim!$AB$5)</f>
        <v>1.8610943237511807E-2</v>
      </c>
      <c r="C719">
        <f ca="1">_xlfn.NORM.INV(RAND(),Hitorical_Sim!$AB$4,Hitorical_Sim!$AB$5)</f>
        <v>1.5862076349191782E-2</v>
      </c>
      <c r="D719">
        <f ca="1">_xlfn.NORM.INV(RAND(),Hitorical_Sim!$AB$4,Hitorical_Sim!$AB$5)</f>
        <v>-2.256136780351814E-2</v>
      </c>
      <c r="K719">
        <f t="shared" ca="1" si="113"/>
        <v>-0.49596861842975931</v>
      </c>
      <c r="L719">
        <f t="shared" ca="1" si="113"/>
        <v>0.35496440253668454</v>
      </c>
      <c r="M719">
        <f t="shared" ca="1" si="113"/>
        <v>-0.28859764898807494</v>
      </c>
      <c r="O719">
        <v>717</v>
      </c>
      <c r="P719" s="6">
        <f t="shared" ca="1" si="114"/>
        <v>1920.4861661179837</v>
      </c>
      <c r="Q719" s="6">
        <f t="shared" ca="1" si="115"/>
        <v>388.31881987941767</v>
      </c>
      <c r="R719" s="6">
        <f t="shared" ca="1" si="116"/>
        <v>149.4478098832065</v>
      </c>
      <c r="S719" s="6"/>
      <c r="T719" s="4">
        <f t="shared" ca="1" si="117"/>
        <v>-1.8283619545757329E-2</v>
      </c>
      <c r="U719" s="4">
        <f t="shared" ca="1" si="118"/>
        <v>-2.8605744351769102E-2</v>
      </c>
      <c r="V719" s="4">
        <f t="shared" ca="1" si="119"/>
        <v>6.7764034248464144E-3</v>
      </c>
      <c r="W719" s="4"/>
      <c r="X719">
        <v>717</v>
      </c>
      <c r="Y719" s="4">
        <f t="shared" ca="1" si="120"/>
        <v>-1.9103362844837473E-2</v>
      </c>
      <c r="Z719" s="4">
        <f ca="1"/>
        <v>1.2217013762711762E-2</v>
      </c>
      <c r="AA719" s="4"/>
    </row>
    <row r="720" spans="1:27" x14ac:dyDescent="0.35">
      <c r="A720">
        <v>718</v>
      </c>
      <c r="B720">
        <f ca="1">_xlfn.NORM.INV(RAND(),Hitorical_Sim!$AB$4,Hitorical_Sim!$AB$5)</f>
        <v>8.5073044244498939E-3</v>
      </c>
      <c r="C720">
        <f ca="1">_xlfn.NORM.INV(RAND(),Hitorical_Sim!$AB$4,Hitorical_Sim!$AB$5)</f>
        <v>-2.378400321894627E-3</v>
      </c>
      <c r="D720">
        <f ca="1">_xlfn.NORM.INV(RAND(),Hitorical_Sim!$AB$4,Hitorical_Sim!$AB$5)</f>
        <v>-3.3011033286189265E-3</v>
      </c>
      <c r="K720">
        <f t="shared" ca="1" si="113"/>
        <v>2.2809952253965862</v>
      </c>
      <c r="L720">
        <f t="shared" ca="1" si="113"/>
        <v>5.9137984455526448E-2</v>
      </c>
      <c r="M720">
        <f t="shared" ca="1" si="113"/>
        <v>1.9922422787573977</v>
      </c>
      <c r="O720">
        <v>718</v>
      </c>
      <c r="P720" s="6">
        <f t="shared" ca="1" si="114"/>
        <v>2019.7198310127619</v>
      </c>
      <c r="Q720" s="6">
        <f t="shared" ca="1" si="115"/>
        <v>385.05525075281184</v>
      </c>
      <c r="R720" s="6">
        <f t="shared" ca="1" si="116"/>
        <v>160.21628097525775</v>
      </c>
      <c r="S720" s="6"/>
      <c r="T720" s="4">
        <f t="shared" ca="1" si="117"/>
        <v>5.0380438768441338E-2</v>
      </c>
      <c r="U720" s="4">
        <f t="shared" ca="1" si="118"/>
        <v>-8.4398704919129465E-3</v>
      </c>
      <c r="V720" s="4">
        <f t="shared" ca="1" si="119"/>
        <v>6.9577424418677924E-2</v>
      </c>
      <c r="W720" s="4"/>
      <c r="X720">
        <v>718</v>
      </c>
      <c r="Y720" s="4">
        <f t="shared" ca="1" si="120"/>
        <v>3.9591842529706198E-2</v>
      </c>
      <c r="Z720" s="4">
        <f ca="1"/>
        <v>1.2253132099590849E-2</v>
      </c>
      <c r="AA720" s="4"/>
    </row>
    <row r="721" spans="1:27" x14ac:dyDescent="0.35">
      <c r="A721">
        <v>719</v>
      </c>
      <c r="B721">
        <f ca="1">_xlfn.NORM.INV(RAND(),Hitorical_Sim!$AB$4,Hitorical_Sim!$AB$5)</f>
        <v>-1.5403443644330314E-2</v>
      </c>
      <c r="C721">
        <f ca="1">_xlfn.NORM.INV(RAND(),Hitorical_Sim!$AB$4,Hitorical_Sim!$AB$5)</f>
        <v>3.5357418133930923E-2</v>
      </c>
      <c r="D721">
        <f ca="1">_xlfn.NORM.INV(RAND(),Hitorical_Sim!$AB$4,Hitorical_Sim!$AB$5)</f>
        <v>-7.2845912325657878E-3</v>
      </c>
      <c r="K721">
        <f t="shared" ca="1" si="113"/>
        <v>-0.38619658088014963</v>
      </c>
      <c r="L721">
        <f t="shared" ca="1" si="113"/>
        <v>-1.3475756410640587</v>
      </c>
      <c r="M721">
        <f t="shared" ca="1" si="113"/>
        <v>0.39611907394375206</v>
      </c>
      <c r="O721">
        <v>719</v>
      </c>
      <c r="P721" s="6">
        <f t="shared" ca="1" si="114"/>
        <v>1924.3146529043497</v>
      </c>
      <c r="Q721" s="6">
        <f t="shared" ca="1" si="115"/>
        <v>369.90771839137307</v>
      </c>
      <c r="R721" s="6">
        <f t="shared" ca="1" si="116"/>
        <v>152.60221572264948</v>
      </c>
      <c r="S721" s="6"/>
      <c r="T721" s="4">
        <f t="shared" ca="1" si="117"/>
        <v>-4.8388924392570108E-2</v>
      </c>
      <c r="U721" s="4">
        <f t="shared" ca="1" si="118"/>
        <v>-4.0133267662854376E-2</v>
      </c>
      <c r="V721" s="4">
        <f t="shared" ca="1" si="119"/>
        <v>-4.8690019976804146E-2</v>
      </c>
      <c r="W721" s="4"/>
      <c r="X721">
        <v>719</v>
      </c>
      <c r="Y721" s="4">
        <f t="shared" ca="1" si="120"/>
        <v>-4.6756259596623051E-2</v>
      </c>
      <c r="Z721" s="4">
        <f ca="1"/>
        <v>1.2327280689368048E-2</v>
      </c>
      <c r="AA721" s="4"/>
    </row>
    <row r="722" spans="1:27" x14ac:dyDescent="0.35">
      <c r="A722">
        <v>720</v>
      </c>
      <c r="B722">
        <f ca="1">_xlfn.NORM.INV(RAND(),Hitorical_Sim!$AB$4,Hitorical_Sim!$AB$5)</f>
        <v>-1.0576895429258309E-2</v>
      </c>
      <c r="C722">
        <f ca="1">_xlfn.NORM.INV(RAND(),Hitorical_Sim!$AB$4,Hitorical_Sim!$AB$5)</f>
        <v>6.7295767828752335E-3</v>
      </c>
      <c r="D722">
        <f ca="1">_xlfn.NORM.INV(RAND(),Hitorical_Sim!$AB$4,Hitorical_Sim!$AB$5)</f>
        <v>-2.3498074737359615E-2</v>
      </c>
      <c r="K722">
        <f t="shared" ca="1" si="113"/>
        <v>1.4305132254953208</v>
      </c>
      <c r="L722">
        <f t="shared" ca="1" si="113"/>
        <v>1.0687295761441777</v>
      </c>
      <c r="M722">
        <f t="shared" ca="1" si="113"/>
        <v>-0.6106482960491062</v>
      </c>
      <c r="O722">
        <v>720</v>
      </c>
      <c r="P722" s="6">
        <f t="shared" ca="1" si="114"/>
        <v>1988.7953960926297</v>
      </c>
      <c r="Q722" s="6">
        <f t="shared" ca="1" si="115"/>
        <v>396.30744460075084</v>
      </c>
      <c r="R722" s="6">
        <f t="shared" ca="1" si="116"/>
        <v>147.98679137287328</v>
      </c>
      <c r="S722" s="6"/>
      <c r="T722" s="4">
        <f t="shared" ca="1" si="117"/>
        <v>3.2959246971690337E-2</v>
      </c>
      <c r="U722" s="4">
        <f t="shared" ca="1" si="118"/>
        <v>6.8936720508092741E-2</v>
      </c>
      <c r="V722" s="4">
        <f t="shared" ca="1" si="119"/>
        <v>-3.0711616251873103E-2</v>
      </c>
      <c r="W722" s="4"/>
      <c r="X722">
        <v>720</v>
      </c>
      <c r="Y722" s="4">
        <f t="shared" ca="1" si="120"/>
        <v>3.6988124375097298E-2</v>
      </c>
      <c r="Z722" s="4">
        <f ca="1"/>
        <v>1.245821121780806E-2</v>
      </c>
      <c r="AA722" s="4"/>
    </row>
    <row r="723" spans="1:27" x14ac:dyDescent="0.35">
      <c r="A723">
        <v>721</v>
      </c>
      <c r="B723">
        <f ca="1">_xlfn.NORM.INV(RAND(),Hitorical_Sim!$AB$4,Hitorical_Sim!$AB$5)</f>
        <v>4.5585449493258206E-4</v>
      </c>
      <c r="C723">
        <f ca="1">_xlfn.NORM.INV(RAND(),Hitorical_Sim!$AB$4,Hitorical_Sim!$AB$5)</f>
        <v>-1.08029624072338E-2</v>
      </c>
      <c r="D723">
        <f ca="1">_xlfn.NORM.INV(RAND(),Hitorical_Sim!$AB$4,Hitorical_Sim!$AB$5)</f>
        <v>-1.4047932660829085E-2</v>
      </c>
      <c r="K723">
        <f t="shared" ca="1" si="113"/>
        <v>-0.22632884457143054</v>
      </c>
      <c r="L723">
        <f t="shared" ca="1" si="113"/>
        <v>-0.90663819255516376</v>
      </c>
      <c r="M723">
        <f t="shared" ca="1" si="113"/>
        <v>0.71383873156774613</v>
      </c>
      <c r="O723">
        <v>721</v>
      </c>
      <c r="P723" s="6">
        <f t="shared" ca="1" si="114"/>
        <v>1929.9039679665336</v>
      </c>
      <c r="Q723" s="6">
        <f t="shared" ca="1" si="115"/>
        <v>374.59049835084932</v>
      </c>
      <c r="R723" s="6">
        <f t="shared" ca="1" si="116"/>
        <v>154.08844146025103</v>
      </c>
      <c r="S723" s="6"/>
      <c r="T723" s="4">
        <f t="shared" ca="1" si="117"/>
        <v>-3.0058882705854873E-2</v>
      </c>
      <c r="U723" s="4">
        <f t="shared" ca="1" si="118"/>
        <v>-5.6356860384076855E-2</v>
      </c>
      <c r="V723" s="4">
        <f t="shared" ca="1" si="119"/>
        <v>4.040371046495228E-2</v>
      </c>
      <c r="W723" s="4"/>
      <c r="X723">
        <v>721</v>
      </c>
      <c r="Y723" s="4">
        <f t="shared" ca="1" si="120"/>
        <v>-3.1819918185470267E-2</v>
      </c>
      <c r="Z723" s="4">
        <f ca="1"/>
        <v>1.2496411572261678E-2</v>
      </c>
      <c r="AA723" s="4"/>
    </row>
    <row r="724" spans="1:27" x14ac:dyDescent="0.35">
      <c r="A724">
        <v>722</v>
      </c>
      <c r="B724">
        <f ca="1">_xlfn.NORM.INV(RAND(),Hitorical_Sim!$AB$4,Hitorical_Sim!$AB$5)</f>
        <v>2.0267899073825917E-2</v>
      </c>
      <c r="C724">
        <f ca="1">_xlfn.NORM.INV(RAND(),Hitorical_Sim!$AB$4,Hitorical_Sim!$AB$5)</f>
        <v>-3.6655297557977286E-2</v>
      </c>
      <c r="D724">
        <f ca="1">_xlfn.NORM.INV(RAND(),Hitorical_Sim!$AB$4,Hitorical_Sim!$AB$5)</f>
        <v>-1.2385805458947288E-2</v>
      </c>
      <c r="K724">
        <f t="shared" ref="K724:M743" ca="1" si="121">_xlfn.NORM.S.INV(RAND())</f>
        <v>0.37106677940304478</v>
      </c>
      <c r="L724">
        <f t="shared" ca="1" si="121"/>
        <v>-0.16986573374174471</v>
      </c>
      <c r="M724">
        <f t="shared" ca="1" si="121"/>
        <v>0.58332538469270623</v>
      </c>
      <c r="O724">
        <v>722</v>
      </c>
      <c r="P724" s="6">
        <f t="shared" ca="1" si="114"/>
        <v>1950.9342476604859</v>
      </c>
      <c r="Q724" s="6">
        <f t="shared" ca="1" si="115"/>
        <v>382.54771885120266</v>
      </c>
      <c r="R724" s="6">
        <f t="shared" ca="1" si="116"/>
        <v>153.47618372323319</v>
      </c>
      <c r="S724" s="6"/>
      <c r="T724" s="4">
        <f t="shared" ca="1" si="117"/>
        <v>1.0838115059038868E-2</v>
      </c>
      <c r="U724" s="4">
        <f t="shared" ca="1" si="118"/>
        <v>2.1019975750399437E-2</v>
      </c>
      <c r="V724" s="4">
        <f t="shared" ca="1" si="119"/>
        <v>-3.9813326737060195E-3</v>
      </c>
      <c r="W724" s="4"/>
      <c r="X724">
        <v>722</v>
      </c>
      <c r="Y724" s="4">
        <f t="shared" ca="1" si="120"/>
        <v>1.2136673365222575E-2</v>
      </c>
      <c r="Z724" s="4">
        <f ca="1"/>
        <v>1.2519592194828188E-2</v>
      </c>
      <c r="AA724" s="4"/>
    </row>
    <row r="725" spans="1:27" x14ac:dyDescent="0.35">
      <c r="A725">
        <v>723</v>
      </c>
      <c r="B725">
        <f ca="1">_xlfn.NORM.INV(RAND(),Hitorical_Sim!$AB$4,Hitorical_Sim!$AB$5)</f>
        <v>-4.6242550402300723E-4</v>
      </c>
      <c r="C725">
        <f ca="1">_xlfn.NORM.INV(RAND(),Hitorical_Sim!$AB$4,Hitorical_Sim!$AB$5)</f>
        <v>3.6230925120220157E-2</v>
      </c>
      <c r="D725">
        <f ca="1">_xlfn.NORM.INV(RAND(),Hitorical_Sim!$AB$4,Hitorical_Sim!$AB$5)</f>
        <v>-1.9606921924916944E-2</v>
      </c>
      <c r="K725">
        <f t="shared" ca="1" si="121"/>
        <v>0.57989538860936085</v>
      </c>
      <c r="L725">
        <f t="shared" ca="1" si="121"/>
        <v>1.2229019769431801</v>
      </c>
      <c r="M725">
        <f t="shared" ca="1" si="121"/>
        <v>0.34260327264811391</v>
      </c>
      <c r="O725">
        <v>723</v>
      </c>
      <c r="P725" s="6">
        <f t="shared" ca="1" si="114"/>
        <v>1958.3396267993853</v>
      </c>
      <c r="Q725" s="6">
        <f t="shared" ca="1" si="115"/>
        <v>398.05444565706796</v>
      </c>
      <c r="R725" s="6">
        <f t="shared" ca="1" si="116"/>
        <v>152.35329447643275</v>
      </c>
      <c r="S725" s="6"/>
      <c r="T725" s="4">
        <f t="shared" ca="1" si="117"/>
        <v>3.7886258341488298E-3</v>
      </c>
      <c r="U725" s="4">
        <f t="shared" ca="1" si="118"/>
        <v>3.9735393409908046E-2</v>
      </c>
      <c r="V725" s="4">
        <f t="shared" ca="1" si="119"/>
        <v>-7.3432705000227297E-3</v>
      </c>
      <c r="W725" s="4"/>
      <c r="X725">
        <v>723</v>
      </c>
      <c r="Y725" s="4">
        <f t="shared" ca="1" si="120"/>
        <v>1.0411534755951661E-2</v>
      </c>
      <c r="Z725" s="4">
        <f ca="1"/>
        <v>1.2544024644963975E-2</v>
      </c>
      <c r="AA725" s="4"/>
    </row>
    <row r="726" spans="1:27" x14ac:dyDescent="0.35">
      <c r="A726">
        <v>724</v>
      </c>
      <c r="B726">
        <f ca="1">_xlfn.NORM.INV(RAND(),Hitorical_Sim!$AB$4,Hitorical_Sim!$AB$5)</f>
        <v>-2.1596224063237697E-2</v>
      </c>
      <c r="C726">
        <f ca="1">_xlfn.NORM.INV(RAND(),Hitorical_Sim!$AB$4,Hitorical_Sim!$AB$5)</f>
        <v>-1.0066308009006531E-2</v>
      </c>
      <c r="D726">
        <f ca="1">_xlfn.NORM.INV(RAND(),Hitorical_Sim!$AB$4,Hitorical_Sim!$AB$5)</f>
        <v>8.539160094182487E-3</v>
      </c>
      <c r="K726">
        <f t="shared" ca="1" si="121"/>
        <v>-1.4570324695606627</v>
      </c>
      <c r="L726">
        <f t="shared" ca="1" si="121"/>
        <v>-1.1327386350523532</v>
      </c>
      <c r="M726">
        <f t="shared" ca="1" si="121"/>
        <v>0.73016708742883574</v>
      </c>
      <c r="O726">
        <v>724</v>
      </c>
      <c r="P726" s="6">
        <f t="shared" ca="1" si="114"/>
        <v>1887.2910270167658</v>
      </c>
      <c r="Q726" s="6">
        <f t="shared" ca="1" si="115"/>
        <v>372.1819408471415</v>
      </c>
      <c r="R726" s="6">
        <f t="shared" ca="1" si="116"/>
        <v>154.16521193493702</v>
      </c>
      <c r="S726" s="6"/>
      <c r="T726" s="4">
        <f t="shared" ca="1" si="117"/>
        <v>-3.6954503193267159E-2</v>
      </c>
      <c r="U726" s="4">
        <f t="shared" ca="1" si="118"/>
        <v>-6.7205971054547356E-2</v>
      </c>
      <c r="V726" s="4">
        <f t="shared" ca="1" si="119"/>
        <v>1.1822702550184926E-2</v>
      </c>
      <c r="W726" s="4"/>
      <c r="X726">
        <v>724</v>
      </c>
      <c r="Y726" s="4">
        <f t="shared" ca="1" si="120"/>
        <v>-4.0577741284347851E-2</v>
      </c>
      <c r="Z726" s="4">
        <f ca="1"/>
        <v>1.2545236272044525E-2</v>
      </c>
      <c r="AA726" s="4"/>
    </row>
    <row r="727" spans="1:27" x14ac:dyDescent="0.35">
      <c r="A727">
        <v>725</v>
      </c>
      <c r="B727">
        <f ca="1">_xlfn.NORM.INV(RAND(),Hitorical_Sim!$AB$4,Hitorical_Sim!$AB$5)</f>
        <v>-1.2403712736404608E-2</v>
      </c>
      <c r="C727">
        <f ca="1">_xlfn.NORM.INV(RAND(),Hitorical_Sim!$AB$4,Hitorical_Sim!$AB$5)</f>
        <v>-2.8539581981558558E-2</v>
      </c>
      <c r="D727">
        <f ca="1">_xlfn.NORM.INV(RAND(),Hitorical_Sim!$AB$4,Hitorical_Sim!$AB$5)</f>
        <v>1.5392117314279859E-2</v>
      </c>
      <c r="K727">
        <f t="shared" ca="1" si="121"/>
        <v>-1.597615535958973</v>
      </c>
      <c r="L727">
        <f t="shared" ca="1" si="121"/>
        <v>0.45587615740115744</v>
      </c>
      <c r="M727">
        <f t="shared" ca="1" si="121"/>
        <v>0.51282159829573304</v>
      </c>
      <c r="O727">
        <v>725</v>
      </c>
      <c r="P727" s="6">
        <f t="shared" ca="1" si="114"/>
        <v>1882.4836310842627</v>
      </c>
      <c r="Q727" s="6">
        <f t="shared" ca="1" si="115"/>
        <v>389.43839784009936</v>
      </c>
      <c r="R727" s="6">
        <f t="shared" ca="1" si="116"/>
        <v>153.14645253111129</v>
      </c>
      <c r="S727" s="6"/>
      <c r="T727" s="4">
        <f t="shared" ca="1" si="117"/>
        <v>-2.5504965015318566E-3</v>
      </c>
      <c r="U727" s="4">
        <f t="shared" ca="1" si="118"/>
        <v>4.5322872773879114E-2</v>
      </c>
      <c r="V727" s="4">
        <f t="shared" ca="1" si="119"/>
        <v>-6.6301624936242684E-3</v>
      </c>
      <c r="W727" s="4"/>
      <c r="X727">
        <v>725</v>
      </c>
      <c r="Y727" s="4">
        <f t="shared" ca="1" si="120"/>
        <v>6.8015972344143858E-3</v>
      </c>
      <c r="Z727" s="4">
        <f ca="1"/>
        <v>1.2565876780797604E-2</v>
      </c>
      <c r="AA727" s="4"/>
    </row>
    <row r="728" spans="1:27" x14ac:dyDescent="0.35">
      <c r="A728">
        <v>726</v>
      </c>
      <c r="B728">
        <f ca="1">_xlfn.NORM.INV(RAND(),Hitorical_Sim!$AB$4,Hitorical_Sim!$AB$5)</f>
        <v>-5.7943607006382481E-3</v>
      </c>
      <c r="C728">
        <f ca="1">_xlfn.NORM.INV(RAND(),Hitorical_Sim!$AB$4,Hitorical_Sim!$AB$5)</f>
        <v>4.119916525587305E-3</v>
      </c>
      <c r="D728">
        <f ca="1">_xlfn.NORM.INV(RAND(),Hitorical_Sim!$AB$4,Hitorical_Sim!$AB$5)</f>
        <v>1.2715943816427218E-2</v>
      </c>
      <c r="K728">
        <f t="shared" ca="1" si="121"/>
        <v>-1.6112509146758947</v>
      </c>
      <c r="L728">
        <f t="shared" ca="1" si="121"/>
        <v>0.16904856909412813</v>
      </c>
      <c r="M728">
        <f t="shared" ca="1" si="121"/>
        <v>1.5749202593698629E-2</v>
      </c>
      <c r="O728">
        <v>726</v>
      </c>
      <c r="P728" s="6">
        <f t="shared" ca="1" si="114"/>
        <v>1882.0180059476795</v>
      </c>
      <c r="Q728" s="6">
        <f t="shared" ca="1" si="115"/>
        <v>386.26457424072572</v>
      </c>
      <c r="R728" s="6">
        <f t="shared" ca="1" si="116"/>
        <v>150.84176727078238</v>
      </c>
      <c r="S728" s="6"/>
      <c r="T728" s="4">
        <f t="shared" ca="1" si="117"/>
        <v>-2.4737677592020124E-4</v>
      </c>
      <c r="U728" s="4">
        <f t="shared" ca="1" si="118"/>
        <v>-8.183135618925327E-3</v>
      </c>
      <c r="V728" s="4">
        <f t="shared" ca="1" si="119"/>
        <v>-1.5163281132471002E-2</v>
      </c>
      <c r="W728" s="4"/>
      <c r="X728">
        <v>726</v>
      </c>
      <c r="Y728" s="4">
        <f t="shared" ca="1" si="120"/>
        <v>-2.5692907355221138E-3</v>
      </c>
      <c r="Z728" s="4">
        <f ca="1"/>
        <v>1.2649885295808653E-2</v>
      </c>
      <c r="AA728" s="4"/>
    </row>
    <row r="729" spans="1:27" x14ac:dyDescent="0.35">
      <c r="A729">
        <v>727</v>
      </c>
      <c r="B729">
        <f ca="1">_xlfn.NORM.INV(RAND(),Hitorical_Sim!$AB$4,Hitorical_Sim!$AB$5)</f>
        <v>-2.4156451871614193E-2</v>
      </c>
      <c r="C729">
        <f ca="1">_xlfn.NORM.INV(RAND(),Hitorical_Sim!$AB$4,Hitorical_Sim!$AB$5)</f>
        <v>2.3087675067627177E-2</v>
      </c>
      <c r="D729">
        <f ca="1">_xlfn.NORM.INV(RAND(),Hitorical_Sim!$AB$4,Hitorical_Sim!$AB$5)</f>
        <v>1.0451627371394763E-3</v>
      </c>
      <c r="K729">
        <f t="shared" ca="1" si="121"/>
        <v>0.6385600053438405</v>
      </c>
      <c r="L729">
        <f t="shared" ca="1" si="121"/>
        <v>1.8857878900391436</v>
      </c>
      <c r="M729">
        <f t="shared" ca="1" si="121"/>
        <v>-8.5157865705827902E-3</v>
      </c>
      <c r="O729">
        <v>727</v>
      </c>
      <c r="P729" s="6">
        <f t="shared" ca="1" si="114"/>
        <v>1960.4250159138035</v>
      </c>
      <c r="Q729" s="6">
        <f t="shared" ca="1" si="115"/>
        <v>405.65408982943296</v>
      </c>
      <c r="R729" s="6">
        <f t="shared" ca="1" si="116"/>
        <v>150.7301543352288</v>
      </c>
      <c r="S729" s="6"/>
      <c r="T729" s="4">
        <f t="shared" ca="1" si="117"/>
        <v>4.0816686017937788E-2</v>
      </c>
      <c r="U729" s="4">
        <f t="shared" ca="1" si="118"/>
        <v>4.8978240791109712E-2</v>
      </c>
      <c r="V729" s="4">
        <f t="shared" ca="1" si="119"/>
        <v>-7.402077756796454E-4</v>
      </c>
      <c r="W729" s="4"/>
      <c r="X729">
        <v>727</v>
      </c>
      <c r="Y729" s="4">
        <f t="shared" ca="1" si="120"/>
        <v>4.038881635675079E-2</v>
      </c>
      <c r="Z729" s="4">
        <f ca="1"/>
        <v>1.2666250547282914E-2</v>
      </c>
      <c r="AA729" s="4"/>
    </row>
    <row r="730" spans="1:27" x14ac:dyDescent="0.35">
      <c r="A730">
        <v>728</v>
      </c>
      <c r="B730">
        <f ca="1">_xlfn.NORM.INV(RAND(),Hitorical_Sim!$AB$4,Hitorical_Sim!$AB$5)</f>
        <v>-2.0873288086544818E-3</v>
      </c>
      <c r="C730">
        <f ca="1">_xlfn.NORM.INV(RAND(),Hitorical_Sim!$AB$4,Hitorical_Sim!$AB$5)</f>
        <v>1.1377417336700581E-3</v>
      </c>
      <c r="D730">
        <f ca="1">_xlfn.NORM.INV(RAND(),Hitorical_Sim!$AB$4,Hitorical_Sim!$AB$5)</f>
        <v>2.2774477397668493E-2</v>
      </c>
      <c r="K730">
        <f t="shared" ca="1" si="121"/>
        <v>-2.7586285047508485</v>
      </c>
      <c r="L730">
        <f t="shared" ca="1" si="121"/>
        <v>1.2307516620470718</v>
      </c>
      <c r="M730">
        <f t="shared" ca="1" si="121"/>
        <v>0.98084240518153831</v>
      </c>
      <c r="O730">
        <v>728</v>
      </c>
      <c r="P730" s="6">
        <f t="shared" ca="1" si="114"/>
        <v>1843.2467782503543</v>
      </c>
      <c r="Q730" s="6">
        <f t="shared" ca="1" si="115"/>
        <v>398.1435999319753</v>
      </c>
      <c r="R730" s="6">
        <f t="shared" ca="1" si="116"/>
        <v>155.34861600844781</v>
      </c>
      <c r="S730" s="6"/>
      <c r="T730" s="4">
        <f t="shared" ca="1" si="117"/>
        <v>-6.16327245665E-2</v>
      </c>
      <c r="U730" s="4">
        <f t="shared" ca="1" si="118"/>
        <v>-1.8688056893713657E-2</v>
      </c>
      <c r="V730" s="4">
        <f t="shared" ca="1" si="119"/>
        <v>3.018054619802979E-2</v>
      </c>
      <c r="W730" s="4"/>
      <c r="X730">
        <v>728</v>
      </c>
      <c r="Y730" s="4">
        <f t="shared" ca="1" si="120"/>
        <v>-4.8518489992928529E-2</v>
      </c>
      <c r="Z730" s="4">
        <f ca="1"/>
        <v>1.2713371532783806E-2</v>
      </c>
      <c r="AA730" s="4"/>
    </row>
    <row r="731" spans="1:27" x14ac:dyDescent="0.35">
      <c r="A731">
        <v>729</v>
      </c>
      <c r="B731">
        <f ca="1">_xlfn.NORM.INV(RAND(),Hitorical_Sim!$AB$4,Hitorical_Sim!$AB$5)</f>
        <v>-1.5961466066724876E-2</v>
      </c>
      <c r="C731">
        <f ca="1">_xlfn.NORM.INV(RAND(),Hitorical_Sim!$AB$4,Hitorical_Sim!$AB$5)</f>
        <v>7.4611502487171672E-3</v>
      </c>
      <c r="D731">
        <f ca="1">_xlfn.NORM.INV(RAND(),Hitorical_Sim!$AB$4,Hitorical_Sim!$AB$5)</f>
        <v>1.6471561216973771E-3</v>
      </c>
      <c r="K731">
        <f t="shared" ca="1" si="121"/>
        <v>-2.9316337437900266</v>
      </c>
      <c r="L731">
        <f t="shared" ca="1" si="121"/>
        <v>0.55758189670518021</v>
      </c>
      <c r="M731">
        <f t="shared" ca="1" si="121"/>
        <v>-2.3947929411707083</v>
      </c>
      <c r="O731">
        <v>729</v>
      </c>
      <c r="P731" s="6">
        <f t="shared" ca="1" si="114"/>
        <v>1837.4704339043965</v>
      </c>
      <c r="Q731" s="6">
        <f t="shared" ca="1" si="115"/>
        <v>390.5700508815346</v>
      </c>
      <c r="R731" s="6">
        <f t="shared" ca="1" si="116"/>
        <v>140.14777128273096</v>
      </c>
      <c r="S731" s="6"/>
      <c r="T731" s="4">
        <f t="shared" ca="1" si="117"/>
        <v>-3.1387084392223165E-3</v>
      </c>
      <c r="U731" s="4">
        <f t="shared" ca="1" si="118"/>
        <v>-1.9205403207087055E-2</v>
      </c>
      <c r="V731" s="4">
        <f t="shared" ca="1" si="119"/>
        <v>-0.10297435182485597</v>
      </c>
      <c r="W731" s="4"/>
      <c r="X731">
        <v>729</v>
      </c>
      <c r="Y731" s="4">
        <f t="shared" ca="1" si="120"/>
        <v>-1.1285984865063239E-2</v>
      </c>
      <c r="Z731" s="4">
        <f ca="1"/>
        <v>1.2723116095576349E-2</v>
      </c>
      <c r="AA731" s="4"/>
    </row>
    <row r="732" spans="1:27" x14ac:dyDescent="0.35">
      <c r="A732">
        <v>730</v>
      </c>
      <c r="B732">
        <f ca="1">_xlfn.NORM.INV(RAND(),Hitorical_Sim!$AB$4,Hitorical_Sim!$AB$5)</f>
        <v>-1.3732431397154077E-2</v>
      </c>
      <c r="C732">
        <f ca="1">_xlfn.NORM.INV(RAND(),Hitorical_Sim!$AB$4,Hitorical_Sim!$AB$5)</f>
        <v>1.8548263405173567E-2</v>
      </c>
      <c r="D732">
        <f ca="1">_xlfn.NORM.INV(RAND(),Hitorical_Sim!$AB$4,Hitorical_Sim!$AB$5)</f>
        <v>-1.2489484566376389E-2</v>
      </c>
      <c r="K732">
        <f t="shared" ca="1" si="121"/>
        <v>0.74017674427358671</v>
      </c>
      <c r="L732">
        <f t="shared" ca="1" si="121"/>
        <v>0.94565673121189797</v>
      </c>
      <c r="M732">
        <f t="shared" ca="1" si="121"/>
        <v>-0.31460257374858314</v>
      </c>
      <c r="O732">
        <v>730</v>
      </c>
      <c r="P732" s="6">
        <f t="shared" ca="1" si="114"/>
        <v>1964.0425080405648</v>
      </c>
      <c r="Q732" s="6">
        <f t="shared" ca="1" si="115"/>
        <v>394.91835242877016</v>
      </c>
      <c r="R732" s="6">
        <f t="shared" ca="1" si="116"/>
        <v>149.32930221591968</v>
      </c>
      <c r="S732" s="6"/>
      <c r="T732" s="4">
        <f t="shared" ca="1" si="117"/>
        <v>6.6614991719992522E-2</v>
      </c>
      <c r="U732" s="4">
        <f t="shared" ca="1" si="118"/>
        <v>1.1071699970719554E-2</v>
      </c>
      <c r="V732" s="4">
        <f t="shared" ca="1" si="119"/>
        <v>6.3456574179161826E-2</v>
      </c>
      <c r="W732" s="4"/>
      <c r="X732">
        <v>730</v>
      </c>
      <c r="Y732" s="4">
        <f t="shared" ca="1" si="120"/>
        <v>5.5374012124605049E-2</v>
      </c>
      <c r="Z732" s="4">
        <f ca="1"/>
        <v>1.2841009674577063E-2</v>
      </c>
      <c r="AA732" s="4"/>
    </row>
    <row r="733" spans="1:27" x14ac:dyDescent="0.35">
      <c r="A733">
        <v>731</v>
      </c>
      <c r="B733">
        <f ca="1">_xlfn.NORM.INV(RAND(),Hitorical_Sim!$AB$4,Hitorical_Sim!$AB$5)</f>
        <v>-1.0167711493287854E-2</v>
      </c>
      <c r="C733">
        <f ca="1">_xlfn.NORM.INV(RAND(),Hitorical_Sim!$AB$4,Hitorical_Sim!$AB$5)</f>
        <v>-5.2627790619027438E-3</v>
      </c>
      <c r="D733">
        <f ca="1">_xlfn.NORM.INV(RAND(),Hitorical_Sim!$AB$4,Hitorical_Sim!$AB$5)</f>
        <v>1.0574404946954356E-2</v>
      </c>
      <c r="K733">
        <f t="shared" ca="1" si="121"/>
        <v>0.99945909590606286</v>
      </c>
      <c r="L733">
        <f t="shared" ca="1" si="121"/>
        <v>-6.7583461729157843E-2</v>
      </c>
      <c r="M733">
        <f t="shared" ca="1" si="121"/>
        <v>-0.40632881882786515</v>
      </c>
      <c r="O733">
        <v>731</v>
      </c>
      <c r="P733" s="6">
        <f t="shared" ca="1" si="114"/>
        <v>1973.3030715630061</v>
      </c>
      <c r="Q733" s="6">
        <f t="shared" ca="1" si="115"/>
        <v>383.66565917318587</v>
      </c>
      <c r="R733" s="6">
        <f t="shared" ca="1" si="116"/>
        <v>148.91204416125601</v>
      </c>
      <c r="S733" s="6"/>
      <c r="T733" s="4">
        <f t="shared" ca="1" si="117"/>
        <v>4.7039714504019219E-3</v>
      </c>
      <c r="U733" s="4">
        <f t="shared" ca="1" si="118"/>
        <v>-2.890754673329169E-2</v>
      </c>
      <c r="V733" s="4">
        <f t="shared" ca="1" si="119"/>
        <v>-2.7981252899765795E-3</v>
      </c>
      <c r="W733" s="4"/>
      <c r="X733">
        <v>731</v>
      </c>
      <c r="Y733" s="4">
        <f t="shared" ca="1" si="120"/>
        <v>-2.3750946338228088E-3</v>
      </c>
      <c r="Z733" s="4">
        <f ca="1"/>
        <v>1.2848449210701973E-2</v>
      </c>
      <c r="AA733" s="4"/>
    </row>
    <row r="734" spans="1:27" x14ac:dyDescent="0.35">
      <c r="A734">
        <v>732</v>
      </c>
      <c r="B734">
        <f ca="1">_xlfn.NORM.INV(RAND(),Hitorical_Sim!$AB$4,Hitorical_Sim!$AB$5)</f>
        <v>-5.4540530938099003E-3</v>
      </c>
      <c r="C734">
        <f ca="1">_xlfn.NORM.INV(RAND(),Hitorical_Sim!$AB$4,Hitorical_Sim!$AB$5)</f>
        <v>2.9577252245944529E-3</v>
      </c>
      <c r="D734">
        <f ca="1">_xlfn.NORM.INV(RAND(),Hitorical_Sim!$AB$4,Hitorical_Sim!$AB$5)</f>
        <v>2.1179528548778054E-2</v>
      </c>
      <c r="K734">
        <f t="shared" ca="1" si="121"/>
        <v>-0.38298773602260228</v>
      </c>
      <c r="L734">
        <f t="shared" ca="1" si="121"/>
        <v>-7.7155324160705016E-2</v>
      </c>
      <c r="M734">
        <f t="shared" ca="1" si="121"/>
        <v>0.47468391014047939</v>
      </c>
      <c r="O734">
        <v>732</v>
      </c>
      <c r="P734" s="6">
        <f t="shared" ca="1" si="114"/>
        <v>1924.4266815714175</v>
      </c>
      <c r="Q734" s="6">
        <f t="shared" ca="1" si="115"/>
        <v>383.5609007612448</v>
      </c>
      <c r="R734" s="6">
        <f t="shared" ca="1" si="116"/>
        <v>152.96838602316117</v>
      </c>
      <c r="S734" s="6"/>
      <c r="T734" s="4">
        <f t="shared" ca="1" si="117"/>
        <v>-2.5080729128486138E-2</v>
      </c>
      <c r="U734" s="4">
        <f t="shared" ca="1" si="118"/>
        <v>-2.7308338387311301E-4</v>
      </c>
      <c r="V734" s="4">
        <f t="shared" ca="1" si="119"/>
        <v>2.6875448739745355E-2</v>
      </c>
      <c r="W734" s="4"/>
      <c r="X734">
        <v>732</v>
      </c>
      <c r="Y734" s="4">
        <f t="shared" ca="1" si="120"/>
        <v>-1.755859754869863E-2</v>
      </c>
      <c r="Z734" s="4">
        <f ca="1"/>
        <v>1.2857888433959299E-2</v>
      </c>
      <c r="AA734" s="4"/>
    </row>
    <row r="735" spans="1:27" x14ac:dyDescent="0.35">
      <c r="A735">
        <v>733</v>
      </c>
      <c r="B735">
        <f ca="1">_xlfn.NORM.INV(RAND(),Hitorical_Sim!$AB$4,Hitorical_Sim!$AB$5)</f>
        <v>-1.6504205494511568E-2</v>
      </c>
      <c r="C735">
        <f ca="1">_xlfn.NORM.INV(RAND(),Hitorical_Sim!$AB$4,Hitorical_Sim!$AB$5)</f>
        <v>2.0044035466050259E-2</v>
      </c>
      <c r="D735">
        <f ca="1">_xlfn.NORM.INV(RAND(),Hitorical_Sim!$AB$4,Hitorical_Sim!$AB$5)</f>
        <v>1.3744890678020757E-2</v>
      </c>
      <c r="K735">
        <f t="shared" ca="1" si="121"/>
        <v>0.36260283912425367</v>
      </c>
      <c r="L735">
        <f t="shared" ca="1" si="121"/>
        <v>-0.84074317665649967</v>
      </c>
      <c r="M735">
        <f t="shared" ca="1" si="121"/>
        <v>4.881744195374952E-2</v>
      </c>
      <c r="O735">
        <v>733</v>
      </c>
      <c r="P735" s="6">
        <f t="shared" ca="1" si="114"/>
        <v>1950.6346947114091</v>
      </c>
      <c r="Q735" s="6">
        <f t="shared" ca="1" si="115"/>
        <v>375.29538039290742</v>
      </c>
      <c r="R735" s="6">
        <f t="shared" ca="1" si="116"/>
        <v>150.99400604973115</v>
      </c>
      <c r="S735" s="6"/>
      <c r="T735" s="4">
        <f t="shared" ca="1" si="117"/>
        <v>1.3526708459320642E-2</v>
      </c>
      <c r="U735" s="4">
        <f t="shared" ca="1" si="118"/>
        <v>-2.1785013745778386E-2</v>
      </c>
      <c r="V735" s="4">
        <f t="shared" ca="1" si="119"/>
        <v>-1.2991131750311167E-2</v>
      </c>
      <c r="W735" s="4"/>
      <c r="X735">
        <v>733</v>
      </c>
      <c r="Y735" s="4">
        <f t="shared" ca="1" si="120"/>
        <v>5.1672446144878205E-3</v>
      </c>
      <c r="Z735" s="4">
        <f ca="1"/>
        <v>1.2912083951240251E-2</v>
      </c>
      <c r="AA735" s="4"/>
    </row>
    <row r="736" spans="1:27" x14ac:dyDescent="0.35">
      <c r="A736">
        <v>734</v>
      </c>
      <c r="B736">
        <f ca="1">_xlfn.NORM.INV(RAND(),Hitorical_Sim!$AB$4,Hitorical_Sim!$AB$5)</f>
        <v>-1.1000540834415342E-2</v>
      </c>
      <c r="C736">
        <f ca="1">_xlfn.NORM.INV(RAND(),Hitorical_Sim!$AB$4,Hitorical_Sim!$AB$5)</f>
        <v>-1.0564172115704188E-2</v>
      </c>
      <c r="D736">
        <f ca="1">_xlfn.NORM.INV(RAND(),Hitorical_Sim!$AB$4,Hitorical_Sim!$AB$5)</f>
        <v>-3.450689544784348E-2</v>
      </c>
      <c r="K736">
        <f t="shared" ca="1" si="121"/>
        <v>0.61718139506645064</v>
      </c>
      <c r="L736">
        <f t="shared" ca="1" si="121"/>
        <v>0.87843585634489529</v>
      </c>
      <c r="M736">
        <f t="shared" ca="1" si="121"/>
        <v>0.79998682464191762</v>
      </c>
      <c r="O736">
        <v>734</v>
      </c>
      <c r="P736" s="6">
        <f t="shared" ca="1" si="114"/>
        <v>1959.6647995616343</v>
      </c>
      <c r="Q736" s="6">
        <f t="shared" ca="1" si="115"/>
        <v>394.16170436286052</v>
      </c>
      <c r="R736" s="6">
        <f t="shared" ca="1" si="116"/>
        <v>154.49391269736756</v>
      </c>
      <c r="S736" s="6"/>
      <c r="T736" s="4">
        <f t="shared" ca="1" si="117"/>
        <v>4.6186339004441485E-3</v>
      </c>
      <c r="U736" s="4">
        <f t="shared" ca="1" si="118"/>
        <v>4.9047845304212079E-2</v>
      </c>
      <c r="V736" s="4">
        <f t="shared" ca="1" si="119"/>
        <v>2.2914554552398152E-2</v>
      </c>
      <c r="W736" s="4"/>
      <c r="X736">
        <v>734</v>
      </c>
      <c r="Y736" s="4">
        <f t="shared" ca="1" si="120"/>
        <v>1.4390753793295727E-2</v>
      </c>
      <c r="Z736" s="4">
        <f ca="1"/>
        <v>1.302776340493437E-2</v>
      </c>
      <c r="AA736" s="4"/>
    </row>
    <row r="737" spans="1:27" x14ac:dyDescent="0.35">
      <c r="A737">
        <v>735</v>
      </c>
      <c r="B737">
        <f ca="1">_xlfn.NORM.INV(RAND(),Hitorical_Sim!$AB$4,Hitorical_Sim!$AB$5)</f>
        <v>2.0481033485202974E-2</v>
      </c>
      <c r="C737">
        <f ca="1">_xlfn.NORM.INV(RAND(),Hitorical_Sim!$AB$4,Hitorical_Sim!$AB$5)</f>
        <v>1.2887374764313519E-2</v>
      </c>
      <c r="D737">
        <f ca="1">_xlfn.NORM.INV(RAND(),Hitorical_Sim!$AB$4,Hitorical_Sim!$AB$5)</f>
        <v>-7.6434364302490352E-3</v>
      </c>
      <c r="K737">
        <f t="shared" ca="1" si="121"/>
        <v>1.0485713064808735</v>
      </c>
      <c r="L737">
        <f t="shared" ca="1" si="121"/>
        <v>1.6335226049901796</v>
      </c>
      <c r="M737">
        <f t="shared" ca="1" si="121"/>
        <v>1.6799859994873565</v>
      </c>
      <c r="O737">
        <v>735</v>
      </c>
      <c r="P737" s="6">
        <f t="shared" ca="1" si="114"/>
        <v>1975.0620822931828</v>
      </c>
      <c r="Q737" s="6">
        <f t="shared" ca="1" si="115"/>
        <v>402.74504584481144</v>
      </c>
      <c r="R737" s="6">
        <f t="shared" ca="1" si="116"/>
        <v>158.69739704054612</v>
      </c>
      <c r="S737" s="6"/>
      <c r="T737" s="4">
        <f t="shared" ca="1" si="117"/>
        <v>7.8263939466319682E-3</v>
      </c>
      <c r="U737" s="4">
        <f t="shared" ca="1" si="118"/>
        <v>2.1542478897126401E-2</v>
      </c>
      <c r="V737" s="4">
        <f t="shared" ca="1" si="119"/>
        <v>2.6844530092398341E-2</v>
      </c>
      <c r="W737" s="4"/>
      <c r="X737">
        <v>735</v>
      </c>
      <c r="Y737" s="4">
        <f t="shared" ca="1" si="120"/>
        <v>1.1504896376631869E-2</v>
      </c>
      <c r="Z737" s="4">
        <f ca="1"/>
        <v>1.3045498330951579E-2</v>
      </c>
      <c r="AA737" s="4"/>
    </row>
    <row r="738" spans="1:27" x14ac:dyDescent="0.35">
      <c r="A738">
        <v>736</v>
      </c>
      <c r="B738">
        <f ca="1">_xlfn.NORM.INV(RAND(),Hitorical_Sim!$AB$4,Hitorical_Sim!$AB$5)</f>
        <v>5.718602513447833E-4</v>
      </c>
      <c r="C738">
        <f ca="1">_xlfn.NORM.INV(RAND(),Hitorical_Sim!$AB$4,Hitorical_Sim!$AB$5)</f>
        <v>1.7789939490945612E-2</v>
      </c>
      <c r="D738">
        <f ca="1">_xlfn.NORM.INV(RAND(),Hitorical_Sim!$AB$4,Hitorical_Sim!$AB$5)</f>
        <v>3.4097277507579766E-3</v>
      </c>
      <c r="K738">
        <f t="shared" ca="1" si="121"/>
        <v>1.6545201035639288</v>
      </c>
      <c r="L738">
        <f t="shared" ca="1" si="121"/>
        <v>-1.4287333296060754</v>
      </c>
      <c r="M738">
        <f t="shared" ca="1" si="121"/>
        <v>-0.30702476639720538</v>
      </c>
      <c r="O738">
        <v>736</v>
      </c>
      <c r="P738" s="6">
        <f t="shared" ca="1" si="114"/>
        <v>1996.8942947309399</v>
      </c>
      <c r="Q738" s="6">
        <f t="shared" ca="1" si="115"/>
        <v>369.05221999153264</v>
      </c>
      <c r="R738" s="6">
        <f t="shared" ca="1" si="116"/>
        <v>149.3638255184718</v>
      </c>
      <c r="S738" s="6"/>
      <c r="T738" s="4">
        <f t="shared" ca="1" si="117"/>
        <v>1.0993289068607083E-2</v>
      </c>
      <c r="U738" s="4">
        <f t="shared" ca="1" si="118"/>
        <v>-8.7365569541506261E-2</v>
      </c>
      <c r="V738" s="4">
        <f t="shared" ca="1" si="119"/>
        <v>-6.06141139940004E-2</v>
      </c>
      <c r="W738" s="4"/>
      <c r="X738">
        <v>736</v>
      </c>
      <c r="Y738" s="4">
        <f t="shared" ca="1" si="120"/>
        <v>-1.2179858678212651E-2</v>
      </c>
      <c r="Z738" s="4">
        <f ca="1"/>
        <v>1.3102757579853606E-2</v>
      </c>
      <c r="AA738" s="4"/>
    </row>
    <row r="739" spans="1:27" x14ac:dyDescent="0.35">
      <c r="A739">
        <v>737</v>
      </c>
      <c r="B739">
        <f ca="1">_xlfn.NORM.INV(RAND(),Hitorical_Sim!$AB$4,Hitorical_Sim!$AB$5)</f>
        <v>-2.2555897076376036E-2</v>
      </c>
      <c r="C739">
        <f ca="1">_xlfn.NORM.INV(RAND(),Hitorical_Sim!$AB$4,Hitorical_Sim!$AB$5)</f>
        <v>1.1534518611490298E-2</v>
      </c>
      <c r="D739">
        <f ca="1">_xlfn.NORM.INV(RAND(),Hitorical_Sim!$AB$4,Hitorical_Sim!$AB$5)</f>
        <v>-1.1012455440599722E-2</v>
      </c>
      <c r="K739">
        <f t="shared" ca="1" si="121"/>
        <v>1.408826818613979</v>
      </c>
      <c r="L739">
        <f t="shared" ca="1" si="121"/>
        <v>0.28201814042394602</v>
      </c>
      <c r="M739">
        <f t="shared" ca="1" si="121"/>
        <v>-8.4672491139748077E-2</v>
      </c>
      <c r="O739">
        <v>737</v>
      </c>
      <c r="P739" s="6">
        <f t="shared" ca="1" si="114"/>
        <v>1988.0130768797233</v>
      </c>
      <c r="Q739" s="6">
        <f t="shared" ca="1" si="115"/>
        <v>387.51151333439282</v>
      </c>
      <c r="R739" s="6">
        <f t="shared" ca="1" si="116"/>
        <v>150.38038844419299</v>
      </c>
      <c r="S739" s="6"/>
      <c r="T739" s="4">
        <f t="shared" ca="1" si="117"/>
        <v>-4.4574348800963393E-3</v>
      </c>
      <c r="U739" s="4">
        <f t="shared" ca="1" si="118"/>
        <v>4.8807408562618358E-2</v>
      </c>
      <c r="V739" s="4">
        <f t="shared" ca="1" si="119"/>
        <v>6.7828953877261755E-3</v>
      </c>
      <c r="W739" s="4"/>
      <c r="X739">
        <v>737</v>
      </c>
      <c r="Y739" s="4">
        <f t="shared" ca="1" si="120"/>
        <v>6.728813355029447E-3</v>
      </c>
      <c r="Z739" s="4">
        <f ca="1"/>
        <v>1.3105494799032266E-2</v>
      </c>
      <c r="AA739" s="4"/>
    </row>
    <row r="740" spans="1:27" x14ac:dyDescent="0.35">
      <c r="A740">
        <v>738</v>
      </c>
      <c r="B740">
        <f ca="1">_xlfn.NORM.INV(RAND(),Hitorical_Sim!$AB$4,Hitorical_Sim!$AB$5)</f>
        <v>-6.479055101985264E-3</v>
      </c>
      <c r="C740">
        <f ca="1">_xlfn.NORM.INV(RAND(),Hitorical_Sim!$AB$4,Hitorical_Sim!$AB$5)</f>
        <v>-5.4784316517004382E-3</v>
      </c>
      <c r="D740">
        <f ca="1">_xlfn.NORM.INV(RAND(),Hitorical_Sim!$AB$4,Hitorical_Sim!$AB$5)</f>
        <v>3.9769989303756782E-3</v>
      </c>
      <c r="K740">
        <f t="shared" ca="1" si="121"/>
        <v>1.8567635210748734</v>
      </c>
      <c r="L740">
        <f t="shared" ca="1" si="121"/>
        <v>-0.8464419926020279</v>
      </c>
      <c r="M740">
        <f t="shared" ca="1" si="121"/>
        <v>0.25386526078857147</v>
      </c>
      <c r="O740">
        <v>738</v>
      </c>
      <c r="P740" s="6">
        <f t="shared" ca="1" si="114"/>
        <v>2004.2346686318569</v>
      </c>
      <c r="Q740" s="6">
        <f t="shared" ca="1" si="115"/>
        <v>375.23436753444457</v>
      </c>
      <c r="R740" s="6">
        <f t="shared" ca="1" si="116"/>
        <v>151.94143657039592</v>
      </c>
      <c r="S740" s="6"/>
      <c r="T740" s="4">
        <f t="shared" ca="1" si="117"/>
        <v>8.1265903625786003E-3</v>
      </c>
      <c r="U740" s="4">
        <f t="shared" ca="1" si="118"/>
        <v>-3.2194749339165385E-2</v>
      </c>
      <c r="V740" s="4">
        <f t="shared" ca="1" si="119"/>
        <v>1.0327153852898651E-2</v>
      </c>
      <c r="W740" s="4"/>
      <c r="X740">
        <v>738</v>
      </c>
      <c r="Y740" s="4">
        <f t="shared" ca="1" si="120"/>
        <v>1.8864370305816697E-4</v>
      </c>
      <c r="Z740" s="4">
        <f ca="1"/>
        <v>1.3170458694171007E-2</v>
      </c>
      <c r="AA740" s="4"/>
    </row>
    <row r="741" spans="1:27" x14ac:dyDescent="0.35">
      <c r="A741">
        <v>739</v>
      </c>
      <c r="B741">
        <f ca="1">_xlfn.NORM.INV(RAND(),Hitorical_Sim!$AB$4,Hitorical_Sim!$AB$5)</f>
        <v>-5.7432128358894568E-3</v>
      </c>
      <c r="C741">
        <f ca="1">_xlfn.NORM.INV(RAND(),Hitorical_Sim!$AB$4,Hitorical_Sim!$AB$5)</f>
        <v>-1.1316646651325169E-2</v>
      </c>
      <c r="D741">
        <f ca="1">_xlfn.NORM.INV(RAND(),Hitorical_Sim!$AB$4,Hitorical_Sim!$AB$5)</f>
        <v>2.4240738694784731E-2</v>
      </c>
      <c r="K741">
        <f t="shared" ca="1" si="121"/>
        <v>-0.36297941432522529</v>
      </c>
      <c r="L741">
        <f t="shared" ca="1" si="121"/>
        <v>0.34168315089729079</v>
      </c>
      <c r="M741">
        <f t="shared" ca="1" si="121"/>
        <v>-2.0062924448210968E-2</v>
      </c>
      <c r="O741">
        <v>739</v>
      </c>
      <c r="P741" s="6">
        <f t="shared" ca="1" si="114"/>
        <v>1925.125368434137</v>
      </c>
      <c r="Q741" s="6">
        <f t="shared" ca="1" si="115"/>
        <v>388.17170926987126</v>
      </c>
      <c r="R741" s="6">
        <f t="shared" ca="1" si="116"/>
        <v>150.67706936853358</v>
      </c>
      <c r="S741" s="6"/>
      <c r="T741" s="4">
        <f t="shared" ca="1" si="117"/>
        <v>-4.0271184404228375E-2</v>
      </c>
      <c r="U741" s="4">
        <f t="shared" ca="1" si="118"/>
        <v>3.3896980548129028E-2</v>
      </c>
      <c r="V741" s="4">
        <f t="shared" ca="1" si="119"/>
        <v>-8.3562276215048362E-3</v>
      </c>
      <c r="W741" s="4"/>
      <c r="X741">
        <v>739</v>
      </c>
      <c r="Y741" s="4">
        <f t="shared" ca="1" si="120"/>
        <v>-2.3890110413045125E-2</v>
      </c>
      <c r="Z741" s="4">
        <f ca="1"/>
        <v>1.3188530474017511E-2</v>
      </c>
      <c r="AA741" s="4"/>
    </row>
    <row r="742" spans="1:27" x14ac:dyDescent="0.35">
      <c r="A742">
        <v>740</v>
      </c>
      <c r="B742">
        <f ca="1">_xlfn.NORM.INV(RAND(),Hitorical_Sim!$AB$4,Hitorical_Sim!$AB$5)</f>
        <v>2.3864541266431141E-2</v>
      </c>
      <c r="C742">
        <f ca="1">_xlfn.NORM.INV(RAND(),Hitorical_Sim!$AB$4,Hitorical_Sim!$AB$5)</f>
        <v>1.4113627400735353E-2</v>
      </c>
      <c r="D742">
        <f ca="1">_xlfn.NORM.INV(RAND(),Hitorical_Sim!$AB$4,Hitorical_Sim!$AB$5)</f>
        <v>4.8482412289844153E-3</v>
      </c>
      <c r="K742">
        <f t="shared" ca="1" si="121"/>
        <v>-1.9284981220445627</v>
      </c>
      <c r="L742">
        <f t="shared" ca="1" si="121"/>
        <v>-0.31979907395393908</v>
      </c>
      <c r="M742">
        <f t="shared" ca="1" si="121"/>
        <v>-0.50837898053328212</v>
      </c>
      <c r="O742">
        <v>740</v>
      </c>
      <c r="P742" s="6">
        <f t="shared" ca="1" si="114"/>
        <v>1871.2170028133123</v>
      </c>
      <c r="Q742" s="6">
        <f t="shared" ca="1" si="115"/>
        <v>380.91483937972373</v>
      </c>
      <c r="R742" s="6">
        <f t="shared" ca="1" si="116"/>
        <v>148.44919311777392</v>
      </c>
      <c r="S742" s="6"/>
      <c r="T742" s="4">
        <f t="shared" ca="1" si="117"/>
        <v>-2.8402069249280314E-2</v>
      </c>
      <c r="U742" s="4">
        <f t="shared" ca="1" si="118"/>
        <v>-1.8871959937381996E-2</v>
      </c>
      <c r="V742" s="4">
        <f t="shared" ca="1" si="119"/>
        <v>-1.4896167447519938E-2</v>
      </c>
      <c r="W742" s="4"/>
      <c r="X742">
        <v>740</v>
      </c>
      <c r="Y742" s="4">
        <f t="shared" ca="1" si="120"/>
        <v>-2.5831754750127132E-2</v>
      </c>
      <c r="Z742" s="4">
        <f ca="1"/>
        <v>1.3253672074751937E-2</v>
      </c>
      <c r="AA742" s="4"/>
    </row>
    <row r="743" spans="1:27" x14ac:dyDescent="0.35">
      <c r="A743">
        <v>741</v>
      </c>
      <c r="B743">
        <f ca="1">_xlfn.NORM.INV(RAND(),Hitorical_Sim!$AB$4,Hitorical_Sim!$AB$5)</f>
        <v>6.0593789536505715E-3</v>
      </c>
      <c r="C743">
        <f ca="1">_xlfn.NORM.INV(RAND(),Hitorical_Sim!$AB$4,Hitorical_Sim!$AB$5)</f>
        <v>-6.0121625728080681E-3</v>
      </c>
      <c r="D743">
        <f ca="1">_xlfn.NORM.INV(RAND(),Hitorical_Sim!$AB$4,Hitorical_Sim!$AB$5)</f>
        <v>-1.2412818886183051E-2</v>
      </c>
      <c r="K743">
        <f t="shared" ca="1" si="121"/>
        <v>1.3209794239798514</v>
      </c>
      <c r="L743">
        <f t="shared" ca="1" si="121"/>
        <v>1.3799720466033889</v>
      </c>
      <c r="M743">
        <f t="shared" ca="1" si="121"/>
        <v>-1.2292214693527879</v>
      </c>
      <c r="O743">
        <v>741</v>
      </c>
      <c r="P743" s="6">
        <f t="shared" ca="1" si="114"/>
        <v>1984.8472015395628</v>
      </c>
      <c r="Q743" s="6">
        <f t="shared" ca="1" si="115"/>
        <v>399.84220139855955</v>
      </c>
      <c r="R743" s="6">
        <f t="shared" ca="1" si="116"/>
        <v>145.22050893284614</v>
      </c>
      <c r="S743" s="6"/>
      <c r="T743" s="4">
        <f t="shared" ca="1" si="117"/>
        <v>5.8952911792806838E-2</v>
      </c>
      <c r="U743" s="4">
        <f t="shared" ca="1" si="118"/>
        <v>4.8494141315877592E-2</v>
      </c>
      <c r="V743" s="4">
        <f t="shared" ca="1" si="119"/>
        <v>-2.1989427304171541E-2</v>
      </c>
      <c r="W743" s="4"/>
      <c r="X743">
        <v>741</v>
      </c>
      <c r="Y743" s="4">
        <f t="shared" ca="1" si="120"/>
        <v>5.2859829264504332E-2</v>
      </c>
      <c r="Z743" s="4">
        <f ca="1"/>
        <v>1.33579349329511E-2</v>
      </c>
      <c r="AA743" s="4"/>
    </row>
    <row r="744" spans="1:27" x14ac:dyDescent="0.35">
      <c r="A744">
        <v>742</v>
      </c>
      <c r="B744">
        <f ca="1">_xlfn.NORM.INV(RAND(),Hitorical_Sim!$AB$4,Hitorical_Sim!$AB$5)</f>
        <v>1.3823285915289103E-2</v>
      </c>
      <c r="C744">
        <f ca="1">_xlfn.NORM.INV(RAND(),Hitorical_Sim!$AB$4,Hitorical_Sim!$AB$5)</f>
        <v>2.9486749664263495E-2</v>
      </c>
      <c r="D744">
        <f ca="1">_xlfn.NORM.INV(RAND(),Hitorical_Sim!$AB$4,Hitorical_Sim!$AB$5)</f>
        <v>-2.2781938947317618E-2</v>
      </c>
      <c r="K744">
        <f t="shared" ref="K744:M763" ca="1" si="122">_xlfn.NORM.S.INV(RAND())</f>
        <v>1.644287186782192</v>
      </c>
      <c r="L744">
        <f t="shared" ca="1" si="122"/>
        <v>-0.35830137450515487</v>
      </c>
      <c r="M744">
        <f t="shared" ca="1" si="122"/>
        <v>-0.6390874837199827</v>
      </c>
      <c r="O744">
        <v>742</v>
      </c>
      <c r="P744" s="6">
        <f t="shared" ca="1" si="114"/>
        <v>1996.5236089509001</v>
      </c>
      <c r="Q744" s="6">
        <f t="shared" ca="1" si="115"/>
        <v>380.49664817678217</v>
      </c>
      <c r="R744" s="6">
        <f t="shared" ca="1" si="116"/>
        <v>147.85846222469229</v>
      </c>
      <c r="S744" s="6"/>
      <c r="T744" s="4">
        <f t="shared" ca="1" si="117"/>
        <v>5.8655379987886322E-3</v>
      </c>
      <c r="U744" s="4">
        <f t="shared" ca="1" si="118"/>
        <v>-4.9592604503853527E-2</v>
      </c>
      <c r="V744" s="4">
        <f t="shared" ca="1" si="119"/>
        <v>1.8002141352745374E-2</v>
      </c>
      <c r="W744" s="4"/>
      <c r="X744">
        <v>742</v>
      </c>
      <c r="Y744" s="4">
        <f t="shared" ca="1" si="120"/>
        <v>-4.6014957565135919E-3</v>
      </c>
      <c r="Z744" s="4">
        <f ca="1"/>
        <v>1.3396662950995338E-2</v>
      </c>
      <c r="AA744" s="4"/>
    </row>
    <row r="745" spans="1:27" x14ac:dyDescent="0.35">
      <c r="A745">
        <v>743</v>
      </c>
      <c r="B745">
        <f ca="1">_xlfn.NORM.INV(RAND(),Hitorical_Sim!$AB$4,Hitorical_Sim!$AB$5)</f>
        <v>1.3783204575597888E-3</v>
      </c>
      <c r="C745">
        <f ca="1">_xlfn.NORM.INV(RAND(),Hitorical_Sim!$AB$4,Hitorical_Sim!$AB$5)</f>
        <v>-2.2203262491506181E-2</v>
      </c>
      <c r="D745">
        <f ca="1">_xlfn.NORM.INV(RAND(),Hitorical_Sim!$AB$4,Hitorical_Sim!$AB$5)</f>
        <v>-1.0790960190005952E-2</v>
      </c>
      <c r="K745">
        <f t="shared" ca="1" si="122"/>
        <v>1.058191439732352</v>
      </c>
      <c r="L745">
        <f t="shared" ca="1" si="122"/>
        <v>-1.1544494118119015</v>
      </c>
      <c r="M745">
        <f t="shared" ca="1" si="122"/>
        <v>-0.66898585733497007</v>
      </c>
      <c r="O745">
        <v>743</v>
      </c>
      <c r="P745" s="6">
        <f t="shared" ca="1" si="114"/>
        <v>1975.4068221197099</v>
      </c>
      <c r="Q745" s="6">
        <f t="shared" ca="1" si="115"/>
        <v>371.95148114802259</v>
      </c>
      <c r="R745" s="6">
        <f t="shared" ca="1" si="116"/>
        <v>147.7236686298742</v>
      </c>
      <c r="S745" s="6"/>
      <c r="T745" s="4">
        <f t="shared" ca="1" si="117"/>
        <v>-1.0633109596415504E-2</v>
      </c>
      <c r="U745" s="4">
        <f t="shared" ca="1" si="118"/>
        <v>-2.2713949520952494E-2</v>
      </c>
      <c r="V745" s="4">
        <f t="shared" ca="1" si="119"/>
        <v>-9.1205516228147823E-4</v>
      </c>
      <c r="W745" s="4"/>
      <c r="X745">
        <v>743</v>
      </c>
      <c r="Y745" s="4">
        <f t="shared" ca="1" si="120"/>
        <v>-1.2562963601629481E-2</v>
      </c>
      <c r="Z745" s="4">
        <f ca="1"/>
        <v>1.3455173431930851E-2</v>
      </c>
      <c r="AA745" s="4"/>
    </row>
    <row r="746" spans="1:27" x14ac:dyDescent="0.35">
      <c r="A746">
        <v>744</v>
      </c>
      <c r="B746">
        <f ca="1">_xlfn.NORM.INV(RAND(),Hitorical_Sim!$AB$4,Hitorical_Sim!$AB$5)</f>
        <v>1.9315803058799342E-4</v>
      </c>
      <c r="C746">
        <f ca="1">_xlfn.NORM.INV(RAND(),Hitorical_Sim!$AB$4,Hitorical_Sim!$AB$5)</f>
        <v>1.5827801914368739E-3</v>
      </c>
      <c r="D746">
        <f ca="1">_xlfn.NORM.INV(RAND(),Hitorical_Sim!$AB$4,Hitorical_Sim!$AB$5)</f>
        <v>1.0507615720309265E-2</v>
      </c>
      <c r="K746">
        <f t="shared" ca="1" si="122"/>
        <v>0.44880225551108432</v>
      </c>
      <c r="L746">
        <f t="shared" ca="1" si="122"/>
        <v>-0.65058784296145977</v>
      </c>
      <c r="M746">
        <f t="shared" ca="1" si="122"/>
        <v>-0.30253268942574091</v>
      </c>
      <c r="O746">
        <v>744</v>
      </c>
      <c r="P746" s="6">
        <f t="shared" ca="1" si="114"/>
        <v>1953.6875879768836</v>
      </c>
      <c r="Q746" s="6">
        <f t="shared" ca="1" si="115"/>
        <v>377.33692622694014</v>
      </c>
      <c r="R746" s="6">
        <f t="shared" ca="1" si="116"/>
        <v>149.38429448496689</v>
      </c>
      <c r="S746" s="6"/>
      <c r="T746" s="4">
        <f t="shared" ca="1" si="117"/>
        <v>-1.1055705514518847E-2</v>
      </c>
      <c r="U746" s="4">
        <f t="shared" ca="1" si="118"/>
        <v>1.4375073107172967E-2</v>
      </c>
      <c r="V746" s="4">
        <f t="shared" ca="1" si="119"/>
        <v>1.1178718542687196E-2</v>
      </c>
      <c r="W746" s="4"/>
      <c r="X746">
        <v>744</v>
      </c>
      <c r="Y746" s="4">
        <f t="shared" ca="1" si="120"/>
        <v>-4.8801494534294878E-3</v>
      </c>
      <c r="Z746" s="4">
        <f ca="1"/>
        <v>1.3518088237799465E-2</v>
      </c>
      <c r="AA746" s="4"/>
    </row>
    <row r="747" spans="1:27" x14ac:dyDescent="0.35">
      <c r="A747">
        <v>745</v>
      </c>
      <c r="B747">
        <f ca="1">_xlfn.NORM.INV(RAND(),Hitorical_Sim!$AB$4,Hitorical_Sim!$AB$5)</f>
        <v>-3.9065961865957687E-4</v>
      </c>
      <c r="C747">
        <f ca="1">_xlfn.NORM.INV(RAND(),Hitorical_Sim!$AB$4,Hitorical_Sim!$AB$5)</f>
        <v>6.5505928050994897E-3</v>
      </c>
      <c r="D747">
        <f ca="1">_xlfn.NORM.INV(RAND(),Hitorical_Sim!$AB$4,Hitorical_Sim!$AB$5)</f>
        <v>2.3583382949652738E-2</v>
      </c>
      <c r="K747">
        <f t="shared" ca="1" si="122"/>
        <v>-0.28676262266699371</v>
      </c>
      <c r="L747">
        <f t="shared" ca="1" si="122"/>
        <v>-0.49338094193301185</v>
      </c>
      <c r="M747">
        <f t="shared" ca="1" si="122"/>
        <v>1.0907717486909976</v>
      </c>
      <c r="O747">
        <v>745</v>
      </c>
      <c r="P747" s="6">
        <f t="shared" ca="1" si="114"/>
        <v>1927.7891689243108</v>
      </c>
      <c r="Q747" s="6">
        <f t="shared" ca="1" si="115"/>
        <v>379.03311439268924</v>
      </c>
      <c r="R747" s="6">
        <f t="shared" ca="1" si="116"/>
        <v>155.87043868998541</v>
      </c>
      <c r="S747" s="6"/>
      <c r="T747" s="4">
        <f t="shared" ca="1" si="117"/>
        <v>-1.3344819518501449E-2</v>
      </c>
      <c r="U747" s="4">
        <f t="shared" ca="1" si="118"/>
        <v>4.4850824808724014E-3</v>
      </c>
      <c r="V747" s="4">
        <f t="shared" ca="1" si="119"/>
        <v>4.250299771413571E-2</v>
      </c>
      <c r="W747" s="4"/>
      <c r="X747">
        <v>745</v>
      </c>
      <c r="Y747" s="4">
        <f t="shared" ca="1" si="120"/>
        <v>-7.0226253678635497E-3</v>
      </c>
      <c r="Z747" s="4">
        <f ca="1"/>
        <v>1.3565584206709929E-2</v>
      </c>
      <c r="AA747" s="4"/>
    </row>
    <row r="748" spans="1:27" x14ac:dyDescent="0.35">
      <c r="A748">
        <v>746</v>
      </c>
      <c r="B748">
        <f ca="1">_xlfn.NORM.INV(RAND(),Hitorical_Sim!$AB$4,Hitorical_Sim!$AB$5)</f>
        <v>6.4720711179988358E-3</v>
      </c>
      <c r="C748">
        <f ca="1">_xlfn.NORM.INV(RAND(),Hitorical_Sim!$AB$4,Hitorical_Sim!$AB$5)</f>
        <v>4.9041639205534985E-3</v>
      </c>
      <c r="D748">
        <f ca="1">_xlfn.NORM.INV(RAND(),Hitorical_Sim!$AB$4,Hitorical_Sim!$AB$5)</f>
        <v>-5.0840831610483809E-3</v>
      </c>
      <c r="K748">
        <f t="shared" ca="1" si="122"/>
        <v>0.48298886145130726</v>
      </c>
      <c r="L748">
        <f t="shared" ca="1" si="122"/>
        <v>-0.47761657572950339</v>
      </c>
      <c r="M748">
        <f t="shared" ca="1" si="122"/>
        <v>-1.8213782204214084</v>
      </c>
      <c r="O748">
        <v>746</v>
      </c>
      <c r="P748" s="6">
        <f t="shared" ca="1" si="114"/>
        <v>1954.8996853506578</v>
      </c>
      <c r="Q748" s="6">
        <f t="shared" ca="1" si="115"/>
        <v>379.20362451380993</v>
      </c>
      <c r="R748" s="6">
        <f t="shared" ca="1" si="116"/>
        <v>142.62081888944886</v>
      </c>
      <c r="S748" s="6"/>
      <c r="T748" s="4">
        <f t="shared" ca="1" si="117"/>
        <v>1.396504228845266E-2</v>
      </c>
      <c r="U748" s="4">
        <f t="shared" ca="1" si="118"/>
        <v>4.4975431879181507E-4</v>
      </c>
      <c r="V748" s="4">
        <f t="shared" ca="1" si="119"/>
        <v>-8.8835648616540905E-2</v>
      </c>
      <c r="W748" s="4"/>
      <c r="X748">
        <v>746</v>
      </c>
      <c r="Y748" s="4">
        <f t="shared" ca="1" si="120"/>
        <v>6.180204571814848E-3</v>
      </c>
      <c r="Z748" s="4">
        <f ca="1"/>
        <v>1.3620491670678362E-2</v>
      </c>
      <c r="AA748" s="4"/>
    </row>
    <row r="749" spans="1:27" x14ac:dyDescent="0.35">
      <c r="A749">
        <v>747</v>
      </c>
      <c r="B749">
        <f ca="1">_xlfn.NORM.INV(RAND(),Hitorical_Sim!$AB$4,Hitorical_Sim!$AB$5)</f>
        <v>-9.0283179687287701E-3</v>
      </c>
      <c r="C749">
        <f ca="1">_xlfn.NORM.INV(RAND(),Hitorical_Sim!$AB$4,Hitorical_Sim!$AB$5)</f>
        <v>-1.7909230197293478E-2</v>
      </c>
      <c r="D749">
        <f ca="1">_xlfn.NORM.INV(RAND(),Hitorical_Sim!$AB$4,Hitorical_Sim!$AB$5)</f>
        <v>-1.3201953060394506E-2</v>
      </c>
      <c r="K749">
        <f t="shared" ca="1" si="122"/>
        <v>0.29679620541330759</v>
      </c>
      <c r="L749">
        <f t="shared" ca="1" si="122"/>
        <v>0.26992850326602374</v>
      </c>
      <c r="M749">
        <f t="shared" ca="1" si="122"/>
        <v>-0.64978189389580043</v>
      </c>
      <c r="O749">
        <v>747</v>
      </c>
      <c r="P749" s="6">
        <f t="shared" ca="1" si="114"/>
        <v>1948.3072567278575</v>
      </c>
      <c r="Q749" s="6">
        <f t="shared" ca="1" si="115"/>
        <v>387.37787784472107</v>
      </c>
      <c r="R749" s="6">
        <f t="shared" ca="1" si="116"/>
        <v>147.81023350596692</v>
      </c>
      <c r="S749" s="6"/>
      <c r="T749" s="4">
        <f t="shared" ca="1" si="117"/>
        <v>-3.3779581709391785E-3</v>
      </c>
      <c r="U749" s="4">
        <f t="shared" ca="1" si="118"/>
        <v>2.1327316520657062E-2</v>
      </c>
      <c r="V749" s="4">
        <f t="shared" ca="1" si="119"/>
        <v>3.5739752652704716E-2</v>
      </c>
      <c r="W749" s="4"/>
      <c r="X749">
        <v>747</v>
      </c>
      <c r="Y749" s="4">
        <f t="shared" ca="1" si="120"/>
        <v>3.4883660951341858E-3</v>
      </c>
      <c r="Z749" s="4">
        <f ca="1"/>
        <v>1.3641631461700943E-2</v>
      </c>
      <c r="AA749" s="4"/>
    </row>
    <row r="750" spans="1:27" x14ac:dyDescent="0.35">
      <c r="A750">
        <v>748</v>
      </c>
      <c r="B750">
        <f ca="1">_xlfn.NORM.INV(RAND(),Hitorical_Sim!$AB$4,Hitorical_Sim!$AB$5)</f>
        <v>-1.2148152876296628E-2</v>
      </c>
      <c r="C750">
        <f ca="1">_xlfn.NORM.INV(RAND(),Hitorical_Sim!$AB$4,Hitorical_Sim!$AB$5)</f>
        <v>1.907949986800514E-2</v>
      </c>
      <c r="D750">
        <f ca="1">_xlfn.NORM.INV(RAND(),Hitorical_Sim!$AB$4,Hitorical_Sim!$AB$5)</f>
        <v>3.8584877803564711E-3</v>
      </c>
      <c r="K750">
        <f t="shared" ca="1" si="122"/>
        <v>1.1773361222347345</v>
      </c>
      <c r="L750">
        <f t="shared" ca="1" si="122"/>
        <v>0.62643176520321475</v>
      </c>
      <c r="M750">
        <f t="shared" ca="1" si="122"/>
        <v>-0.88460212112128522</v>
      </c>
      <c r="O750">
        <v>748</v>
      </c>
      <c r="P750" s="6">
        <f t="shared" ca="1" si="114"/>
        <v>1979.6813917331397</v>
      </c>
      <c r="Q750" s="6">
        <f t="shared" ca="1" si="115"/>
        <v>391.33799123129705</v>
      </c>
      <c r="R750" s="6">
        <f t="shared" ca="1" si="116"/>
        <v>146.75521761632513</v>
      </c>
      <c r="S750" s="6"/>
      <c r="T750" s="4">
        <f t="shared" ca="1" si="117"/>
        <v>1.5974996383627559E-2</v>
      </c>
      <c r="U750" s="4">
        <f t="shared" ca="1" si="118"/>
        <v>1.0170969111585468E-2</v>
      </c>
      <c r="V750" s="4">
        <f t="shared" ca="1" si="119"/>
        <v>-7.1632324623095503E-3</v>
      </c>
      <c r="W750" s="4"/>
      <c r="X750">
        <v>748</v>
      </c>
      <c r="Y750" s="4">
        <f t="shared" ca="1" si="120"/>
        <v>1.3671584146983256E-2</v>
      </c>
      <c r="Z750" s="4">
        <f ca="1"/>
        <v>1.3671584146983256E-2</v>
      </c>
      <c r="AA750" s="4"/>
    </row>
    <row r="751" spans="1:27" x14ac:dyDescent="0.35">
      <c r="A751">
        <v>749</v>
      </c>
      <c r="B751">
        <f ca="1">_xlfn.NORM.INV(RAND(),Hitorical_Sim!$AB$4,Hitorical_Sim!$AB$5)</f>
        <v>1.1448292176725682E-2</v>
      </c>
      <c r="C751">
        <f ca="1">_xlfn.NORM.INV(RAND(),Hitorical_Sim!$AB$4,Hitorical_Sim!$AB$5)</f>
        <v>-2.6943909299445956E-2</v>
      </c>
      <c r="D751">
        <f ca="1">_xlfn.NORM.INV(RAND(),Hitorical_Sim!$AB$4,Hitorical_Sim!$AB$5)</f>
        <v>-2.647889736407423E-2</v>
      </c>
      <c r="K751">
        <f t="shared" ca="1" si="122"/>
        <v>0.77436036846708078</v>
      </c>
      <c r="L751">
        <f t="shared" ca="1" si="122"/>
        <v>1.0338473723035191</v>
      </c>
      <c r="M751">
        <f t="shared" ca="1" si="122"/>
        <v>2.3012728302987666</v>
      </c>
      <c r="O751">
        <v>749</v>
      </c>
      <c r="P751" s="6">
        <f t="shared" ca="1" si="114"/>
        <v>1965.2609234514998</v>
      </c>
      <c r="Q751" s="6">
        <f t="shared" ca="1" si="115"/>
        <v>395.91324253981242</v>
      </c>
      <c r="R751" s="6">
        <f t="shared" ca="1" si="116"/>
        <v>161.73378645037411</v>
      </c>
      <c r="S751" s="6"/>
      <c r="T751" s="4">
        <f t="shared" ca="1" si="117"/>
        <v>-7.3108965149088507E-3</v>
      </c>
      <c r="U751" s="4">
        <f t="shared" ca="1" si="118"/>
        <v>1.1623488472105458E-2</v>
      </c>
      <c r="V751" s="4">
        <f t="shared" ca="1" si="119"/>
        <v>9.718567749684015E-2</v>
      </c>
      <c r="W751" s="4"/>
      <c r="X751">
        <v>749</v>
      </c>
      <c r="Y751" s="4">
        <f t="shared" ca="1" si="120"/>
        <v>1.6393494219958142E-3</v>
      </c>
      <c r="Z751" s="4">
        <f ca="1"/>
        <v>1.3714125972424584E-2</v>
      </c>
      <c r="AA751" s="4"/>
    </row>
    <row r="752" spans="1:27" x14ac:dyDescent="0.35">
      <c r="A752">
        <v>750</v>
      </c>
      <c r="B752">
        <f ca="1">_xlfn.NORM.INV(RAND(),Hitorical_Sim!$AB$4,Hitorical_Sim!$AB$5)</f>
        <v>8.3587511034695135E-3</v>
      </c>
      <c r="C752">
        <f ca="1">_xlfn.NORM.INV(RAND(),Hitorical_Sim!$AB$4,Hitorical_Sim!$AB$5)</f>
        <v>-1.6345104588773911E-2</v>
      </c>
      <c r="D752">
        <f ca="1">_xlfn.NORM.INV(RAND(),Hitorical_Sim!$AB$4,Hitorical_Sim!$AB$5)</f>
        <v>-9.6508117592598273E-3</v>
      </c>
      <c r="K752">
        <f t="shared" ca="1" si="122"/>
        <v>-1.7155186003622795</v>
      </c>
      <c r="L752">
        <f t="shared" ca="1" si="122"/>
        <v>-0.87573590582998528</v>
      </c>
      <c r="M752">
        <f t="shared" ca="1" si="122"/>
        <v>0.40783456279254204</v>
      </c>
      <c r="O752">
        <v>750</v>
      </c>
      <c r="P752" s="6">
        <f t="shared" ca="1" si="114"/>
        <v>1878.4612462358341</v>
      </c>
      <c r="Q752" s="6">
        <f t="shared" ca="1" si="115"/>
        <v>374.92089654224856</v>
      </c>
      <c r="R752" s="6">
        <f t="shared" ca="1" si="116"/>
        <v>152.65676291514848</v>
      </c>
      <c r="S752" s="6"/>
      <c r="T752" s="4">
        <f t="shared" ca="1" si="117"/>
        <v>-4.5172066323014848E-2</v>
      </c>
      <c r="U752" s="4">
        <f t="shared" ca="1" si="118"/>
        <v>-5.4480041591646308E-2</v>
      </c>
      <c r="V752" s="4">
        <f t="shared" ca="1" si="119"/>
        <v>-5.7759668421390603E-2</v>
      </c>
      <c r="W752" s="4"/>
      <c r="X752">
        <v>750</v>
      </c>
      <c r="Y752" s="4">
        <f t="shared" ca="1" si="120"/>
        <v>-4.7652602578644954E-2</v>
      </c>
      <c r="Z752" s="4">
        <f ca="1"/>
        <v>1.3933192770314353E-2</v>
      </c>
      <c r="AA752" s="4"/>
    </row>
    <row r="753" spans="1:27" x14ac:dyDescent="0.35">
      <c r="A753">
        <v>751</v>
      </c>
      <c r="B753">
        <f ca="1">_xlfn.NORM.INV(RAND(),Hitorical_Sim!$AB$4,Hitorical_Sim!$AB$5)</f>
        <v>-1.0489685964344721E-2</v>
      </c>
      <c r="C753">
        <f ca="1">_xlfn.NORM.INV(RAND(),Hitorical_Sim!$AB$4,Hitorical_Sim!$AB$5)</f>
        <v>1.7004693518853541E-2</v>
      </c>
      <c r="D753">
        <f ca="1">_xlfn.NORM.INV(RAND(),Hitorical_Sim!$AB$4,Hitorical_Sim!$AB$5)</f>
        <v>1.8405781062490448E-3</v>
      </c>
      <c r="K753">
        <f t="shared" ca="1" si="122"/>
        <v>-0.32036752252809503</v>
      </c>
      <c r="L753">
        <f t="shared" ca="1" si="122"/>
        <v>0.50007042219642839</v>
      </c>
      <c r="M753">
        <f t="shared" ca="1" si="122"/>
        <v>0.21669162354262284</v>
      </c>
      <c r="O753">
        <v>751</v>
      </c>
      <c r="P753" s="6">
        <f t="shared" ca="1" si="114"/>
        <v>1926.6142132568341</v>
      </c>
      <c r="Q753" s="6">
        <f t="shared" ca="1" si="115"/>
        <v>389.92973241983731</v>
      </c>
      <c r="R753" s="6">
        <f t="shared" ca="1" si="116"/>
        <v>151.76923440555186</v>
      </c>
      <c r="S753" s="6"/>
      <c r="T753" s="4">
        <f t="shared" ca="1" si="117"/>
        <v>2.5311213037869745E-2</v>
      </c>
      <c r="U753" s="4">
        <f t="shared" ca="1" si="118"/>
        <v>3.9251488443170723E-2</v>
      </c>
      <c r="V753" s="4">
        <f t="shared" ca="1" si="119"/>
        <v>-5.8308490863588141E-3</v>
      </c>
      <c r="W753" s="4"/>
      <c r="X753">
        <v>751</v>
      </c>
      <c r="Y753" s="4">
        <f t="shared" ca="1" si="120"/>
        <v>2.6552022897827782E-2</v>
      </c>
      <c r="Z753" s="4">
        <f ca="1"/>
        <v>1.3946427533034898E-2</v>
      </c>
      <c r="AA753" s="4"/>
    </row>
    <row r="754" spans="1:27" x14ac:dyDescent="0.35">
      <c r="A754">
        <v>752</v>
      </c>
      <c r="B754">
        <f ca="1">_xlfn.NORM.INV(RAND(),Hitorical_Sim!$AB$4,Hitorical_Sim!$AB$5)</f>
        <v>1.2422912844627675E-2</v>
      </c>
      <c r="C754">
        <f ca="1">_xlfn.NORM.INV(RAND(),Hitorical_Sim!$AB$4,Hitorical_Sim!$AB$5)</f>
        <v>2.2137601002785622E-2</v>
      </c>
      <c r="D754">
        <f ca="1">_xlfn.NORM.INV(RAND(),Hitorical_Sim!$AB$4,Hitorical_Sim!$AB$5)</f>
        <v>1.0637924295855819E-2</v>
      </c>
      <c r="K754">
        <f t="shared" ca="1" si="122"/>
        <v>0.60578071570782754</v>
      </c>
      <c r="L754">
        <f t="shared" ca="1" si="122"/>
        <v>-1.1802277674755353</v>
      </c>
      <c r="M754">
        <f t="shared" ca="1" si="122"/>
        <v>-0.45745788963121053</v>
      </c>
      <c r="O754">
        <v>752</v>
      </c>
      <c r="P754" s="6">
        <f t="shared" ca="1" si="114"/>
        <v>1959.2595156812338</v>
      </c>
      <c r="Q754" s="6">
        <f t="shared" ca="1" si="115"/>
        <v>371.67802944036964</v>
      </c>
      <c r="R754" s="6">
        <f t="shared" ca="1" si="116"/>
        <v>148.67996688120664</v>
      </c>
      <c r="S754" s="6"/>
      <c r="T754" s="4">
        <f t="shared" ca="1" si="117"/>
        <v>1.680243504454593E-2</v>
      </c>
      <c r="U754" s="4">
        <f t="shared" ca="1" si="118"/>
        <v>-4.7938582363987882E-2</v>
      </c>
      <c r="V754" s="4">
        <f t="shared" ca="1" si="119"/>
        <v>-2.0565049843767547E-2</v>
      </c>
      <c r="W754" s="4"/>
      <c r="X754">
        <v>752</v>
      </c>
      <c r="Y754" s="4">
        <f t="shared" ca="1" si="120"/>
        <v>2.032872863812494E-3</v>
      </c>
      <c r="Z754" s="4">
        <f ca="1"/>
        <v>1.3969599607913987E-2</v>
      </c>
      <c r="AA754" s="4"/>
    </row>
    <row r="755" spans="1:27" x14ac:dyDescent="0.35">
      <c r="A755">
        <v>753</v>
      </c>
      <c r="B755">
        <f ca="1">_xlfn.NORM.INV(RAND(),Hitorical_Sim!$AB$4,Hitorical_Sim!$AB$5)</f>
        <v>-6.9640038488374134E-3</v>
      </c>
      <c r="C755">
        <f ca="1">_xlfn.NORM.INV(RAND(),Hitorical_Sim!$AB$4,Hitorical_Sim!$AB$5)</f>
        <v>-2.379048279961744E-2</v>
      </c>
      <c r="D755">
        <f ca="1">_xlfn.NORM.INV(RAND(),Hitorical_Sim!$AB$4,Hitorical_Sim!$AB$5)</f>
        <v>-6.9597348500336177E-3</v>
      </c>
      <c r="K755">
        <f t="shared" ca="1" si="122"/>
        <v>0.89461294445398953</v>
      </c>
      <c r="L755">
        <f t="shared" ca="1" si="122"/>
        <v>-0.37835873132507269</v>
      </c>
      <c r="M755">
        <f t="shared" ca="1" si="122"/>
        <v>0.5315925341154758</v>
      </c>
      <c r="O755">
        <v>753</v>
      </c>
      <c r="P755" s="6">
        <f t="shared" ca="1" si="114"/>
        <v>1969.5531254657183</v>
      </c>
      <c r="Q755" s="6">
        <f t="shared" ca="1" si="115"/>
        <v>380.27897790939846</v>
      </c>
      <c r="R755" s="6">
        <f t="shared" ca="1" si="116"/>
        <v>153.23417094173817</v>
      </c>
      <c r="S755" s="6"/>
      <c r="T755" s="4">
        <f t="shared" ca="1" si="117"/>
        <v>5.2400734158094845E-3</v>
      </c>
      <c r="U755" s="4">
        <f t="shared" ca="1" si="118"/>
        <v>2.2877168511462292E-2</v>
      </c>
      <c r="V755" s="4">
        <f t="shared" ca="1" si="119"/>
        <v>3.0171157680722559E-2</v>
      </c>
      <c r="W755" s="4"/>
      <c r="X755">
        <v>753</v>
      </c>
      <c r="Y755" s="4">
        <f t="shared" ca="1" si="120"/>
        <v>9.9937168173240762E-3</v>
      </c>
      <c r="Z755" s="4">
        <f ca="1"/>
        <v>1.4076212384595131E-2</v>
      </c>
      <c r="AA755" s="4"/>
    </row>
    <row r="756" spans="1:27" x14ac:dyDescent="0.35">
      <c r="A756">
        <v>754</v>
      </c>
      <c r="B756">
        <f ca="1">_xlfn.NORM.INV(RAND(),Hitorical_Sim!$AB$4,Hitorical_Sim!$AB$5)</f>
        <v>-8.6526834641966564E-3</v>
      </c>
      <c r="C756">
        <f ca="1">_xlfn.NORM.INV(RAND(),Hitorical_Sim!$AB$4,Hitorical_Sim!$AB$5)</f>
        <v>5.4132978106067346E-3</v>
      </c>
      <c r="D756">
        <f ca="1">_xlfn.NORM.INV(RAND(),Hitorical_Sim!$AB$4,Hitorical_Sim!$AB$5)</f>
        <v>4.574190532575708E-3</v>
      </c>
      <c r="K756">
        <f t="shared" ca="1" si="122"/>
        <v>0.6146492963335688</v>
      </c>
      <c r="L756">
        <f t="shared" ca="1" si="122"/>
        <v>6.5546539532785941E-2</v>
      </c>
      <c r="M756">
        <f t="shared" ca="1" si="122"/>
        <v>-1.0132570538111307</v>
      </c>
      <c r="O756">
        <v>754</v>
      </c>
      <c r="P756" s="6">
        <f t="shared" ca="1" si="114"/>
        <v>1959.5747784912505</v>
      </c>
      <c r="Q756" s="6">
        <f t="shared" ca="1" si="115"/>
        <v>385.12565870308697</v>
      </c>
      <c r="R756" s="6">
        <f t="shared" ca="1" si="116"/>
        <v>146.18038475477218</v>
      </c>
      <c r="S756" s="6"/>
      <c r="T756" s="4">
        <f t="shared" ca="1" si="117"/>
        <v>-5.0791771966630902E-3</v>
      </c>
      <c r="U756" s="4">
        <f t="shared" ca="1" si="118"/>
        <v>1.2664531521623884E-2</v>
      </c>
      <c r="V756" s="4">
        <f t="shared" ca="1" si="119"/>
        <v>-4.7125909247141197E-2</v>
      </c>
      <c r="W756" s="4"/>
      <c r="X756">
        <v>754</v>
      </c>
      <c r="Y756" s="4">
        <f t="shared" ca="1" si="120"/>
        <v>-3.618996463928771E-3</v>
      </c>
      <c r="Z756" s="4">
        <f ca="1"/>
        <v>1.4095401567746179E-2</v>
      </c>
      <c r="AA756" s="4"/>
    </row>
    <row r="757" spans="1:27" x14ac:dyDescent="0.35">
      <c r="A757">
        <v>755</v>
      </c>
      <c r="B757">
        <f ca="1">_xlfn.NORM.INV(RAND(),Hitorical_Sim!$AB$4,Hitorical_Sim!$AB$5)</f>
        <v>-1.4157553521691691E-2</v>
      </c>
      <c r="C757">
        <f ca="1">_xlfn.NORM.INV(RAND(),Hitorical_Sim!$AB$4,Hitorical_Sim!$AB$5)</f>
        <v>3.340050076412155E-2</v>
      </c>
      <c r="D757">
        <f ca="1">_xlfn.NORM.INV(RAND(),Hitorical_Sim!$AB$4,Hitorical_Sim!$AB$5)</f>
        <v>1.8631200136312011E-2</v>
      </c>
      <c r="K757">
        <f t="shared" ca="1" si="122"/>
        <v>-7.4958663078272397E-2</v>
      </c>
      <c r="L757">
        <f t="shared" ca="1" si="122"/>
        <v>0.79966138655424823</v>
      </c>
      <c r="M757">
        <f t="shared" ca="1" si="122"/>
        <v>0.10530431294300419</v>
      </c>
      <c r="O757">
        <v>755</v>
      </c>
      <c r="P757" s="6">
        <f t="shared" ca="1" si="114"/>
        <v>1935.2111528479868</v>
      </c>
      <c r="Q757" s="6">
        <f t="shared" ca="1" si="115"/>
        <v>393.27685200263505</v>
      </c>
      <c r="R757" s="6">
        <f t="shared" ca="1" si="116"/>
        <v>151.25441445403922</v>
      </c>
      <c r="S757" s="6"/>
      <c r="T757" s="4">
        <f t="shared" ca="1" si="117"/>
        <v>-1.2511056508933961E-2</v>
      </c>
      <c r="U757" s="4">
        <f t="shared" ca="1" si="118"/>
        <v>2.0944154599985089E-2</v>
      </c>
      <c r="V757" s="4">
        <f t="shared" ca="1" si="119"/>
        <v>3.412191184758756E-2</v>
      </c>
      <c r="W757" s="4"/>
      <c r="X757">
        <v>755</v>
      </c>
      <c r="Y757" s="4">
        <f t="shared" ca="1" si="120"/>
        <v>-3.5265931592102333E-3</v>
      </c>
      <c r="Z757" s="4">
        <f ca="1"/>
        <v>1.4178588487733028E-2</v>
      </c>
      <c r="AA757" s="4"/>
    </row>
    <row r="758" spans="1:27" x14ac:dyDescent="0.35">
      <c r="A758">
        <v>756</v>
      </c>
      <c r="B758">
        <f ca="1">_xlfn.NORM.INV(RAND(),Hitorical_Sim!$AB$4,Hitorical_Sim!$AB$5)</f>
        <v>-8.3543905841608848E-4</v>
      </c>
      <c r="C758">
        <f ca="1">_xlfn.NORM.INV(RAND(),Hitorical_Sim!$AB$4,Hitorical_Sim!$AB$5)</f>
        <v>-1.9842227564504031E-2</v>
      </c>
      <c r="D758">
        <f ca="1">_xlfn.NORM.INV(RAND(),Hitorical_Sim!$AB$4,Hitorical_Sim!$AB$5)</f>
        <v>1.3241321006285962E-2</v>
      </c>
      <c r="K758">
        <f t="shared" ca="1" si="122"/>
        <v>0.16543678148492968</v>
      </c>
      <c r="L758">
        <f t="shared" ca="1" si="122"/>
        <v>2.7724820803784218</v>
      </c>
      <c r="M758">
        <f t="shared" ca="1" si="122"/>
        <v>-2.2925269114585816</v>
      </c>
      <c r="O758">
        <v>756</v>
      </c>
      <c r="P758" s="6">
        <f t="shared" ca="1" si="114"/>
        <v>1943.6696596896745</v>
      </c>
      <c r="Q758" s="6">
        <f t="shared" ca="1" si="115"/>
        <v>416.04690849422644</v>
      </c>
      <c r="R758" s="6">
        <f t="shared" ca="1" si="116"/>
        <v>140.58566501657617</v>
      </c>
      <c r="S758" s="6"/>
      <c r="T758" s="4">
        <f t="shared" ca="1" si="117"/>
        <v>4.3613200085243116E-3</v>
      </c>
      <c r="U758" s="4">
        <f t="shared" ca="1" si="118"/>
        <v>5.6284192830519428E-2</v>
      </c>
      <c r="V758" s="4">
        <f t="shared" ca="1" si="119"/>
        <v>-7.3146264564676169E-2</v>
      </c>
      <c r="W758" s="4"/>
      <c r="X758">
        <v>756</v>
      </c>
      <c r="Y758" s="4">
        <f t="shared" ca="1" si="120"/>
        <v>1.0887609672911301E-2</v>
      </c>
      <c r="Z758" s="4">
        <f ca="1"/>
        <v>1.4223355253214425E-2</v>
      </c>
      <c r="AA758" s="4"/>
    </row>
    <row r="759" spans="1:27" x14ac:dyDescent="0.35">
      <c r="A759">
        <v>757</v>
      </c>
      <c r="B759">
        <f ca="1">_xlfn.NORM.INV(RAND(),Hitorical_Sim!$AB$4,Hitorical_Sim!$AB$5)</f>
        <v>-2.8937586695877565E-2</v>
      </c>
      <c r="C759">
        <f ca="1">_xlfn.NORM.INV(RAND(),Hitorical_Sim!$AB$4,Hitorical_Sim!$AB$5)</f>
        <v>5.3226103903726476E-3</v>
      </c>
      <c r="D759">
        <f ca="1">_xlfn.NORM.INV(RAND(),Hitorical_Sim!$AB$4,Hitorical_Sim!$AB$5)</f>
        <v>1.7324319525255955E-2</v>
      </c>
      <c r="K759">
        <f t="shared" ca="1" si="122"/>
        <v>-2.4879233943255988E-2</v>
      </c>
      <c r="L759">
        <f t="shared" ca="1" si="122"/>
        <v>0.51307712477858203</v>
      </c>
      <c r="M759">
        <f t="shared" ca="1" si="122"/>
        <v>-1.4916023418855431</v>
      </c>
      <c r="O759">
        <v>757</v>
      </c>
      <c r="P759" s="6">
        <f t="shared" ca="1" si="114"/>
        <v>1936.9701970519038</v>
      </c>
      <c r="Q759" s="6">
        <f t="shared" ca="1" si="115"/>
        <v>390.07445389142606</v>
      </c>
      <c r="R759" s="6">
        <f t="shared" ca="1" si="116"/>
        <v>144.0628069268252</v>
      </c>
      <c r="S759" s="6"/>
      <c r="T759" s="4">
        <f t="shared" ca="1" si="117"/>
        <v>-3.45276528653745E-3</v>
      </c>
      <c r="U759" s="4">
        <f t="shared" ca="1" si="118"/>
        <v>-6.4460386390567059E-2</v>
      </c>
      <c r="V759" s="4">
        <f t="shared" ca="1" si="119"/>
        <v>2.4432345306938611E-2</v>
      </c>
      <c r="W759" s="4"/>
      <c r="X759">
        <v>757</v>
      </c>
      <c r="Y759" s="4">
        <f t="shared" ca="1" si="120"/>
        <v>-1.424790246255068E-2</v>
      </c>
      <c r="Z759" s="4">
        <f ca="1"/>
        <v>1.423391553844199E-2</v>
      </c>
      <c r="AA759" s="4"/>
    </row>
    <row r="760" spans="1:27" x14ac:dyDescent="0.35">
      <c r="A760">
        <v>758</v>
      </c>
      <c r="B760">
        <f ca="1">_xlfn.NORM.INV(RAND(),Hitorical_Sim!$AB$4,Hitorical_Sim!$AB$5)</f>
        <v>2.2993438905168271E-3</v>
      </c>
      <c r="C760">
        <f ca="1">_xlfn.NORM.INV(RAND(),Hitorical_Sim!$AB$4,Hitorical_Sim!$AB$5)</f>
        <v>2.9975816959863198E-3</v>
      </c>
      <c r="D760">
        <f ca="1">_xlfn.NORM.INV(RAND(),Hitorical_Sim!$AB$4,Hitorical_Sim!$AB$5)</f>
        <v>3.8956458106039179E-3</v>
      </c>
      <c r="K760">
        <f t="shared" ca="1" si="122"/>
        <v>-1.1678601498116115</v>
      </c>
      <c r="L760">
        <f t="shared" ca="1" si="122"/>
        <v>-0.44241064108178935</v>
      </c>
      <c r="M760">
        <f t="shared" ca="1" si="122"/>
        <v>-1.395230286437209</v>
      </c>
      <c r="O760">
        <v>758</v>
      </c>
      <c r="P760" s="6">
        <f t="shared" ca="1" si="114"/>
        <v>1897.2182326864138</v>
      </c>
      <c r="Q760" s="6">
        <f t="shared" ca="1" si="115"/>
        <v>379.58469499701368</v>
      </c>
      <c r="R760" s="6">
        <f t="shared" ca="1" si="116"/>
        <v>144.48695262963025</v>
      </c>
      <c r="S760" s="6"/>
      <c r="T760" s="4">
        <f t="shared" ca="1" si="117"/>
        <v>-2.0736272880693657E-2</v>
      </c>
      <c r="U760" s="4">
        <f t="shared" ca="1" si="118"/>
        <v>-2.7259881158606968E-2</v>
      </c>
      <c r="V760" s="4">
        <f t="shared" ca="1" si="119"/>
        <v>2.9398465549736411E-3</v>
      </c>
      <c r="W760" s="4"/>
      <c r="X760">
        <v>758</v>
      </c>
      <c r="Y760" s="4">
        <f t="shared" ca="1" si="120"/>
        <v>-2.0866443010563566E-2</v>
      </c>
      <c r="Z760" s="4">
        <f ca="1"/>
        <v>1.4288349554332513E-2</v>
      </c>
      <c r="AA760" s="4"/>
    </row>
    <row r="761" spans="1:27" x14ac:dyDescent="0.35">
      <c r="A761">
        <v>759</v>
      </c>
      <c r="B761">
        <f ca="1">_xlfn.NORM.INV(RAND(),Hitorical_Sim!$AB$4,Hitorical_Sim!$AB$5)</f>
        <v>1.3364373874847476E-2</v>
      </c>
      <c r="C761">
        <f ca="1">_xlfn.NORM.INV(RAND(),Hitorical_Sim!$AB$4,Hitorical_Sim!$AB$5)</f>
        <v>-4.2376750156827066E-3</v>
      </c>
      <c r="D761">
        <f ca="1">_xlfn.NORM.INV(RAND(),Hitorical_Sim!$AB$4,Hitorical_Sim!$AB$5)</f>
        <v>9.7906761157294867E-3</v>
      </c>
      <c r="K761">
        <f t="shared" ca="1" si="122"/>
        <v>1.0675917999362727</v>
      </c>
      <c r="L761">
        <f t="shared" ca="1" si="122"/>
        <v>-0.97885194166277723</v>
      </c>
      <c r="M761">
        <f t="shared" ca="1" si="122"/>
        <v>0.51340400877885262</v>
      </c>
      <c r="O761">
        <v>759</v>
      </c>
      <c r="P761" s="6">
        <f t="shared" ca="1" si="114"/>
        <v>1975.7437444520622</v>
      </c>
      <c r="Q761" s="6">
        <f t="shared" ca="1" si="115"/>
        <v>373.81954486257035</v>
      </c>
      <c r="R761" s="6">
        <f t="shared" ca="1" si="116"/>
        <v>153.14917343702123</v>
      </c>
      <c r="S761" s="6"/>
      <c r="T761" s="4">
        <f t="shared" ca="1" si="117"/>
        <v>4.0556181645809555E-2</v>
      </c>
      <c r="U761" s="4">
        <f t="shared" ca="1" si="118"/>
        <v>-1.5304566552182689E-2</v>
      </c>
      <c r="V761" s="4">
        <f t="shared" ca="1" si="119"/>
        <v>5.8223225927809125E-2</v>
      </c>
      <c r="W761" s="4"/>
      <c r="X761">
        <v>759</v>
      </c>
      <c r="Y761" s="4">
        <f t="shared" ca="1" si="120"/>
        <v>3.0282502471352134E-2</v>
      </c>
      <c r="Z761" s="4">
        <f ca="1"/>
        <v>1.4390753793295727E-2</v>
      </c>
      <c r="AA761" s="4"/>
    </row>
    <row r="762" spans="1:27" x14ac:dyDescent="0.35">
      <c r="A762">
        <v>760</v>
      </c>
      <c r="B762">
        <f ca="1">_xlfn.NORM.INV(RAND(),Hitorical_Sim!$AB$4,Hitorical_Sim!$AB$5)</f>
        <v>-5.0473255488011088E-3</v>
      </c>
      <c r="C762">
        <f ca="1">_xlfn.NORM.INV(RAND(),Hitorical_Sim!$AB$4,Hitorical_Sim!$AB$5)</f>
        <v>2.1803138581059905E-2</v>
      </c>
      <c r="D762">
        <f ca="1">_xlfn.NORM.INV(RAND(),Hitorical_Sim!$AB$4,Hitorical_Sim!$AB$5)</f>
        <v>-1.5672773195673697E-2</v>
      </c>
      <c r="K762">
        <f t="shared" ca="1" si="122"/>
        <v>0.66053684423589731</v>
      </c>
      <c r="L762">
        <f t="shared" ca="1" si="122"/>
        <v>-0.28716596561039293</v>
      </c>
      <c r="M762">
        <f t="shared" ca="1" si="122"/>
        <v>1.2026874105741938</v>
      </c>
      <c r="O762">
        <v>760</v>
      </c>
      <c r="P762" s="6">
        <f t="shared" ca="1" si="114"/>
        <v>1961.2068124861091</v>
      </c>
      <c r="Q762" s="6">
        <f t="shared" ca="1" si="115"/>
        <v>381.26964243054107</v>
      </c>
      <c r="R762" s="6">
        <f t="shared" ca="1" si="116"/>
        <v>156.40349086477826</v>
      </c>
      <c r="S762" s="6"/>
      <c r="T762" s="4">
        <f t="shared" ca="1" si="117"/>
        <v>-7.3849025138176764E-3</v>
      </c>
      <c r="U762" s="4">
        <f t="shared" ca="1" si="118"/>
        <v>1.973366711742763E-2</v>
      </c>
      <c r="V762" s="4">
        <f t="shared" ca="1" si="119"/>
        <v>2.1026711786332936E-2</v>
      </c>
      <c r="W762" s="4"/>
      <c r="X762">
        <v>760</v>
      </c>
      <c r="Y762" s="4">
        <f t="shared" ca="1" si="120"/>
        <v>-5.668074384261308E-4</v>
      </c>
      <c r="Z762" s="4">
        <f ca="1"/>
        <v>1.4414603233686275E-2</v>
      </c>
      <c r="AA762" s="4"/>
    </row>
    <row r="763" spans="1:27" x14ac:dyDescent="0.35">
      <c r="A763">
        <v>761</v>
      </c>
      <c r="B763">
        <f ca="1">_xlfn.NORM.INV(RAND(),Hitorical_Sim!$AB$4,Hitorical_Sim!$AB$5)</f>
        <v>-1.766255022898262E-2</v>
      </c>
      <c r="C763">
        <f ca="1">_xlfn.NORM.INV(RAND(),Hitorical_Sim!$AB$4,Hitorical_Sim!$AB$5)</f>
        <v>-2.2683137944945572E-2</v>
      </c>
      <c r="D763">
        <f ca="1">_xlfn.NORM.INV(RAND(),Hitorical_Sim!$AB$4,Hitorical_Sim!$AB$5)</f>
        <v>-1.5493446470330871E-3</v>
      </c>
      <c r="K763">
        <f t="shared" ca="1" si="122"/>
        <v>1.5019396450860143</v>
      </c>
      <c r="L763">
        <f t="shared" ca="1" si="122"/>
        <v>0.36739890744205717</v>
      </c>
      <c r="M763">
        <f t="shared" ca="1" si="122"/>
        <v>1.0927579395272948</v>
      </c>
      <c r="O763">
        <v>761</v>
      </c>
      <c r="P763" s="6">
        <f t="shared" ca="1" si="114"/>
        <v>1991.3742225953417</v>
      </c>
      <c r="Q763" s="6">
        <f t="shared" ca="1" si="115"/>
        <v>388.45660197973814</v>
      </c>
      <c r="R763" s="6">
        <f t="shared" ca="1" si="116"/>
        <v>155.879883025987</v>
      </c>
      <c r="S763" s="6"/>
      <c r="T763" s="4">
        <f t="shared" ca="1" si="117"/>
        <v>1.5264960104563571E-2</v>
      </c>
      <c r="U763" s="4">
        <f t="shared" ca="1" si="118"/>
        <v>1.8674609228451249E-2</v>
      </c>
      <c r="V763" s="4">
        <f t="shared" ca="1" si="119"/>
        <v>-3.3534179098273966E-3</v>
      </c>
      <c r="W763" s="4"/>
      <c r="X763">
        <v>761</v>
      </c>
      <c r="Y763" s="4">
        <f t="shared" ca="1" si="120"/>
        <v>1.5023991577187559E-2</v>
      </c>
      <c r="Z763" s="4">
        <f ca="1"/>
        <v>1.4472348914896661E-2</v>
      </c>
      <c r="AA763" s="4"/>
    </row>
    <row r="764" spans="1:27" x14ac:dyDescent="0.35">
      <c r="A764">
        <v>762</v>
      </c>
      <c r="B764">
        <f ca="1">_xlfn.NORM.INV(RAND(),Hitorical_Sim!$AB$4,Hitorical_Sim!$AB$5)</f>
        <v>-9.0148361255882464E-3</v>
      </c>
      <c r="C764">
        <f ca="1">_xlfn.NORM.INV(RAND(),Hitorical_Sim!$AB$4,Hitorical_Sim!$AB$5)</f>
        <v>-7.0678469586029583E-3</v>
      </c>
      <c r="D764">
        <f ca="1">_xlfn.NORM.INV(RAND(),Hitorical_Sim!$AB$4,Hitorical_Sim!$AB$5)</f>
        <v>1.0548143530453594E-2</v>
      </c>
      <c r="K764">
        <f t="shared" ref="K764:M783" ca="1" si="123">_xlfn.NORM.S.INV(RAND())</f>
        <v>-1.7507070539217993</v>
      </c>
      <c r="L764">
        <f t="shared" ca="1" si="123"/>
        <v>1.1691773267414318</v>
      </c>
      <c r="M764">
        <f t="shared" ca="1" si="123"/>
        <v>-2.5110760064782807</v>
      </c>
      <c r="O764">
        <v>762</v>
      </c>
      <c r="P764" s="6">
        <f t="shared" ca="1" si="114"/>
        <v>1877.2624219784457</v>
      </c>
      <c r="Q764" s="6">
        <f t="shared" ca="1" si="115"/>
        <v>397.44479350400502</v>
      </c>
      <c r="R764" s="6">
        <f t="shared" ca="1" si="116"/>
        <v>139.65151483346594</v>
      </c>
      <c r="S764" s="6"/>
      <c r="T764" s="4">
        <f t="shared" ca="1" si="117"/>
        <v>-5.9010407434380782E-2</v>
      </c>
      <c r="U764" s="4">
        <f t="shared" ca="1" si="118"/>
        <v>2.2874583230227022E-2</v>
      </c>
      <c r="V764" s="4">
        <f t="shared" ca="1" si="119"/>
        <v>-0.10993559036978165</v>
      </c>
      <c r="W764" s="4"/>
      <c r="X764">
        <v>762</v>
      </c>
      <c r="Y764" s="4">
        <f t="shared" ca="1" si="120"/>
        <v>-4.518906867046657E-2</v>
      </c>
      <c r="Z764" s="4">
        <f ca="1"/>
        <v>1.4510755066590752E-2</v>
      </c>
      <c r="AA764" s="4"/>
    </row>
    <row r="765" spans="1:27" x14ac:dyDescent="0.35">
      <c r="A765">
        <v>763</v>
      </c>
      <c r="B765">
        <f ca="1">_xlfn.NORM.INV(RAND(),Hitorical_Sim!$AB$4,Hitorical_Sim!$AB$5)</f>
        <v>-2.7172915382884681E-2</v>
      </c>
      <c r="C765">
        <f ca="1">_xlfn.NORM.INV(RAND(),Hitorical_Sim!$AB$4,Hitorical_Sim!$AB$5)</f>
        <v>-6.0921708415371612E-3</v>
      </c>
      <c r="D765">
        <f ca="1">_xlfn.NORM.INV(RAND(),Hitorical_Sim!$AB$4,Hitorical_Sim!$AB$5)</f>
        <v>3.1506242053318629E-3</v>
      </c>
      <c r="K765">
        <f t="shared" ca="1" si="123"/>
        <v>-0.91143609584049479</v>
      </c>
      <c r="L765">
        <f t="shared" ca="1" si="123"/>
        <v>0.21018266956158066</v>
      </c>
      <c r="M765">
        <f t="shared" ca="1" si="123"/>
        <v>1.5485719983997706</v>
      </c>
      <c r="O765">
        <v>763</v>
      </c>
      <c r="P765" s="6">
        <f t="shared" ca="1" si="114"/>
        <v>1906.0648727434368</v>
      </c>
      <c r="Q765" s="6">
        <f t="shared" ca="1" si="115"/>
        <v>386.71814032119062</v>
      </c>
      <c r="R765" s="6">
        <f t="shared" ca="1" si="116"/>
        <v>158.06248323232109</v>
      </c>
      <c r="S765" s="6"/>
      <c r="T765" s="4">
        <f t="shared" ca="1" si="117"/>
        <v>1.5226283629060842E-2</v>
      </c>
      <c r="U765" s="4">
        <f t="shared" ca="1" si="118"/>
        <v>-2.7359932089681776E-2</v>
      </c>
      <c r="V765" s="4">
        <f t="shared" ca="1" si="119"/>
        <v>0.12384027865780167</v>
      </c>
      <c r="W765" s="4"/>
      <c r="X765">
        <v>763</v>
      </c>
      <c r="Y765" s="4">
        <f t="shared" ca="1" si="120"/>
        <v>1.2102752261453277E-2</v>
      </c>
      <c r="Z765" s="4">
        <f ca="1"/>
        <v>1.460517489776106E-2</v>
      </c>
      <c r="AA765" s="4"/>
    </row>
    <row r="766" spans="1:27" x14ac:dyDescent="0.35">
      <c r="A766">
        <v>764</v>
      </c>
      <c r="B766">
        <f ca="1">_xlfn.NORM.INV(RAND(),Hitorical_Sim!$AB$4,Hitorical_Sim!$AB$5)</f>
        <v>-3.2181270477515261E-3</v>
      </c>
      <c r="C766">
        <f ca="1">_xlfn.NORM.INV(RAND(),Hitorical_Sim!$AB$4,Hitorical_Sim!$AB$5)</f>
        <v>4.3167356135504192E-4</v>
      </c>
      <c r="D766">
        <f ca="1">_xlfn.NORM.INV(RAND(),Hitorical_Sim!$AB$4,Hitorical_Sim!$AB$5)</f>
        <v>-3.7722594650732E-3</v>
      </c>
      <c r="K766">
        <f t="shared" ca="1" si="123"/>
        <v>-0.95240226487941737</v>
      </c>
      <c r="L766">
        <f t="shared" ca="1" si="123"/>
        <v>0.77923222731134023</v>
      </c>
      <c r="M766">
        <f t="shared" ca="1" si="123"/>
        <v>1.257595881903222</v>
      </c>
      <c r="O766">
        <v>764</v>
      </c>
      <c r="P766" s="6">
        <f t="shared" ca="1" si="114"/>
        <v>1904.6487745374047</v>
      </c>
      <c r="Q766" s="6">
        <f t="shared" ca="1" si="115"/>
        <v>393.04770132273762</v>
      </c>
      <c r="R766" s="6">
        <f t="shared" ca="1" si="116"/>
        <v>156.66568508087363</v>
      </c>
      <c r="S766" s="6"/>
      <c r="T766" s="4">
        <f t="shared" ca="1" si="117"/>
        <v>-7.4321946086255779E-4</v>
      </c>
      <c r="U766" s="4">
        <f t="shared" ca="1" si="118"/>
        <v>1.6234873822427446E-2</v>
      </c>
      <c r="V766" s="4">
        <f t="shared" ca="1" si="119"/>
        <v>-8.8762777724567324E-3</v>
      </c>
      <c r="W766" s="4"/>
      <c r="X766">
        <v>764</v>
      </c>
      <c r="Y766" s="4">
        <f t="shared" ca="1" si="120"/>
        <v>2.2425602372489846E-3</v>
      </c>
      <c r="Z766" s="4">
        <f ca="1"/>
        <v>1.4615349901275408E-2</v>
      </c>
      <c r="AA766" s="4"/>
    </row>
    <row r="767" spans="1:27" x14ac:dyDescent="0.35">
      <c r="A767">
        <v>765</v>
      </c>
      <c r="B767">
        <f ca="1">_xlfn.NORM.INV(RAND(),Hitorical_Sim!$AB$4,Hitorical_Sim!$AB$5)</f>
        <v>-1.5712106093121792E-2</v>
      </c>
      <c r="C767">
        <f ca="1">_xlfn.NORM.INV(RAND(),Hitorical_Sim!$AB$4,Hitorical_Sim!$AB$5)</f>
        <v>-9.5136644809107312E-3</v>
      </c>
      <c r="D767">
        <f ca="1">_xlfn.NORM.INV(RAND(),Hitorical_Sim!$AB$4,Hitorical_Sim!$AB$5)</f>
        <v>-5.6049067606989246E-3</v>
      </c>
      <c r="K767">
        <f t="shared" ca="1" si="123"/>
        <v>1.5477735478249932</v>
      </c>
      <c r="L767">
        <f t="shared" ca="1" si="123"/>
        <v>-1.10130968930645</v>
      </c>
      <c r="M767">
        <f t="shared" ca="1" si="123"/>
        <v>1.5894059099709572</v>
      </c>
      <c r="O767">
        <v>765</v>
      </c>
      <c r="P767" s="6">
        <f t="shared" ca="1" si="114"/>
        <v>1993.0308010832575</v>
      </c>
      <c r="Q767" s="6">
        <f t="shared" ca="1" si="115"/>
        <v>372.51581181739272</v>
      </c>
      <c r="R767" s="6">
        <f t="shared" ca="1" si="116"/>
        <v>158.25949575969213</v>
      </c>
      <c r="S767" s="6"/>
      <c r="T767" s="4">
        <f t="shared" ca="1" si="117"/>
        <v>4.5358874485284965E-2</v>
      </c>
      <c r="U767" s="4">
        <f t="shared" ca="1" si="118"/>
        <v>-5.3651497164508059E-2</v>
      </c>
      <c r="V767" s="4">
        <f t="shared" ca="1" si="119"/>
        <v>1.0121923449517267E-2</v>
      </c>
      <c r="W767" s="4"/>
      <c r="X767">
        <v>765</v>
      </c>
      <c r="Y767" s="4">
        <f t="shared" ca="1" si="120"/>
        <v>2.3855682871333109E-2</v>
      </c>
      <c r="Z767" s="4">
        <f ca="1"/>
        <v>1.4631643019966794E-2</v>
      </c>
      <c r="AA767" s="4"/>
    </row>
    <row r="768" spans="1:27" x14ac:dyDescent="0.35">
      <c r="A768">
        <v>766</v>
      </c>
      <c r="B768">
        <f ca="1">_xlfn.NORM.INV(RAND(),Hitorical_Sim!$AB$4,Hitorical_Sim!$AB$5)</f>
        <v>1.4802254613336353E-2</v>
      </c>
      <c r="C768">
        <f ca="1">_xlfn.NORM.INV(RAND(),Hitorical_Sim!$AB$4,Hitorical_Sim!$AB$5)</f>
        <v>-2.9328956824633719E-3</v>
      </c>
      <c r="D768">
        <f ca="1">_xlfn.NORM.INV(RAND(),Hitorical_Sim!$AB$4,Hitorical_Sim!$AB$5)</f>
        <v>2.5335902362000673E-2</v>
      </c>
      <c r="K768">
        <f t="shared" ca="1" si="123"/>
        <v>0.14391649290375125</v>
      </c>
      <c r="L768">
        <f t="shared" ca="1" si="123"/>
        <v>1.2303323058948263</v>
      </c>
      <c r="M768">
        <f t="shared" ca="1" si="123"/>
        <v>-0.16614882751299365</v>
      </c>
      <c r="O768">
        <v>766</v>
      </c>
      <c r="P768" s="6">
        <f t="shared" ca="1" si="114"/>
        <v>1942.9109467531366</v>
      </c>
      <c r="Q768" s="6">
        <f t="shared" ca="1" si="115"/>
        <v>398.13883651075298</v>
      </c>
      <c r="R768" s="6">
        <f t="shared" ca="1" si="116"/>
        <v>150.0070896052342</v>
      </c>
      <c r="S768" s="6"/>
      <c r="T768" s="4">
        <f t="shared" ca="1" si="117"/>
        <v>-2.5469159259074326E-2</v>
      </c>
      <c r="U768" s="4">
        <f t="shared" ca="1" si="118"/>
        <v>6.6521295158992383E-2</v>
      </c>
      <c r="V768" s="4">
        <f t="shared" ca="1" si="119"/>
        <v>-5.3553507010410652E-2</v>
      </c>
      <c r="W768" s="4"/>
      <c r="X768">
        <v>766</v>
      </c>
      <c r="Y768" s="4">
        <f t="shared" ca="1" si="120"/>
        <v>-8.5006972642256238E-3</v>
      </c>
      <c r="Z768" s="4">
        <f ca="1"/>
        <v>1.4691230360266549E-2</v>
      </c>
      <c r="AA768" s="4"/>
    </row>
    <row r="769" spans="1:27" x14ac:dyDescent="0.35">
      <c r="A769">
        <v>767</v>
      </c>
      <c r="B769">
        <f ca="1">_xlfn.NORM.INV(RAND(),Hitorical_Sim!$AB$4,Hitorical_Sim!$AB$5)</f>
        <v>2.626351208757886E-2</v>
      </c>
      <c r="C769">
        <f ca="1">_xlfn.NORM.INV(RAND(),Hitorical_Sim!$AB$4,Hitorical_Sim!$AB$5)</f>
        <v>-1.5604726430535044E-2</v>
      </c>
      <c r="D769">
        <f ca="1">_xlfn.NORM.INV(RAND(),Hitorical_Sim!$AB$4,Hitorical_Sim!$AB$5)</f>
        <v>2.667472351772724E-2</v>
      </c>
      <c r="K769">
        <f t="shared" ca="1" si="123"/>
        <v>-0.17563871104727433</v>
      </c>
      <c r="L769">
        <f t="shared" ca="1" si="123"/>
        <v>6.0005275296505164E-2</v>
      </c>
      <c r="M769">
        <f t="shared" ca="1" si="123"/>
        <v>0.60228840756362145</v>
      </c>
      <c r="O769">
        <v>767</v>
      </c>
      <c r="P769" s="6">
        <f t="shared" ca="1" si="114"/>
        <v>1931.6795901650071</v>
      </c>
      <c r="Q769" s="6">
        <f t="shared" ca="1" si="115"/>
        <v>385.06477853917283</v>
      </c>
      <c r="R769" s="6">
        <f t="shared" ca="1" si="116"/>
        <v>153.5649908299068</v>
      </c>
      <c r="S769" s="6"/>
      <c r="T769" s="4">
        <f t="shared" ca="1" si="117"/>
        <v>-5.7974580481424016E-3</v>
      </c>
      <c r="U769" s="4">
        <f t="shared" ca="1" si="118"/>
        <v>-3.3389203829406043E-2</v>
      </c>
      <c r="V769" s="4">
        <f t="shared" ca="1" si="119"/>
        <v>2.344131343618247E-2</v>
      </c>
      <c r="W769" s="4"/>
      <c r="X769">
        <v>767</v>
      </c>
      <c r="Y769" s="4">
        <f t="shared" ca="1" si="120"/>
        <v>-9.8568599925494878E-3</v>
      </c>
      <c r="Z769" s="4">
        <f ca="1"/>
        <v>1.4846890549831909E-2</v>
      </c>
      <c r="AA769" s="4"/>
    </row>
    <row r="770" spans="1:27" x14ac:dyDescent="0.35">
      <c r="A770">
        <v>768</v>
      </c>
      <c r="B770">
        <f ca="1">_xlfn.NORM.INV(RAND(),Hitorical_Sim!$AB$4,Hitorical_Sim!$AB$5)</f>
        <v>-1.1328742307090814E-2</v>
      </c>
      <c r="C770">
        <f ca="1">_xlfn.NORM.INV(RAND(),Hitorical_Sim!$AB$4,Hitorical_Sim!$AB$5)</f>
        <v>-2.6577341521157299E-2</v>
      </c>
      <c r="D770">
        <f ca="1">_xlfn.NORM.INV(RAND(),Hitorical_Sim!$AB$4,Hitorical_Sim!$AB$5)</f>
        <v>-9.440228812806031E-3</v>
      </c>
      <c r="K770">
        <f t="shared" ca="1" si="123"/>
        <v>-1.4182959128496944</v>
      </c>
      <c r="L770">
        <f t="shared" ca="1" si="123"/>
        <v>0.16113822737253702</v>
      </c>
      <c r="M770">
        <f t="shared" ca="1" si="123"/>
        <v>-0.52381389682126112</v>
      </c>
      <c r="O770">
        <v>768</v>
      </c>
      <c r="P770" s="6">
        <f t="shared" ca="1" si="114"/>
        <v>1888.6178232270047</v>
      </c>
      <c r="Q770" s="6">
        <f t="shared" ca="1" si="115"/>
        <v>386.17741168681061</v>
      </c>
      <c r="R770" s="6">
        <f t="shared" ca="1" si="116"/>
        <v>148.37931303313277</v>
      </c>
      <c r="S770" s="6"/>
      <c r="T770" s="4">
        <f t="shared" ca="1" si="117"/>
        <v>-2.2544627365153565E-2</v>
      </c>
      <c r="U770" s="4">
        <f t="shared" ca="1" si="118"/>
        <v>2.8853035625520441E-3</v>
      </c>
      <c r="V770" s="4">
        <f t="shared" ca="1" si="119"/>
        <v>-3.4351949480508161E-2</v>
      </c>
      <c r="W770" s="4"/>
      <c r="X770">
        <v>768</v>
      </c>
      <c r="Y770" s="4">
        <f t="shared" ca="1" si="120"/>
        <v>-1.8053970109516895E-2</v>
      </c>
      <c r="Z770" s="4">
        <f ca="1"/>
        <v>1.4860878490226898E-2</v>
      </c>
      <c r="AA770" s="4"/>
    </row>
    <row r="771" spans="1:27" x14ac:dyDescent="0.35">
      <c r="A771">
        <v>769</v>
      </c>
      <c r="B771">
        <f ca="1">_xlfn.NORM.INV(RAND(),Hitorical_Sim!$AB$4,Hitorical_Sim!$AB$5)</f>
        <v>8.677163034200245E-3</v>
      </c>
      <c r="C771">
        <f ca="1">_xlfn.NORM.INV(RAND(),Hitorical_Sim!$AB$4,Hitorical_Sim!$AB$5)</f>
        <v>-4.3677752350542989E-3</v>
      </c>
      <c r="D771">
        <f ca="1">_xlfn.NORM.INV(RAND(),Hitorical_Sim!$AB$4,Hitorical_Sim!$AB$5)</f>
        <v>-9.2322549086015677E-3</v>
      </c>
      <c r="K771">
        <f t="shared" ca="1" si="123"/>
        <v>0.88403365935628142</v>
      </c>
      <c r="L771">
        <f t="shared" ca="1" si="123"/>
        <v>0.77221588652545126</v>
      </c>
      <c r="M771">
        <f t="shared" ca="1" si="123"/>
        <v>-0.64657389387382802</v>
      </c>
      <c r="O771">
        <v>769</v>
      </c>
      <c r="P771" s="6">
        <f t="shared" ref="P771:P834" ca="1" si="124">$G$17*EXP(($G$15-0.5*$G$16)+($G$16*K771))</f>
        <v>1969.1751409022954</v>
      </c>
      <c r="Q771" s="6">
        <f t="shared" ref="Q771:Q834" ca="1" si="125">$H$17*EXP(($H$15-0.5*$H$16^2)+($H$16*L771))</f>
        <v>392.96903093399607</v>
      </c>
      <c r="R771" s="6">
        <f t="shared" ref="R771:R834" ca="1" si="126">$I$17*EXP(($I$15-0.5*$I$16)+($I$16*M771))</f>
        <v>147.8246990128811</v>
      </c>
      <c r="S771" s="6"/>
      <c r="T771" s="4">
        <f t="shared" ca="1" si="117"/>
        <v>4.1769493792713892E-2</v>
      </c>
      <c r="U771" s="4">
        <f t="shared" ca="1" si="118"/>
        <v>1.7433927426782334E-2</v>
      </c>
      <c r="V771" s="4">
        <f t="shared" ca="1" si="119"/>
        <v>-3.7448153693998266E-3</v>
      </c>
      <c r="W771" s="4"/>
      <c r="X771">
        <v>769</v>
      </c>
      <c r="Y771" s="4">
        <f t="shared" ca="1" si="120"/>
        <v>3.4660382835563303E-2</v>
      </c>
      <c r="Z771" s="4">
        <f ca="1"/>
        <v>1.4882451519041863E-2</v>
      </c>
      <c r="AA771" s="4"/>
    </row>
    <row r="772" spans="1:27" x14ac:dyDescent="0.35">
      <c r="A772">
        <v>770</v>
      </c>
      <c r="B772">
        <f ca="1">_xlfn.NORM.INV(RAND(),Hitorical_Sim!$AB$4,Hitorical_Sim!$AB$5)</f>
        <v>-2.6505646724271772E-2</v>
      </c>
      <c r="C772">
        <f ca="1">_xlfn.NORM.INV(RAND(),Hitorical_Sim!$AB$4,Hitorical_Sim!$AB$5)</f>
        <v>-4.1668808913273786E-3</v>
      </c>
      <c r="D772">
        <f ca="1">_xlfn.NORM.INV(RAND(),Hitorical_Sim!$AB$4,Hitorical_Sim!$AB$5)</f>
        <v>-4.1072448230538072E-2</v>
      </c>
      <c r="K772">
        <f t="shared" ca="1" si="123"/>
        <v>-1.1279486865867434</v>
      </c>
      <c r="L772">
        <f t="shared" ca="1" si="123"/>
        <v>-1.3328665322777198</v>
      </c>
      <c r="M772">
        <f t="shared" ca="1" si="123"/>
        <v>-0.38983775854313724</v>
      </c>
      <c r="O772">
        <v>770</v>
      </c>
      <c r="P772" s="6">
        <f t="shared" ca="1" si="124"/>
        <v>1898.5924768540253</v>
      </c>
      <c r="Q772" s="6">
        <f t="shared" ca="1" si="125"/>
        <v>370.06298201198331</v>
      </c>
      <c r="R772" s="6">
        <f t="shared" ca="1" si="126"/>
        <v>148.98697510269204</v>
      </c>
      <c r="S772" s="6"/>
      <c r="T772" s="4">
        <f t="shared" ref="T772:T835" ca="1" si="127">LN(P772/P771)</f>
        <v>-3.6501934876940617E-2</v>
      </c>
      <c r="U772" s="4">
        <f t="shared" ref="U772:U835" ca="1" si="128">LN(Q772/Q771)</f>
        <v>-6.005759426336086E-2</v>
      </c>
      <c r="V772" s="4">
        <f t="shared" ref="V772:V835" ca="1" si="129">LN(R772/R771)</f>
        <v>7.8317811058190214E-3</v>
      </c>
      <c r="W772" s="4"/>
      <c r="X772">
        <v>770</v>
      </c>
      <c r="Y772" s="4">
        <f t="shared" ref="Y772:Y835" ca="1" si="130">($G$18*T772)+($H$18*U772)+($I$18*V772)</f>
        <v>-3.9008812061803219E-2</v>
      </c>
      <c r="Z772" s="4">
        <f ca="1"/>
        <v>1.498832212909355E-2</v>
      </c>
      <c r="AA772" s="4"/>
    </row>
    <row r="773" spans="1:27" x14ac:dyDescent="0.35">
      <c r="A773">
        <v>771</v>
      </c>
      <c r="B773">
        <f ca="1">_xlfn.NORM.INV(RAND(),Hitorical_Sim!$AB$4,Hitorical_Sim!$AB$5)</f>
        <v>-8.1341823909773028E-3</v>
      </c>
      <c r="C773">
        <f ca="1">_xlfn.NORM.INV(RAND(),Hitorical_Sim!$AB$4,Hitorical_Sim!$AB$5)</f>
        <v>-1.4217122798750373E-3</v>
      </c>
      <c r="D773">
        <f ca="1">_xlfn.NORM.INV(RAND(),Hitorical_Sim!$AB$4,Hitorical_Sim!$AB$5)</f>
        <v>-7.2214721949995361E-3</v>
      </c>
      <c r="K773">
        <f t="shared" ca="1" si="123"/>
        <v>-3.3157558712490945E-2</v>
      </c>
      <c r="L773">
        <f t="shared" ca="1" si="123"/>
        <v>-1.6024944193853643</v>
      </c>
      <c r="M773">
        <f t="shared" ca="1" si="123"/>
        <v>-0.97513831316168631</v>
      </c>
      <c r="O773">
        <v>771</v>
      </c>
      <c r="P773" s="6">
        <f t="shared" ca="1" si="124"/>
        <v>1936.6793099219501</v>
      </c>
      <c r="Q773" s="6">
        <f t="shared" ca="1" si="125"/>
        <v>367.22721882364311</v>
      </c>
      <c r="R773" s="6">
        <f t="shared" ca="1" si="126"/>
        <v>146.35046493735723</v>
      </c>
      <c r="S773" s="6"/>
      <c r="T773" s="4">
        <f t="shared" ca="1" si="127"/>
        <v>1.9862000545928387E-2</v>
      </c>
      <c r="U773" s="4">
        <f t="shared" ca="1" si="128"/>
        <v>-7.6924314703101385E-3</v>
      </c>
      <c r="V773" s="4">
        <f t="shared" ca="1" si="129"/>
        <v>-1.7854696686863389E-2</v>
      </c>
      <c r="W773" s="4"/>
      <c r="X773">
        <v>771</v>
      </c>
      <c r="Y773" s="4">
        <f t="shared" ca="1" si="130"/>
        <v>1.2496411572261678E-2</v>
      </c>
      <c r="Z773" s="4">
        <f ca="1"/>
        <v>1.5023991577187559E-2</v>
      </c>
      <c r="AA773" s="4"/>
    </row>
    <row r="774" spans="1:27" x14ac:dyDescent="0.35">
      <c r="A774">
        <v>772</v>
      </c>
      <c r="B774">
        <f ca="1">_xlfn.NORM.INV(RAND(),Hitorical_Sim!$AB$4,Hitorical_Sim!$AB$5)</f>
        <v>4.1705510159170799E-3</v>
      </c>
      <c r="C774">
        <f ca="1">_xlfn.NORM.INV(RAND(),Hitorical_Sim!$AB$4,Hitorical_Sim!$AB$5)</f>
        <v>1.0392421946362794E-2</v>
      </c>
      <c r="D774">
        <f ca="1">_xlfn.NORM.INV(RAND(),Hitorical_Sim!$AB$4,Hitorical_Sim!$AB$5)</f>
        <v>-2.7820237061895358E-2</v>
      </c>
      <c r="K774">
        <f t="shared" ca="1" si="123"/>
        <v>-0.63683314575560168</v>
      </c>
      <c r="L774">
        <f t="shared" ca="1" si="123"/>
        <v>3.0278846426308053E-2</v>
      </c>
      <c r="M774">
        <f t="shared" ca="1" si="123"/>
        <v>-0.73969734395249376</v>
      </c>
      <c r="O774">
        <v>772</v>
      </c>
      <c r="P774" s="6">
        <f t="shared" ca="1" si="124"/>
        <v>1915.5844323225519</v>
      </c>
      <c r="Q774" s="6">
        <f t="shared" ca="1" si="125"/>
        <v>384.73834767449989</v>
      </c>
      <c r="R774" s="6">
        <f t="shared" ca="1" si="126"/>
        <v>147.4053622987949</v>
      </c>
      <c r="S774" s="6"/>
      <c r="T774" s="4">
        <f t="shared" ca="1" si="127"/>
        <v>-1.0952047869345678E-2</v>
      </c>
      <c r="U774" s="4">
        <f t="shared" ca="1" si="128"/>
        <v>4.6582705478074062E-2</v>
      </c>
      <c r="V774" s="4">
        <f t="shared" ca="1" si="129"/>
        <v>7.1821683060438683E-3</v>
      </c>
      <c r="W774" s="4"/>
      <c r="X774">
        <v>772</v>
      </c>
      <c r="Y774" s="4">
        <f t="shared" ca="1" si="130"/>
        <v>1.4275173469178875E-3</v>
      </c>
      <c r="Z774" s="4">
        <f ca="1"/>
        <v>1.5027652112445857E-2</v>
      </c>
      <c r="AA774" s="4"/>
    </row>
    <row r="775" spans="1:27" x14ac:dyDescent="0.35">
      <c r="A775">
        <v>773</v>
      </c>
      <c r="B775">
        <f ca="1">_xlfn.NORM.INV(RAND(),Hitorical_Sim!$AB$4,Hitorical_Sim!$AB$5)</f>
        <v>-7.9884570263138565E-3</v>
      </c>
      <c r="C775">
        <f ca="1">_xlfn.NORM.INV(RAND(),Hitorical_Sim!$AB$4,Hitorical_Sim!$AB$5)</f>
        <v>2.3485421267259361E-3</v>
      </c>
      <c r="D775">
        <f ca="1">_xlfn.NORM.INV(RAND(),Hitorical_Sim!$AB$4,Hitorical_Sim!$AB$5)</f>
        <v>-1.2300362888766689E-2</v>
      </c>
      <c r="K775">
        <f t="shared" ca="1" si="123"/>
        <v>-1.7275507795024028</v>
      </c>
      <c r="L775">
        <f t="shared" ca="1" si="123"/>
        <v>0.5524690859026451</v>
      </c>
      <c r="M775">
        <f t="shared" ca="1" si="123"/>
        <v>-0.43328782428217222</v>
      </c>
      <c r="O775">
        <v>773</v>
      </c>
      <c r="P775" s="6">
        <f t="shared" ca="1" si="124"/>
        <v>1878.0512396348518</v>
      </c>
      <c r="Q775" s="6">
        <f t="shared" ca="1" si="125"/>
        <v>390.51308355828058</v>
      </c>
      <c r="R775" s="6">
        <f t="shared" ca="1" si="126"/>
        <v>148.78963084431328</v>
      </c>
      <c r="S775" s="6"/>
      <c r="T775" s="4">
        <f t="shared" ca="1" si="127"/>
        <v>-1.9788098099586409E-2</v>
      </c>
      <c r="U775" s="4">
        <f t="shared" ca="1" si="128"/>
        <v>1.4897986535172072E-2</v>
      </c>
      <c r="V775" s="4">
        <f t="shared" ca="1" si="129"/>
        <v>9.3470764592842141E-3</v>
      </c>
      <c r="W775" s="4"/>
      <c r="X775">
        <v>773</v>
      </c>
      <c r="Y775" s="4">
        <f t="shared" ca="1" si="130"/>
        <v>-1.1423959333679436E-2</v>
      </c>
      <c r="Z775" s="4">
        <f ca="1"/>
        <v>1.5185606062180635E-2</v>
      </c>
      <c r="AA775" s="4"/>
    </row>
    <row r="776" spans="1:27" x14ac:dyDescent="0.35">
      <c r="A776">
        <v>774</v>
      </c>
      <c r="B776">
        <f ca="1">_xlfn.NORM.INV(RAND(),Hitorical_Sim!$AB$4,Hitorical_Sim!$AB$5)</f>
        <v>-1.2988882973220749E-2</v>
      </c>
      <c r="C776">
        <f ca="1">_xlfn.NORM.INV(RAND(),Hitorical_Sim!$AB$4,Hitorical_Sim!$AB$5)</f>
        <v>9.0751104221980551E-4</v>
      </c>
      <c r="D776">
        <f ca="1">_xlfn.NORM.INV(RAND(),Hitorical_Sim!$AB$4,Hitorical_Sim!$AB$5)</f>
        <v>-3.2153280141939064E-3</v>
      </c>
      <c r="K776">
        <f t="shared" ca="1" si="123"/>
        <v>0.3458637387162003</v>
      </c>
      <c r="L776">
        <f t="shared" ca="1" si="123"/>
        <v>1.6301129402569579</v>
      </c>
      <c r="M776">
        <f t="shared" ca="1" si="123"/>
        <v>1.308167422293409</v>
      </c>
      <c r="O776">
        <v>774</v>
      </c>
      <c r="P776" s="6">
        <f t="shared" ca="1" si="124"/>
        <v>1950.0424054803807</v>
      </c>
      <c r="Q776" s="6">
        <f t="shared" ca="1" si="125"/>
        <v>402.70586989012241</v>
      </c>
      <c r="R776" s="6">
        <f t="shared" ca="1" si="126"/>
        <v>156.90755877655835</v>
      </c>
      <c r="S776" s="6"/>
      <c r="T776" s="4">
        <f t="shared" ca="1" si="127"/>
        <v>3.7616454174922265E-2</v>
      </c>
      <c r="U776" s="4">
        <f t="shared" ca="1" si="128"/>
        <v>3.074497073706596E-2</v>
      </c>
      <c r="V776" s="4">
        <f t="shared" ca="1" si="129"/>
        <v>5.3123399552589698E-2</v>
      </c>
      <c r="W776" s="4"/>
      <c r="X776">
        <v>774</v>
      </c>
      <c r="Y776" s="4">
        <f t="shared" ca="1" si="130"/>
        <v>3.7012565453831761E-2</v>
      </c>
      <c r="Z776" s="4">
        <f ca="1"/>
        <v>1.5223358996595156E-2</v>
      </c>
      <c r="AA776" s="4"/>
    </row>
    <row r="777" spans="1:27" x14ac:dyDescent="0.35">
      <c r="A777">
        <v>775</v>
      </c>
      <c r="B777">
        <f ca="1">_xlfn.NORM.INV(RAND(),Hitorical_Sim!$AB$4,Hitorical_Sim!$AB$5)</f>
        <v>-9.4691857093509198E-3</v>
      </c>
      <c r="C777">
        <f ca="1">_xlfn.NORM.INV(RAND(),Hitorical_Sim!$AB$4,Hitorical_Sim!$AB$5)</f>
        <v>2.3041040000786456E-2</v>
      </c>
      <c r="D777">
        <f ca="1">_xlfn.NORM.INV(RAND(),Hitorical_Sim!$AB$4,Hitorical_Sim!$AB$5)</f>
        <v>1.0359942741571123E-2</v>
      </c>
      <c r="K777">
        <f t="shared" ca="1" si="123"/>
        <v>0.90141444332784204</v>
      </c>
      <c r="L777">
        <f t="shared" ca="1" si="123"/>
        <v>1.180824958595496</v>
      </c>
      <c r="M777">
        <f t="shared" ca="1" si="123"/>
        <v>-0.9600284095609507</v>
      </c>
      <c r="O777">
        <v>775</v>
      </c>
      <c r="P777" s="6">
        <f t="shared" ca="1" si="124"/>
        <v>1969.7961727906843</v>
      </c>
      <c r="Q777" s="6">
        <f t="shared" ca="1" si="125"/>
        <v>397.57688821715698</v>
      </c>
      <c r="R777" s="6">
        <f t="shared" ca="1" si="126"/>
        <v>146.41793784640609</v>
      </c>
      <c r="S777" s="6"/>
      <c r="T777" s="4">
        <f t="shared" ca="1" si="127"/>
        <v>1.0078953069077671E-2</v>
      </c>
      <c r="U777" s="4">
        <f t="shared" ca="1" si="128"/>
        <v>-1.2818099219777425E-2</v>
      </c>
      <c r="V777" s="4">
        <f t="shared" ca="1" si="129"/>
        <v>-6.9191714042643002E-2</v>
      </c>
      <c r="W777" s="4"/>
      <c r="X777">
        <v>775</v>
      </c>
      <c r="Y777" s="4">
        <f t="shared" ca="1" si="130"/>
        <v>1.5863180505197769E-3</v>
      </c>
      <c r="Z777" s="4">
        <f ca="1"/>
        <v>1.5256420916751525E-2</v>
      </c>
      <c r="AA777" s="4"/>
    </row>
    <row r="778" spans="1:27" x14ac:dyDescent="0.35">
      <c r="A778">
        <v>776</v>
      </c>
      <c r="B778">
        <f ca="1">_xlfn.NORM.INV(RAND(),Hitorical_Sim!$AB$4,Hitorical_Sim!$AB$5)</f>
        <v>-5.4059732558669575E-3</v>
      </c>
      <c r="C778">
        <f ca="1">_xlfn.NORM.INV(RAND(),Hitorical_Sim!$AB$4,Hitorical_Sim!$AB$5)</f>
        <v>2.5256205141932944E-3</v>
      </c>
      <c r="D778">
        <f ca="1">_xlfn.NORM.INV(RAND(),Hitorical_Sim!$AB$4,Hitorical_Sim!$AB$5)</f>
        <v>8.4006414536325329E-3</v>
      </c>
      <c r="K778">
        <f t="shared" ca="1" si="123"/>
        <v>0.12196489402078997</v>
      </c>
      <c r="L778">
        <f t="shared" ca="1" si="123"/>
        <v>-1.8239937561456979E-2</v>
      </c>
      <c r="M778">
        <f t="shared" ca="1" si="123"/>
        <v>0.46157708798765923</v>
      </c>
      <c r="O778">
        <v>776</v>
      </c>
      <c r="P778" s="6">
        <f t="shared" ca="1" si="124"/>
        <v>1942.137332794478</v>
      </c>
      <c r="Q778" s="6">
        <f t="shared" ca="1" si="125"/>
        <v>384.20614915345624</v>
      </c>
      <c r="R778" s="6">
        <f t="shared" ca="1" si="126"/>
        <v>152.90723752233072</v>
      </c>
      <c r="S778" s="6"/>
      <c r="T778" s="4">
        <f t="shared" ca="1" si="127"/>
        <v>-1.4140987243767915E-2</v>
      </c>
      <c r="U778" s="4">
        <f t="shared" ca="1" si="128"/>
        <v>-3.420908957558802E-2</v>
      </c>
      <c r="V778" s="4">
        <f t="shared" ca="1" si="129"/>
        <v>4.3366326525437628E-2</v>
      </c>
      <c r="W778" s="4"/>
      <c r="X778">
        <v>776</v>
      </c>
      <c r="Y778" s="4">
        <f t="shared" ca="1" si="130"/>
        <v>-1.5299896730102668E-2</v>
      </c>
      <c r="Z778" s="4">
        <f ca="1"/>
        <v>1.5339419992392411E-2</v>
      </c>
      <c r="AA778" s="4"/>
    </row>
    <row r="779" spans="1:27" x14ac:dyDescent="0.35">
      <c r="A779">
        <v>777</v>
      </c>
      <c r="B779">
        <f ca="1">_xlfn.NORM.INV(RAND(),Hitorical_Sim!$AB$4,Hitorical_Sim!$AB$5)</f>
        <v>-1.7801737632926707E-3</v>
      </c>
      <c r="C779">
        <f ca="1">_xlfn.NORM.INV(RAND(),Hitorical_Sim!$AB$4,Hitorical_Sim!$AB$5)</f>
        <v>2.815169106832861E-2</v>
      </c>
      <c r="D779">
        <f ca="1">_xlfn.NORM.INV(RAND(),Hitorical_Sim!$AB$4,Hitorical_Sim!$AB$5)</f>
        <v>7.4237274606337132E-3</v>
      </c>
      <c r="K779">
        <f t="shared" ca="1" si="123"/>
        <v>-0.17238851235939992</v>
      </c>
      <c r="L779">
        <f t="shared" ca="1" si="123"/>
        <v>-5.4916108144911803E-2</v>
      </c>
      <c r="M779">
        <f t="shared" ca="1" si="123"/>
        <v>0.13303267746730726</v>
      </c>
      <c r="O779">
        <v>777</v>
      </c>
      <c r="P779" s="6">
        <f t="shared" ca="1" si="124"/>
        <v>1931.7934969322378</v>
      </c>
      <c r="Q779" s="6">
        <f t="shared" ca="1" si="125"/>
        <v>383.8043399060054</v>
      </c>
      <c r="R779" s="6">
        <f t="shared" ca="1" si="126"/>
        <v>151.38240843395008</v>
      </c>
      <c r="S779" s="6"/>
      <c r="T779" s="4">
        <f t="shared" ca="1" si="127"/>
        <v>-5.3402401329019399E-3</v>
      </c>
      <c r="U779" s="4">
        <f t="shared" ca="1" si="128"/>
        <v>-1.0463640531887081E-3</v>
      </c>
      <c r="V779" s="4">
        <f t="shared" ca="1" si="129"/>
        <v>-1.0022305210060945E-2</v>
      </c>
      <c r="W779" s="4"/>
      <c r="X779">
        <v>777</v>
      </c>
      <c r="Y779" s="4">
        <f t="shared" ca="1" si="130"/>
        <v>-4.7150353543926283E-3</v>
      </c>
      <c r="Z779" s="4">
        <f ca="1"/>
        <v>1.5422993029897077E-2</v>
      </c>
      <c r="AA779" s="4"/>
    </row>
    <row r="780" spans="1:27" x14ac:dyDescent="0.35">
      <c r="A780">
        <v>778</v>
      </c>
      <c r="B780">
        <f ca="1">_xlfn.NORM.INV(RAND(),Hitorical_Sim!$AB$4,Hitorical_Sim!$AB$5)</f>
        <v>7.8180237956192635E-3</v>
      </c>
      <c r="C780">
        <f ca="1">_xlfn.NORM.INV(RAND(),Hitorical_Sim!$AB$4,Hitorical_Sim!$AB$5)</f>
        <v>8.9989974511952963E-3</v>
      </c>
      <c r="D780">
        <f ca="1">_xlfn.NORM.INV(RAND(),Hitorical_Sim!$AB$4,Hitorical_Sim!$AB$5)</f>
        <v>-1.0843191878083925E-2</v>
      </c>
      <c r="K780">
        <f t="shared" ca="1" si="123"/>
        <v>1.0450769514940541</v>
      </c>
      <c r="L780">
        <f t="shared" ca="1" si="123"/>
        <v>-1.2050180991996806</v>
      </c>
      <c r="M780">
        <f t="shared" ca="1" si="123"/>
        <v>-2.1734936101208797</v>
      </c>
      <c r="O780">
        <v>778</v>
      </c>
      <c r="P780" s="6">
        <f t="shared" ca="1" si="124"/>
        <v>1974.9368761240657</v>
      </c>
      <c r="Q780" s="6">
        <f t="shared" ca="1" si="125"/>
        <v>371.41524812369738</v>
      </c>
      <c r="R780" s="6">
        <f t="shared" ca="1" si="126"/>
        <v>141.09707804590172</v>
      </c>
      <c r="S780" s="6"/>
      <c r="T780" s="4">
        <f t="shared" ca="1" si="127"/>
        <v>2.2087591954328793E-2</v>
      </c>
      <c r="U780" s="4">
        <f t="shared" ca="1" si="128"/>
        <v>-3.2812187362963832E-2</v>
      </c>
      <c r="V780" s="4">
        <f t="shared" ca="1" si="129"/>
        <v>-7.0360991357684519E-2</v>
      </c>
      <c r="W780" s="4"/>
      <c r="X780">
        <v>778</v>
      </c>
      <c r="Y780" s="4">
        <f t="shared" ca="1" si="130"/>
        <v>6.5560572422808383E-3</v>
      </c>
      <c r="Z780" s="4">
        <f ca="1"/>
        <v>1.5496942290379866E-2</v>
      </c>
      <c r="AA780" s="4"/>
    </row>
    <row r="781" spans="1:27" x14ac:dyDescent="0.35">
      <c r="A781">
        <v>779</v>
      </c>
      <c r="B781">
        <f ca="1">_xlfn.NORM.INV(RAND(),Hitorical_Sim!$AB$4,Hitorical_Sim!$AB$5)</f>
        <v>1.1169979270484753E-2</v>
      </c>
      <c r="C781">
        <f ca="1">_xlfn.NORM.INV(RAND(),Hitorical_Sim!$AB$4,Hitorical_Sim!$AB$5)</f>
        <v>3.4307426433269925E-3</v>
      </c>
      <c r="D781">
        <f ca="1">_xlfn.NORM.INV(RAND(),Hitorical_Sim!$AB$4,Hitorical_Sim!$AB$5)</f>
        <v>-1.5520012965438201E-2</v>
      </c>
      <c r="K781">
        <f t="shared" ca="1" si="123"/>
        <v>0.62136342320606708</v>
      </c>
      <c r="L781">
        <f t="shared" ca="1" si="123"/>
        <v>-0.19990451168191881</v>
      </c>
      <c r="M781">
        <f t="shared" ca="1" si="123"/>
        <v>-1.3044931130659241</v>
      </c>
      <c r="O781">
        <v>779</v>
      </c>
      <c r="P781" s="6">
        <f t="shared" ca="1" si="124"/>
        <v>1959.8134879102463</v>
      </c>
      <c r="Q781" s="6">
        <f t="shared" ca="1" si="125"/>
        <v>382.22001569632414</v>
      </c>
      <c r="R781" s="6">
        <f t="shared" ca="1" si="126"/>
        <v>144.88743980264798</v>
      </c>
      <c r="S781" s="6"/>
      <c r="T781" s="4">
        <f t="shared" ca="1" si="127"/>
        <v>-7.687126901104761E-3</v>
      </c>
      <c r="U781" s="4">
        <f t="shared" ca="1" si="128"/>
        <v>2.8675696252336166E-2</v>
      </c>
      <c r="V781" s="4">
        <f t="shared" ca="1" si="129"/>
        <v>2.6509013485834568E-2</v>
      </c>
      <c r="W781" s="4"/>
      <c r="X781">
        <v>779</v>
      </c>
      <c r="Y781" s="4">
        <f t="shared" ca="1" si="130"/>
        <v>1.2621030150488538E-3</v>
      </c>
      <c r="Z781" s="4">
        <f ca="1"/>
        <v>1.5543266991998183E-2</v>
      </c>
      <c r="AA781" s="4"/>
    </row>
    <row r="782" spans="1:27" x14ac:dyDescent="0.35">
      <c r="A782">
        <v>780</v>
      </c>
      <c r="B782">
        <f ca="1">_xlfn.NORM.INV(RAND(),Hitorical_Sim!$AB$4,Hitorical_Sim!$AB$5)</f>
        <v>-1.6468389733532238E-2</v>
      </c>
      <c r="C782">
        <f ca="1">_xlfn.NORM.INV(RAND(),Hitorical_Sim!$AB$4,Hitorical_Sim!$AB$5)</f>
        <v>-1.1901565525771042E-2</v>
      </c>
      <c r="D782">
        <f ca="1">_xlfn.NORM.INV(RAND(),Hitorical_Sim!$AB$4,Hitorical_Sim!$AB$5)</f>
        <v>-2.9578891256144759E-3</v>
      </c>
      <c r="K782">
        <f t="shared" ca="1" si="123"/>
        <v>0.15923204836142812</v>
      </c>
      <c r="L782">
        <f t="shared" ca="1" si="123"/>
        <v>-0.43691606947241801</v>
      </c>
      <c r="M782">
        <f t="shared" ca="1" si="123"/>
        <v>0.33708115621595075</v>
      </c>
      <c r="O782">
        <v>780</v>
      </c>
      <c r="P782" s="6">
        <f t="shared" ca="1" si="124"/>
        <v>1943.4508770597433</v>
      </c>
      <c r="Q782" s="6">
        <f t="shared" ca="1" si="125"/>
        <v>379.64420300309422</v>
      </c>
      <c r="R782" s="6">
        <f t="shared" ca="1" si="126"/>
        <v>152.32763224769056</v>
      </c>
      <c r="S782" s="6"/>
      <c r="T782" s="4">
        <f t="shared" ca="1" si="127"/>
        <v>-8.3841139974137145E-3</v>
      </c>
      <c r="U782" s="4">
        <f t="shared" ca="1" si="128"/>
        <v>-6.7618939032333854E-3</v>
      </c>
      <c r="V782" s="4">
        <f t="shared" ca="1" si="129"/>
        <v>5.0076512717621799E-2</v>
      </c>
      <c r="W782" s="4"/>
      <c r="X782">
        <v>780</v>
      </c>
      <c r="Y782" s="4">
        <f t="shared" ca="1" si="130"/>
        <v>-5.167147770608155E-3</v>
      </c>
      <c r="Z782" s="4">
        <f ca="1"/>
        <v>1.5543911838591575E-2</v>
      </c>
      <c r="AA782" s="4"/>
    </row>
    <row r="783" spans="1:27" x14ac:dyDescent="0.35">
      <c r="A783">
        <v>781</v>
      </c>
      <c r="B783">
        <f ca="1">_xlfn.NORM.INV(RAND(),Hitorical_Sim!$AB$4,Hitorical_Sim!$AB$5)</f>
        <v>1.5353493649337047E-2</v>
      </c>
      <c r="C783">
        <f ca="1">_xlfn.NORM.INV(RAND(),Hitorical_Sim!$AB$4,Hitorical_Sim!$AB$5)</f>
        <v>6.1381534808502888E-3</v>
      </c>
      <c r="D783">
        <f ca="1">_xlfn.NORM.INV(RAND(),Hitorical_Sim!$AB$4,Hitorical_Sim!$AB$5)</f>
        <v>2.2239794703258157E-3</v>
      </c>
      <c r="K783">
        <f t="shared" ca="1" si="123"/>
        <v>-0.33927455029425219</v>
      </c>
      <c r="L783">
        <f t="shared" ca="1" si="123"/>
        <v>0.67823543568494571</v>
      </c>
      <c r="M783">
        <f t="shared" ca="1" si="123"/>
        <v>1.6265196338550478</v>
      </c>
      <c r="O783">
        <v>781</v>
      </c>
      <c r="P783" s="6">
        <f t="shared" ca="1" si="124"/>
        <v>1925.9534661667738</v>
      </c>
      <c r="Q783" s="6">
        <f t="shared" ca="1" si="125"/>
        <v>391.91679632324792</v>
      </c>
      <c r="R783" s="6">
        <f t="shared" ca="1" si="126"/>
        <v>158.4387724062845</v>
      </c>
      <c r="S783" s="6"/>
      <c r="T783" s="4">
        <f t="shared" ca="1" si="127"/>
        <v>-9.044043272321025E-3</v>
      </c>
      <c r="U783" s="4">
        <f t="shared" ca="1" si="128"/>
        <v>3.1815056760102586E-2</v>
      </c>
      <c r="V783" s="4">
        <f t="shared" ca="1" si="129"/>
        <v>3.9334548264046976E-2</v>
      </c>
      <c r="W783" s="4"/>
      <c r="X783">
        <v>781</v>
      </c>
      <c r="Y783" s="4">
        <f t="shared" ca="1" si="130"/>
        <v>1.5043910945036101E-3</v>
      </c>
      <c r="Z783" s="4">
        <f ca="1"/>
        <v>1.5548557054359778E-2</v>
      </c>
      <c r="AA783" s="4"/>
    </row>
    <row r="784" spans="1:27" x14ac:dyDescent="0.35">
      <c r="A784">
        <v>782</v>
      </c>
      <c r="B784">
        <f ca="1">_xlfn.NORM.INV(RAND(),Hitorical_Sim!$AB$4,Hitorical_Sim!$AB$5)</f>
        <v>5.5860930778090494E-3</v>
      </c>
      <c r="C784">
        <f ca="1">_xlfn.NORM.INV(RAND(),Hitorical_Sim!$AB$4,Hitorical_Sim!$AB$5)</f>
        <v>-5.6175659617087783E-3</v>
      </c>
      <c r="D784">
        <f ca="1">_xlfn.NORM.INV(RAND(),Hitorical_Sim!$AB$4,Hitorical_Sim!$AB$5)</f>
        <v>1.7514479686423112E-2</v>
      </c>
      <c r="K784">
        <f t="shared" ref="K784:M803" ca="1" si="131">_xlfn.NORM.S.INV(RAND())</f>
        <v>1.3841074196132879</v>
      </c>
      <c r="L784">
        <f t="shared" ca="1" si="131"/>
        <v>0.64798472904625593</v>
      </c>
      <c r="M784">
        <f t="shared" ca="1" si="131"/>
        <v>-2.0599890049211696E-2</v>
      </c>
      <c r="O784">
        <v>782</v>
      </c>
      <c r="P784" s="6">
        <f t="shared" ca="1" si="124"/>
        <v>1987.121720278569</v>
      </c>
      <c r="Q784" s="6">
        <f t="shared" ca="1" si="125"/>
        <v>391.57869970014571</v>
      </c>
      <c r="R784" s="6">
        <f t="shared" ca="1" si="126"/>
        <v>150.67460126363565</v>
      </c>
      <c r="S784" s="6"/>
      <c r="T784" s="4">
        <f t="shared" ca="1" si="127"/>
        <v>3.1266067796521343E-2</v>
      </c>
      <c r="U784" s="4">
        <f t="shared" ca="1" si="128"/>
        <v>-8.6304680959661275E-4</v>
      </c>
      <c r="V784" s="4">
        <f t="shared" ca="1" si="129"/>
        <v>-5.0245671688261481E-2</v>
      </c>
      <c r="W784" s="4"/>
      <c r="X784">
        <v>782</v>
      </c>
      <c r="Y784" s="4">
        <f t="shared" ca="1" si="130"/>
        <v>2.0820096646104364E-2</v>
      </c>
      <c r="Z784" s="4">
        <f ca="1"/>
        <v>1.566056593881144E-2</v>
      </c>
      <c r="AA784" s="4"/>
    </row>
    <row r="785" spans="1:27" x14ac:dyDescent="0.35">
      <c r="A785">
        <v>783</v>
      </c>
      <c r="B785">
        <f ca="1">_xlfn.NORM.INV(RAND(),Hitorical_Sim!$AB$4,Hitorical_Sim!$AB$5)</f>
        <v>-2.6244191166272892E-3</v>
      </c>
      <c r="C785">
        <f ca="1">_xlfn.NORM.INV(RAND(),Hitorical_Sim!$AB$4,Hitorical_Sim!$AB$5)</f>
        <v>-3.3488679773599872E-2</v>
      </c>
      <c r="D785">
        <f ca="1">_xlfn.NORM.INV(RAND(),Hitorical_Sim!$AB$4,Hitorical_Sim!$AB$5)</f>
        <v>-7.8057114093275743E-3</v>
      </c>
      <c r="K785">
        <f t="shared" ca="1" si="131"/>
        <v>0.66123778693938218</v>
      </c>
      <c r="L785">
        <f t="shared" ca="1" si="131"/>
        <v>1.374727253505696</v>
      </c>
      <c r="M785">
        <f t="shared" ca="1" si="131"/>
        <v>1.1957893328998204</v>
      </c>
      <c r="O785">
        <v>783</v>
      </c>
      <c r="P785" s="6">
        <f t="shared" ca="1" si="124"/>
        <v>1961.2317527126534</v>
      </c>
      <c r="Q785" s="6">
        <f t="shared" ca="1" si="125"/>
        <v>399.7823763133685</v>
      </c>
      <c r="R785" s="6">
        <f t="shared" ca="1" si="126"/>
        <v>156.37058279793243</v>
      </c>
      <c r="S785" s="6"/>
      <c r="T785" s="4">
        <f t="shared" ca="1" si="127"/>
        <v>-1.3114498896864628E-2</v>
      </c>
      <c r="U785" s="4">
        <f t="shared" ca="1" si="128"/>
        <v>2.073382366317518E-2</v>
      </c>
      <c r="V785" s="4">
        <f t="shared" ca="1" si="129"/>
        <v>3.7106167861191003E-2</v>
      </c>
      <c r="W785" s="4"/>
      <c r="X785">
        <v>783</v>
      </c>
      <c r="Y785" s="4">
        <f t="shared" ca="1" si="130"/>
        <v>-3.874027455754687E-3</v>
      </c>
      <c r="Z785" s="4">
        <f ca="1"/>
        <v>1.579990563759151E-2</v>
      </c>
      <c r="AA785" s="4"/>
    </row>
    <row r="786" spans="1:27" x14ac:dyDescent="0.35">
      <c r="A786">
        <v>784</v>
      </c>
      <c r="B786">
        <f ca="1">_xlfn.NORM.INV(RAND(),Hitorical_Sim!$AB$4,Hitorical_Sim!$AB$5)</f>
        <v>-8.1647907287153067E-3</v>
      </c>
      <c r="C786">
        <f ca="1">_xlfn.NORM.INV(RAND(),Hitorical_Sim!$AB$4,Hitorical_Sim!$AB$5)</f>
        <v>-1.5823440302074877E-2</v>
      </c>
      <c r="D786">
        <f ca="1">_xlfn.NORM.INV(RAND(),Hitorical_Sim!$AB$4,Hitorical_Sim!$AB$5)</f>
        <v>1.7852607292053426E-2</v>
      </c>
      <c r="K786">
        <f t="shared" ca="1" si="131"/>
        <v>1.0275942109372995</v>
      </c>
      <c r="L786">
        <f t="shared" ca="1" si="131"/>
        <v>-0.34811979626397332</v>
      </c>
      <c r="M786">
        <f t="shared" ca="1" si="131"/>
        <v>-0.20070065018637542</v>
      </c>
      <c r="O786">
        <v>784</v>
      </c>
      <c r="P786" s="6">
        <f t="shared" ca="1" si="124"/>
        <v>1974.3105715553365</v>
      </c>
      <c r="Q786" s="6">
        <f t="shared" ca="1" si="125"/>
        <v>380.60719031069442</v>
      </c>
      <c r="R786" s="6">
        <f t="shared" ca="1" si="126"/>
        <v>149.84906401056108</v>
      </c>
      <c r="S786" s="6"/>
      <c r="T786" s="4">
        <f t="shared" ca="1" si="127"/>
        <v>6.64653860282911E-3</v>
      </c>
      <c r="U786" s="4">
        <f t="shared" ca="1" si="128"/>
        <v>-4.9152493113177868E-2</v>
      </c>
      <c r="V786" s="4">
        <f t="shared" ca="1" si="129"/>
        <v>-4.2600173325474736E-2</v>
      </c>
      <c r="W786" s="4"/>
      <c r="X786">
        <v>784</v>
      </c>
      <c r="Y786" s="4">
        <f t="shared" ca="1" si="130"/>
        <v>-6.9263927351534754E-3</v>
      </c>
      <c r="Z786" s="4">
        <f ca="1"/>
        <v>1.5850881748766719E-2</v>
      </c>
      <c r="AA786" s="4"/>
    </row>
    <row r="787" spans="1:27" x14ac:dyDescent="0.35">
      <c r="A787">
        <v>785</v>
      </c>
      <c r="B787">
        <f ca="1">_xlfn.NORM.INV(RAND(),Hitorical_Sim!$AB$4,Hitorical_Sim!$AB$5)</f>
        <v>2.2371220336303073E-2</v>
      </c>
      <c r="C787">
        <f ca="1">_xlfn.NORM.INV(RAND(),Hitorical_Sim!$AB$4,Hitorical_Sim!$AB$5)</f>
        <v>9.4921502638041812E-3</v>
      </c>
      <c r="D787">
        <f ca="1">_xlfn.NORM.INV(RAND(),Hitorical_Sim!$AB$4,Hitorical_Sim!$AB$5)</f>
        <v>9.6738784487739141E-5</v>
      </c>
      <c r="K787">
        <f t="shared" ca="1" si="131"/>
        <v>-0.24933163729352553</v>
      </c>
      <c r="L787">
        <f t="shared" ca="1" si="131"/>
        <v>-0.29114767792330154</v>
      </c>
      <c r="M787">
        <f t="shared" ca="1" si="131"/>
        <v>-1.7362296897008171</v>
      </c>
      <c r="O787">
        <v>785</v>
      </c>
      <c r="P787" s="6">
        <f t="shared" ca="1" si="124"/>
        <v>1929.0987427479934</v>
      </c>
      <c r="Q787" s="6">
        <f t="shared" ca="1" si="125"/>
        <v>381.22633361906094</v>
      </c>
      <c r="R787" s="6">
        <f t="shared" ca="1" si="126"/>
        <v>142.99175386164967</v>
      </c>
      <c r="S787" s="6"/>
      <c r="T787" s="4">
        <f t="shared" ca="1" si="127"/>
        <v>-2.3166338536115428E-2</v>
      </c>
      <c r="U787" s="4">
        <f t="shared" ca="1" si="128"/>
        <v>1.625403517252016E-3</v>
      </c>
      <c r="V787" s="4">
        <f t="shared" ca="1" si="129"/>
        <v>-4.6841584273345629E-2</v>
      </c>
      <c r="W787" s="4"/>
      <c r="X787">
        <v>785</v>
      </c>
      <c r="Y787" s="4">
        <f t="shared" ca="1" si="130"/>
        <v>-1.9390388243625621E-2</v>
      </c>
      <c r="Z787" s="4">
        <f ca="1"/>
        <v>1.5975582015995769E-2</v>
      </c>
      <c r="AA787" s="4"/>
    </row>
    <row r="788" spans="1:27" x14ac:dyDescent="0.35">
      <c r="A788">
        <v>786</v>
      </c>
      <c r="B788">
        <f ca="1">_xlfn.NORM.INV(RAND(),Hitorical_Sim!$AB$4,Hitorical_Sim!$AB$5)</f>
        <v>-2.7257071021002884E-4</v>
      </c>
      <c r="C788">
        <f ca="1">_xlfn.NORM.INV(RAND(),Hitorical_Sim!$AB$4,Hitorical_Sim!$AB$5)</f>
        <v>3.8137342254142663E-2</v>
      </c>
      <c r="D788">
        <f ca="1">_xlfn.NORM.INV(RAND(),Hitorical_Sim!$AB$4,Hitorical_Sim!$AB$5)</f>
        <v>-1.2936603590308175E-3</v>
      </c>
      <c r="K788">
        <f t="shared" ca="1" si="131"/>
        <v>-1.4500535802049244</v>
      </c>
      <c r="L788">
        <f t="shared" ca="1" si="131"/>
        <v>-1.41897522280066</v>
      </c>
      <c r="M788">
        <f t="shared" ca="1" si="131"/>
        <v>0.90646409681943685</v>
      </c>
      <c r="O788">
        <v>786</v>
      </c>
      <c r="P788" s="6">
        <f t="shared" ca="1" si="124"/>
        <v>1887.5299975773078</v>
      </c>
      <c r="Q788" s="6">
        <f t="shared" ca="1" si="125"/>
        <v>369.1549772884494</v>
      </c>
      <c r="R788" s="6">
        <f t="shared" ca="1" si="126"/>
        <v>154.9965414615144</v>
      </c>
      <c r="S788" s="6"/>
      <c r="T788" s="4">
        <f t="shared" ca="1" si="127"/>
        <v>-2.1783826410724818E-2</v>
      </c>
      <c r="U788" s="4">
        <f t="shared" ca="1" si="128"/>
        <v>-3.2176701721634497E-2</v>
      </c>
      <c r="V788" s="4">
        <f t="shared" ca="1" si="129"/>
        <v>8.0615840224734003E-2</v>
      </c>
      <c r="W788" s="4"/>
      <c r="X788">
        <v>786</v>
      </c>
      <c r="Y788" s="4">
        <f t="shared" ca="1" si="130"/>
        <v>-1.8790141824371592E-2</v>
      </c>
      <c r="Z788" s="4">
        <f ca="1"/>
        <v>1.6076406979958231E-2</v>
      </c>
      <c r="AA788" s="4"/>
    </row>
    <row r="789" spans="1:27" x14ac:dyDescent="0.35">
      <c r="A789">
        <v>787</v>
      </c>
      <c r="B789">
        <f ca="1">_xlfn.NORM.INV(RAND(),Hitorical_Sim!$AB$4,Hitorical_Sim!$AB$5)</f>
        <v>3.2679812936042801E-2</v>
      </c>
      <c r="C789">
        <f ca="1">_xlfn.NORM.INV(RAND(),Hitorical_Sim!$AB$4,Hitorical_Sim!$AB$5)</f>
        <v>-2.4098969550195491E-2</v>
      </c>
      <c r="D789">
        <f ca="1">_xlfn.NORM.INV(RAND(),Hitorical_Sim!$AB$4,Hitorical_Sim!$AB$5)</f>
        <v>-1.0377576542553274E-2</v>
      </c>
      <c r="K789">
        <f t="shared" ca="1" si="131"/>
        <v>-1.0791273726488511</v>
      </c>
      <c r="L789">
        <f t="shared" ca="1" si="131"/>
        <v>-1.0601285107364868</v>
      </c>
      <c r="M789">
        <f t="shared" ca="1" si="131"/>
        <v>-1.8147635898245</v>
      </c>
      <c r="O789">
        <v>787</v>
      </c>
      <c r="P789" s="6">
        <f t="shared" ca="1" si="124"/>
        <v>1900.274861465748</v>
      </c>
      <c r="Q789" s="6">
        <f t="shared" ca="1" si="125"/>
        <v>372.9537345196635</v>
      </c>
      <c r="R789" s="6">
        <f t="shared" ca="1" si="126"/>
        <v>142.64959988942803</v>
      </c>
      <c r="S789" s="6"/>
      <c r="T789" s="4">
        <f t="shared" ca="1" si="127"/>
        <v>6.729444867974897E-3</v>
      </c>
      <c r="U789" s="4">
        <f t="shared" ca="1" si="128"/>
        <v>1.023782729046014E-2</v>
      </c>
      <c r="V789" s="4">
        <f t="shared" ca="1" si="129"/>
        <v>-8.3011530704232381E-2</v>
      </c>
      <c r="W789" s="4"/>
      <c r="X789">
        <v>787</v>
      </c>
      <c r="Y789" s="4">
        <f t="shared" ca="1" si="130"/>
        <v>2.9883153197955278E-3</v>
      </c>
      <c r="Z789" s="4">
        <f ca="1"/>
        <v>1.6125787391006206E-2</v>
      </c>
      <c r="AA789" s="4"/>
    </row>
    <row r="790" spans="1:27" x14ac:dyDescent="0.35">
      <c r="A790">
        <v>788</v>
      </c>
      <c r="B790">
        <f ca="1">_xlfn.NORM.INV(RAND(),Hitorical_Sim!$AB$4,Hitorical_Sim!$AB$5)</f>
        <v>-2.6022124126775455E-2</v>
      </c>
      <c r="C790">
        <f ca="1">_xlfn.NORM.INV(RAND(),Hitorical_Sim!$AB$4,Hitorical_Sim!$AB$5)</f>
        <v>-2.8717187583054624E-2</v>
      </c>
      <c r="D790">
        <f ca="1">_xlfn.NORM.INV(RAND(),Hitorical_Sim!$AB$4,Hitorical_Sim!$AB$5)</f>
        <v>-9.4490184569019434E-3</v>
      </c>
      <c r="K790">
        <f t="shared" ca="1" si="131"/>
        <v>0.64790413955954962</v>
      </c>
      <c r="L790">
        <f t="shared" ca="1" si="131"/>
        <v>-0.93216061904423353</v>
      </c>
      <c r="M790">
        <f t="shared" ca="1" si="131"/>
        <v>0.12999812586945753</v>
      </c>
      <c r="O790">
        <v>788</v>
      </c>
      <c r="P790" s="6">
        <f t="shared" ca="1" si="124"/>
        <v>1960.7573828669892</v>
      </c>
      <c r="Q790" s="6">
        <f t="shared" ca="1" si="125"/>
        <v>374.31783960041224</v>
      </c>
      <c r="R790" s="6">
        <f t="shared" ca="1" si="126"/>
        <v>151.36839568385071</v>
      </c>
      <c r="S790" s="6"/>
      <c r="T790" s="4">
        <f t="shared" ca="1" si="127"/>
        <v>3.1332278792689162E-2</v>
      </c>
      <c r="U790" s="4">
        <f t="shared" ca="1" si="128"/>
        <v>3.650899199643072E-3</v>
      </c>
      <c r="V790" s="4">
        <f t="shared" ca="1" si="129"/>
        <v>5.9325299263673067E-2</v>
      </c>
      <c r="W790" s="4"/>
      <c r="X790">
        <v>788</v>
      </c>
      <c r="Y790" s="4">
        <f t="shared" ca="1" si="130"/>
        <v>2.719333613107882E-2</v>
      </c>
      <c r="Z790" s="4">
        <f ca="1"/>
        <v>1.6277751304348602E-2</v>
      </c>
      <c r="AA790" s="4"/>
    </row>
    <row r="791" spans="1:27" x14ac:dyDescent="0.35">
      <c r="A791">
        <v>789</v>
      </c>
      <c r="B791">
        <f ca="1">_xlfn.NORM.INV(RAND(),Hitorical_Sim!$AB$4,Hitorical_Sim!$AB$5)</f>
        <v>-1.7492810196121752E-2</v>
      </c>
      <c r="C791">
        <f ca="1">_xlfn.NORM.INV(RAND(),Hitorical_Sim!$AB$4,Hitorical_Sim!$AB$5)</f>
        <v>-3.7063349404559067E-3</v>
      </c>
      <c r="D791">
        <f ca="1">_xlfn.NORM.INV(RAND(),Hitorical_Sim!$AB$4,Hitorical_Sim!$AB$5)</f>
        <v>-1.8809700077882219E-3</v>
      </c>
      <c r="K791">
        <f t="shared" ca="1" si="131"/>
        <v>-1.461659471946485</v>
      </c>
      <c r="L791">
        <f t="shared" ca="1" si="131"/>
        <v>-1.9088928111157477</v>
      </c>
      <c r="M791">
        <f t="shared" ca="1" si="131"/>
        <v>0.81209524934477295</v>
      </c>
      <c r="O791">
        <v>789</v>
      </c>
      <c r="P791" s="6">
        <f t="shared" ca="1" si="124"/>
        <v>1887.1326062574281</v>
      </c>
      <c r="Q791" s="6">
        <f t="shared" ca="1" si="125"/>
        <v>364.03109669936055</v>
      </c>
      <c r="R791" s="6">
        <f t="shared" ca="1" si="126"/>
        <v>154.55098859743848</v>
      </c>
      <c r="S791" s="6"/>
      <c r="T791" s="4">
        <f t="shared" ca="1" si="127"/>
        <v>-3.8272280927925055E-2</v>
      </c>
      <c r="U791" s="4">
        <f t="shared" ca="1" si="128"/>
        <v>-2.7865980529515368E-2</v>
      </c>
      <c r="V791" s="4">
        <f t="shared" ca="1" si="129"/>
        <v>2.0807493098260747E-2</v>
      </c>
      <c r="W791" s="4"/>
      <c r="X791">
        <v>789</v>
      </c>
      <c r="Y791" s="4">
        <f t="shared" ca="1" si="130"/>
        <v>-3.3271650657918719E-2</v>
      </c>
      <c r="Z791" s="4">
        <f ca="1"/>
        <v>1.6336527968632032E-2</v>
      </c>
      <c r="AA791" s="4"/>
    </row>
    <row r="792" spans="1:27" x14ac:dyDescent="0.35">
      <c r="A792">
        <v>790</v>
      </c>
      <c r="B792">
        <f ca="1">_xlfn.NORM.INV(RAND(),Hitorical_Sim!$AB$4,Hitorical_Sim!$AB$5)</f>
        <v>4.0022334504224936E-3</v>
      </c>
      <c r="C792">
        <f ca="1">_xlfn.NORM.INV(RAND(),Hitorical_Sim!$AB$4,Hitorical_Sim!$AB$5)</f>
        <v>-1.7256883404103852E-2</v>
      </c>
      <c r="D792">
        <f ca="1">_xlfn.NORM.INV(RAND(),Hitorical_Sim!$AB$4,Hitorical_Sim!$AB$5)</f>
        <v>-2.0250002702377538E-2</v>
      </c>
      <c r="K792">
        <f t="shared" ca="1" si="131"/>
        <v>0.80599046450596057</v>
      </c>
      <c r="L792">
        <f t="shared" ca="1" si="131"/>
        <v>0.83881993774493591</v>
      </c>
      <c r="M792">
        <f t="shared" ca="1" si="131"/>
        <v>1.8800021206935991</v>
      </c>
      <c r="O792">
        <v>790</v>
      </c>
      <c r="P792" s="6">
        <f t="shared" ca="1" si="124"/>
        <v>1966.3889960856486</v>
      </c>
      <c r="Q792" s="6">
        <f t="shared" ca="1" si="125"/>
        <v>393.71646086995082</v>
      </c>
      <c r="R792" s="6">
        <f t="shared" ca="1" si="126"/>
        <v>159.66865356490439</v>
      </c>
      <c r="S792" s="6"/>
      <c r="T792" s="4">
        <f t="shared" ca="1" si="127"/>
        <v>4.1140326340830438E-2</v>
      </c>
      <c r="U792" s="4">
        <f t="shared" ca="1" si="128"/>
        <v>7.839171328843289E-2</v>
      </c>
      <c r="V792" s="4">
        <f t="shared" ca="1" si="129"/>
        <v>3.2576687527960321E-2</v>
      </c>
      <c r="W792" s="4"/>
      <c r="X792">
        <v>790</v>
      </c>
      <c r="Y792" s="4">
        <f t="shared" ca="1" si="130"/>
        <v>4.8150698685535669E-2</v>
      </c>
      <c r="Z792" s="4">
        <f ca="1"/>
        <v>1.6358627357948068E-2</v>
      </c>
      <c r="AA792" s="4"/>
    </row>
    <row r="793" spans="1:27" x14ac:dyDescent="0.35">
      <c r="A793">
        <v>791</v>
      </c>
      <c r="B793">
        <f ca="1">_xlfn.NORM.INV(RAND(),Hitorical_Sim!$AB$4,Hitorical_Sim!$AB$5)</f>
        <v>-2.4105487377780038E-2</v>
      </c>
      <c r="C793">
        <f ca="1">_xlfn.NORM.INV(RAND(),Hitorical_Sim!$AB$4,Hitorical_Sim!$AB$5)</f>
        <v>1.1086392386180029E-2</v>
      </c>
      <c r="D793">
        <f ca="1">_xlfn.NORM.INV(RAND(),Hitorical_Sim!$AB$4,Hitorical_Sim!$AB$5)</f>
        <v>-8.0053294953946023E-3</v>
      </c>
      <c r="K793">
        <f t="shared" ca="1" si="131"/>
        <v>0.11325940965035079</v>
      </c>
      <c r="L793">
        <f t="shared" ca="1" si="131"/>
        <v>-1.0198501577171237</v>
      </c>
      <c r="M793">
        <f t="shared" ca="1" si="131"/>
        <v>7.1289510063040601E-2</v>
      </c>
      <c r="O793">
        <v>791</v>
      </c>
      <c r="P793" s="6">
        <f t="shared" ca="1" si="124"/>
        <v>1941.8306211237098</v>
      </c>
      <c r="Q793" s="6">
        <f t="shared" ca="1" si="125"/>
        <v>373.38255453378065</v>
      </c>
      <c r="R793" s="6">
        <f t="shared" ca="1" si="126"/>
        <v>151.09755010199333</v>
      </c>
      <c r="S793" s="6"/>
      <c r="T793" s="4">
        <f t="shared" ca="1" si="127"/>
        <v>-1.2567716562006963E-2</v>
      </c>
      <c r="U793" s="4">
        <f t="shared" ca="1" si="128"/>
        <v>-5.302749833717571E-2</v>
      </c>
      <c r="V793" s="4">
        <f t="shared" ca="1" si="129"/>
        <v>-5.5175097309722587E-2</v>
      </c>
      <c r="W793" s="4"/>
      <c r="X793">
        <v>791</v>
      </c>
      <c r="Y793" s="4">
        <f t="shared" ca="1" si="130"/>
        <v>-2.2750841712535805E-2</v>
      </c>
      <c r="Z793" s="4">
        <f ca="1"/>
        <v>1.6382132055338106E-2</v>
      </c>
      <c r="AA793" s="4"/>
    </row>
    <row r="794" spans="1:27" x14ac:dyDescent="0.35">
      <c r="A794">
        <v>792</v>
      </c>
      <c r="B794">
        <f ca="1">_xlfn.NORM.INV(RAND(),Hitorical_Sim!$AB$4,Hitorical_Sim!$AB$5)</f>
        <v>-1.4225053176811237E-2</v>
      </c>
      <c r="C794">
        <f ca="1">_xlfn.NORM.INV(RAND(),Hitorical_Sim!$AB$4,Hitorical_Sim!$AB$5)</f>
        <v>-7.057878287394093E-3</v>
      </c>
      <c r="D794">
        <f ca="1">_xlfn.NORM.INV(RAND(),Hitorical_Sim!$AB$4,Hitorical_Sim!$AB$5)</f>
        <v>2.0905418115332808E-2</v>
      </c>
      <c r="K794">
        <f t="shared" ca="1" si="131"/>
        <v>0.2735731856709977</v>
      </c>
      <c r="L794">
        <f t="shared" ca="1" si="131"/>
        <v>2.5499937197494096</v>
      </c>
      <c r="M794">
        <f t="shared" ca="1" si="131"/>
        <v>0.68959851632108859</v>
      </c>
      <c r="O794">
        <v>792</v>
      </c>
      <c r="P794" s="6">
        <f t="shared" ca="1" si="124"/>
        <v>1947.486571956314</v>
      </c>
      <c r="Q794" s="6">
        <f t="shared" ca="1" si="125"/>
        <v>413.4143938310587</v>
      </c>
      <c r="R794" s="6">
        <f t="shared" ca="1" si="126"/>
        <v>153.97454256399371</v>
      </c>
      <c r="S794" s="6"/>
      <c r="T794" s="4">
        <f t="shared" ca="1" si="127"/>
        <v>2.9084564404758873E-3</v>
      </c>
      <c r="U794" s="4">
        <f t="shared" ca="1" si="128"/>
        <v>0.10184695537874534</v>
      </c>
      <c r="V794" s="4">
        <f t="shared" ca="1" si="129"/>
        <v>1.8861625328012891E-2</v>
      </c>
      <c r="W794" s="4"/>
      <c r="X794">
        <v>792</v>
      </c>
      <c r="Y794" s="4">
        <f t="shared" ca="1" si="130"/>
        <v>2.3442947663630576E-2</v>
      </c>
      <c r="Z794" s="4">
        <f ca="1"/>
        <v>1.6533433283633339E-2</v>
      </c>
      <c r="AA794" s="4"/>
    </row>
    <row r="795" spans="1:27" x14ac:dyDescent="0.35">
      <c r="A795">
        <v>793</v>
      </c>
      <c r="B795">
        <f ca="1">_xlfn.NORM.INV(RAND(),Hitorical_Sim!$AB$4,Hitorical_Sim!$AB$5)</f>
        <v>1.4292213404268353E-2</v>
      </c>
      <c r="C795">
        <f ca="1">_xlfn.NORM.INV(RAND(),Hitorical_Sim!$AB$4,Hitorical_Sim!$AB$5)</f>
        <v>-1.6621389369377442E-2</v>
      </c>
      <c r="D795">
        <f ca="1">_xlfn.NORM.INV(RAND(),Hitorical_Sim!$AB$4,Hitorical_Sim!$AB$5)</f>
        <v>1.2686265475216318E-2</v>
      </c>
      <c r="K795">
        <f t="shared" ca="1" si="131"/>
        <v>0.48457289051343988</v>
      </c>
      <c r="L795">
        <f t="shared" ca="1" si="131"/>
        <v>2.0620319636614548</v>
      </c>
      <c r="M795">
        <f t="shared" ca="1" si="131"/>
        <v>-1.0470093270366712</v>
      </c>
      <c r="O795">
        <v>793</v>
      </c>
      <c r="P795" s="6">
        <f t="shared" ca="1" si="124"/>
        <v>1954.9558658484038</v>
      </c>
      <c r="Q795" s="6">
        <f t="shared" ca="1" si="125"/>
        <v>407.69894016935058</v>
      </c>
      <c r="R795" s="6">
        <f t="shared" ca="1" si="126"/>
        <v>146.02995210336297</v>
      </c>
      <c r="S795" s="6"/>
      <c r="T795" s="4">
        <f t="shared" ca="1" si="127"/>
        <v>3.8280144459232183E-3</v>
      </c>
      <c r="U795" s="4">
        <f t="shared" ca="1" si="128"/>
        <v>-1.3921454524250259E-2</v>
      </c>
      <c r="V795" s="4">
        <f t="shared" ca="1" si="129"/>
        <v>-5.2975528662172471E-2</v>
      </c>
      <c r="W795" s="4"/>
      <c r="X795">
        <v>793</v>
      </c>
      <c r="Y795" s="4">
        <f t="shared" ca="1" si="130"/>
        <v>-2.5254267357876802E-3</v>
      </c>
      <c r="Z795" s="4">
        <f ca="1"/>
        <v>1.6620281123637719E-2</v>
      </c>
      <c r="AA795" s="4"/>
    </row>
    <row r="796" spans="1:27" x14ac:dyDescent="0.35">
      <c r="A796">
        <v>794</v>
      </c>
      <c r="B796">
        <f ca="1">_xlfn.NORM.INV(RAND(),Hitorical_Sim!$AB$4,Hitorical_Sim!$AB$5)</f>
        <v>2.6468428152661202E-2</v>
      </c>
      <c r="C796">
        <f ca="1">_xlfn.NORM.INV(RAND(),Hitorical_Sim!$AB$4,Hitorical_Sim!$AB$5)</f>
        <v>-1.0204889589450646E-2</v>
      </c>
      <c r="D796">
        <f ca="1">_xlfn.NORM.INV(RAND(),Hitorical_Sim!$AB$4,Hitorical_Sim!$AB$5)</f>
        <v>2.1709067202715131E-2</v>
      </c>
      <c r="K796">
        <f t="shared" ca="1" si="131"/>
        <v>1.0349690571826133</v>
      </c>
      <c r="L796">
        <f t="shared" ca="1" si="131"/>
        <v>0.48873047541645015</v>
      </c>
      <c r="M796">
        <f t="shared" ca="1" si="131"/>
        <v>-9.5873495762802546E-2</v>
      </c>
      <c r="O796">
        <v>794</v>
      </c>
      <c r="P796" s="6">
        <f t="shared" ca="1" si="124"/>
        <v>1974.5747450342176</v>
      </c>
      <c r="Q796" s="6">
        <f t="shared" ca="1" si="125"/>
        <v>389.8036002274502</v>
      </c>
      <c r="R796" s="6">
        <f t="shared" ca="1" si="126"/>
        <v>150.3290139539854</v>
      </c>
      <c r="S796" s="6"/>
      <c r="T796" s="4">
        <f t="shared" ca="1" si="127"/>
        <v>9.9854380297058048E-3</v>
      </c>
      <c r="U796" s="4">
        <f t="shared" ca="1" si="128"/>
        <v>-4.4885987166564702E-2</v>
      </c>
      <c r="V796" s="4">
        <f t="shared" ca="1" si="129"/>
        <v>2.9014566347831377E-2</v>
      </c>
      <c r="W796" s="4"/>
      <c r="X796">
        <v>794</v>
      </c>
      <c r="Y796" s="4">
        <f t="shared" ca="1" si="130"/>
        <v>-2.3393896741782201E-5</v>
      </c>
      <c r="Z796" s="4">
        <f ca="1"/>
        <v>1.6717331169673073E-2</v>
      </c>
      <c r="AA796" s="4"/>
    </row>
    <row r="797" spans="1:27" x14ac:dyDescent="0.35">
      <c r="A797">
        <v>795</v>
      </c>
      <c r="B797">
        <f ca="1">_xlfn.NORM.INV(RAND(),Hitorical_Sim!$AB$4,Hitorical_Sim!$AB$5)</f>
        <v>-3.9061219244525831E-2</v>
      </c>
      <c r="C797">
        <f ca="1">_xlfn.NORM.INV(RAND(),Hitorical_Sim!$AB$4,Hitorical_Sim!$AB$5)</f>
        <v>-9.7227997489212955E-3</v>
      </c>
      <c r="D797">
        <f ca="1">_xlfn.NORM.INV(RAND(),Hitorical_Sim!$AB$4,Hitorical_Sim!$AB$5)</f>
        <v>7.2296632967244661E-3</v>
      </c>
      <c r="K797">
        <f t="shared" ca="1" si="131"/>
        <v>0.60730913603047487</v>
      </c>
      <c r="L797">
        <f t="shared" ca="1" si="131"/>
        <v>5.1228486081202909E-2</v>
      </c>
      <c r="M797">
        <f t="shared" ca="1" si="131"/>
        <v>1.4846586335195369</v>
      </c>
      <c r="O797">
        <v>795</v>
      </c>
      <c r="P797" s="6">
        <f t="shared" ca="1" si="124"/>
        <v>1959.3138447811341</v>
      </c>
      <c r="Q797" s="6">
        <f t="shared" ca="1" si="125"/>
        <v>384.96837035140004</v>
      </c>
      <c r="R797" s="6">
        <f t="shared" ca="1" si="126"/>
        <v>157.75461085599656</v>
      </c>
      <c r="S797" s="6"/>
      <c r="T797" s="4">
        <f t="shared" ca="1" si="127"/>
        <v>-7.7587234415102593E-3</v>
      </c>
      <c r="U797" s="4">
        <f t="shared" ca="1" si="128"/>
        <v>-1.2481847138245744E-2</v>
      </c>
      <c r="V797" s="4">
        <f t="shared" ca="1" si="129"/>
        <v>4.8214411466890726E-2</v>
      </c>
      <c r="W797" s="4"/>
      <c r="X797">
        <v>795</v>
      </c>
      <c r="Y797" s="4">
        <f t="shared" ca="1" si="130"/>
        <v>-5.9311915963556755E-3</v>
      </c>
      <c r="Z797" s="4">
        <f ca="1"/>
        <v>1.6784537129607771E-2</v>
      </c>
      <c r="AA797" s="4"/>
    </row>
    <row r="798" spans="1:27" x14ac:dyDescent="0.35">
      <c r="A798">
        <v>796</v>
      </c>
      <c r="B798">
        <f ca="1">_xlfn.NORM.INV(RAND(),Hitorical_Sim!$AB$4,Hitorical_Sim!$AB$5)</f>
        <v>2.1298915275911382E-2</v>
      </c>
      <c r="C798">
        <f ca="1">_xlfn.NORM.INV(RAND(),Hitorical_Sim!$AB$4,Hitorical_Sim!$AB$5)</f>
        <v>1.1900633347378942E-2</v>
      </c>
      <c r="D798">
        <f ca="1">_xlfn.NORM.INV(RAND(),Hitorical_Sim!$AB$4,Hitorical_Sim!$AB$5)</f>
        <v>5.35095506929807E-3</v>
      </c>
      <c r="K798">
        <f t="shared" ca="1" si="131"/>
        <v>1.1500118220833302</v>
      </c>
      <c r="L798">
        <f t="shared" ca="1" si="131"/>
        <v>-2.0380136714631751</v>
      </c>
      <c r="M798">
        <f t="shared" ca="1" si="131"/>
        <v>-0.6116670475051863</v>
      </c>
      <c r="O798">
        <v>796</v>
      </c>
      <c r="P798" s="6">
        <f t="shared" ca="1" si="124"/>
        <v>1978.7002575034392</v>
      </c>
      <c r="Q798" s="6">
        <f t="shared" ca="1" si="125"/>
        <v>362.69254841203849</v>
      </c>
      <c r="R798" s="6">
        <f t="shared" ca="1" si="126"/>
        <v>147.9821924302708</v>
      </c>
      <c r="S798" s="6"/>
      <c r="T798" s="4">
        <f t="shared" ca="1" si="127"/>
        <v>9.8458607968337358E-3</v>
      </c>
      <c r="U798" s="4">
        <f t="shared" ca="1" si="128"/>
        <v>-5.9605674673320598E-2</v>
      </c>
      <c r="V798" s="4">
        <f t="shared" ca="1" si="129"/>
        <v>-6.3948784767462907E-2</v>
      </c>
      <c r="W798" s="4"/>
      <c r="X798">
        <v>796</v>
      </c>
      <c r="Y798" s="4">
        <f t="shared" ca="1" si="130"/>
        <v>-7.6665545676840542E-3</v>
      </c>
      <c r="Z798" s="4">
        <f ca="1"/>
        <v>1.6797723431432408E-2</v>
      </c>
      <c r="AA798" s="4"/>
    </row>
    <row r="799" spans="1:27" x14ac:dyDescent="0.35">
      <c r="A799">
        <v>797</v>
      </c>
      <c r="B799">
        <f ca="1">_xlfn.NORM.INV(RAND(),Hitorical_Sim!$AB$4,Hitorical_Sim!$AB$5)</f>
        <v>-7.1421100908035471E-3</v>
      </c>
      <c r="C799">
        <f ca="1">_xlfn.NORM.INV(RAND(),Hitorical_Sim!$AB$4,Hitorical_Sim!$AB$5)</f>
        <v>-1.5050768759448076E-2</v>
      </c>
      <c r="D799">
        <f ca="1">_xlfn.NORM.INV(RAND(),Hitorical_Sim!$AB$4,Hitorical_Sim!$AB$5)</f>
        <v>-1.9897581156588247E-2</v>
      </c>
      <c r="K799">
        <f t="shared" ca="1" si="131"/>
        <v>0.16973547680043244</v>
      </c>
      <c r="L799">
        <f t="shared" ca="1" si="131"/>
        <v>-1.9786821885148043</v>
      </c>
      <c r="M799">
        <f t="shared" ca="1" si="131"/>
        <v>1.6773132366410624</v>
      </c>
      <c r="O799">
        <v>797</v>
      </c>
      <c r="P799" s="6">
        <f t="shared" ca="1" si="124"/>
        <v>1943.8212487199787</v>
      </c>
      <c r="Q799" s="6">
        <f t="shared" ca="1" si="125"/>
        <v>363.30700369739264</v>
      </c>
      <c r="R799" s="6">
        <f t="shared" ca="1" si="126"/>
        <v>158.6844584769224</v>
      </c>
      <c r="S799" s="6"/>
      <c r="T799" s="4">
        <f t="shared" ca="1" si="127"/>
        <v>-1.7784441990295097E-2</v>
      </c>
      <c r="U799" s="4">
        <f t="shared" ca="1" si="128"/>
        <v>1.6927157331837204E-3</v>
      </c>
      <c r="V799" s="4">
        <f t="shared" ca="1" si="129"/>
        <v>6.9825747426937312E-2</v>
      </c>
      <c r="W799" s="4"/>
      <c r="X799">
        <v>797</v>
      </c>
      <c r="Y799" s="4">
        <f t="shared" ca="1" si="130"/>
        <v>-9.561584861640238E-3</v>
      </c>
      <c r="Z799" s="4">
        <f ca="1"/>
        <v>1.6869316993057881E-2</v>
      </c>
      <c r="AA799" s="4"/>
    </row>
    <row r="800" spans="1:27" x14ac:dyDescent="0.35">
      <c r="A800">
        <v>798</v>
      </c>
      <c r="B800">
        <f ca="1">_xlfn.NORM.INV(RAND(),Hitorical_Sim!$AB$4,Hitorical_Sim!$AB$5)</f>
        <v>-3.1635211005303916E-3</v>
      </c>
      <c r="C800">
        <f ca="1">_xlfn.NORM.INV(RAND(),Hitorical_Sim!$AB$4,Hitorical_Sim!$AB$5)</f>
        <v>-4.1264097417317784E-2</v>
      </c>
      <c r="D800">
        <f ca="1">_xlfn.NORM.INV(RAND(),Hitorical_Sim!$AB$4,Hitorical_Sim!$AB$5)</f>
        <v>4.8747066859560319E-3</v>
      </c>
      <c r="K800">
        <f t="shared" ca="1" si="131"/>
        <v>-6.5638491098214985E-2</v>
      </c>
      <c r="L800">
        <f t="shared" ca="1" si="131"/>
        <v>-0.80666805257271579</v>
      </c>
      <c r="M800">
        <f t="shared" ca="1" si="131"/>
        <v>0.89369114790174109</v>
      </c>
      <c r="O800">
        <v>798</v>
      </c>
      <c r="P800" s="6">
        <f t="shared" ca="1" si="124"/>
        <v>1935.5384036521789</v>
      </c>
      <c r="Q800" s="6">
        <f t="shared" ca="1" si="125"/>
        <v>375.6604037124784</v>
      </c>
      <c r="R800" s="6">
        <f t="shared" ca="1" si="126"/>
        <v>154.93616020902101</v>
      </c>
      <c r="S800" s="6"/>
      <c r="T800" s="4">
        <f t="shared" ca="1" si="127"/>
        <v>-4.2702190033068544E-3</v>
      </c>
      <c r="U800" s="4">
        <f t="shared" ca="1" si="128"/>
        <v>3.3437336618559695E-2</v>
      </c>
      <c r="V800" s="4">
        <f t="shared" ca="1" si="129"/>
        <v>-2.3904530076321595E-2</v>
      </c>
      <c r="W800" s="4"/>
      <c r="X800">
        <v>798</v>
      </c>
      <c r="Y800" s="4">
        <f t="shared" ca="1" si="130"/>
        <v>2.2833016601150327E-3</v>
      </c>
      <c r="Z800" s="4">
        <f ca="1"/>
        <v>1.7042136321763175E-2</v>
      </c>
      <c r="AA800" s="4"/>
    </row>
    <row r="801" spans="1:27" x14ac:dyDescent="0.35">
      <c r="A801">
        <v>799</v>
      </c>
      <c r="B801">
        <f ca="1">_xlfn.NORM.INV(RAND(),Hitorical_Sim!$AB$4,Hitorical_Sim!$AB$5)</f>
        <v>-1.3875075466952289E-3</v>
      </c>
      <c r="C801">
        <f ca="1">_xlfn.NORM.INV(RAND(),Hitorical_Sim!$AB$4,Hitorical_Sim!$AB$5)</f>
        <v>1.1187542259128304E-2</v>
      </c>
      <c r="D801">
        <f ca="1">_xlfn.NORM.INV(RAND(),Hitorical_Sim!$AB$4,Hitorical_Sim!$AB$5)</f>
        <v>-1.4393169617069948E-2</v>
      </c>
      <c r="K801">
        <f t="shared" ca="1" si="131"/>
        <v>6.1011893563833242E-2</v>
      </c>
      <c r="L801">
        <f t="shared" ca="1" si="131"/>
        <v>-1.4463561744562645</v>
      </c>
      <c r="M801">
        <f t="shared" ca="1" si="131"/>
        <v>1.0051603412205936</v>
      </c>
      <c r="O801">
        <v>799</v>
      </c>
      <c r="P801" s="6">
        <f t="shared" ca="1" si="124"/>
        <v>1939.9908538098643</v>
      </c>
      <c r="Q801" s="6">
        <f t="shared" ca="1" si="125"/>
        <v>368.86671589895531</v>
      </c>
      <c r="R801" s="6">
        <f t="shared" ca="1" si="126"/>
        <v>155.46389992870004</v>
      </c>
      <c r="S801" s="6"/>
      <c r="T801" s="4">
        <f t="shared" ca="1" si="127"/>
        <v>2.2977259727927296E-3</v>
      </c>
      <c r="U801" s="4">
        <f t="shared" ca="1" si="128"/>
        <v>-1.8250178394922906E-2</v>
      </c>
      <c r="V801" s="4">
        <f t="shared" ca="1" si="129"/>
        <v>3.4003874093962196E-3</v>
      </c>
      <c r="W801" s="4"/>
      <c r="X801">
        <v>799</v>
      </c>
      <c r="Y801" s="4">
        <f t="shared" ca="1" si="130"/>
        <v>-1.7484092233849748E-3</v>
      </c>
      <c r="Z801" s="4">
        <f ca="1"/>
        <v>1.7207741505054556E-2</v>
      </c>
      <c r="AA801" s="4"/>
    </row>
    <row r="802" spans="1:27" x14ac:dyDescent="0.35">
      <c r="A802">
        <v>800</v>
      </c>
      <c r="B802">
        <f ca="1">_xlfn.NORM.INV(RAND(),Hitorical_Sim!$AB$4,Hitorical_Sim!$AB$5)</f>
        <v>1.4723600512638896E-3</v>
      </c>
      <c r="C802">
        <f ca="1">_xlfn.NORM.INV(RAND(),Hitorical_Sim!$AB$4,Hitorical_Sim!$AB$5)</f>
        <v>-2.5336174152235172E-2</v>
      </c>
      <c r="D802">
        <f ca="1">_xlfn.NORM.INV(RAND(),Hitorical_Sim!$AB$4,Hitorical_Sim!$AB$5)</f>
        <v>-3.6326449439848929E-4</v>
      </c>
      <c r="K802">
        <f t="shared" ca="1" si="131"/>
        <v>0.25672307839999198</v>
      </c>
      <c r="L802">
        <f t="shared" ca="1" si="131"/>
        <v>0.84725681699095656</v>
      </c>
      <c r="M802">
        <f t="shared" ca="1" si="131"/>
        <v>-1.3186844805753763</v>
      </c>
      <c r="O802">
        <v>800</v>
      </c>
      <c r="P802" s="6">
        <f t="shared" ca="1" si="124"/>
        <v>1946.8913177375703</v>
      </c>
      <c r="Q802" s="6">
        <f t="shared" ca="1" si="125"/>
        <v>393.81124082583852</v>
      </c>
      <c r="R802" s="6">
        <f t="shared" ca="1" si="126"/>
        <v>144.82473013129538</v>
      </c>
      <c r="S802" s="6"/>
      <c r="T802" s="4">
        <f t="shared" ca="1" si="127"/>
        <v>3.5506459278744928E-3</v>
      </c>
      <c r="U802" s="4">
        <f t="shared" ca="1" si="128"/>
        <v>6.5436335037098878E-2</v>
      </c>
      <c r="V802" s="4">
        <f t="shared" ca="1" si="129"/>
        <v>-7.0889296299309817E-2</v>
      </c>
      <c r="W802" s="4"/>
      <c r="X802">
        <v>800</v>
      </c>
      <c r="Y802" s="4">
        <f t="shared" ca="1" si="130"/>
        <v>1.2217013762711762E-2</v>
      </c>
      <c r="Z802" s="4">
        <f ca="1"/>
        <v>1.7209674757514129E-2</v>
      </c>
      <c r="AA802" s="4"/>
    </row>
    <row r="803" spans="1:27" x14ac:dyDescent="0.35">
      <c r="A803">
        <v>801</v>
      </c>
      <c r="B803">
        <f ca="1">_xlfn.NORM.INV(RAND(),Hitorical_Sim!$AB$4,Hitorical_Sim!$AB$5)</f>
        <v>1.2888835186499067E-2</v>
      </c>
      <c r="C803">
        <f ca="1">_xlfn.NORM.INV(RAND(),Hitorical_Sim!$AB$4,Hitorical_Sim!$AB$5)</f>
        <v>-2.1637903226515962E-2</v>
      </c>
      <c r="D803">
        <f ca="1">_xlfn.NORM.INV(RAND(),Hitorical_Sim!$AB$4,Hitorical_Sim!$AB$5)</f>
        <v>-3.271087267651583E-3</v>
      </c>
      <c r="K803">
        <f t="shared" ca="1" si="131"/>
        <v>-1.03209498724229</v>
      </c>
      <c r="L803">
        <f t="shared" ca="1" si="131"/>
        <v>-0.65469962948048799</v>
      </c>
      <c r="M803">
        <f t="shared" ca="1" si="131"/>
        <v>-0.35917187625832192</v>
      </c>
      <c r="O803">
        <v>801</v>
      </c>
      <c r="P803" s="6">
        <f t="shared" ca="1" si="124"/>
        <v>1901.8970093661758</v>
      </c>
      <c r="Q803" s="6">
        <f t="shared" ca="1" si="125"/>
        <v>377.29266400411103</v>
      </c>
      <c r="R803" s="6">
        <f t="shared" ca="1" si="126"/>
        <v>149.12641288224876</v>
      </c>
      <c r="S803" s="6"/>
      <c r="T803" s="4">
        <f t="shared" ca="1" si="127"/>
        <v>-2.3382090402114964E-2</v>
      </c>
      <c r="U803" s="4">
        <f t="shared" ca="1" si="128"/>
        <v>-4.2850526923647068E-2</v>
      </c>
      <c r="V803" s="4">
        <f t="shared" ca="1" si="129"/>
        <v>2.9270101287480119E-2</v>
      </c>
      <c r="W803" s="4"/>
      <c r="X803">
        <v>801</v>
      </c>
      <c r="Y803" s="4">
        <f t="shared" ca="1" si="130"/>
        <v>-2.4661606171268408E-2</v>
      </c>
      <c r="Z803" s="4">
        <f ca="1"/>
        <v>1.7240745902100563E-2</v>
      </c>
      <c r="AA803" s="4"/>
    </row>
    <row r="804" spans="1:27" x14ac:dyDescent="0.35">
      <c r="A804">
        <v>802</v>
      </c>
      <c r="B804">
        <f ca="1">_xlfn.NORM.INV(RAND(),Hitorical_Sim!$AB$4,Hitorical_Sim!$AB$5)</f>
        <v>-1.9859255356708828E-2</v>
      </c>
      <c r="C804">
        <f ca="1">_xlfn.NORM.INV(RAND(),Hitorical_Sim!$AB$4,Hitorical_Sim!$AB$5)</f>
        <v>2.6222360341946589E-2</v>
      </c>
      <c r="D804">
        <f ca="1">_xlfn.NORM.INV(RAND(),Hitorical_Sim!$AB$4,Hitorical_Sim!$AB$5)</f>
        <v>-2.7628912459543589E-2</v>
      </c>
      <c r="K804">
        <f t="shared" ref="K804:M823" ca="1" si="132">_xlfn.NORM.S.INV(RAND())</f>
        <v>-0.76077843894317632</v>
      </c>
      <c r="L804">
        <f t="shared" ca="1" si="132"/>
        <v>1.1966080576514542</v>
      </c>
      <c r="M804">
        <f t="shared" ca="1" si="132"/>
        <v>-0.46569959891036272</v>
      </c>
      <c r="O804">
        <v>802</v>
      </c>
      <c r="P804" s="6">
        <f t="shared" ca="1" si="124"/>
        <v>1911.2817937948419</v>
      </c>
      <c r="Q804" s="6">
        <f t="shared" ca="1" si="125"/>
        <v>397.75595293491779</v>
      </c>
      <c r="R804" s="6">
        <f t="shared" ca="1" si="126"/>
        <v>148.64259123630094</v>
      </c>
      <c r="S804" s="6"/>
      <c r="T804" s="4">
        <f t="shared" ca="1" si="127"/>
        <v>4.9222991429423235E-3</v>
      </c>
      <c r="U804" s="4">
        <f t="shared" ca="1" si="128"/>
        <v>5.2817450251484661E-2</v>
      </c>
      <c r="V804" s="4">
        <f t="shared" ca="1" si="129"/>
        <v>-3.249646974850712E-3</v>
      </c>
      <c r="W804" s="4"/>
      <c r="X804">
        <v>802</v>
      </c>
      <c r="Y804" s="4">
        <f t="shared" ca="1" si="130"/>
        <v>1.4076212384595131E-2</v>
      </c>
      <c r="Z804" s="4">
        <f ca="1"/>
        <v>1.7254169613345728E-2</v>
      </c>
      <c r="AA804" s="4"/>
    </row>
    <row r="805" spans="1:27" x14ac:dyDescent="0.35">
      <c r="A805">
        <v>803</v>
      </c>
      <c r="B805">
        <f ca="1">_xlfn.NORM.INV(RAND(),Hitorical_Sim!$AB$4,Hitorical_Sim!$AB$5)</f>
        <v>-2.7525929968888713E-2</v>
      </c>
      <c r="C805">
        <f ca="1">_xlfn.NORM.INV(RAND(),Hitorical_Sim!$AB$4,Hitorical_Sim!$AB$5)</f>
        <v>1.4350199222533876E-2</v>
      </c>
      <c r="D805">
        <f ca="1">_xlfn.NORM.INV(RAND(),Hitorical_Sim!$AB$4,Hitorical_Sim!$AB$5)</f>
        <v>7.3182276595405923E-3</v>
      </c>
      <c r="K805">
        <f t="shared" ca="1" si="132"/>
        <v>0.99294154019671188</v>
      </c>
      <c r="L805">
        <f t="shared" ca="1" si="132"/>
        <v>-0.99215061195249588</v>
      </c>
      <c r="M805">
        <f t="shared" ca="1" si="132"/>
        <v>0.64209568386816318</v>
      </c>
      <c r="O805">
        <v>803</v>
      </c>
      <c r="P805" s="6">
        <f t="shared" ca="1" si="124"/>
        <v>1973.0697555275578</v>
      </c>
      <c r="Q805" s="6">
        <f t="shared" ca="1" si="125"/>
        <v>373.67774145545894</v>
      </c>
      <c r="R805" s="6">
        <f t="shared" ca="1" si="126"/>
        <v>153.75158236484538</v>
      </c>
      <c r="S805" s="6"/>
      <c r="T805" s="4">
        <f t="shared" ca="1" si="127"/>
        <v>3.1816468270724617E-2</v>
      </c>
      <c r="U805" s="4">
        <f t="shared" ca="1" si="128"/>
        <v>-6.2444861514839543E-2</v>
      </c>
      <c r="V805" s="4">
        <f t="shared" ca="1" si="129"/>
        <v>3.3793490556384365E-2</v>
      </c>
      <c r="W805" s="4"/>
      <c r="X805">
        <v>803</v>
      </c>
      <c r="Y805" s="4">
        <f t="shared" ca="1" si="130"/>
        <v>1.3102757579853606E-2</v>
      </c>
      <c r="Z805" s="4">
        <f ca="1"/>
        <v>1.7341182146020234E-2</v>
      </c>
      <c r="AA805" s="4"/>
    </row>
    <row r="806" spans="1:27" x14ac:dyDescent="0.35">
      <c r="A806">
        <v>804</v>
      </c>
      <c r="B806">
        <f ca="1">_xlfn.NORM.INV(RAND(),Hitorical_Sim!$AB$4,Hitorical_Sim!$AB$5)</f>
        <v>8.969510081261458E-4</v>
      </c>
      <c r="C806">
        <f ca="1">_xlfn.NORM.INV(RAND(),Hitorical_Sim!$AB$4,Hitorical_Sim!$AB$5)</f>
        <v>2.9660168408427454E-3</v>
      </c>
      <c r="D806">
        <f ca="1">_xlfn.NORM.INV(RAND(),Hitorical_Sim!$AB$4,Hitorical_Sim!$AB$5)</f>
        <v>1.2194961671830928E-2</v>
      </c>
      <c r="K806">
        <f t="shared" ca="1" si="132"/>
        <v>-1.6965031243064332</v>
      </c>
      <c r="L806">
        <f t="shared" ca="1" si="132"/>
        <v>-0.5743350585042315</v>
      </c>
      <c r="M806">
        <f t="shared" ca="1" si="132"/>
        <v>0.6543473020093532</v>
      </c>
      <c r="O806">
        <v>804</v>
      </c>
      <c r="P806" s="6">
        <f t="shared" ca="1" si="124"/>
        <v>1879.1093970590641</v>
      </c>
      <c r="Q806" s="6">
        <f t="shared" ca="1" si="125"/>
        <v>378.15870766310695</v>
      </c>
      <c r="R806" s="6">
        <f t="shared" ca="1" si="126"/>
        <v>153.80905587818012</v>
      </c>
      <c r="S806" s="6"/>
      <c r="T806" s="4">
        <f t="shared" ca="1" si="127"/>
        <v>-4.8792641842399703E-2</v>
      </c>
      <c r="U806" s="4">
        <f t="shared" ca="1" si="128"/>
        <v>1.1920196929953756E-2</v>
      </c>
      <c r="V806" s="4">
        <f t="shared" ca="1" si="129"/>
        <v>3.7373777302612056E-4</v>
      </c>
      <c r="W806" s="4"/>
      <c r="X806">
        <v>804</v>
      </c>
      <c r="Y806" s="4">
        <f t="shared" ca="1" si="130"/>
        <v>-3.4243046716743351E-2</v>
      </c>
      <c r="Z806" s="4">
        <f ca="1"/>
        <v>1.7396798809258356E-2</v>
      </c>
      <c r="AA806" s="4"/>
    </row>
    <row r="807" spans="1:27" x14ac:dyDescent="0.35">
      <c r="A807">
        <v>805</v>
      </c>
      <c r="B807">
        <f ca="1">_xlfn.NORM.INV(RAND(),Hitorical_Sim!$AB$4,Hitorical_Sim!$AB$5)</f>
        <v>9.5709524768029103E-3</v>
      </c>
      <c r="C807">
        <f ca="1">_xlfn.NORM.INV(RAND(),Hitorical_Sim!$AB$4,Hitorical_Sim!$AB$5)</f>
        <v>-3.3436473256827866E-2</v>
      </c>
      <c r="D807">
        <f ca="1">_xlfn.NORM.INV(RAND(),Hitorical_Sim!$AB$4,Hitorical_Sim!$AB$5)</f>
        <v>-2.6409644904841531E-2</v>
      </c>
      <c r="K807">
        <f t="shared" ca="1" si="132"/>
        <v>-1.6081120143805314</v>
      </c>
      <c r="L807">
        <f t="shared" ca="1" si="132"/>
        <v>0.87850289101962564</v>
      </c>
      <c r="M807">
        <f t="shared" ca="1" si="132"/>
        <v>-1.2187646117855051</v>
      </c>
      <c r="O807">
        <v>805</v>
      </c>
      <c r="P807" s="6">
        <f t="shared" ca="1" si="124"/>
        <v>1882.125183881687</v>
      </c>
      <c r="Q807" s="6">
        <f t="shared" ca="1" si="125"/>
        <v>394.16245819244284</v>
      </c>
      <c r="R807" s="6">
        <f t="shared" ca="1" si="126"/>
        <v>145.26683996308103</v>
      </c>
      <c r="S807" s="6"/>
      <c r="T807" s="4">
        <f t="shared" ca="1" si="127"/>
        <v>1.6036157298902763E-3</v>
      </c>
      <c r="U807" s="4">
        <f t="shared" ca="1" si="128"/>
        <v>4.1449185705766466E-2</v>
      </c>
      <c r="V807" s="4">
        <f t="shared" ca="1" si="129"/>
        <v>-5.7139609415120043E-2</v>
      </c>
      <c r="W807" s="4"/>
      <c r="X807">
        <v>805</v>
      </c>
      <c r="Y807" s="4">
        <f t="shared" ca="1" si="130"/>
        <v>6.6483113605175772E-3</v>
      </c>
      <c r="Z807" s="4">
        <f ca="1"/>
        <v>1.7488195177272528E-2</v>
      </c>
      <c r="AA807" s="4"/>
    </row>
    <row r="808" spans="1:27" x14ac:dyDescent="0.35">
      <c r="A808">
        <v>806</v>
      </c>
      <c r="B808">
        <f ca="1">_xlfn.NORM.INV(RAND(),Hitorical_Sim!$AB$4,Hitorical_Sim!$AB$5)</f>
        <v>-2.1643215323674365E-2</v>
      </c>
      <c r="C808">
        <f ca="1">_xlfn.NORM.INV(RAND(),Hitorical_Sim!$AB$4,Hitorical_Sim!$AB$5)</f>
        <v>7.9184807028646487E-3</v>
      </c>
      <c r="D808">
        <f ca="1">_xlfn.NORM.INV(RAND(),Hitorical_Sim!$AB$4,Hitorical_Sim!$AB$5)</f>
        <v>1.4451688050191988E-2</v>
      </c>
      <c r="K808">
        <f t="shared" ca="1" si="132"/>
        <v>-0.26023052255958501</v>
      </c>
      <c r="L808">
        <f t="shared" ca="1" si="132"/>
        <v>0.60437490677830474</v>
      </c>
      <c r="M808">
        <f t="shared" ca="1" si="132"/>
        <v>-2.0524105936096264</v>
      </c>
      <c r="O808">
        <v>806</v>
      </c>
      <c r="P808" s="6">
        <f t="shared" ca="1" si="124"/>
        <v>1928.7173386780928</v>
      </c>
      <c r="Q808" s="6">
        <f t="shared" ca="1" si="125"/>
        <v>391.09180834694172</v>
      </c>
      <c r="R808" s="6">
        <f t="shared" ca="1" si="126"/>
        <v>141.61920619534681</v>
      </c>
      <c r="S808" s="6"/>
      <c r="T808" s="4">
        <f t="shared" ca="1" si="127"/>
        <v>2.445363525951888E-2</v>
      </c>
      <c r="U808" s="4">
        <f t="shared" ca="1" si="128"/>
        <v>-7.8208183711676663E-3</v>
      </c>
      <c r="V808" s="4">
        <f t="shared" ca="1" si="129"/>
        <v>-2.5430517760900499E-2</v>
      </c>
      <c r="W808" s="4"/>
      <c r="X808">
        <v>806</v>
      </c>
      <c r="Y808" s="4">
        <f t="shared" ca="1" si="130"/>
        <v>1.5543911838591575E-2</v>
      </c>
      <c r="Z808" s="4">
        <f ca="1"/>
        <v>1.7562937242353961E-2</v>
      </c>
      <c r="AA808" s="4"/>
    </row>
    <row r="809" spans="1:27" x14ac:dyDescent="0.35">
      <c r="A809">
        <v>807</v>
      </c>
      <c r="B809">
        <f ca="1">_xlfn.NORM.INV(RAND(),Hitorical_Sim!$AB$4,Hitorical_Sim!$AB$5)</f>
        <v>2.5473013571439881E-2</v>
      </c>
      <c r="C809">
        <f ca="1">_xlfn.NORM.INV(RAND(),Hitorical_Sim!$AB$4,Hitorical_Sim!$AB$5)</f>
        <v>5.4685161854481114E-3</v>
      </c>
      <c r="D809">
        <f ca="1">_xlfn.NORM.INV(RAND(),Hitorical_Sim!$AB$4,Hitorical_Sim!$AB$5)</f>
        <v>2.681961329623828E-2</v>
      </c>
      <c r="K809">
        <f t="shared" ca="1" si="132"/>
        <v>-0.94803779906258878</v>
      </c>
      <c r="L809">
        <f t="shared" ca="1" si="132"/>
        <v>-1.1461404383384066</v>
      </c>
      <c r="M809">
        <f t="shared" ca="1" si="132"/>
        <v>-1.7688439716359101</v>
      </c>
      <c r="O809">
        <v>807</v>
      </c>
      <c r="P809" s="6">
        <f t="shared" ca="1" si="124"/>
        <v>1904.7995931399398</v>
      </c>
      <c r="Q809" s="6">
        <f t="shared" ca="1" si="125"/>
        <v>372.03966396515909</v>
      </c>
      <c r="R809" s="6">
        <f t="shared" ca="1" si="126"/>
        <v>142.84956147867135</v>
      </c>
      <c r="S809" s="6"/>
      <c r="T809" s="4">
        <f t="shared" ca="1" si="127"/>
        <v>-1.247838802632795E-2</v>
      </c>
      <c r="U809" s="4">
        <f t="shared" ca="1" si="128"/>
        <v>-4.9941864228089689E-2</v>
      </c>
      <c r="V809" s="4">
        <f t="shared" ca="1" si="129"/>
        <v>8.6502498347343446E-3</v>
      </c>
      <c r="W809" s="4"/>
      <c r="X809">
        <v>807</v>
      </c>
      <c r="Y809" s="4">
        <f t="shared" ca="1" si="130"/>
        <v>-1.8909243688410717E-2</v>
      </c>
      <c r="Z809" s="4">
        <f ca="1"/>
        <v>1.7671727346071246E-2</v>
      </c>
      <c r="AA809" s="4"/>
    </row>
    <row r="810" spans="1:27" x14ac:dyDescent="0.35">
      <c r="A810">
        <v>808</v>
      </c>
      <c r="B810">
        <f ca="1">_xlfn.NORM.INV(RAND(),Hitorical_Sim!$AB$4,Hitorical_Sim!$AB$5)</f>
        <v>-3.9647676357411302E-2</v>
      </c>
      <c r="C810">
        <f ca="1">_xlfn.NORM.INV(RAND(),Hitorical_Sim!$AB$4,Hitorical_Sim!$AB$5)</f>
        <v>-9.8647004014642149E-3</v>
      </c>
      <c r="D810">
        <f ca="1">_xlfn.NORM.INV(RAND(),Hitorical_Sim!$AB$4,Hitorical_Sim!$AB$5)</f>
        <v>-6.3674148439596834E-3</v>
      </c>
      <c r="K810">
        <f t="shared" ca="1" si="132"/>
        <v>-0.77135271756906709</v>
      </c>
      <c r="L810">
        <f t="shared" ca="1" si="132"/>
        <v>-0.11040627730654053</v>
      </c>
      <c r="M810">
        <f t="shared" ca="1" si="132"/>
        <v>-2.082682349395407</v>
      </c>
      <c r="O810">
        <v>808</v>
      </c>
      <c r="P810" s="6">
        <f t="shared" ca="1" si="124"/>
        <v>1910.9151658743099</v>
      </c>
      <c r="Q810" s="6">
        <f t="shared" ca="1" si="125"/>
        <v>383.19721083038286</v>
      </c>
      <c r="R810" s="6">
        <f t="shared" ca="1" si="126"/>
        <v>141.48848897628241</v>
      </c>
      <c r="S810" s="6"/>
      <c r="T810" s="4">
        <f t="shared" ca="1" si="127"/>
        <v>3.2054691490747537E-3</v>
      </c>
      <c r="U810" s="4">
        <f t="shared" ca="1" si="128"/>
        <v>2.9549295292352496E-2</v>
      </c>
      <c r="V810" s="4">
        <f t="shared" ca="1" si="129"/>
        <v>-9.5736950860141543E-3</v>
      </c>
      <c r="W810" s="4"/>
      <c r="X810">
        <v>808</v>
      </c>
      <c r="Y810" s="4">
        <f t="shared" ca="1" si="130"/>
        <v>7.8304139355444852E-3</v>
      </c>
      <c r="Z810" s="4">
        <f ca="1"/>
        <v>1.7689899332645777E-2</v>
      </c>
      <c r="AA810" s="4"/>
    </row>
    <row r="811" spans="1:27" x14ac:dyDescent="0.35">
      <c r="A811">
        <v>809</v>
      </c>
      <c r="B811">
        <f ca="1">_xlfn.NORM.INV(RAND(),Hitorical_Sim!$AB$4,Hitorical_Sim!$AB$5)</f>
        <v>-1.0957373261431891E-2</v>
      </c>
      <c r="C811">
        <f ca="1">_xlfn.NORM.INV(RAND(),Hitorical_Sim!$AB$4,Hitorical_Sim!$AB$5)</f>
        <v>-1.9496892526245906E-2</v>
      </c>
      <c r="D811">
        <f ca="1">_xlfn.NORM.INV(RAND(),Hitorical_Sim!$AB$4,Hitorical_Sim!$AB$5)</f>
        <v>-2.4351880716663942E-3</v>
      </c>
      <c r="K811">
        <f t="shared" ca="1" si="132"/>
        <v>-0.92346355163127358</v>
      </c>
      <c r="L811">
        <f t="shared" ca="1" si="132"/>
        <v>0.45021482338481539</v>
      </c>
      <c r="M811">
        <f t="shared" ca="1" si="132"/>
        <v>0.59177654518099254</v>
      </c>
      <c r="O811">
        <v>809</v>
      </c>
      <c r="P811" s="6">
        <f t="shared" ca="1" si="124"/>
        <v>1905.6490044737925</v>
      </c>
      <c r="Q811" s="6">
        <f t="shared" ca="1" si="125"/>
        <v>389.37550208959442</v>
      </c>
      <c r="R811" s="6">
        <f t="shared" ca="1" si="126"/>
        <v>153.51575561974281</v>
      </c>
      <c r="S811" s="6"/>
      <c r="T811" s="4">
        <f t="shared" ca="1" si="127"/>
        <v>-2.7596364203749807E-3</v>
      </c>
      <c r="U811" s="4">
        <f t="shared" ca="1" si="128"/>
        <v>1.5994411572703562E-2</v>
      </c>
      <c r="V811" s="4">
        <f t="shared" ca="1" si="129"/>
        <v>8.1584840450502655E-2</v>
      </c>
      <c r="W811" s="4"/>
      <c r="X811">
        <v>809</v>
      </c>
      <c r="Y811" s="4">
        <f t="shared" ca="1" si="130"/>
        <v>5.1572904835386233E-3</v>
      </c>
      <c r="Z811" s="4">
        <f ca="1"/>
        <v>1.7736043367375973E-2</v>
      </c>
      <c r="AA811" s="4"/>
    </row>
    <row r="812" spans="1:27" x14ac:dyDescent="0.35">
      <c r="A812">
        <v>810</v>
      </c>
      <c r="B812">
        <f ca="1">_xlfn.NORM.INV(RAND(),Hitorical_Sim!$AB$4,Hitorical_Sim!$AB$5)</f>
        <v>-1.8805042640633336E-4</v>
      </c>
      <c r="C812">
        <f ca="1">_xlfn.NORM.INV(RAND(),Hitorical_Sim!$AB$4,Hitorical_Sim!$AB$5)</f>
        <v>-4.8408786559025509E-3</v>
      </c>
      <c r="D812">
        <f ca="1">_xlfn.NORM.INV(RAND(),Hitorical_Sim!$AB$4,Hitorical_Sim!$AB$5)</f>
        <v>6.683672225663663E-3</v>
      </c>
      <c r="K812">
        <f t="shared" ca="1" si="132"/>
        <v>-0.6032546534810691</v>
      </c>
      <c r="L812">
        <f t="shared" ca="1" si="132"/>
        <v>-0.56487855615022753</v>
      </c>
      <c r="M812">
        <f t="shared" ca="1" si="132"/>
        <v>0.1866852235161986</v>
      </c>
      <c r="O812">
        <v>810</v>
      </c>
      <c r="P812" s="6">
        <f t="shared" ca="1" si="124"/>
        <v>1916.7517431170902</v>
      </c>
      <c r="Q812" s="6">
        <f t="shared" ca="1" si="125"/>
        <v>378.26074569034529</v>
      </c>
      <c r="R812" s="6">
        <f t="shared" ca="1" si="126"/>
        <v>151.63037591864298</v>
      </c>
      <c r="S812" s="6"/>
      <c r="T812" s="4">
        <f t="shared" ca="1" si="127"/>
        <v>5.8093175473751891E-3</v>
      </c>
      <c r="U812" s="4">
        <f t="shared" ca="1" si="128"/>
        <v>-2.8960417788392364E-2</v>
      </c>
      <c r="V812" s="4">
        <f t="shared" ca="1" si="129"/>
        <v>-1.2357382240170951E-2</v>
      </c>
      <c r="W812" s="4"/>
      <c r="X812">
        <v>810</v>
      </c>
      <c r="Y812" s="4">
        <f t="shared" ca="1" si="130"/>
        <v>-2.0286840979022603E-3</v>
      </c>
      <c r="Z812" s="4">
        <f ca="1"/>
        <v>1.8048343170604605E-2</v>
      </c>
      <c r="AA812" s="4"/>
    </row>
    <row r="813" spans="1:27" x14ac:dyDescent="0.35">
      <c r="A813">
        <v>811</v>
      </c>
      <c r="B813">
        <f ca="1">_xlfn.NORM.INV(RAND(),Hitorical_Sim!$AB$4,Hitorical_Sim!$AB$5)</f>
        <v>-1.0453502690103315E-2</v>
      </c>
      <c r="C813">
        <f ca="1">_xlfn.NORM.INV(RAND(),Hitorical_Sim!$AB$4,Hitorical_Sim!$AB$5)</f>
        <v>-9.9535061760447491E-3</v>
      </c>
      <c r="D813">
        <f ca="1">_xlfn.NORM.INV(RAND(),Hitorical_Sim!$AB$4,Hitorical_Sim!$AB$5)</f>
        <v>1.0832697386386102E-2</v>
      </c>
      <c r="K813">
        <f t="shared" ca="1" si="132"/>
        <v>-1.4850113976437076</v>
      </c>
      <c r="L813">
        <f t="shared" ca="1" si="132"/>
        <v>0.91835550575778468</v>
      </c>
      <c r="M813">
        <f t="shared" ca="1" si="132"/>
        <v>0.13091763329323031</v>
      </c>
      <c r="O813">
        <v>811</v>
      </c>
      <c r="P813" s="6">
        <f t="shared" ca="1" si="124"/>
        <v>1886.3332785890077</v>
      </c>
      <c r="Q813" s="6">
        <f t="shared" ca="1" si="125"/>
        <v>394.61087080868015</v>
      </c>
      <c r="R813" s="6">
        <f t="shared" ca="1" si="126"/>
        <v>151.3726415869661</v>
      </c>
      <c r="S813" s="6"/>
      <c r="T813" s="4">
        <f t="shared" ca="1" si="127"/>
        <v>-1.5997072398586297E-2</v>
      </c>
      <c r="U813" s="4">
        <f t="shared" ca="1" si="128"/>
        <v>4.2316380913158737E-2</v>
      </c>
      <c r="V813" s="4">
        <f t="shared" ca="1" si="129"/>
        <v>-1.7012001791751631E-3</v>
      </c>
      <c r="W813" s="4"/>
      <c r="X813">
        <v>811</v>
      </c>
      <c r="Y813" s="4">
        <f t="shared" ca="1" si="130"/>
        <v>-3.6520635365208287E-3</v>
      </c>
      <c r="Z813" s="4">
        <f ca="1"/>
        <v>1.8091221481899643E-2</v>
      </c>
      <c r="AA813" s="4"/>
    </row>
    <row r="814" spans="1:27" x14ac:dyDescent="0.35">
      <c r="A814">
        <v>812</v>
      </c>
      <c r="B814">
        <f ca="1">_xlfn.NORM.INV(RAND(),Hitorical_Sim!$AB$4,Hitorical_Sim!$AB$5)</f>
        <v>3.5344239531073511E-2</v>
      </c>
      <c r="C814">
        <f ca="1">_xlfn.NORM.INV(RAND(),Hitorical_Sim!$AB$4,Hitorical_Sim!$AB$5)</f>
        <v>3.8700734029131676E-3</v>
      </c>
      <c r="D814">
        <f ca="1">_xlfn.NORM.INV(RAND(),Hitorical_Sim!$AB$4,Hitorical_Sim!$AB$5)</f>
        <v>9.4497753595598321E-3</v>
      </c>
      <c r="K814">
        <f t="shared" ca="1" si="132"/>
        <v>1.180628524936725</v>
      </c>
      <c r="L814">
        <f t="shared" ca="1" si="132"/>
        <v>1.4015678092281396</v>
      </c>
      <c r="M814">
        <f t="shared" ca="1" si="132"/>
        <v>2.4325224583934304</v>
      </c>
      <c r="O814">
        <v>812</v>
      </c>
      <c r="P814" s="6">
        <f t="shared" ca="1" si="124"/>
        <v>1979.7996449438588</v>
      </c>
      <c r="Q814" s="6">
        <f t="shared" ca="1" si="125"/>
        <v>400.08862925468827</v>
      </c>
      <c r="R814" s="6">
        <f t="shared" ca="1" si="126"/>
        <v>162.38263311961649</v>
      </c>
      <c r="S814" s="6"/>
      <c r="T814" s="4">
        <f t="shared" ca="1" si="127"/>
        <v>4.8360769693433212E-2</v>
      </c>
      <c r="U814" s="4">
        <f t="shared" ca="1" si="128"/>
        <v>1.3785953559664242E-2</v>
      </c>
      <c r="V814" s="4">
        <f t="shared" ca="1" si="129"/>
        <v>7.0210861276164035E-2</v>
      </c>
      <c r="W814" s="4"/>
      <c r="X814">
        <v>812</v>
      </c>
      <c r="Y814" s="4">
        <f t="shared" ca="1" si="130"/>
        <v>4.2542102708374066E-2</v>
      </c>
      <c r="Z814" s="4">
        <f ca="1"/>
        <v>1.8135159620189974E-2</v>
      </c>
      <c r="AA814" s="4"/>
    </row>
    <row r="815" spans="1:27" x14ac:dyDescent="0.35">
      <c r="A815">
        <v>813</v>
      </c>
      <c r="B815">
        <f ca="1">_xlfn.NORM.INV(RAND(),Hitorical_Sim!$AB$4,Hitorical_Sim!$AB$5)</f>
        <v>-3.5005610085295812E-2</v>
      </c>
      <c r="C815">
        <f ca="1">_xlfn.NORM.INV(RAND(),Hitorical_Sim!$AB$4,Hitorical_Sim!$AB$5)</f>
        <v>-8.5370263320102661E-3</v>
      </c>
      <c r="D815">
        <f ca="1">_xlfn.NORM.INV(RAND(),Hitorical_Sim!$AB$4,Hitorical_Sim!$AB$5)</f>
        <v>-9.9101612526145567E-3</v>
      </c>
      <c r="K815">
        <f t="shared" ca="1" si="132"/>
        <v>-0.12101921148973037</v>
      </c>
      <c r="L815">
        <f t="shared" ca="1" si="132"/>
        <v>-0.96407111854354344</v>
      </c>
      <c r="M815">
        <f t="shared" ca="1" si="132"/>
        <v>0.32266022767299157</v>
      </c>
      <c r="O815">
        <v>813</v>
      </c>
      <c r="P815" s="6">
        <f t="shared" ca="1" si="124"/>
        <v>1933.5946825164585</v>
      </c>
      <c r="Q815" s="6">
        <f t="shared" ca="1" si="125"/>
        <v>373.97721557306346</v>
      </c>
      <c r="R815" s="6">
        <f t="shared" ca="1" si="126"/>
        <v>152.26063608396095</v>
      </c>
      <c r="S815" s="6"/>
      <c r="T815" s="4">
        <f t="shared" ca="1" si="127"/>
        <v>-2.3614849804005609E-2</v>
      </c>
      <c r="U815" s="4">
        <f t="shared" ca="1" si="128"/>
        <v>-6.7491221069861593E-2</v>
      </c>
      <c r="V815" s="4">
        <f t="shared" ca="1" si="129"/>
        <v>-6.436171960426855E-2</v>
      </c>
      <c r="W815" s="4"/>
      <c r="X815">
        <v>813</v>
      </c>
      <c r="Y815" s="4">
        <f t="shared" ca="1" si="130"/>
        <v>-3.4387740207273837E-2</v>
      </c>
      <c r="Z815" s="4">
        <f ca="1"/>
        <v>1.8305531867689021E-2</v>
      </c>
      <c r="AA815" s="4"/>
    </row>
    <row r="816" spans="1:27" x14ac:dyDescent="0.35">
      <c r="A816">
        <v>814</v>
      </c>
      <c r="B816">
        <f ca="1">_xlfn.NORM.INV(RAND(),Hitorical_Sim!$AB$4,Hitorical_Sim!$AB$5)</f>
        <v>-7.8275424860824831E-3</v>
      </c>
      <c r="C816">
        <f ca="1">_xlfn.NORM.INV(RAND(),Hitorical_Sim!$AB$4,Hitorical_Sim!$AB$5)</f>
        <v>-8.5212508257297391E-3</v>
      </c>
      <c r="D816">
        <f ca="1">_xlfn.NORM.INV(RAND(),Hitorical_Sim!$AB$4,Hitorical_Sim!$AB$5)</f>
        <v>-1.5110459965049458E-2</v>
      </c>
      <c r="K816">
        <f t="shared" ca="1" si="132"/>
        <v>-0.26698680358982274</v>
      </c>
      <c r="L816">
        <f t="shared" ca="1" si="132"/>
        <v>1.2500636991425784</v>
      </c>
      <c r="M816">
        <f t="shared" ca="1" si="132"/>
        <v>1.5823371641912622</v>
      </c>
      <c r="O816">
        <v>814</v>
      </c>
      <c r="P816" s="6">
        <f t="shared" ca="1" si="124"/>
        <v>1928.4809419863764</v>
      </c>
      <c r="Q816" s="6">
        <f t="shared" ca="1" si="125"/>
        <v>398.36302502957551</v>
      </c>
      <c r="R816" s="6">
        <f t="shared" ca="1" si="126"/>
        <v>158.22537341556875</v>
      </c>
      <c r="S816" s="6"/>
      <c r="T816" s="4">
        <f t="shared" ca="1" si="127"/>
        <v>-2.6481840418356058E-3</v>
      </c>
      <c r="U816" s="4">
        <f t="shared" ca="1" si="128"/>
        <v>6.3168838111609921E-2</v>
      </c>
      <c r="V816" s="4">
        <f t="shared" ca="1" si="129"/>
        <v>3.8426667201141726E-2</v>
      </c>
      <c r="W816" s="4"/>
      <c r="X816">
        <v>814</v>
      </c>
      <c r="Y816" s="4">
        <f t="shared" ca="1" si="130"/>
        <v>1.2519592194828188E-2</v>
      </c>
      <c r="Z816" s="4">
        <f ca="1"/>
        <v>1.8316818088886345E-2</v>
      </c>
      <c r="AA816" s="4"/>
    </row>
    <row r="817" spans="1:27" x14ac:dyDescent="0.35">
      <c r="A817">
        <v>815</v>
      </c>
      <c r="B817">
        <f ca="1">_xlfn.NORM.INV(RAND(),Hitorical_Sim!$AB$4,Hitorical_Sim!$AB$5)</f>
        <v>-7.9794299006585487E-4</v>
      </c>
      <c r="C817">
        <f ca="1">_xlfn.NORM.INV(RAND(),Hitorical_Sim!$AB$4,Hitorical_Sim!$AB$5)</f>
        <v>-2.336946398522383E-2</v>
      </c>
      <c r="D817">
        <f ca="1">_xlfn.NORM.INV(RAND(),Hitorical_Sim!$AB$4,Hitorical_Sim!$AB$5)</f>
        <v>-2.2052516081474949E-2</v>
      </c>
      <c r="K817">
        <f t="shared" ca="1" si="132"/>
        <v>-0.22154187076489978</v>
      </c>
      <c r="L817">
        <f t="shared" ca="1" si="132"/>
        <v>-0.93709177311997682</v>
      </c>
      <c r="M817">
        <f t="shared" ca="1" si="132"/>
        <v>0.64114220878965034</v>
      </c>
      <c r="O817">
        <v>815</v>
      </c>
      <c r="P817" s="6">
        <f t="shared" ca="1" si="124"/>
        <v>1930.0715808236239</v>
      </c>
      <c r="Q817" s="6">
        <f t="shared" ca="1" si="125"/>
        <v>374.26518244716357</v>
      </c>
      <c r="R817" s="6">
        <f t="shared" ca="1" si="126"/>
        <v>153.74711042281118</v>
      </c>
      <c r="S817" s="6"/>
      <c r="T817" s="4">
        <f t="shared" ca="1" si="127"/>
        <v>8.2447442036796489E-4</v>
      </c>
      <c r="U817" s="4">
        <f t="shared" ca="1" si="128"/>
        <v>-6.2399122604764719E-2</v>
      </c>
      <c r="V817" s="4">
        <f t="shared" ca="1" si="129"/>
        <v>-2.8711318175417451E-2</v>
      </c>
      <c r="W817" s="4"/>
      <c r="X817">
        <v>815</v>
      </c>
      <c r="Y817" s="4">
        <f t="shared" ca="1" si="130"/>
        <v>-1.3254667632741021E-2</v>
      </c>
      <c r="Z817" s="4">
        <f ca="1"/>
        <v>1.8347702640869597E-2</v>
      </c>
      <c r="AA817" s="4"/>
    </row>
    <row r="818" spans="1:27" x14ac:dyDescent="0.35">
      <c r="A818">
        <v>816</v>
      </c>
      <c r="B818">
        <f ca="1">_xlfn.NORM.INV(RAND(),Hitorical_Sim!$AB$4,Hitorical_Sim!$AB$5)</f>
        <v>9.9931215369489512E-3</v>
      </c>
      <c r="C818">
        <f ca="1">_xlfn.NORM.INV(RAND(),Hitorical_Sim!$AB$4,Hitorical_Sim!$AB$5)</f>
        <v>-8.9640323783991556E-4</v>
      </c>
      <c r="D818">
        <f ca="1">_xlfn.NORM.INV(RAND(),Hitorical_Sim!$AB$4,Hitorical_Sim!$AB$5)</f>
        <v>-3.116076156346128E-2</v>
      </c>
      <c r="K818">
        <f t="shared" ca="1" si="132"/>
        <v>-0.61436967682313726</v>
      </c>
      <c r="L818">
        <f t="shared" ca="1" si="132"/>
        <v>-0.72871132374409453</v>
      </c>
      <c r="M818">
        <f t="shared" ca="1" si="132"/>
        <v>5.2894888298258932E-2</v>
      </c>
      <c r="O818">
        <v>816</v>
      </c>
      <c r="P818" s="6">
        <f t="shared" ca="1" si="124"/>
        <v>1916.3652656494623</v>
      </c>
      <c r="Q818" s="6">
        <f t="shared" ca="1" si="125"/>
        <v>376.4968362144258</v>
      </c>
      <c r="R818" s="6">
        <f t="shared" ca="1" si="126"/>
        <v>151.01278833850333</v>
      </c>
      <c r="S818" s="6"/>
      <c r="T818" s="4">
        <f t="shared" ca="1" si="127"/>
        <v>-7.1267896676639455E-3</v>
      </c>
      <c r="U818" s="4">
        <f t="shared" ca="1" si="128"/>
        <v>5.9450539177220967E-3</v>
      </c>
      <c r="V818" s="4">
        <f t="shared" ca="1" si="129"/>
        <v>-1.7944588299730529E-2</v>
      </c>
      <c r="W818" s="4"/>
      <c r="X818">
        <v>816</v>
      </c>
      <c r="Y818" s="4">
        <f t="shared" ca="1" si="130"/>
        <v>-5.053440794685983E-3</v>
      </c>
      <c r="Z818" s="4">
        <f ca="1"/>
        <v>1.8711165050284265E-2</v>
      </c>
      <c r="AA818" s="4"/>
    </row>
    <row r="819" spans="1:27" x14ac:dyDescent="0.35">
      <c r="A819">
        <v>817</v>
      </c>
      <c r="B819">
        <f ca="1">_xlfn.NORM.INV(RAND(),Hitorical_Sim!$AB$4,Hitorical_Sim!$AB$5)</f>
        <v>1.4370989704101044E-2</v>
      </c>
      <c r="C819">
        <f ca="1">_xlfn.NORM.INV(RAND(),Hitorical_Sim!$AB$4,Hitorical_Sim!$AB$5)</f>
        <v>-3.1631518103110396E-4</v>
      </c>
      <c r="D819">
        <f ca="1">_xlfn.NORM.INV(RAND(),Hitorical_Sim!$AB$4,Hitorical_Sim!$AB$5)</f>
        <v>1.2425099225603748E-3</v>
      </c>
      <c r="K819">
        <f t="shared" ca="1" si="132"/>
        <v>0.37666620045501981</v>
      </c>
      <c r="L819">
        <f t="shared" ca="1" si="132"/>
        <v>-0.65130859169184074</v>
      </c>
      <c r="M819">
        <f t="shared" ca="1" si="132"/>
        <v>7.0931538079021542E-2</v>
      </c>
      <c r="O819">
        <v>817</v>
      </c>
      <c r="P819" s="6">
        <f t="shared" ca="1" si="124"/>
        <v>1951.1324457838125</v>
      </c>
      <c r="Q819" s="6">
        <f t="shared" ca="1" si="125"/>
        <v>377.32916719471245</v>
      </c>
      <c r="R819" s="6">
        <f t="shared" ca="1" si="126"/>
        <v>151.09590012597695</v>
      </c>
      <c r="S819" s="6"/>
      <c r="T819" s="4">
        <f t="shared" ca="1" si="127"/>
        <v>1.7979644367189327E-2</v>
      </c>
      <c r="U819" s="4">
        <f t="shared" ca="1" si="128"/>
        <v>2.2082849749477771E-3</v>
      </c>
      <c r="V819" s="4">
        <f t="shared" ca="1" si="129"/>
        <v>5.5021118388077909E-4</v>
      </c>
      <c r="W819" s="4"/>
      <c r="X819">
        <v>817</v>
      </c>
      <c r="Y819" s="4">
        <f t="shared" ca="1" si="130"/>
        <v>1.3969599607913987E-2</v>
      </c>
      <c r="Z819" s="4">
        <f ca="1"/>
        <v>1.8745635114940769E-2</v>
      </c>
      <c r="AA819" s="4"/>
    </row>
    <row r="820" spans="1:27" x14ac:dyDescent="0.35">
      <c r="A820">
        <v>818</v>
      </c>
      <c r="B820">
        <f ca="1">_xlfn.NORM.INV(RAND(),Hitorical_Sim!$AB$4,Hitorical_Sim!$AB$5)</f>
        <v>-6.4118800459922395E-3</v>
      </c>
      <c r="C820">
        <f ca="1">_xlfn.NORM.INV(RAND(),Hitorical_Sim!$AB$4,Hitorical_Sim!$AB$5)</f>
        <v>2.688551398461329E-2</v>
      </c>
      <c r="D820">
        <f ca="1">_xlfn.NORM.INV(RAND(),Hitorical_Sim!$AB$4,Hitorical_Sim!$AB$5)</f>
        <v>2.679733895294337E-3</v>
      </c>
      <c r="K820">
        <f t="shared" ca="1" si="132"/>
        <v>0.33690257468013696</v>
      </c>
      <c r="L820">
        <f t="shared" ca="1" si="132"/>
        <v>0.32590580781796968</v>
      </c>
      <c r="M820">
        <f t="shared" ca="1" si="132"/>
        <v>-0.18600620188727751</v>
      </c>
      <c r="O820">
        <v>818</v>
      </c>
      <c r="P820" s="6">
        <f t="shared" ca="1" si="124"/>
        <v>1949.7254013647434</v>
      </c>
      <c r="Q820" s="6">
        <f t="shared" ca="1" si="125"/>
        <v>387.99702297349745</v>
      </c>
      <c r="R820" s="6">
        <f t="shared" ca="1" si="126"/>
        <v>149.91624992032976</v>
      </c>
      <c r="S820" s="6"/>
      <c r="T820" s="4">
        <f t="shared" ca="1" si="127"/>
        <v>-7.214025915448397E-4</v>
      </c>
      <c r="U820" s="4">
        <f t="shared" ca="1" si="128"/>
        <v>2.7879737814465736E-2</v>
      </c>
      <c r="V820" s="4">
        <f t="shared" ca="1" si="129"/>
        <v>-7.8379310907985607E-3</v>
      </c>
      <c r="W820" s="4"/>
      <c r="X820">
        <v>818</v>
      </c>
      <c r="Y820" s="4">
        <f t="shared" ca="1" si="130"/>
        <v>4.6342745824316765E-3</v>
      </c>
      <c r="Z820" s="4">
        <f ca="1"/>
        <v>1.8768048504482149E-2</v>
      </c>
      <c r="AA820" s="4"/>
    </row>
    <row r="821" spans="1:27" x14ac:dyDescent="0.35">
      <c r="A821">
        <v>819</v>
      </c>
      <c r="B821">
        <f ca="1">_xlfn.NORM.INV(RAND(),Hitorical_Sim!$AB$4,Hitorical_Sim!$AB$5)</f>
        <v>1.6849278514193815E-2</v>
      </c>
      <c r="C821">
        <f ca="1">_xlfn.NORM.INV(RAND(),Hitorical_Sim!$AB$4,Hitorical_Sim!$AB$5)</f>
        <v>1.8910295890680552E-3</v>
      </c>
      <c r="D821">
        <f ca="1">_xlfn.NORM.INV(RAND(),Hitorical_Sim!$AB$4,Hitorical_Sim!$AB$5)</f>
        <v>1.9734621356389117E-2</v>
      </c>
      <c r="K821">
        <f t="shared" ca="1" si="132"/>
        <v>1.0811152780042914</v>
      </c>
      <c r="L821">
        <f t="shared" ca="1" si="132"/>
        <v>-0.7322791385847508</v>
      </c>
      <c r="M821">
        <f t="shared" ca="1" si="132"/>
        <v>-0.25518378485784021</v>
      </c>
      <c r="O821">
        <v>819</v>
      </c>
      <c r="P821" s="6">
        <f t="shared" ca="1" si="124"/>
        <v>1976.2285460183491</v>
      </c>
      <c r="Q821" s="6">
        <f t="shared" ca="1" si="125"/>
        <v>376.45851490298531</v>
      </c>
      <c r="R821" s="6">
        <f t="shared" ca="1" si="126"/>
        <v>149.6002190730641</v>
      </c>
      <c r="S821" s="6"/>
      <c r="T821" s="4">
        <f t="shared" ca="1" si="127"/>
        <v>1.3501710731262601E-2</v>
      </c>
      <c r="U821" s="4">
        <f t="shared" ca="1" si="128"/>
        <v>-3.0189811856764687E-2</v>
      </c>
      <c r="V821" s="4">
        <f t="shared" ca="1" si="129"/>
        <v>-2.1102743739490316E-3</v>
      </c>
      <c r="W821" s="4"/>
      <c r="X821">
        <v>819</v>
      </c>
      <c r="Y821" s="4">
        <f t="shared" ca="1" si="130"/>
        <v>4.009638094863043E-3</v>
      </c>
      <c r="Z821" s="4">
        <f ca="1"/>
        <v>1.9024981627639437E-2</v>
      </c>
      <c r="AA821" s="4"/>
    </row>
    <row r="822" spans="1:27" x14ac:dyDescent="0.35">
      <c r="A822">
        <v>820</v>
      </c>
      <c r="B822">
        <f ca="1">_xlfn.NORM.INV(RAND(),Hitorical_Sim!$AB$4,Hitorical_Sim!$AB$5)</f>
        <v>-1.907628300607088E-3</v>
      </c>
      <c r="C822">
        <f ca="1">_xlfn.NORM.INV(RAND(),Hitorical_Sim!$AB$4,Hitorical_Sim!$AB$5)</f>
        <v>-1.553142716861948E-2</v>
      </c>
      <c r="D822">
        <f ca="1">_xlfn.NORM.INV(RAND(),Hitorical_Sim!$AB$4,Hitorical_Sim!$AB$5)</f>
        <v>1.1316404310533492E-2</v>
      </c>
      <c r="K822">
        <f t="shared" ca="1" si="132"/>
        <v>0.29400388918142772</v>
      </c>
      <c r="L822">
        <f t="shared" ca="1" si="132"/>
        <v>0.3124550192196493</v>
      </c>
      <c r="M822">
        <f t="shared" ca="1" si="132"/>
        <v>-0.22282620461403629</v>
      </c>
      <c r="O822">
        <v>820</v>
      </c>
      <c r="P822" s="6">
        <f t="shared" ca="1" si="124"/>
        <v>1948.2085599967434</v>
      </c>
      <c r="Q822" s="6">
        <f t="shared" ca="1" si="125"/>
        <v>387.84815830293462</v>
      </c>
      <c r="R822" s="6">
        <f t="shared" ca="1" si="126"/>
        <v>149.74795841680012</v>
      </c>
      <c r="S822" s="6"/>
      <c r="T822" s="4">
        <f t="shared" ca="1" si="127"/>
        <v>-1.4279990435126769E-2</v>
      </c>
      <c r="U822" s="4">
        <f t="shared" ca="1" si="128"/>
        <v>2.9806063459578588E-2</v>
      </c>
      <c r="V822" s="4">
        <f t="shared" ca="1" si="129"/>
        <v>9.8707369438651897E-4</v>
      </c>
      <c r="W822" s="4"/>
      <c r="X822">
        <v>820</v>
      </c>
      <c r="Y822" s="4">
        <f t="shared" ca="1" si="130"/>
        <v>-4.726252109824425E-3</v>
      </c>
      <c r="Z822" s="4">
        <f ca="1"/>
        <v>1.9029384093674821E-2</v>
      </c>
      <c r="AA822" s="4"/>
    </row>
    <row r="823" spans="1:27" x14ac:dyDescent="0.35">
      <c r="A823">
        <v>821</v>
      </c>
      <c r="B823">
        <f ca="1">_xlfn.NORM.INV(RAND(),Hitorical_Sim!$AB$4,Hitorical_Sim!$AB$5)</f>
        <v>-3.9980028639316498E-3</v>
      </c>
      <c r="C823">
        <f ca="1">_xlfn.NORM.INV(RAND(),Hitorical_Sim!$AB$4,Hitorical_Sim!$AB$5)</f>
        <v>-4.9787499625794391E-3</v>
      </c>
      <c r="D823">
        <f ca="1">_xlfn.NORM.INV(RAND(),Hitorical_Sim!$AB$4,Hitorical_Sim!$AB$5)</f>
        <v>-7.8503241621978338E-3</v>
      </c>
      <c r="K823">
        <f t="shared" ca="1" si="132"/>
        <v>0.52341205141632563</v>
      </c>
      <c r="L823">
        <f t="shared" ca="1" si="132"/>
        <v>-0.90188628099170454</v>
      </c>
      <c r="M823">
        <f t="shared" ca="1" si="132"/>
        <v>1.5599906356091768</v>
      </c>
      <c r="O823">
        <v>821</v>
      </c>
      <c r="P823" s="6">
        <f t="shared" ca="1" si="124"/>
        <v>1956.3338731980868</v>
      </c>
      <c r="Q823" s="6">
        <f t="shared" ca="1" si="125"/>
        <v>374.64128544599521</v>
      </c>
      <c r="R823" s="6">
        <f t="shared" ca="1" si="126"/>
        <v>158.11755033884202</v>
      </c>
      <c r="S823" s="6"/>
      <c r="T823" s="4">
        <f t="shared" ca="1" si="127"/>
        <v>4.1619857226989718E-3</v>
      </c>
      <c r="U823" s="4">
        <f t="shared" ca="1" si="128"/>
        <v>-3.4644922428642748E-2</v>
      </c>
      <c r="V823" s="4">
        <f t="shared" ca="1" si="129"/>
        <v>5.4385142264494521E-2</v>
      </c>
      <c r="W823" s="4"/>
      <c r="X823">
        <v>821</v>
      </c>
      <c r="Y823" s="4">
        <f t="shared" ca="1" si="130"/>
        <v>-1.0970853255150466E-3</v>
      </c>
      <c r="Z823" s="4">
        <f ca="1"/>
        <v>1.9032838266736844E-2</v>
      </c>
      <c r="AA823" s="4"/>
    </row>
    <row r="824" spans="1:27" x14ac:dyDescent="0.35">
      <c r="A824">
        <v>822</v>
      </c>
      <c r="B824">
        <f ca="1">_xlfn.NORM.INV(RAND(),Hitorical_Sim!$AB$4,Hitorical_Sim!$AB$5)</f>
        <v>1.7721846946896561E-2</v>
      </c>
      <c r="C824">
        <f ca="1">_xlfn.NORM.INV(RAND(),Hitorical_Sim!$AB$4,Hitorical_Sim!$AB$5)</f>
        <v>8.2323004821983764E-3</v>
      </c>
      <c r="D824">
        <f ca="1">_xlfn.NORM.INV(RAND(),Hitorical_Sim!$AB$4,Hitorical_Sim!$AB$5)</f>
        <v>9.2474024577920682E-3</v>
      </c>
      <c r="K824">
        <f t="shared" ref="K824:M843" ca="1" si="133">_xlfn.NORM.S.INV(RAND())</f>
        <v>0.13751946757823996</v>
      </c>
      <c r="L824">
        <f t="shared" ca="1" si="133"/>
        <v>-0.64746265001904413</v>
      </c>
      <c r="M824">
        <f t="shared" ca="1" si="133"/>
        <v>-0.31616395678831266</v>
      </c>
      <c r="O824">
        <v>822</v>
      </c>
      <c r="P824" s="6">
        <f t="shared" ca="1" si="124"/>
        <v>1942.6854722262228</v>
      </c>
      <c r="Q824" s="6">
        <f t="shared" ca="1" si="125"/>
        <v>377.37057152120047</v>
      </c>
      <c r="R824" s="6">
        <f t="shared" ca="1" si="126"/>
        <v>149.3221897910509</v>
      </c>
      <c r="S824" s="6"/>
      <c r="T824" s="4">
        <f t="shared" ca="1" si="127"/>
        <v>-7.000968966330577E-3</v>
      </c>
      <c r="U824" s="4">
        <f t="shared" ca="1" si="128"/>
        <v>7.2586569834421468E-3</v>
      </c>
      <c r="V824" s="4">
        <f t="shared" ca="1" si="129"/>
        <v>-5.7232426862732028E-2</v>
      </c>
      <c r="W824" s="4"/>
      <c r="X824">
        <v>822</v>
      </c>
      <c r="Y824" s="4">
        <f t="shared" ca="1" si="130"/>
        <v>-6.641162932609794E-3</v>
      </c>
      <c r="Z824" s="4">
        <f ca="1"/>
        <v>1.9138858592641424E-2</v>
      </c>
      <c r="AA824" s="4"/>
    </row>
    <row r="825" spans="1:27" x14ac:dyDescent="0.35">
      <c r="A825">
        <v>823</v>
      </c>
      <c r="B825">
        <f ca="1">_xlfn.NORM.INV(RAND(),Hitorical_Sim!$AB$4,Hitorical_Sim!$AB$5)</f>
        <v>2.8290606030476587E-3</v>
      </c>
      <c r="C825">
        <f ca="1">_xlfn.NORM.INV(RAND(),Hitorical_Sim!$AB$4,Hitorical_Sim!$AB$5)</f>
        <v>3.680065943043914E-3</v>
      </c>
      <c r="D825">
        <f ca="1">_xlfn.NORM.INV(RAND(),Hitorical_Sim!$AB$4,Hitorical_Sim!$AB$5)</f>
        <v>-1.4011072153989331E-2</v>
      </c>
      <c r="K825">
        <f t="shared" ca="1" si="133"/>
        <v>1.1982558188679925E-2</v>
      </c>
      <c r="L825">
        <f t="shared" ca="1" si="133"/>
        <v>0.27677992493855058</v>
      </c>
      <c r="M825">
        <f t="shared" ca="1" si="133"/>
        <v>-0.43491461922862079</v>
      </c>
      <c r="O825">
        <v>823</v>
      </c>
      <c r="P825" s="6">
        <f t="shared" ca="1" si="124"/>
        <v>1938.2659921458492</v>
      </c>
      <c r="Q825" s="6">
        <f t="shared" ca="1" si="125"/>
        <v>387.45360589694809</v>
      </c>
      <c r="R825" s="6">
        <f t="shared" ca="1" si="126"/>
        <v>148.78224724286932</v>
      </c>
      <c r="S825" s="6"/>
      <c r="T825" s="4">
        <f t="shared" ca="1" si="127"/>
        <v>-2.277524999376911E-3</v>
      </c>
      <c r="U825" s="4">
        <f t="shared" ca="1" si="128"/>
        <v>2.6368461905299439E-2</v>
      </c>
      <c r="V825" s="4">
        <f t="shared" ca="1" si="129"/>
        <v>-3.6225099096609853E-3</v>
      </c>
      <c r="W825" s="4"/>
      <c r="X825">
        <v>823</v>
      </c>
      <c r="Y825" s="4">
        <f t="shared" ca="1" si="130"/>
        <v>3.372736439453411E-3</v>
      </c>
      <c r="Z825" s="4">
        <f ca="1"/>
        <v>1.9256705477280634E-2</v>
      </c>
      <c r="AA825" s="4"/>
    </row>
    <row r="826" spans="1:27" x14ac:dyDescent="0.35">
      <c r="A826">
        <v>824</v>
      </c>
      <c r="B826">
        <f ca="1">_xlfn.NORM.INV(RAND(),Hitorical_Sim!$AB$4,Hitorical_Sim!$AB$5)</f>
        <v>3.6164873268312941E-3</v>
      </c>
      <c r="C826">
        <f ca="1">_xlfn.NORM.INV(RAND(),Hitorical_Sim!$AB$4,Hitorical_Sim!$AB$5)</f>
        <v>-1.0489642195856963E-2</v>
      </c>
      <c r="D826">
        <f ca="1">_xlfn.NORM.INV(RAND(),Hitorical_Sim!$AB$4,Hitorical_Sim!$AB$5)</f>
        <v>9.9193950356489587E-3</v>
      </c>
      <c r="K826">
        <f t="shared" ca="1" si="133"/>
        <v>0.56460968192416283</v>
      </c>
      <c r="L826">
        <f t="shared" ca="1" si="133"/>
        <v>-0.98862492877961561</v>
      </c>
      <c r="M826">
        <f t="shared" ca="1" si="133"/>
        <v>-1.1589797239813788</v>
      </c>
      <c r="O826">
        <v>824</v>
      </c>
      <c r="P826" s="6">
        <f t="shared" ca="1" si="124"/>
        <v>1957.7966202890784</v>
      </c>
      <c r="Q826" s="6">
        <f t="shared" ca="1" si="125"/>
        <v>373.71533049094597</v>
      </c>
      <c r="R826" s="6">
        <f t="shared" ca="1" si="126"/>
        <v>145.5320118818795</v>
      </c>
      <c r="S826" s="6"/>
      <c r="T826" s="4">
        <f t="shared" ca="1" si="127"/>
        <v>1.0025912663944854E-2</v>
      </c>
      <c r="U826" s="4">
        <f t="shared" ca="1" si="128"/>
        <v>-3.6101755733963639E-2</v>
      </c>
      <c r="V826" s="4">
        <f t="shared" ca="1" si="129"/>
        <v>-2.2087733771801614E-2</v>
      </c>
      <c r="W826" s="4"/>
      <c r="X826">
        <v>824</v>
      </c>
      <c r="Y826" s="4">
        <f t="shared" ca="1" si="130"/>
        <v>-7.6900592594519282E-4</v>
      </c>
      <c r="Z826" s="4">
        <f ca="1"/>
        <v>1.9373786465849897E-2</v>
      </c>
      <c r="AA826" s="4"/>
    </row>
    <row r="827" spans="1:27" x14ac:dyDescent="0.35">
      <c r="A827">
        <v>825</v>
      </c>
      <c r="B827">
        <f ca="1">_xlfn.NORM.INV(RAND(),Hitorical_Sim!$AB$4,Hitorical_Sim!$AB$5)</f>
        <v>1.1924152827760551E-2</v>
      </c>
      <c r="C827">
        <f ca="1">_xlfn.NORM.INV(RAND(),Hitorical_Sim!$AB$4,Hitorical_Sim!$AB$5)</f>
        <v>-2.7676943763376215E-3</v>
      </c>
      <c r="D827">
        <f ca="1">_xlfn.NORM.INV(RAND(),Hitorical_Sim!$AB$4,Hitorical_Sim!$AB$5)</f>
        <v>1.1575339889030461E-2</v>
      </c>
      <c r="K827">
        <f t="shared" ca="1" si="133"/>
        <v>-0.39886029731802991</v>
      </c>
      <c r="L827">
        <f t="shared" ca="1" si="133"/>
        <v>1.2639160161639276</v>
      </c>
      <c r="M827">
        <f t="shared" ca="1" si="133"/>
        <v>0.80180903043397045</v>
      </c>
      <c r="O827">
        <v>825</v>
      </c>
      <c r="P827" s="6">
        <f t="shared" ca="1" si="124"/>
        <v>1923.8725950655187</v>
      </c>
      <c r="Q827" s="6">
        <f t="shared" ca="1" si="125"/>
        <v>398.52049077430621</v>
      </c>
      <c r="R827" s="6">
        <f t="shared" ca="1" si="126"/>
        <v>154.50250074425267</v>
      </c>
      <c r="S827" s="6"/>
      <c r="T827" s="4">
        <f t="shared" ca="1" si="127"/>
        <v>-1.7479536293695714E-2</v>
      </c>
      <c r="U827" s="4">
        <f t="shared" ca="1" si="128"/>
        <v>6.4264557494115013E-2</v>
      </c>
      <c r="V827" s="4">
        <f t="shared" ca="1" si="129"/>
        <v>5.9814206907619571E-2</v>
      </c>
      <c r="W827" s="4"/>
      <c r="X827">
        <v>825</v>
      </c>
      <c r="Y827" s="4">
        <f t="shared" ca="1" si="130"/>
        <v>2.6592522338940196E-3</v>
      </c>
      <c r="Z827" s="4">
        <f ca="1"/>
        <v>1.9442524215777628E-2</v>
      </c>
      <c r="AA827" s="4"/>
    </row>
    <row r="828" spans="1:27" x14ac:dyDescent="0.35">
      <c r="A828">
        <v>826</v>
      </c>
      <c r="B828">
        <f ca="1">_xlfn.NORM.INV(RAND(),Hitorical_Sim!$AB$4,Hitorical_Sim!$AB$5)</f>
        <v>2.1862206522553374E-2</v>
      </c>
      <c r="C828">
        <f ca="1">_xlfn.NORM.INV(RAND(),Hitorical_Sim!$AB$4,Hitorical_Sim!$AB$5)</f>
        <v>-1.7636466378241254E-2</v>
      </c>
      <c r="D828">
        <f ca="1">_xlfn.NORM.INV(RAND(),Hitorical_Sim!$AB$4,Hitorical_Sim!$AB$5)</f>
        <v>-2.4430978146236265E-2</v>
      </c>
      <c r="K828">
        <f t="shared" ca="1" si="133"/>
        <v>-0.56148719627213639</v>
      </c>
      <c r="L828">
        <f t="shared" ca="1" si="133"/>
        <v>-1.2291895136462876</v>
      </c>
      <c r="M828">
        <f t="shared" ca="1" si="133"/>
        <v>1.2458742888494374</v>
      </c>
      <c r="O828">
        <v>826</v>
      </c>
      <c r="P828" s="6">
        <f t="shared" ca="1" si="124"/>
        <v>1918.2047249312898</v>
      </c>
      <c r="Q828" s="6">
        <f t="shared" ca="1" si="125"/>
        <v>371.15920631622663</v>
      </c>
      <c r="R828" s="6">
        <f t="shared" ca="1" si="126"/>
        <v>156.60967626124378</v>
      </c>
      <c r="S828" s="6"/>
      <c r="T828" s="4">
        <f t="shared" ca="1" si="127"/>
        <v>-2.9504217503853237E-3</v>
      </c>
      <c r="U828" s="4">
        <f t="shared" ca="1" si="128"/>
        <v>-7.112781857263871E-2</v>
      </c>
      <c r="V828" s="4">
        <f t="shared" ca="1" si="129"/>
        <v>1.354628905716446E-2</v>
      </c>
      <c r="W828" s="4"/>
      <c r="X828">
        <v>826</v>
      </c>
      <c r="Y828" s="4">
        <f t="shared" ca="1" si="130"/>
        <v>-1.5740030517932276E-2</v>
      </c>
      <c r="Z828" s="4">
        <f ca="1"/>
        <v>1.9469320395398015E-2</v>
      </c>
      <c r="AA828" s="4"/>
    </row>
    <row r="829" spans="1:27" x14ac:dyDescent="0.35">
      <c r="A829">
        <v>827</v>
      </c>
      <c r="B829">
        <f ca="1">_xlfn.NORM.INV(RAND(),Hitorical_Sim!$AB$4,Hitorical_Sim!$AB$5)</f>
        <v>3.1097075660824751E-2</v>
      </c>
      <c r="C829">
        <f ca="1">_xlfn.NORM.INV(RAND(),Hitorical_Sim!$AB$4,Hitorical_Sim!$AB$5)</f>
        <v>1.3396513992081963E-3</v>
      </c>
      <c r="D829">
        <f ca="1">_xlfn.NORM.INV(RAND(),Hitorical_Sim!$AB$4,Hitorical_Sim!$AB$5)</f>
        <v>9.2696814366801956E-3</v>
      </c>
      <c r="K829">
        <f t="shared" ca="1" si="133"/>
        <v>0.64733546278061005</v>
      </c>
      <c r="L829">
        <f t="shared" ca="1" si="133"/>
        <v>-0.61077515736163179</v>
      </c>
      <c r="M829">
        <f t="shared" ca="1" si="133"/>
        <v>1.9988740015312654</v>
      </c>
      <c r="O829">
        <v>827</v>
      </c>
      <c r="P829" s="6">
        <f t="shared" ca="1" si="124"/>
        <v>1960.7371536611411</v>
      </c>
      <c r="Q829" s="6">
        <f t="shared" ca="1" si="125"/>
        <v>377.76576720594977</v>
      </c>
      <c r="R829" s="6">
        <f t="shared" ca="1" si="126"/>
        <v>160.2486963077618</v>
      </c>
      <c r="S829" s="6"/>
      <c r="T829" s="4">
        <f t="shared" ca="1" si="127"/>
        <v>2.1930791822048681E-2</v>
      </c>
      <c r="U829" s="4">
        <f t="shared" ca="1" si="128"/>
        <v>1.7643241976956641E-2</v>
      </c>
      <c r="V829" s="4">
        <f t="shared" ca="1" si="129"/>
        <v>2.2970389091791287E-2</v>
      </c>
      <c r="W829" s="4"/>
      <c r="X829">
        <v>827</v>
      </c>
      <c r="Y829" s="4">
        <f t="shared" ca="1" si="130"/>
        <v>2.1126583288275092E-2</v>
      </c>
      <c r="Z829" s="4">
        <f ca="1"/>
        <v>1.9541268178512108E-2</v>
      </c>
      <c r="AA829" s="4"/>
    </row>
    <row r="830" spans="1:27" x14ac:dyDescent="0.35">
      <c r="A830">
        <v>828</v>
      </c>
      <c r="B830">
        <f ca="1">_xlfn.NORM.INV(RAND(),Hitorical_Sim!$AB$4,Hitorical_Sim!$AB$5)</f>
        <v>-1.0595020770721223E-2</v>
      </c>
      <c r="C830">
        <f ca="1">_xlfn.NORM.INV(RAND(),Hitorical_Sim!$AB$4,Hitorical_Sim!$AB$5)</f>
        <v>-1.1504523179878264E-2</v>
      </c>
      <c r="D830">
        <f ca="1">_xlfn.NORM.INV(RAND(),Hitorical_Sim!$AB$4,Hitorical_Sim!$AB$5)</f>
        <v>9.6593851516927807E-4</v>
      </c>
      <c r="K830">
        <f t="shared" ca="1" si="133"/>
        <v>0.16030461528974782</v>
      </c>
      <c r="L830">
        <f t="shared" ca="1" si="133"/>
        <v>-0.320162127987415</v>
      </c>
      <c r="M830">
        <f t="shared" ca="1" si="133"/>
        <v>-0.39827205442904978</v>
      </c>
      <c r="O830">
        <v>828</v>
      </c>
      <c r="P830" s="6">
        <f t="shared" ca="1" si="124"/>
        <v>1943.4886946554989</v>
      </c>
      <c r="Q830" s="6">
        <f t="shared" ca="1" si="125"/>
        <v>380.91089393706199</v>
      </c>
      <c r="R830" s="6">
        <f t="shared" ca="1" si="126"/>
        <v>148.94864722182621</v>
      </c>
      <c r="S830" s="6"/>
      <c r="T830" s="4">
        <f t="shared" ca="1" si="127"/>
        <v>-8.835847051053624E-3</v>
      </c>
      <c r="U830" s="4">
        <f t="shared" ca="1" si="128"/>
        <v>8.2911335204281025E-3</v>
      </c>
      <c r="V830" s="4">
        <f t="shared" ca="1" si="129"/>
        <v>-7.3125363380486794E-2</v>
      </c>
      <c r="W830" s="4"/>
      <c r="X830">
        <v>828</v>
      </c>
      <c r="Y830" s="4">
        <f t="shared" ca="1" si="130"/>
        <v>-8.5995433637584395E-3</v>
      </c>
      <c r="Z830" s="4">
        <f ca="1"/>
        <v>1.9601206538684395E-2</v>
      </c>
      <c r="AA830" s="4"/>
    </row>
    <row r="831" spans="1:27" x14ac:dyDescent="0.35">
      <c r="A831">
        <v>829</v>
      </c>
      <c r="B831">
        <f ca="1">_xlfn.NORM.INV(RAND(),Hitorical_Sim!$AB$4,Hitorical_Sim!$AB$5)</f>
        <v>1.0147055344223197E-2</v>
      </c>
      <c r="C831">
        <f ca="1">_xlfn.NORM.INV(RAND(),Hitorical_Sim!$AB$4,Hitorical_Sim!$AB$5)</f>
        <v>7.7172395708905717E-3</v>
      </c>
      <c r="D831">
        <f ca="1">_xlfn.NORM.INV(RAND(),Hitorical_Sim!$AB$4,Hitorical_Sim!$AB$5)</f>
        <v>1.9590131478660931E-2</v>
      </c>
      <c r="K831">
        <f t="shared" ca="1" si="133"/>
        <v>-3.7643478153469453E-2</v>
      </c>
      <c r="L831">
        <f t="shared" ca="1" si="133"/>
        <v>0.28014680241876988</v>
      </c>
      <c r="M831">
        <f t="shared" ca="1" si="133"/>
        <v>0.44448145009675627</v>
      </c>
      <c r="O831">
        <v>829</v>
      </c>
      <c r="P831" s="6">
        <f t="shared" ca="1" si="124"/>
        <v>1936.5217001172305</v>
      </c>
      <c r="Q831" s="6">
        <f t="shared" ca="1" si="125"/>
        <v>387.49082506882667</v>
      </c>
      <c r="R831" s="6">
        <f t="shared" ca="1" si="126"/>
        <v>152.82751635391386</v>
      </c>
      <c r="S831" s="6"/>
      <c r="T831" s="4">
        <f t="shared" ca="1" si="127"/>
        <v>-3.5912285365963664E-3</v>
      </c>
      <c r="U831" s="4">
        <f t="shared" ca="1" si="128"/>
        <v>1.7126697678423487E-2</v>
      </c>
      <c r="V831" s="4">
        <f t="shared" ca="1" si="129"/>
        <v>2.5708344347812502E-2</v>
      </c>
      <c r="W831" s="4"/>
      <c r="X831">
        <v>829</v>
      </c>
      <c r="Y831" s="4">
        <f t="shared" ca="1" si="130"/>
        <v>1.9934474976310104E-3</v>
      </c>
      <c r="Z831" s="4">
        <f ca="1"/>
        <v>1.9737780475253805E-2</v>
      </c>
      <c r="AA831" s="4"/>
    </row>
    <row r="832" spans="1:27" x14ac:dyDescent="0.35">
      <c r="A832">
        <v>830</v>
      </c>
      <c r="B832">
        <f ca="1">_xlfn.NORM.INV(RAND(),Hitorical_Sim!$AB$4,Hitorical_Sim!$AB$5)</f>
        <v>6.3715847833493173E-3</v>
      </c>
      <c r="C832">
        <f ca="1">_xlfn.NORM.INV(RAND(),Hitorical_Sim!$AB$4,Hitorical_Sim!$AB$5)</f>
        <v>1.9826544876390458E-3</v>
      </c>
      <c r="D832">
        <f ca="1">_xlfn.NORM.INV(RAND(),Hitorical_Sim!$AB$4,Hitorical_Sim!$AB$5)</f>
        <v>1.2541944381407849E-2</v>
      </c>
      <c r="K832">
        <f t="shared" ca="1" si="133"/>
        <v>-0.79679772611202704</v>
      </c>
      <c r="L832">
        <f t="shared" ca="1" si="133"/>
        <v>-1.4658882346591293</v>
      </c>
      <c r="M832">
        <f t="shared" ca="1" si="133"/>
        <v>0.81698878746254677</v>
      </c>
      <c r="O832">
        <v>830</v>
      </c>
      <c r="P832" s="6">
        <f t="shared" ca="1" si="124"/>
        <v>1910.0332330828533</v>
      </c>
      <c r="Q832" s="6">
        <f t="shared" ca="1" si="125"/>
        <v>368.66122369407958</v>
      </c>
      <c r="R832" s="6">
        <f t="shared" ca="1" si="126"/>
        <v>154.57406141966769</v>
      </c>
      <c r="S832" s="6"/>
      <c r="T832" s="4">
        <f t="shared" ca="1" si="127"/>
        <v>-1.3772784327065257E-2</v>
      </c>
      <c r="U832" s="4">
        <f t="shared" ca="1" si="128"/>
        <v>-4.9814041906281047E-2</v>
      </c>
      <c r="V832" s="4">
        <f t="shared" ca="1" si="129"/>
        <v>1.1363402050134346E-2</v>
      </c>
      <c r="W832" s="4"/>
      <c r="X832">
        <v>830</v>
      </c>
      <c r="Y832" s="4">
        <f t="shared" ca="1" si="130"/>
        <v>-1.9721476512173264E-2</v>
      </c>
      <c r="Z832" s="4">
        <f ca="1"/>
        <v>1.9851059265153619E-2</v>
      </c>
      <c r="AA832" s="4"/>
    </row>
    <row r="833" spans="1:27" x14ac:dyDescent="0.35">
      <c r="A833">
        <v>831</v>
      </c>
      <c r="B833">
        <f ca="1">_xlfn.NORM.INV(RAND(),Hitorical_Sim!$AB$4,Hitorical_Sim!$AB$5)</f>
        <v>1.2625078075002126E-2</v>
      </c>
      <c r="C833">
        <f ca="1">_xlfn.NORM.INV(RAND(),Hitorical_Sim!$AB$4,Hitorical_Sim!$AB$5)</f>
        <v>1.137084083438699E-2</v>
      </c>
      <c r="D833">
        <f ca="1">_xlfn.NORM.INV(RAND(),Hitorical_Sim!$AB$4,Hitorical_Sim!$AB$5)</f>
        <v>-1.8045386921305378E-3</v>
      </c>
      <c r="K833">
        <f t="shared" ca="1" si="133"/>
        <v>-1.9370374407538027</v>
      </c>
      <c r="L833">
        <f t="shared" ca="1" si="133"/>
        <v>-0.81985734899778706</v>
      </c>
      <c r="M833">
        <f t="shared" ca="1" si="133"/>
        <v>1.3886908275574943</v>
      </c>
      <c r="O833">
        <v>831</v>
      </c>
      <c r="P833" s="6">
        <f t="shared" ca="1" si="124"/>
        <v>1870.9271313535919</v>
      </c>
      <c r="Q833" s="6">
        <f t="shared" ca="1" si="125"/>
        <v>375.51907377396697</v>
      </c>
      <c r="R833" s="6">
        <f t="shared" ca="1" si="126"/>
        <v>157.29345723596509</v>
      </c>
      <c r="S833" s="6"/>
      <c r="T833" s="4">
        <f t="shared" ca="1" si="127"/>
        <v>-2.0686541257123946E-2</v>
      </c>
      <c r="U833" s="4">
        <f t="shared" ca="1" si="128"/>
        <v>1.8431136218745914E-2</v>
      </c>
      <c r="V833" s="4">
        <f t="shared" ca="1" si="129"/>
        <v>1.7439871602049815E-2</v>
      </c>
      <c r="W833" s="4"/>
      <c r="X833">
        <v>831</v>
      </c>
      <c r="Y833" s="4">
        <f t="shared" ca="1" si="130"/>
        <v>-1.0993020604276723E-2</v>
      </c>
      <c r="Z833" s="4">
        <f ca="1"/>
        <v>1.9892731777194028E-2</v>
      </c>
      <c r="AA833" s="4"/>
    </row>
    <row r="834" spans="1:27" x14ac:dyDescent="0.35">
      <c r="A834">
        <v>832</v>
      </c>
      <c r="B834">
        <f ca="1">_xlfn.NORM.INV(RAND(),Hitorical_Sim!$AB$4,Hitorical_Sim!$AB$5)</f>
        <v>-8.6814849299590852E-3</v>
      </c>
      <c r="C834">
        <f ca="1">_xlfn.NORM.INV(RAND(),Hitorical_Sim!$AB$4,Hitorical_Sim!$AB$5)</f>
        <v>-3.8472041697402812E-3</v>
      </c>
      <c r="D834">
        <f ca="1">_xlfn.NORM.INV(RAND(),Hitorical_Sim!$AB$4,Hitorical_Sim!$AB$5)</f>
        <v>-1.7273963491175368E-2</v>
      </c>
      <c r="K834">
        <f t="shared" ca="1" si="133"/>
        <v>-0.90937155461388886</v>
      </c>
      <c r="L834">
        <f t="shared" ca="1" si="133"/>
        <v>0.97711469614268942</v>
      </c>
      <c r="M834">
        <f t="shared" ca="1" si="133"/>
        <v>7.0567361984602952E-4</v>
      </c>
      <c r="O834">
        <v>832</v>
      </c>
      <c r="P834" s="6">
        <f t="shared" ca="1" si="124"/>
        <v>1906.1362666408754</v>
      </c>
      <c r="Q834" s="6">
        <f t="shared" ca="1" si="125"/>
        <v>395.27294666324019</v>
      </c>
      <c r="R834" s="6">
        <f t="shared" ca="1" si="126"/>
        <v>150.7725610340878</v>
      </c>
      <c r="S834" s="6"/>
      <c r="T834" s="4">
        <f t="shared" ca="1" si="127"/>
        <v>1.8644196022281997E-2</v>
      </c>
      <c r="U834" s="4">
        <f t="shared" ca="1" si="128"/>
        <v>5.1267264894553063E-2</v>
      </c>
      <c r="V834" s="4">
        <f t="shared" ca="1" si="129"/>
        <v>-4.2340732011738408E-2</v>
      </c>
      <c r="W834" s="4"/>
      <c r="X834">
        <v>832</v>
      </c>
      <c r="Y834" s="4">
        <f t="shared" ca="1" si="130"/>
        <v>2.2136568643452897E-2</v>
      </c>
      <c r="Z834" s="4">
        <f ca="1"/>
        <v>1.9993075077270259E-2</v>
      </c>
      <c r="AA834" s="4"/>
    </row>
    <row r="835" spans="1:27" x14ac:dyDescent="0.35">
      <c r="A835">
        <v>833</v>
      </c>
      <c r="B835">
        <f ca="1">_xlfn.NORM.INV(RAND(),Hitorical_Sim!$AB$4,Hitorical_Sim!$AB$5)</f>
        <v>7.5841978118056461E-3</v>
      </c>
      <c r="C835">
        <f ca="1">_xlfn.NORM.INV(RAND(),Hitorical_Sim!$AB$4,Hitorical_Sim!$AB$5)</f>
        <v>2.8459546088561886E-2</v>
      </c>
      <c r="D835">
        <f ca="1">_xlfn.NORM.INV(RAND(),Hitorical_Sim!$AB$4,Hitorical_Sim!$AB$5)</f>
        <v>1.1370946225418271E-2</v>
      </c>
      <c r="K835">
        <f t="shared" ca="1" si="133"/>
        <v>0.17745146301036321</v>
      </c>
      <c r="L835">
        <f t="shared" ca="1" si="133"/>
        <v>-0.90486380751177931</v>
      </c>
      <c r="M835">
        <f t="shared" ca="1" si="133"/>
        <v>-1.8414496449726676</v>
      </c>
      <c r="O835">
        <v>833</v>
      </c>
      <c r="P835" s="6">
        <f t="shared" ref="P835:P898" ca="1" si="134">$G$17*EXP(($G$15-0.5*$G$16)+($G$16*K835))</f>
        <v>1944.0933746248295</v>
      </c>
      <c r="Q835" s="6">
        <f t="shared" ref="Q835:Q898" ca="1" si="135">$H$17*EXP(($H$15-0.5*$H$16^2)+($H$16*L835))</f>
        <v>374.60946167397719</v>
      </c>
      <c r="R835" s="6">
        <f t="shared" ref="R835:R898" ca="1" si="136">$I$17*EXP(($I$15-0.5*$I$16)+($I$16*M835))</f>
        <v>142.53352140777145</v>
      </c>
      <c r="S835" s="6"/>
      <c r="T835" s="4">
        <f t="shared" ca="1" si="127"/>
        <v>1.9717440907010678E-2</v>
      </c>
      <c r="U835" s="4">
        <f t="shared" ca="1" si="128"/>
        <v>-5.3692482714813493E-2</v>
      </c>
      <c r="V835" s="4">
        <f t="shared" ca="1" si="129"/>
        <v>-5.6195273016607282E-2</v>
      </c>
      <c r="W835" s="4"/>
      <c r="X835">
        <v>833</v>
      </c>
      <c r="Y835" s="4">
        <f t="shared" ca="1" si="130"/>
        <v>1.3102340649452024E-3</v>
      </c>
      <c r="Z835" s="4">
        <f ca="1"/>
        <v>2.0260416656449499E-2</v>
      </c>
      <c r="AA835" s="4"/>
    </row>
    <row r="836" spans="1:27" x14ac:dyDescent="0.35">
      <c r="A836">
        <v>834</v>
      </c>
      <c r="B836">
        <f ca="1">_xlfn.NORM.INV(RAND(),Hitorical_Sim!$AB$4,Hitorical_Sim!$AB$5)</f>
        <v>-2.6431741931204696E-3</v>
      </c>
      <c r="C836">
        <f ca="1">_xlfn.NORM.INV(RAND(),Hitorical_Sim!$AB$4,Hitorical_Sim!$AB$5)</f>
        <v>-1.2522001566059879E-2</v>
      </c>
      <c r="D836">
        <f ca="1">_xlfn.NORM.INV(RAND(),Hitorical_Sim!$AB$4,Hitorical_Sim!$AB$5)</f>
        <v>-1.6528106495667494E-2</v>
      </c>
      <c r="K836">
        <f t="shared" ca="1" si="133"/>
        <v>-1.527776929639127</v>
      </c>
      <c r="L836">
        <f t="shared" ca="1" si="133"/>
        <v>-1.9491611503648401</v>
      </c>
      <c r="M836">
        <f t="shared" ca="1" si="133"/>
        <v>-0.40207901014942771</v>
      </c>
      <c r="O836">
        <v>834</v>
      </c>
      <c r="P836" s="6">
        <f t="shared" ca="1" si="134"/>
        <v>1884.8703081191368</v>
      </c>
      <c r="Q836" s="6">
        <f t="shared" ca="1" si="135"/>
        <v>363.61312046883182</v>
      </c>
      <c r="R836" s="6">
        <f t="shared" ca="1" si="136"/>
        <v>148.93135054335247</v>
      </c>
      <c r="S836" s="6"/>
      <c r="T836" s="4">
        <f t="shared" ref="T836:T899" ca="1" si="137">LN(P836/P835)</f>
        <v>-3.0936720624965459E-2</v>
      </c>
      <c r="U836" s="4">
        <f t="shared" ref="U836:U899" ca="1" si="138">LN(Q836/Q835)</f>
        <v>-2.9793601213501539E-2</v>
      </c>
      <c r="V836" s="4">
        <f t="shared" ref="V836:V899" ca="1" si="139">LN(R836/R835)</f>
        <v>4.3908255172413965E-2</v>
      </c>
      <c r="W836" s="4"/>
      <c r="X836">
        <v>834</v>
      </c>
      <c r="Y836" s="4">
        <f t="shared" ref="Y836:Y899" ca="1" si="140">($G$18*T836)+($H$18*U836)+($I$18*V836)</f>
        <v>-2.7004504191723566E-2</v>
      </c>
      <c r="Z836" s="4">
        <f ca="1"/>
        <v>2.0266326635364668E-2</v>
      </c>
      <c r="AA836" s="4"/>
    </row>
    <row r="837" spans="1:27" x14ac:dyDescent="0.35">
      <c r="A837">
        <v>835</v>
      </c>
      <c r="B837">
        <f ca="1">_xlfn.NORM.INV(RAND(),Hitorical_Sim!$AB$4,Hitorical_Sim!$AB$5)</f>
        <v>2.7584204943888847E-2</v>
      </c>
      <c r="C837">
        <f ca="1">_xlfn.NORM.INV(RAND(),Hitorical_Sim!$AB$4,Hitorical_Sim!$AB$5)</f>
        <v>-1.8572179820379474E-2</v>
      </c>
      <c r="D837">
        <f ca="1">_xlfn.NORM.INV(RAND(),Hitorical_Sim!$AB$4,Hitorical_Sim!$AB$5)</f>
        <v>1.5943749971875313E-2</v>
      </c>
      <c r="K837">
        <f t="shared" ca="1" si="133"/>
        <v>-0.80406257134351589</v>
      </c>
      <c r="L837">
        <f t="shared" ca="1" si="133"/>
        <v>0.48130158662404626</v>
      </c>
      <c r="M837">
        <f t="shared" ca="1" si="133"/>
        <v>-0.19076571231092851</v>
      </c>
      <c r="O837">
        <v>835</v>
      </c>
      <c r="P837" s="6">
        <f t="shared" ca="1" si="134"/>
        <v>1909.7815057405094</v>
      </c>
      <c r="Q837" s="6">
        <f t="shared" ca="1" si="135"/>
        <v>389.72099215127196</v>
      </c>
      <c r="R837" s="6">
        <f t="shared" ca="1" si="136"/>
        <v>149.8944852042402</v>
      </c>
      <c r="S837" s="6"/>
      <c r="T837" s="4">
        <f t="shared" ca="1" si="137"/>
        <v>1.3129824140495421E-2</v>
      </c>
      <c r="U837" s="4">
        <f t="shared" ca="1" si="138"/>
        <v>6.9340631809221176E-2</v>
      </c>
      <c r="V837" s="4">
        <f t="shared" ca="1" si="139"/>
        <v>6.4461494338853105E-3</v>
      </c>
      <c r="W837" s="4"/>
      <c r="X837">
        <v>835</v>
      </c>
      <c r="Y837" s="4">
        <f t="shared" ca="1" si="140"/>
        <v>2.4016931716948523E-2</v>
      </c>
      <c r="Z837" s="4">
        <f ca="1"/>
        <v>2.0290423470884084E-2</v>
      </c>
      <c r="AA837" s="4"/>
    </row>
    <row r="838" spans="1:27" x14ac:dyDescent="0.35">
      <c r="A838">
        <v>836</v>
      </c>
      <c r="B838">
        <f ca="1">_xlfn.NORM.INV(RAND(),Hitorical_Sim!$AB$4,Hitorical_Sim!$AB$5)</f>
        <v>1.5369663322295821E-2</v>
      </c>
      <c r="C838">
        <f ca="1">_xlfn.NORM.INV(RAND(),Hitorical_Sim!$AB$4,Hitorical_Sim!$AB$5)</f>
        <v>-1.0077530094066933E-2</v>
      </c>
      <c r="D838">
        <f ca="1">_xlfn.NORM.INV(RAND(),Hitorical_Sim!$AB$4,Hitorical_Sim!$AB$5)</f>
        <v>3.3559430493730107E-2</v>
      </c>
      <c r="K838">
        <f t="shared" ca="1" si="133"/>
        <v>-1.2157949407215223</v>
      </c>
      <c r="L838">
        <f t="shared" ca="1" si="133"/>
        <v>0.75965260738747742</v>
      </c>
      <c r="M838">
        <f t="shared" ca="1" si="133"/>
        <v>0.90363161373221146</v>
      </c>
      <c r="O838">
        <v>836</v>
      </c>
      <c r="P838" s="6">
        <f t="shared" ca="1" si="134"/>
        <v>1895.5690414450007</v>
      </c>
      <c r="Q838" s="6">
        <f t="shared" ca="1" si="135"/>
        <v>392.82820509953069</v>
      </c>
      <c r="R838" s="6">
        <f t="shared" ca="1" si="136"/>
        <v>154.98314950249699</v>
      </c>
      <c r="S838" s="6"/>
      <c r="T838" s="4">
        <f t="shared" ca="1" si="137"/>
        <v>-7.469761434074771E-3</v>
      </c>
      <c r="U838" s="4">
        <f t="shared" ca="1" si="138"/>
        <v>7.9413007863642065E-3</v>
      </c>
      <c r="V838" s="4">
        <f t="shared" ca="1" si="139"/>
        <v>3.3384783522286347E-2</v>
      </c>
      <c r="W838" s="4"/>
      <c r="X838">
        <v>836</v>
      </c>
      <c r="Y838" s="4">
        <f t="shared" ca="1" si="140"/>
        <v>-2.3723092459873116E-3</v>
      </c>
      <c r="Z838" s="4">
        <f ca="1"/>
        <v>2.0317444434415792E-2</v>
      </c>
      <c r="AA838" s="4"/>
    </row>
    <row r="839" spans="1:27" x14ac:dyDescent="0.35">
      <c r="A839">
        <v>837</v>
      </c>
      <c r="B839">
        <f ca="1">_xlfn.NORM.INV(RAND(),Hitorical_Sim!$AB$4,Hitorical_Sim!$AB$5)</f>
        <v>-7.8922295806403749E-3</v>
      </c>
      <c r="C839">
        <f ca="1">_xlfn.NORM.INV(RAND(),Hitorical_Sim!$AB$4,Hitorical_Sim!$AB$5)</f>
        <v>2.2892911724218524E-2</v>
      </c>
      <c r="D839">
        <f ca="1">_xlfn.NORM.INV(RAND(),Hitorical_Sim!$AB$4,Hitorical_Sim!$AB$5)</f>
        <v>7.2502109418130564E-3</v>
      </c>
      <c r="K839">
        <f t="shared" ca="1" si="133"/>
        <v>-1.093075415192174</v>
      </c>
      <c r="L839">
        <f t="shared" ca="1" si="133"/>
        <v>-0.10981255915707809</v>
      </c>
      <c r="M839">
        <f t="shared" ca="1" si="133"/>
        <v>-0.14067581786184027</v>
      </c>
      <c r="O839">
        <v>837</v>
      </c>
      <c r="P839" s="6">
        <f t="shared" ca="1" si="134"/>
        <v>1899.7940592516004</v>
      </c>
      <c r="Q839" s="6">
        <f t="shared" ca="1" si="135"/>
        <v>383.20370173414585</v>
      </c>
      <c r="R839" s="6">
        <f t="shared" ca="1" si="136"/>
        <v>150.12369921272355</v>
      </c>
      <c r="S839" s="6"/>
      <c r="T839" s="4">
        <f t="shared" ca="1" si="137"/>
        <v>2.2264112495986805E-3</v>
      </c>
      <c r="U839" s="4">
        <f t="shared" ca="1" si="138"/>
        <v>-2.4805673037802799E-2</v>
      </c>
      <c r="V839" s="4">
        <f t="shared" ca="1" si="139"/>
        <v>-3.1856782454444746E-2</v>
      </c>
      <c r="W839" s="4"/>
      <c r="X839">
        <v>837</v>
      </c>
      <c r="Y839" s="4">
        <f t="shared" ca="1" si="140"/>
        <v>-4.8551111503730982E-3</v>
      </c>
      <c r="Z839" s="4">
        <f ca="1"/>
        <v>2.0573113871296282E-2</v>
      </c>
      <c r="AA839" s="4"/>
    </row>
    <row r="840" spans="1:27" x14ac:dyDescent="0.35">
      <c r="A840">
        <v>838</v>
      </c>
      <c r="B840">
        <f ca="1">_xlfn.NORM.INV(RAND(),Hitorical_Sim!$AB$4,Hitorical_Sim!$AB$5)</f>
        <v>1.9599780565605785E-3</v>
      </c>
      <c r="C840">
        <f ca="1">_xlfn.NORM.INV(RAND(),Hitorical_Sim!$AB$4,Hitorical_Sim!$AB$5)</f>
        <v>1.3400761071111069E-2</v>
      </c>
      <c r="D840">
        <f ca="1">_xlfn.NORM.INV(RAND(),Hitorical_Sim!$AB$4,Hitorical_Sim!$AB$5)</f>
        <v>-7.2006499837478661E-3</v>
      </c>
      <c r="K840">
        <f t="shared" ca="1" si="133"/>
        <v>0.85449571561842197</v>
      </c>
      <c r="L840">
        <f t="shared" ca="1" si="133"/>
        <v>-1.7599719780824208</v>
      </c>
      <c r="M840">
        <f t="shared" ca="1" si="133"/>
        <v>-1.1934211671832693</v>
      </c>
      <c r="O840">
        <v>838</v>
      </c>
      <c r="P840" s="6">
        <f t="shared" ca="1" si="134"/>
        <v>1968.1201712593308</v>
      </c>
      <c r="Q840" s="6">
        <f t="shared" ca="1" si="135"/>
        <v>365.58103954854857</v>
      </c>
      <c r="R840" s="6">
        <f t="shared" ca="1" si="136"/>
        <v>145.37919008853865</v>
      </c>
      <c r="S840" s="6"/>
      <c r="T840" s="4">
        <f t="shared" ca="1" si="137"/>
        <v>3.5333368967379063E-2</v>
      </c>
      <c r="U840" s="4">
        <f t="shared" ca="1" si="138"/>
        <v>-4.7078729063742171E-2</v>
      </c>
      <c r="V840" s="4">
        <f t="shared" ca="1" si="139"/>
        <v>-3.2114182623472619E-2</v>
      </c>
      <c r="W840" s="4"/>
      <c r="X840">
        <v>838</v>
      </c>
      <c r="Y840" s="4">
        <f t="shared" ca="1" si="140"/>
        <v>1.5548557054359778E-2</v>
      </c>
      <c r="Z840" s="4">
        <f ca="1"/>
        <v>2.0652344330774154E-2</v>
      </c>
      <c r="AA840" s="4"/>
    </row>
    <row r="841" spans="1:27" x14ac:dyDescent="0.35">
      <c r="A841">
        <v>839</v>
      </c>
      <c r="B841">
        <f ca="1">_xlfn.NORM.INV(RAND(),Hitorical_Sim!$AB$4,Hitorical_Sim!$AB$5)</f>
        <v>9.982095856235617E-3</v>
      </c>
      <c r="C841">
        <f ca="1">_xlfn.NORM.INV(RAND(),Hitorical_Sim!$AB$4,Hitorical_Sim!$AB$5)</f>
        <v>9.6653796473977812E-3</v>
      </c>
      <c r="D841">
        <f ca="1">_xlfn.NORM.INV(RAND(),Hitorical_Sim!$AB$4,Hitorical_Sim!$AB$5)</f>
        <v>-7.1382448411789288E-3</v>
      </c>
      <c r="K841">
        <f t="shared" ca="1" si="133"/>
        <v>-0.24682782248592849</v>
      </c>
      <c r="L841">
        <f t="shared" ca="1" si="133"/>
        <v>1.7486981347572705</v>
      </c>
      <c r="M841">
        <f t="shared" ca="1" si="133"/>
        <v>-1.4246509873220725</v>
      </c>
      <c r="O841">
        <v>839</v>
      </c>
      <c r="P841" s="6">
        <f t="shared" ca="1" si="134"/>
        <v>1929.1863738444456</v>
      </c>
      <c r="Q841" s="6">
        <f t="shared" ca="1" si="135"/>
        <v>404.07061680154931</v>
      </c>
      <c r="R841" s="6">
        <f t="shared" ca="1" si="136"/>
        <v>144.35733612196893</v>
      </c>
      <c r="S841" s="6"/>
      <c r="T841" s="4">
        <f t="shared" ca="1" si="137"/>
        <v>-1.9980513321792851E-2</v>
      </c>
      <c r="U841" s="4">
        <f t="shared" ca="1" si="138"/>
        <v>0.1001016797055915</v>
      </c>
      <c r="V841" s="4">
        <f t="shared" ca="1" si="139"/>
        <v>-7.0537064606526157E-3</v>
      </c>
      <c r="W841" s="4"/>
      <c r="X841">
        <v>839</v>
      </c>
      <c r="Y841" s="4">
        <f t="shared" ca="1" si="140"/>
        <v>4.623809736609045E-3</v>
      </c>
      <c r="Z841" s="4">
        <f ca="1"/>
        <v>2.0749038775503475E-2</v>
      </c>
      <c r="AA841" s="4"/>
    </row>
    <row r="842" spans="1:27" x14ac:dyDescent="0.35">
      <c r="A842">
        <v>840</v>
      </c>
      <c r="B842">
        <f ca="1">_xlfn.NORM.INV(RAND(),Hitorical_Sim!$AB$4,Hitorical_Sim!$AB$5)</f>
        <v>-1.7308850104767572E-3</v>
      </c>
      <c r="C842">
        <f ca="1">_xlfn.NORM.INV(RAND(),Hitorical_Sim!$AB$4,Hitorical_Sim!$AB$5)</f>
        <v>5.3047690084935713E-3</v>
      </c>
      <c r="D842">
        <f ca="1">_xlfn.NORM.INV(RAND(),Hitorical_Sim!$AB$4,Hitorical_Sim!$AB$5)</f>
        <v>-1.9288928095848208E-3</v>
      </c>
      <c r="K842">
        <f t="shared" ca="1" si="133"/>
        <v>-1.2651226208760935</v>
      </c>
      <c r="L842">
        <f t="shared" ca="1" si="133"/>
        <v>-0.24425403718495675</v>
      </c>
      <c r="M842">
        <f t="shared" ca="1" si="133"/>
        <v>-0.95842894769025178</v>
      </c>
      <c r="O842">
        <v>840</v>
      </c>
      <c r="P842" s="6">
        <f t="shared" ca="1" si="134"/>
        <v>1893.8734246691749</v>
      </c>
      <c r="Q842" s="6">
        <f t="shared" ca="1" si="135"/>
        <v>381.73670488812041</v>
      </c>
      <c r="R842" s="6">
        <f t="shared" ca="1" si="136"/>
        <v>146.42508202518027</v>
      </c>
      <c r="S842" s="6"/>
      <c r="T842" s="4">
        <f t="shared" ca="1" si="137"/>
        <v>-1.8474183181236416E-2</v>
      </c>
      <c r="U842" s="4">
        <f t="shared" ca="1" si="138"/>
        <v>-5.6858540007587874E-2</v>
      </c>
      <c r="V842" s="4">
        <f t="shared" ca="1" si="139"/>
        <v>1.4222185577428581E-2</v>
      </c>
      <c r="W842" s="4"/>
      <c r="X842">
        <v>840</v>
      </c>
      <c r="Y842" s="4">
        <f t="shared" ca="1" si="140"/>
        <v>-2.4516328915469517E-2</v>
      </c>
      <c r="Z842" s="4">
        <f ca="1"/>
        <v>2.0820096646104364E-2</v>
      </c>
      <c r="AA842" s="4"/>
    </row>
    <row r="843" spans="1:27" x14ac:dyDescent="0.35">
      <c r="A843">
        <v>841</v>
      </c>
      <c r="B843">
        <f ca="1">_xlfn.NORM.INV(RAND(),Hitorical_Sim!$AB$4,Hitorical_Sim!$AB$5)</f>
        <v>-6.3234798427323768E-3</v>
      </c>
      <c r="C843">
        <f ca="1">_xlfn.NORM.INV(RAND(),Hitorical_Sim!$AB$4,Hitorical_Sim!$AB$5)</f>
        <v>-6.4086668960452609E-3</v>
      </c>
      <c r="D843">
        <f ca="1">_xlfn.NORM.INV(RAND(),Hitorical_Sim!$AB$4,Hitorical_Sim!$AB$5)</f>
        <v>2.3605318884940465E-3</v>
      </c>
      <c r="K843">
        <f t="shared" ca="1" si="133"/>
        <v>1.3710108139256321</v>
      </c>
      <c r="L843">
        <f t="shared" ca="1" si="133"/>
        <v>-1.3449653694380297</v>
      </c>
      <c r="M843">
        <f t="shared" ca="1" si="133"/>
        <v>-0.34066441335281755</v>
      </c>
      <c r="O843">
        <v>841</v>
      </c>
      <c r="P843" s="6">
        <f t="shared" ca="1" si="134"/>
        <v>1986.6496318570466</v>
      </c>
      <c r="Q843" s="6">
        <f t="shared" ca="1" si="135"/>
        <v>369.93526664638102</v>
      </c>
      <c r="R843" s="6">
        <f t="shared" ca="1" si="136"/>
        <v>149.21062946236319</v>
      </c>
      <c r="S843" s="6"/>
      <c r="T843" s="4">
        <f t="shared" ca="1" si="137"/>
        <v>4.7825454909226586E-2</v>
      </c>
      <c r="U843" s="4">
        <f t="shared" ca="1" si="138"/>
        <v>-3.1403081420024695E-2</v>
      </c>
      <c r="V843" s="4">
        <f t="shared" ca="1" si="139"/>
        <v>1.8845016116009947E-2</v>
      </c>
      <c r="W843" s="4"/>
      <c r="X843">
        <v>841</v>
      </c>
      <c r="Y843" s="4">
        <f t="shared" ca="1" si="140"/>
        <v>3.057972182297726E-2</v>
      </c>
      <c r="Z843" s="4">
        <f ca="1"/>
        <v>2.0966654616318144E-2</v>
      </c>
      <c r="AA843" s="4"/>
    </row>
    <row r="844" spans="1:27" x14ac:dyDescent="0.35">
      <c r="A844">
        <v>842</v>
      </c>
      <c r="B844">
        <f ca="1">_xlfn.NORM.INV(RAND(),Hitorical_Sim!$AB$4,Hitorical_Sim!$AB$5)</f>
        <v>-2.073211953780877E-2</v>
      </c>
      <c r="C844">
        <f ca="1">_xlfn.NORM.INV(RAND(),Hitorical_Sim!$AB$4,Hitorical_Sim!$AB$5)</f>
        <v>2.6908087568947952E-2</v>
      </c>
      <c r="D844">
        <f ca="1">_xlfn.NORM.INV(RAND(),Hitorical_Sim!$AB$4,Hitorical_Sim!$AB$5)</f>
        <v>2.2570280140459659E-2</v>
      </c>
      <c r="K844">
        <f t="shared" ref="K844:M863" ca="1" si="141">_xlfn.NORM.S.INV(RAND())</f>
        <v>-0.24917090864605607</v>
      </c>
      <c r="L844">
        <f t="shared" ca="1" si="141"/>
        <v>-0.68343704175570075</v>
      </c>
      <c r="M844">
        <f t="shared" ca="1" si="141"/>
        <v>-0.20300719890752889</v>
      </c>
      <c r="O844">
        <v>842</v>
      </c>
      <c r="P844" s="6">
        <f t="shared" ca="1" si="134"/>
        <v>1929.1043679756272</v>
      </c>
      <c r="Q844" s="6">
        <f t="shared" ca="1" si="135"/>
        <v>376.98345877773704</v>
      </c>
      <c r="R844" s="6">
        <f t="shared" ca="1" si="136"/>
        <v>149.83852075024066</v>
      </c>
      <c r="S844" s="6"/>
      <c r="T844" s="4">
        <f t="shared" ca="1" si="137"/>
        <v>-2.9393780638965736E-2</v>
      </c>
      <c r="U844" s="4">
        <f t="shared" ca="1" si="138"/>
        <v>1.887327524223633E-2</v>
      </c>
      <c r="V844" s="4">
        <f t="shared" ca="1" si="139"/>
        <v>4.1992576143737408E-3</v>
      </c>
      <c r="W844" s="4"/>
      <c r="X844">
        <v>842</v>
      </c>
      <c r="Y844" s="4">
        <f t="shared" ca="1" si="140"/>
        <v>-1.8098693150233401E-2</v>
      </c>
      <c r="Z844" s="4">
        <f ca="1"/>
        <v>2.1003924672158076E-2</v>
      </c>
      <c r="AA844" s="4"/>
    </row>
    <row r="845" spans="1:27" x14ac:dyDescent="0.35">
      <c r="A845">
        <v>843</v>
      </c>
      <c r="B845">
        <f ca="1">_xlfn.NORM.INV(RAND(),Hitorical_Sim!$AB$4,Hitorical_Sim!$AB$5)</f>
        <v>-6.3200290094798132E-3</v>
      </c>
      <c r="C845">
        <f ca="1">_xlfn.NORM.INV(RAND(),Hitorical_Sim!$AB$4,Hitorical_Sim!$AB$5)</f>
        <v>1.4077692903714141E-2</v>
      </c>
      <c r="D845">
        <f ca="1">_xlfn.NORM.INV(RAND(),Hitorical_Sim!$AB$4,Hitorical_Sim!$AB$5)</f>
        <v>1.8443707842974794E-2</v>
      </c>
      <c r="K845">
        <f t="shared" ca="1" si="141"/>
        <v>0.66207754948228059</v>
      </c>
      <c r="L845">
        <f t="shared" ca="1" si="141"/>
        <v>-2.1466090836186291</v>
      </c>
      <c r="M845">
        <f t="shared" ca="1" si="141"/>
        <v>1.8479603913413454</v>
      </c>
      <c r="O845">
        <v>843</v>
      </c>
      <c r="P845" s="6">
        <f t="shared" ca="1" si="134"/>
        <v>1961.2616327023754</v>
      </c>
      <c r="Q845" s="6">
        <f t="shared" ca="1" si="135"/>
        <v>361.57059106920752</v>
      </c>
      <c r="R845" s="6">
        <f t="shared" ca="1" si="136"/>
        <v>159.51266350632045</v>
      </c>
      <c r="S845" s="6"/>
      <c r="T845" s="4">
        <f t="shared" ca="1" si="137"/>
        <v>1.6532119152229737E-2</v>
      </c>
      <c r="U845" s="4">
        <f t="shared" ca="1" si="138"/>
        <v>-4.1744015361477989E-2</v>
      </c>
      <c r="V845" s="4">
        <f t="shared" ca="1" si="139"/>
        <v>6.2565128205535156E-2</v>
      </c>
      <c r="W845" s="4"/>
      <c r="X845">
        <v>843</v>
      </c>
      <c r="Y845" s="4">
        <f t="shared" ca="1" si="140"/>
        <v>7.1802408398364999E-3</v>
      </c>
      <c r="Z845" s="4">
        <f ca="1"/>
        <v>2.1111703454517978E-2</v>
      </c>
      <c r="AA845" s="4"/>
    </row>
    <row r="846" spans="1:27" x14ac:dyDescent="0.35">
      <c r="A846">
        <v>844</v>
      </c>
      <c r="B846">
        <f ca="1">_xlfn.NORM.INV(RAND(),Hitorical_Sim!$AB$4,Hitorical_Sim!$AB$5)</f>
        <v>6.2470049352689756E-3</v>
      </c>
      <c r="C846">
        <f ca="1">_xlfn.NORM.INV(RAND(),Hitorical_Sim!$AB$4,Hitorical_Sim!$AB$5)</f>
        <v>1.4592413432901897E-2</v>
      </c>
      <c r="D846">
        <f ca="1">_xlfn.NORM.INV(RAND(),Hitorical_Sim!$AB$4,Hitorical_Sim!$AB$5)</f>
        <v>-5.2488528854687825E-3</v>
      </c>
      <c r="K846">
        <f t="shared" ca="1" si="141"/>
        <v>0.50502807152905138</v>
      </c>
      <c r="L846">
        <f t="shared" ca="1" si="141"/>
        <v>1.0153800018208987</v>
      </c>
      <c r="M846">
        <f t="shared" ca="1" si="141"/>
        <v>7.603451923243694E-2</v>
      </c>
      <c r="O846">
        <v>844</v>
      </c>
      <c r="P846" s="6">
        <f t="shared" ca="1" si="134"/>
        <v>1955.681491440293</v>
      </c>
      <c r="Q846" s="6">
        <f t="shared" ca="1" si="135"/>
        <v>395.70470247018812</v>
      </c>
      <c r="R846" s="6">
        <f t="shared" ca="1" si="136"/>
        <v>151.11942265369746</v>
      </c>
      <c r="S846" s="6"/>
      <c r="T846" s="4">
        <f t="shared" ca="1" si="137"/>
        <v>-2.8492346507242392E-3</v>
      </c>
      <c r="U846" s="4">
        <f t="shared" ca="1" si="138"/>
        <v>9.0210937045623885E-2</v>
      </c>
      <c r="V846" s="4">
        <f t="shared" ca="1" si="139"/>
        <v>-5.4052911360606325E-2</v>
      </c>
      <c r="W846" s="4"/>
      <c r="X846">
        <v>844</v>
      </c>
      <c r="Y846" s="4">
        <f t="shared" ca="1" si="140"/>
        <v>1.3188530474017511E-2</v>
      </c>
      <c r="Z846" s="4">
        <f ca="1"/>
        <v>2.1126583288275092E-2</v>
      </c>
      <c r="AA846" s="4"/>
    </row>
    <row r="847" spans="1:27" x14ac:dyDescent="0.35">
      <c r="A847">
        <v>845</v>
      </c>
      <c r="B847">
        <f ca="1">_xlfn.NORM.INV(RAND(),Hitorical_Sim!$AB$4,Hitorical_Sim!$AB$5)</f>
        <v>7.9303252734323326E-3</v>
      </c>
      <c r="C847">
        <f ca="1">_xlfn.NORM.INV(RAND(),Hitorical_Sim!$AB$4,Hitorical_Sim!$AB$5)</f>
        <v>2.5513637430983355E-2</v>
      </c>
      <c r="D847">
        <f ca="1">_xlfn.NORM.INV(RAND(),Hitorical_Sim!$AB$4,Hitorical_Sim!$AB$5)</f>
        <v>1.9288212296718614E-2</v>
      </c>
      <c r="K847">
        <f t="shared" ca="1" si="141"/>
        <v>0.90183892050781833</v>
      </c>
      <c r="L847">
        <f t="shared" ca="1" si="141"/>
        <v>0.89076015860114977</v>
      </c>
      <c r="M847">
        <f t="shared" ca="1" si="141"/>
        <v>-0.82566150936468774</v>
      </c>
      <c r="O847">
        <v>845</v>
      </c>
      <c r="P847" s="6">
        <f t="shared" ca="1" si="134"/>
        <v>1969.8113422125446</v>
      </c>
      <c r="Q847" s="6">
        <f t="shared" ca="1" si="135"/>
        <v>394.30031991173087</v>
      </c>
      <c r="R847" s="6">
        <f t="shared" ca="1" si="136"/>
        <v>147.01931993799252</v>
      </c>
      <c r="S847" s="6"/>
      <c r="T847" s="4">
        <f t="shared" ca="1" si="137"/>
        <v>7.1990511234318617E-3</v>
      </c>
      <c r="U847" s="4">
        <f t="shared" ca="1" si="138"/>
        <v>-3.5553800242704701E-3</v>
      </c>
      <c r="V847" s="4">
        <f t="shared" ca="1" si="139"/>
        <v>-2.7506396444204863E-2</v>
      </c>
      <c r="W847" s="4"/>
      <c r="X847">
        <v>845</v>
      </c>
      <c r="Y847" s="4">
        <f t="shared" ca="1" si="140"/>
        <v>3.3352334031883334E-3</v>
      </c>
      <c r="Z847" s="4">
        <f ca="1"/>
        <v>2.1215376045645083E-2</v>
      </c>
      <c r="AA847" s="4"/>
    </row>
    <row r="848" spans="1:27" x14ac:dyDescent="0.35">
      <c r="A848">
        <v>846</v>
      </c>
      <c r="B848">
        <f ca="1">_xlfn.NORM.INV(RAND(),Hitorical_Sim!$AB$4,Hitorical_Sim!$AB$5)</f>
        <v>6.7815689218467387E-4</v>
      </c>
      <c r="C848">
        <f ca="1">_xlfn.NORM.INV(RAND(),Hitorical_Sim!$AB$4,Hitorical_Sim!$AB$5)</f>
        <v>-1.4092420289232415E-2</v>
      </c>
      <c r="D848">
        <f ca="1">_xlfn.NORM.INV(RAND(),Hitorical_Sim!$AB$4,Hitorical_Sim!$AB$5)</f>
        <v>4.2972896143786618E-3</v>
      </c>
      <c r="K848">
        <f t="shared" ca="1" si="141"/>
        <v>1.5939012085019899</v>
      </c>
      <c r="L848">
        <f t="shared" ca="1" si="141"/>
        <v>-0.43364430121717951</v>
      </c>
      <c r="M848">
        <f t="shared" ca="1" si="141"/>
        <v>-0.33371846983432907</v>
      </c>
      <c r="O848">
        <v>846</v>
      </c>
      <c r="P848" s="6">
        <f t="shared" ca="1" si="134"/>
        <v>1994.6993882371387</v>
      </c>
      <c r="Q848" s="6">
        <f t="shared" ca="1" si="135"/>
        <v>379.67964175381815</v>
      </c>
      <c r="R848" s="6">
        <f t="shared" ca="1" si="136"/>
        <v>149.24224863943832</v>
      </c>
      <c r="S848" s="6"/>
      <c r="T848" s="4">
        <f t="shared" ca="1" si="137"/>
        <v>1.2555583610406722E-2</v>
      </c>
      <c r="U848" s="4">
        <f t="shared" ca="1" si="138"/>
        <v>-3.7785003084856168E-2</v>
      </c>
      <c r="V848" s="4">
        <f t="shared" ca="1" si="139"/>
        <v>1.5006809217449915E-2</v>
      </c>
      <c r="W848" s="4"/>
      <c r="X848">
        <v>846</v>
      </c>
      <c r="Y848" s="4">
        <f t="shared" ca="1" si="140"/>
        <v>2.6305202312169426E-3</v>
      </c>
      <c r="Z848" s="4">
        <f ca="1"/>
        <v>2.1240419506424552E-2</v>
      </c>
      <c r="AA848" s="4"/>
    </row>
    <row r="849" spans="1:27" x14ac:dyDescent="0.35">
      <c r="A849">
        <v>847</v>
      </c>
      <c r="B849">
        <f ca="1">_xlfn.NORM.INV(RAND(),Hitorical_Sim!$AB$4,Hitorical_Sim!$AB$5)</f>
        <v>-1.3005739084880877E-3</v>
      </c>
      <c r="C849">
        <f ca="1">_xlfn.NORM.INV(RAND(),Hitorical_Sim!$AB$4,Hitorical_Sim!$AB$5)</f>
        <v>-4.2485617789197162E-2</v>
      </c>
      <c r="D849">
        <f ca="1">_xlfn.NORM.INV(RAND(),Hitorical_Sim!$AB$4,Hitorical_Sim!$AB$5)</f>
        <v>1.4308229641615442E-2</v>
      </c>
      <c r="K849">
        <f t="shared" ca="1" si="141"/>
        <v>-7.7993987047118282E-2</v>
      </c>
      <c r="L849">
        <f t="shared" ca="1" si="141"/>
        <v>0.445686615548058</v>
      </c>
      <c r="M849">
        <f t="shared" ca="1" si="141"/>
        <v>-0.93856665144230611</v>
      </c>
      <c r="O849">
        <v>847</v>
      </c>
      <c r="P849" s="6">
        <f t="shared" ca="1" si="134"/>
        <v>1935.1045881957189</v>
      </c>
      <c r="Q849" s="6">
        <f t="shared" ca="1" si="135"/>
        <v>389.32520234836852</v>
      </c>
      <c r="R849" s="6">
        <f t="shared" ca="1" si="136"/>
        <v>146.51382828299668</v>
      </c>
      <c r="S849" s="6"/>
      <c r="T849" s="4">
        <f t="shared" ca="1" si="137"/>
        <v>-3.0331980631967053E-2</v>
      </c>
      <c r="U849" s="4">
        <f t="shared" ca="1" si="138"/>
        <v>2.5087140983458801E-2</v>
      </c>
      <c r="V849" s="4">
        <f t="shared" ca="1" si="139"/>
        <v>-1.8451000497085292E-2</v>
      </c>
      <c r="W849" s="4"/>
      <c r="X849">
        <v>847</v>
      </c>
      <c r="Y849" s="4">
        <f t="shared" ca="1" si="140"/>
        <v>-1.8684101166931883E-2</v>
      </c>
      <c r="Z849" s="4">
        <f ca="1"/>
        <v>2.1293355934865914E-2</v>
      </c>
      <c r="AA849" s="4"/>
    </row>
    <row r="850" spans="1:27" x14ac:dyDescent="0.35">
      <c r="A850">
        <v>848</v>
      </c>
      <c r="B850">
        <f ca="1">_xlfn.NORM.INV(RAND(),Hitorical_Sim!$AB$4,Hitorical_Sim!$AB$5)</f>
        <v>1.6034325872840576E-2</v>
      </c>
      <c r="C850">
        <f ca="1">_xlfn.NORM.INV(RAND(),Hitorical_Sim!$AB$4,Hitorical_Sim!$AB$5)</f>
        <v>-2.9685266958819595E-2</v>
      </c>
      <c r="D850">
        <f ca="1">_xlfn.NORM.INV(RAND(),Hitorical_Sim!$AB$4,Hitorical_Sim!$AB$5)</f>
        <v>-3.2000157006240683E-2</v>
      </c>
      <c r="K850">
        <f t="shared" ca="1" si="141"/>
        <v>-1.1403099572029871</v>
      </c>
      <c r="L850">
        <f t="shared" ca="1" si="141"/>
        <v>-0.96357516038750435</v>
      </c>
      <c r="M850">
        <f t="shared" ca="1" si="141"/>
        <v>-0.26822475560713044</v>
      </c>
      <c r="O850">
        <v>848</v>
      </c>
      <c r="P850" s="6">
        <f t="shared" ca="1" si="134"/>
        <v>1898.1667432872889</v>
      </c>
      <c r="Q850" s="6">
        <f t="shared" ca="1" si="135"/>
        <v>373.98250723487081</v>
      </c>
      <c r="R850" s="6">
        <f t="shared" ca="1" si="136"/>
        <v>149.54071738189774</v>
      </c>
      <c r="S850" s="6"/>
      <c r="T850" s="4">
        <f t="shared" ca="1" si="137"/>
        <v>-1.9272827338446933E-2</v>
      </c>
      <c r="U850" s="4">
        <f t="shared" ca="1" si="138"/>
        <v>-4.0205965901383249E-2</v>
      </c>
      <c r="V850" s="4">
        <f t="shared" ca="1" si="139"/>
        <v>2.0448897805050298E-2</v>
      </c>
      <c r="W850" s="4"/>
      <c r="X850">
        <v>848</v>
      </c>
      <c r="Y850" s="4">
        <f t="shared" ca="1" si="140"/>
        <v>-2.1484581129530805E-2</v>
      </c>
      <c r="Z850" s="4">
        <f ca="1"/>
        <v>2.1417034860502428E-2</v>
      </c>
      <c r="AA850" s="4"/>
    </row>
    <row r="851" spans="1:27" x14ac:dyDescent="0.35">
      <c r="A851">
        <v>849</v>
      </c>
      <c r="B851">
        <f ca="1">_xlfn.NORM.INV(RAND(),Hitorical_Sim!$AB$4,Hitorical_Sim!$AB$5)</f>
        <v>-5.5652936678434453E-3</v>
      </c>
      <c r="C851">
        <f ca="1">_xlfn.NORM.INV(RAND(),Hitorical_Sim!$AB$4,Hitorical_Sim!$AB$5)</f>
        <v>1.2021636056710668E-2</v>
      </c>
      <c r="D851">
        <f ca="1">_xlfn.NORM.INV(RAND(),Hitorical_Sim!$AB$4,Hitorical_Sim!$AB$5)</f>
        <v>-2.1921429423943203E-2</v>
      </c>
      <c r="K851">
        <f t="shared" ca="1" si="141"/>
        <v>-0.68355409494848507</v>
      </c>
      <c r="L851">
        <f t="shared" ca="1" si="141"/>
        <v>-0.83889293891775407</v>
      </c>
      <c r="M851">
        <f t="shared" ca="1" si="141"/>
        <v>0.84240834955485244</v>
      </c>
      <c r="O851">
        <v>849</v>
      </c>
      <c r="P851" s="6">
        <f t="shared" ca="1" si="134"/>
        <v>1913.961424435415</v>
      </c>
      <c r="Q851" s="6">
        <f t="shared" ca="1" si="135"/>
        <v>375.3151916048235</v>
      </c>
      <c r="R851" s="6">
        <f t="shared" ca="1" si="136"/>
        <v>154.69396899383665</v>
      </c>
      <c r="S851" s="6"/>
      <c r="T851" s="4">
        <f t="shared" ca="1" si="137"/>
        <v>8.2865899754504344E-3</v>
      </c>
      <c r="U851" s="4">
        <f t="shared" ca="1" si="138"/>
        <v>3.5571596636783235E-3</v>
      </c>
      <c r="V851" s="4">
        <f t="shared" ca="1" si="139"/>
        <v>3.3880058828886124E-2</v>
      </c>
      <c r="W851" s="4"/>
      <c r="X851">
        <v>849</v>
      </c>
      <c r="Y851" s="4">
        <f t="shared" ca="1" si="140"/>
        <v>8.6093700993621972E-3</v>
      </c>
      <c r="Z851" s="4">
        <f ca="1"/>
        <v>2.1596579353428697E-2</v>
      </c>
      <c r="AA851" s="4"/>
    </row>
    <row r="852" spans="1:27" x14ac:dyDescent="0.35">
      <c r="A852">
        <v>850</v>
      </c>
      <c r="B852">
        <f ca="1">_xlfn.NORM.INV(RAND(),Hitorical_Sim!$AB$4,Hitorical_Sim!$AB$5)</f>
        <v>-2.9672558045782182E-2</v>
      </c>
      <c r="C852">
        <f ca="1">_xlfn.NORM.INV(RAND(),Hitorical_Sim!$AB$4,Hitorical_Sim!$AB$5)</f>
        <v>-8.9862185045324911E-3</v>
      </c>
      <c r="D852">
        <f ca="1">_xlfn.NORM.INV(RAND(),Hitorical_Sim!$AB$4,Hitorical_Sim!$AB$5)</f>
        <v>-7.1688154575239183E-3</v>
      </c>
      <c r="K852">
        <f t="shared" ca="1" si="141"/>
        <v>0.83499068421482514</v>
      </c>
      <c r="L852">
        <f t="shared" ca="1" si="141"/>
        <v>-0.38143362612296838</v>
      </c>
      <c r="M852">
        <f t="shared" ca="1" si="141"/>
        <v>-0.48208265350361729</v>
      </c>
      <c r="O852">
        <v>850</v>
      </c>
      <c r="P852" s="6">
        <f t="shared" ca="1" si="134"/>
        <v>1967.4238443993647</v>
      </c>
      <c r="Q852" s="6">
        <f t="shared" ca="1" si="135"/>
        <v>380.24561896051756</v>
      </c>
      <c r="R852" s="6">
        <f t="shared" ca="1" si="136"/>
        <v>148.56832299007596</v>
      </c>
      <c r="S852" s="6"/>
      <c r="T852" s="4">
        <f t="shared" ca="1" si="137"/>
        <v>2.7549855369509615E-2</v>
      </c>
      <c r="U852" s="4">
        <f t="shared" ca="1" si="138"/>
        <v>1.3051225716589798E-2</v>
      </c>
      <c r="V852" s="4">
        <f t="shared" ca="1" si="139"/>
        <v>-4.0403831736500147E-2</v>
      </c>
      <c r="W852" s="4"/>
      <c r="X852">
        <v>850</v>
      </c>
      <c r="Y852" s="4">
        <f t="shared" ca="1" si="140"/>
        <v>2.1293355934865914E-2</v>
      </c>
      <c r="Z852" s="4">
        <f ca="1"/>
        <v>2.1678726888961317E-2</v>
      </c>
      <c r="AA852" s="4"/>
    </row>
    <row r="853" spans="1:27" x14ac:dyDescent="0.35">
      <c r="A853">
        <v>851</v>
      </c>
      <c r="B853">
        <f ca="1">_xlfn.NORM.INV(RAND(),Hitorical_Sim!$AB$4,Hitorical_Sim!$AB$5)</f>
        <v>-3.7376688295633669E-2</v>
      </c>
      <c r="C853">
        <f ca="1">_xlfn.NORM.INV(RAND(),Hitorical_Sim!$AB$4,Hitorical_Sim!$AB$5)</f>
        <v>8.783763236177829E-3</v>
      </c>
      <c r="D853">
        <f ca="1">_xlfn.NORM.INV(RAND(),Hitorical_Sim!$AB$4,Hitorical_Sim!$AB$5)</f>
        <v>-9.3319495373886552E-3</v>
      </c>
      <c r="K853">
        <f t="shared" ca="1" si="141"/>
        <v>1.7431363179317994</v>
      </c>
      <c r="L853">
        <f t="shared" ca="1" si="141"/>
        <v>-0.7073176940065341</v>
      </c>
      <c r="M853">
        <f t="shared" ca="1" si="141"/>
        <v>-1.1934798460303608</v>
      </c>
      <c r="O853">
        <v>851</v>
      </c>
      <c r="P853" s="6">
        <f t="shared" ca="1" si="134"/>
        <v>2000.1072830304001</v>
      </c>
      <c r="Q853" s="6">
        <f t="shared" ca="1" si="135"/>
        <v>376.72670350538283</v>
      </c>
      <c r="R853" s="6">
        <f t="shared" ca="1" si="136"/>
        <v>145.3789298587734</v>
      </c>
      <c r="S853" s="6"/>
      <c r="T853" s="4">
        <f t="shared" ca="1" si="137"/>
        <v>1.6475826861779879E-2</v>
      </c>
      <c r="U853" s="4">
        <f t="shared" ca="1" si="138"/>
        <v>-9.2974094273098051E-3</v>
      </c>
      <c r="V853" s="4">
        <f t="shared" ca="1" si="139"/>
        <v>-2.1701296874268309E-2</v>
      </c>
      <c r="W853" s="4"/>
      <c r="X853">
        <v>851</v>
      </c>
      <c r="Y853" s="4">
        <f t="shared" ca="1" si="140"/>
        <v>9.4429211867312519E-3</v>
      </c>
      <c r="Z853" s="4">
        <f ca="1"/>
        <v>2.1715917957790338E-2</v>
      </c>
      <c r="AA853" s="4"/>
    </row>
    <row r="854" spans="1:27" x14ac:dyDescent="0.35">
      <c r="A854">
        <v>852</v>
      </c>
      <c r="B854">
        <f ca="1">_xlfn.NORM.INV(RAND(),Hitorical_Sim!$AB$4,Hitorical_Sim!$AB$5)</f>
        <v>2.1722873565405917E-2</v>
      </c>
      <c r="C854">
        <f ca="1">_xlfn.NORM.INV(RAND(),Hitorical_Sim!$AB$4,Hitorical_Sim!$AB$5)</f>
        <v>-2.9805394951458949E-2</v>
      </c>
      <c r="D854">
        <f ca="1">_xlfn.NORM.INV(RAND(),Hitorical_Sim!$AB$4,Hitorical_Sim!$AB$5)</f>
        <v>-2.4580832680579222E-2</v>
      </c>
      <c r="K854">
        <f t="shared" ca="1" si="141"/>
        <v>1.1105496752847577</v>
      </c>
      <c r="L854">
        <f t="shared" ca="1" si="141"/>
        <v>2.2258318571699354</v>
      </c>
      <c r="M854">
        <f t="shared" ca="1" si="141"/>
        <v>0.3324992575107662</v>
      </c>
      <c r="O854">
        <v>852</v>
      </c>
      <c r="P854" s="6">
        <f t="shared" ca="1" si="134"/>
        <v>1977.2841475193675</v>
      </c>
      <c r="Q854" s="6">
        <f t="shared" ca="1" si="135"/>
        <v>409.60864914025746</v>
      </c>
      <c r="R854" s="6">
        <f t="shared" ca="1" si="136"/>
        <v>152.30634265435398</v>
      </c>
      <c r="S854" s="6"/>
      <c r="T854" s="4">
        <f t="shared" ca="1" si="137"/>
        <v>-1.1476560159926373E-2</v>
      </c>
      <c r="U854" s="4">
        <f t="shared" ca="1" si="138"/>
        <v>8.368218939307305E-2</v>
      </c>
      <c r="V854" s="4">
        <f t="shared" ca="1" si="139"/>
        <v>4.6550261791524918E-2</v>
      </c>
      <c r="W854" s="4"/>
      <c r="X854">
        <v>852</v>
      </c>
      <c r="Y854" s="4">
        <f t="shared" ca="1" si="140"/>
        <v>1.0385843501142675E-2</v>
      </c>
      <c r="Z854" s="4">
        <f ca="1"/>
        <v>2.1811757043921871E-2</v>
      </c>
      <c r="AA854" s="4"/>
    </row>
    <row r="855" spans="1:27" x14ac:dyDescent="0.35">
      <c r="A855">
        <v>853</v>
      </c>
      <c r="B855">
        <f ca="1">_xlfn.NORM.INV(RAND(),Hitorical_Sim!$AB$4,Hitorical_Sim!$AB$5)</f>
        <v>2.0942155011388363E-2</v>
      </c>
      <c r="C855">
        <f ca="1">_xlfn.NORM.INV(RAND(),Hitorical_Sim!$AB$4,Hitorical_Sim!$AB$5)</f>
        <v>1.605225282431643E-3</v>
      </c>
      <c r="D855">
        <f ca="1">_xlfn.NORM.INV(RAND(),Hitorical_Sim!$AB$4,Hitorical_Sim!$AB$5)</f>
        <v>-1.5714317520280578E-2</v>
      </c>
      <c r="K855">
        <f t="shared" ca="1" si="141"/>
        <v>-1.0720738519134714</v>
      </c>
      <c r="L855">
        <f t="shared" ca="1" si="141"/>
        <v>0.7577959082781659</v>
      </c>
      <c r="M855">
        <f t="shared" ca="1" si="141"/>
        <v>-0.11205091843694301</v>
      </c>
      <c r="O855">
        <v>853</v>
      </c>
      <c r="P855" s="6">
        <f t="shared" ca="1" si="134"/>
        <v>1900.5180493188518</v>
      </c>
      <c r="Q855" s="6">
        <f t="shared" ca="1" si="135"/>
        <v>392.80739704311549</v>
      </c>
      <c r="R855" s="6">
        <f t="shared" ca="1" si="136"/>
        <v>150.25484561961795</v>
      </c>
      <c r="S855" s="6"/>
      <c r="T855" s="4">
        <f t="shared" ca="1" si="137"/>
        <v>-3.9597753932242581E-2</v>
      </c>
      <c r="U855" s="4">
        <f t="shared" ca="1" si="138"/>
        <v>-4.1882781688280253E-2</v>
      </c>
      <c r="V855" s="4">
        <f t="shared" ca="1" si="139"/>
        <v>-1.356108155204256E-2</v>
      </c>
      <c r="W855" s="4"/>
      <c r="X855">
        <v>853</v>
      </c>
      <c r="Y855" s="4">
        <f t="shared" ca="1" si="140"/>
        <v>-3.8765214463766601E-2</v>
      </c>
      <c r="Z855" s="4">
        <f ca="1"/>
        <v>2.1865248530311306E-2</v>
      </c>
      <c r="AA855" s="4"/>
    </row>
    <row r="856" spans="1:27" x14ac:dyDescent="0.35">
      <c r="A856">
        <v>854</v>
      </c>
      <c r="B856">
        <f ca="1">_xlfn.NORM.INV(RAND(),Hitorical_Sim!$AB$4,Hitorical_Sim!$AB$5)</f>
        <v>9.1003931159177823E-3</v>
      </c>
      <c r="C856">
        <f ca="1">_xlfn.NORM.INV(RAND(),Hitorical_Sim!$AB$4,Hitorical_Sim!$AB$5)</f>
        <v>1.0988614809476438E-2</v>
      </c>
      <c r="D856">
        <f ca="1">_xlfn.NORM.INV(RAND(),Hitorical_Sim!$AB$4,Hitorical_Sim!$AB$5)</f>
        <v>-7.3370861049837661E-3</v>
      </c>
      <c r="K856">
        <f t="shared" ca="1" si="141"/>
        <v>0.37678963747951688</v>
      </c>
      <c r="L856">
        <f t="shared" ca="1" si="141"/>
        <v>0.87650536881706098</v>
      </c>
      <c r="M856">
        <f t="shared" ca="1" si="141"/>
        <v>-1.0297928526630402</v>
      </c>
      <c r="O856">
        <v>854</v>
      </c>
      <c r="P856" s="6">
        <f t="shared" ca="1" si="134"/>
        <v>1951.1368152099456</v>
      </c>
      <c r="Q856" s="6">
        <f t="shared" ca="1" si="135"/>
        <v>394.13999593887519</v>
      </c>
      <c r="R856" s="6">
        <f t="shared" ca="1" si="136"/>
        <v>146.10666594882866</v>
      </c>
      <c r="S856" s="6"/>
      <c r="T856" s="4">
        <f t="shared" ca="1" si="137"/>
        <v>2.6285678322198164E-2</v>
      </c>
      <c r="U856" s="4">
        <f t="shared" ca="1" si="138"/>
        <v>3.3867579495158338E-3</v>
      </c>
      <c r="V856" s="4">
        <f t="shared" ca="1" si="139"/>
        <v>-2.7995879626496009E-2</v>
      </c>
      <c r="W856" s="4"/>
      <c r="X856">
        <v>854</v>
      </c>
      <c r="Y856" s="4">
        <f t="shared" ca="1" si="140"/>
        <v>1.9029384093674821E-2</v>
      </c>
      <c r="Z856" s="4">
        <f ca="1"/>
        <v>2.2058164979098471E-2</v>
      </c>
      <c r="AA856" s="4"/>
    </row>
    <row r="857" spans="1:27" x14ac:dyDescent="0.35">
      <c r="A857">
        <v>855</v>
      </c>
      <c r="B857">
        <f ca="1">_xlfn.NORM.INV(RAND(),Hitorical_Sim!$AB$4,Hitorical_Sim!$AB$5)</f>
        <v>2.0649299035739161E-2</v>
      </c>
      <c r="C857">
        <f ca="1">_xlfn.NORM.INV(RAND(),Hitorical_Sim!$AB$4,Hitorical_Sim!$AB$5)</f>
        <v>3.735474280745458E-3</v>
      </c>
      <c r="D857">
        <f ca="1">_xlfn.NORM.INV(RAND(),Hitorical_Sim!$AB$4,Hitorical_Sim!$AB$5)</f>
        <v>1.1068354822867067E-2</v>
      </c>
      <c r="K857">
        <f t="shared" ca="1" si="141"/>
        <v>9.8006305859896059E-2</v>
      </c>
      <c r="L857">
        <f t="shared" ca="1" si="141"/>
        <v>-0.25696046998130367</v>
      </c>
      <c r="M857">
        <f t="shared" ca="1" si="141"/>
        <v>0.90480569532811139</v>
      </c>
      <c r="O857">
        <v>855</v>
      </c>
      <c r="P857" s="6">
        <f t="shared" ca="1" si="134"/>
        <v>1941.2933404709831</v>
      </c>
      <c r="Q857" s="6">
        <f t="shared" ca="1" si="135"/>
        <v>381.59834580492389</v>
      </c>
      <c r="R857" s="6">
        <f t="shared" ca="1" si="136"/>
        <v>154.98870041115691</v>
      </c>
      <c r="S857" s="6"/>
      <c r="T857" s="4">
        <f t="shared" ca="1" si="137"/>
        <v>-5.0577635713728499E-3</v>
      </c>
      <c r="U857" s="4">
        <f t="shared" ca="1" si="138"/>
        <v>-3.2337561156695692E-2</v>
      </c>
      <c r="V857" s="4">
        <f t="shared" ca="1" si="139"/>
        <v>5.9015270039748033E-2</v>
      </c>
      <c r="W857" s="4"/>
      <c r="X857">
        <v>855</v>
      </c>
      <c r="Y857" s="4">
        <f t="shared" ca="1" si="140"/>
        <v>-7.3309591853688728E-3</v>
      </c>
      <c r="Z857" s="4">
        <f ca="1"/>
        <v>2.2136568643452897E-2</v>
      </c>
      <c r="AA857" s="4"/>
    </row>
    <row r="858" spans="1:27" x14ac:dyDescent="0.35">
      <c r="A858">
        <v>856</v>
      </c>
      <c r="B858">
        <f ca="1">_xlfn.NORM.INV(RAND(),Hitorical_Sim!$AB$4,Hitorical_Sim!$AB$5)</f>
        <v>4.7793941985018955E-2</v>
      </c>
      <c r="C858">
        <f ca="1">_xlfn.NORM.INV(RAND(),Hitorical_Sim!$AB$4,Hitorical_Sim!$AB$5)</f>
        <v>3.0126686593351139E-2</v>
      </c>
      <c r="D858">
        <f ca="1">_xlfn.NORM.INV(RAND(),Hitorical_Sim!$AB$4,Hitorical_Sim!$AB$5)</f>
        <v>1.6972690334800505E-2</v>
      </c>
      <c r="K858">
        <f t="shared" ca="1" si="141"/>
        <v>0.23937890922130378</v>
      </c>
      <c r="L858">
        <f t="shared" ca="1" si="141"/>
        <v>0.30606894880041352</v>
      </c>
      <c r="M858">
        <f t="shared" ca="1" si="141"/>
        <v>-3.9259026070087771E-2</v>
      </c>
      <c r="O858">
        <v>856</v>
      </c>
      <c r="P858" s="6">
        <f t="shared" ca="1" si="134"/>
        <v>1946.2788000936148</v>
      </c>
      <c r="Q858" s="6">
        <f t="shared" ca="1" si="135"/>
        <v>387.77750138296489</v>
      </c>
      <c r="R858" s="6">
        <f t="shared" ca="1" si="136"/>
        <v>150.5888616487866</v>
      </c>
      <c r="S858" s="6"/>
      <c r="T858" s="4">
        <f t="shared" ca="1" si="137"/>
        <v>2.564820497399924E-3</v>
      </c>
      <c r="U858" s="4">
        <f t="shared" ca="1" si="138"/>
        <v>1.6063120422027566E-2</v>
      </c>
      <c r="V858" s="4">
        <f t="shared" ca="1" si="139"/>
        <v>-2.879886089347402E-2</v>
      </c>
      <c r="W858" s="4"/>
      <c r="X858">
        <v>856</v>
      </c>
      <c r="Y858" s="4">
        <f t="shared" ca="1" si="140"/>
        <v>3.7064583866136098E-3</v>
      </c>
      <c r="Z858" s="4">
        <f ca="1"/>
        <v>2.2159574274185516E-2</v>
      </c>
      <c r="AA858" s="4"/>
    </row>
    <row r="859" spans="1:27" x14ac:dyDescent="0.35">
      <c r="A859">
        <v>857</v>
      </c>
      <c r="B859">
        <f ca="1">_xlfn.NORM.INV(RAND(),Hitorical_Sim!$AB$4,Hitorical_Sim!$AB$5)</f>
        <v>1.3252594357796816E-2</v>
      </c>
      <c r="C859">
        <f ca="1">_xlfn.NORM.INV(RAND(),Hitorical_Sim!$AB$4,Hitorical_Sim!$AB$5)</f>
        <v>-5.9622862029527464E-3</v>
      </c>
      <c r="D859">
        <f ca="1">_xlfn.NORM.INV(RAND(),Hitorical_Sim!$AB$4,Hitorical_Sim!$AB$5)</f>
        <v>-8.1181957649648136E-3</v>
      </c>
      <c r="K859">
        <f t="shared" ca="1" si="141"/>
        <v>0.31276590534000204</v>
      </c>
      <c r="L859">
        <f t="shared" ca="1" si="141"/>
        <v>-1.319544347169884</v>
      </c>
      <c r="M859">
        <f t="shared" ca="1" si="141"/>
        <v>-0.42267232257475862</v>
      </c>
      <c r="O859">
        <v>857</v>
      </c>
      <c r="P859" s="6">
        <f t="shared" ca="1" si="134"/>
        <v>1948.8718150828342</v>
      </c>
      <c r="Q859" s="6">
        <f t="shared" ca="1" si="135"/>
        <v>370.20366204809824</v>
      </c>
      <c r="R859" s="6">
        <f t="shared" ca="1" si="136"/>
        <v>148.83782085828224</v>
      </c>
      <c r="S859" s="6"/>
      <c r="T859" s="4">
        <f t="shared" ca="1" si="137"/>
        <v>1.3314069870148154E-3</v>
      </c>
      <c r="U859" s="4">
        <f t="shared" ca="1" si="138"/>
        <v>-4.6378432923313326E-2</v>
      </c>
      <c r="V859" s="4">
        <f t="shared" ca="1" si="139"/>
        <v>-1.169609025787223E-2</v>
      </c>
      <c r="W859" s="4"/>
      <c r="X859">
        <v>857</v>
      </c>
      <c r="Y859" s="4">
        <f t="shared" ca="1" si="140"/>
        <v>-8.8346868697878785E-3</v>
      </c>
      <c r="Z859" s="4">
        <f ca="1"/>
        <v>2.2204665080473748E-2</v>
      </c>
      <c r="AA859" s="4"/>
    </row>
    <row r="860" spans="1:27" x14ac:dyDescent="0.35">
      <c r="A860">
        <v>858</v>
      </c>
      <c r="B860">
        <f ca="1">_xlfn.NORM.INV(RAND(),Hitorical_Sim!$AB$4,Hitorical_Sim!$AB$5)</f>
        <v>1.1461490644144659E-2</v>
      </c>
      <c r="C860">
        <f ca="1">_xlfn.NORM.INV(RAND(),Hitorical_Sim!$AB$4,Hitorical_Sim!$AB$5)</f>
        <v>-2.0299868863405974E-2</v>
      </c>
      <c r="D860">
        <f ca="1">_xlfn.NORM.INV(RAND(),Hitorical_Sim!$AB$4,Hitorical_Sim!$AB$5)</f>
        <v>2.9529018482253241E-3</v>
      </c>
      <c r="K860">
        <f t="shared" ca="1" si="141"/>
        <v>-0.4834468964972643</v>
      </c>
      <c r="L860">
        <f t="shared" ca="1" si="141"/>
        <v>-1.5496376797487941</v>
      </c>
      <c r="M860">
        <f t="shared" ca="1" si="141"/>
        <v>1.5767127689378611</v>
      </c>
      <c r="O860">
        <v>858</v>
      </c>
      <c r="P860" s="6">
        <f t="shared" ca="1" si="134"/>
        <v>1920.922497339086</v>
      </c>
      <c r="Q860" s="6">
        <f t="shared" ca="1" si="135"/>
        <v>367.78141249195357</v>
      </c>
      <c r="R860" s="6">
        <f t="shared" ca="1" si="136"/>
        <v>158.19822851548312</v>
      </c>
      <c r="S860" s="6"/>
      <c r="T860" s="4">
        <f t="shared" ca="1" si="137"/>
        <v>-1.4445110763249882E-2</v>
      </c>
      <c r="U860" s="4">
        <f t="shared" ca="1" si="138"/>
        <v>-6.5645182760042525E-3</v>
      </c>
      <c r="V860" s="4">
        <f t="shared" ca="1" si="139"/>
        <v>6.0991594980563842E-2</v>
      </c>
      <c r="W860" s="4"/>
      <c r="X860">
        <v>858</v>
      </c>
      <c r="Y860" s="4">
        <f t="shared" ca="1" si="140"/>
        <v>-9.1390250627463639E-3</v>
      </c>
      <c r="Z860" s="4">
        <f ca="1"/>
        <v>2.2536827025918135E-2</v>
      </c>
      <c r="AA860" s="4"/>
    </row>
    <row r="861" spans="1:27" x14ac:dyDescent="0.35">
      <c r="A861">
        <v>859</v>
      </c>
      <c r="B861">
        <f ca="1">_xlfn.NORM.INV(RAND(),Hitorical_Sim!$AB$4,Hitorical_Sim!$AB$5)</f>
        <v>-1.6605681192966678E-2</v>
      </c>
      <c r="C861">
        <f ca="1">_xlfn.NORM.INV(RAND(),Hitorical_Sim!$AB$4,Hitorical_Sim!$AB$5)</f>
        <v>-7.1813684091733753E-3</v>
      </c>
      <c r="D861">
        <f ca="1">_xlfn.NORM.INV(RAND(),Hitorical_Sim!$AB$4,Hitorical_Sim!$AB$5)</f>
        <v>4.4413386795278407E-3</v>
      </c>
      <c r="K861">
        <f t="shared" ca="1" si="141"/>
        <v>1.7830675448982685E-2</v>
      </c>
      <c r="L861">
        <f t="shared" ca="1" si="141"/>
        <v>1.4223492608587363</v>
      </c>
      <c r="M861">
        <f t="shared" ca="1" si="141"/>
        <v>-1.2115505932108477</v>
      </c>
      <c r="O861">
        <v>859</v>
      </c>
      <c r="P861" s="6">
        <f t="shared" ca="1" si="134"/>
        <v>1938.4716494825554</v>
      </c>
      <c r="Q861" s="6">
        <f t="shared" ca="1" si="135"/>
        <v>400.32590845380128</v>
      </c>
      <c r="R861" s="6">
        <f t="shared" ca="1" si="136"/>
        <v>145.29881161485162</v>
      </c>
      <c r="S861" s="6"/>
      <c r="T861" s="4">
        <f t="shared" ca="1" si="137"/>
        <v>9.0943150288312919E-3</v>
      </c>
      <c r="U861" s="4">
        <f t="shared" ca="1" si="138"/>
        <v>8.4790212601981482E-2</v>
      </c>
      <c r="V861" s="4">
        <f t="shared" ca="1" si="139"/>
        <v>-8.5056465813027102E-2</v>
      </c>
      <c r="W861" s="4"/>
      <c r="X861">
        <v>859</v>
      </c>
      <c r="Y861" s="4">
        <f t="shared" ca="1" si="140"/>
        <v>1.9541268178512108E-2</v>
      </c>
      <c r="Z861" s="4">
        <f ca="1"/>
        <v>2.2589312133624768E-2</v>
      </c>
      <c r="AA861" s="4"/>
    </row>
    <row r="862" spans="1:27" x14ac:dyDescent="0.35">
      <c r="A862">
        <v>860</v>
      </c>
      <c r="B862">
        <f ca="1">_xlfn.NORM.INV(RAND(),Hitorical_Sim!$AB$4,Hitorical_Sim!$AB$5)</f>
        <v>1.4927597455915646E-2</v>
      </c>
      <c r="C862">
        <f ca="1">_xlfn.NORM.INV(RAND(),Hitorical_Sim!$AB$4,Hitorical_Sim!$AB$5)</f>
        <v>9.1304370606106432E-3</v>
      </c>
      <c r="D862">
        <f ca="1">_xlfn.NORM.INV(RAND(),Hitorical_Sim!$AB$4,Hitorical_Sim!$AB$5)</f>
        <v>1.3266458509002654E-2</v>
      </c>
      <c r="K862">
        <f t="shared" ca="1" si="141"/>
        <v>0.75227852605191325</v>
      </c>
      <c r="L862">
        <f t="shared" ca="1" si="141"/>
        <v>-0.26872836259121713</v>
      </c>
      <c r="M862">
        <f t="shared" ca="1" si="141"/>
        <v>7.935745324866883E-2</v>
      </c>
      <c r="O862">
        <v>860</v>
      </c>
      <c r="P862" s="6">
        <f t="shared" ca="1" si="134"/>
        <v>1964.4737684561321</v>
      </c>
      <c r="Q862" s="6">
        <f t="shared" ca="1" si="135"/>
        <v>381.4702511213103</v>
      </c>
      <c r="R862" s="6">
        <f t="shared" ca="1" si="136"/>
        <v>151.1347419055503</v>
      </c>
      <c r="S862" s="6"/>
      <c r="T862" s="4">
        <f t="shared" ca="1" si="137"/>
        <v>1.3324554098237757E-2</v>
      </c>
      <c r="U862" s="4">
        <f t="shared" ca="1" si="138"/>
        <v>-4.8246117524817965E-2</v>
      </c>
      <c r="V862" s="4">
        <f t="shared" ca="1" si="139"/>
        <v>3.937937772019881E-2</v>
      </c>
      <c r="W862" s="4"/>
      <c r="X862">
        <v>860</v>
      </c>
      <c r="Y862" s="4">
        <f t="shared" ca="1" si="140"/>
        <v>2.3264687618088399E-3</v>
      </c>
      <c r="Z862" s="4">
        <f ca="1"/>
        <v>2.2617885205854296E-2</v>
      </c>
      <c r="AA862" s="4"/>
    </row>
    <row r="863" spans="1:27" x14ac:dyDescent="0.35">
      <c r="A863">
        <v>861</v>
      </c>
      <c r="B863">
        <f ca="1">_xlfn.NORM.INV(RAND(),Hitorical_Sim!$AB$4,Hitorical_Sim!$AB$5)</f>
        <v>-3.6099119504661033E-3</v>
      </c>
      <c r="C863">
        <f ca="1">_xlfn.NORM.INV(RAND(),Hitorical_Sim!$AB$4,Hitorical_Sim!$AB$5)</f>
        <v>6.0995862047059203E-3</v>
      </c>
      <c r="D863">
        <f ca="1">_xlfn.NORM.INV(RAND(),Hitorical_Sim!$AB$4,Hitorical_Sim!$AB$5)</f>
        <v>1.1441046594246969E-2</v>
      </c>
      <c r="K863">
        <f t="shared" ca="1" si="141"/>
        <v>0.43430028532798209</v>
      </c>
      <c r="L863">
        <f t="shared" ca="1" si="141"/>
        <v>0.71427630890715144</v>
      </c>
      <c r="M863">
        <f t="shared" ca="1" si="141"/>
        <v>-2.1077239402881411</v>
      </c>
      <c r="O863">
        <v>861</v>
      </c>
      <c r="P863" s="6">
        <f t="shared" ca="1" si="134"/>
        <v>1953.1736428937356</v>
      </c>
      <c r="Q863" s="6">
        <f t="shared" ca="1" si="135"/>
        <v>392.3199877668585</v>
      </c>
      <c r="R863" s="6">
        <f t="shared" ca="1" si="136"/>
        <v>141.38044745314335</v>
      </c>
      <c r="S863" s="6"/>
      <c r="T863" s="4">
        <f t="shared" ca="1" si="137"/>
        <v>-5.768848349287395E-3</v>
      </c>
      <c r="U863" s="4">
        <f t="shared" ca="1" si="138"/>
        <v>2.8044933154399994E-2</v>
      </c>
      <c r="V863" s="4">
        <f t="shared" ca="1" si="139"/>
        <v>-6.6717303790240157E-2</v>
      </c>
      <c r="W863" s="4"/>
      <c r="X863">
        <v>861</v>
      </c>
      <c r="Y863" s="4">
        <f t="shared" ca="1" si="140"/>
        <v>-2.0370422436678322E-3</v>
      </c>
      <c r="Z863" s="4">
        <f ca="1"/>
        <v>2.2670489381662818E-2</v>
      </c>
      <c r="AA863" s="4"/>
    </row>
    <row r="864" spans="1:27" x14ac:dyDescent="0.35">
      <c r="A864">
        <v>862</v>
      </c>
      <c r="B864">
        <f ca="1">_xlfn.NORM.INV(RAND(),Hitorical_Sim!$AB$4,Hitorical_Sim!$AB$5)</f>
        <v>-4.3342822015079475E-3</v>
      </c>
      <c r="C864">
        <f ca="1">_xlfn.NORM.INV(RAND(),Hitorical_Sim!$AB$4,Hitorical_Sim!$AB$5)</f>
        <v>-9.4047848175048219E-3</v>
      </c>
      <c r="D864">
        <f ca="1">_xlfn.NORM.INV(RAND(),Hitorical_Sim!$AB$4,Hitorical_Sim!$AB$5)</f>
        <v>6.9818054889106843E-3</v>
      </c>
      <c r="K864">
        <f t="shared" ref="K864:M883" ca="1" si="142">_xlfn.NORM.S.INV(RAND())</f>
        <v>-2.1453619894521352</v>
      </c>
      <c r="L864">
        <f t="shared" ca="1" si="142"/>
        <v>-1.5702797829578814</v>
      </c>
      <c r="M864">
        <f t="shared" ca="1" si="142"/>
        <v>0.25500990513533595</v>
      </c>
      <c r="O864">
        <v>862</v>
      </c>
      <c r="P864" s="6">
        <f t="shared" ca="1" si="134"/>
        <v>1863.8693435404839</v>
      </c>
      <c r="Q864" s="6">
        <f t="shared" ca="1" si="135"/>
        <v>367.56488418805316</v>
      </c>
      <c r="R864" s="6">
        <f t="shared" ca="1" si="136"/>
        <v>151.94674208994894</v>
      </c>
      <c r="S864" s="6"/>
      <c r="T864" s="4">
        <f t="shared" ca="1" si="137"/>
        <v>-4.680093965456246E-2</v>
      </c>
      <c r="U864" s="4">
        <f t="shared" ca="1" si="138"/>
        <v>-6.5177943443718744E-2</v>
      </c>
      <c r="V864" s="4">
        <f t="shared" ca="1" si="139"/>
        <v>7.2075612826499616E-2</v>
      </c>
      <c r="W864" s="4"/>
      <c r="X864">
        <v>862</v>
      </c>
      <c r="Y864" s="4">
        <f t="shared" ca="1" si="140"/>
        <v>-4.4585189242781598E-2</v>
      </c>
      <c r="Z864" s="4">
        <f ca="1"/>
        <v>2.271452295166795E-2</v>
      </c>
      <c r="AA864" s="4"/>
    </row>
    <row r="865" spans="1:27" x14ac:dyDescent="0.35">
      <c r="A865">
        <v>863</v>
      </c>
      <c r="B865">
        <f ca="1">_xlfn.NORM.INV(RAND(),Hitorical_Sim!$AB$4,Hitorical_Sim!$AB$5)</f>
        <v>-4.2225398670778243E-2</v>
      </c>
      <c r="C865">
        <f ca="1">_xlfn.NORM.INV(RAND(),Hitorical_Sim!$AB$4,Hitorical_Sim!$AB$5)</f>
        <v>8.3626734846909256E-3</v>
      </c>
      <c r="D865">
        <f ca="1">_xlfn.NORM.INV(RAND(),Hitorical_Sim!$AB$4,Hitorical_Sim!$AB$5)</f>
        <v>9.4649097436572006E-3</v>
      </c>
      <c r="K865">
        <f t="shared" ca="1" si="142"/>
        <v>6.01296571841076E-2</v>
      </c>
      <c r="L865">
        <f t="shared" ca="1" si="142"/>
        <v>0.5807553561701827</v>
      </c>
      <c r="M865">
        <f t="shared" ca="1" si="142"/>
        <v>-0.55222396039477295</v>
      </c>
      <c r="O865">
        <v>863</v>
      </c>
      <c r="P865" s="6">
        <f t="shared" ca="1" si="134"/>
        <v>1939.9598030030409</v>
      </c>
      <c r="Q865" s="6">
        <f t="shared" ca="1" si="135"/>
        <v>390.82835552280977</v>
      </c>
      <c r="R865" s="6">
        <f t="shared" ca="1" si="136"/>
        <v>148.25077521464988</v>
      </c>
      <c r="S865" s="6"/>
      <c r="T865" s="4">
        <f t="shared" ca="1" si="137"/>
        <v>4.0012633619516062E-2</v>
      </c>
      <c r="U865" s="4">
        <f t="shared" ca="1" si="138"/>
        <v>6.1368616486490238E-2</v>
      </c>
      <c r="V865" s="4">
        <f t="shared" ca="1" si="139"/>
        <v>-2.4624811493297261E-2</v>
      </c>
      <c r="W865" s="4"/>
      <c r="X865">
        <v>863</v>
      </c>
      <c r="Y865" s="4">
        <f t="shared" ca="1" si="140"/>
        <v>4.1075691766018683E-2</v>
      </c>
      <c r="Z865" s="4">
        <f ca="1"/>
        <v>2.2788910629751566E-2</v>
      </c>
      <c r="AA865" s="4"/>
    </row>
    <row r="866" spans="1:27" x14ac:dyDescent="0.35">
      <c r="A866">
        <v>864</v>
      </c>
      <c r="B866">
        <f ca="1">_xlfn.NORM.INV(RAND(),Hitorical_Sim!$AB$4,Hitorical_Sim!$AB$5)</f>
        <v>-3.5520115359389107E-2</v>
      </c>
      <c r="C866">
        <f ca="1">_xlfn.NORM.INV(RAND(),Hitorical_Sim!$AB$4,Hitorical_Sim!$AB$5)</f>
        <v>8.2066051934634246E-3</v>
      </c>
      <c r="D866">
        <f ca="1">_xlfn.NORM.INV(RAND(),Hitorical_Sim!$AB$4,Hitorical_Sim!$AB$5)</f>
        <v>1.0256902736065799E-2</v>
      </c>
      <c r="K866">
        <f t="shared" ca="1" si="142"/>
        <v>-0.15073289199497164</v>
      </c>
      <c r="L866">
        <f t="shared" ca="1" si="142"/>
        <v>-0.21195677907061261</v>
      </c>
      <c r="M866">
        <f t="shared" ca="1" si="142"/>
        <v>1.4230201304378582</v>
      </c>
      <c r="O866">
        <v>864</v>
      </c>
      <c r="P866" s="6">
        <f t="shared" ca="1" si="134"/>
        <v>1932.5526133172229</v>
      </c>
      <c r="Q866" s="6">
        <f t="shared" ca="1" si="135"/>
        <v>382.08861237332474</v>
      </c>
      <c r="R866" s="6">
        <f t="shared" ca="1" si="136"/>
        <v>157.45826459679787</v>
      </c>
      <c r="S866" s="6"/>
      <c r="T866" s="4">
        <f t="shared" ca="1" si="137"/>
        <v>-3.8255261303065265E-3</v>
      </c>
      <c r="U866" s="4">
        <f t="shared" ca="1" si="138"/>
        <v>-2.2615923899550291E-2</v>
      </c>
      <c r="V866" s="4">
        <f t="shared" ca="1" si="139"/>
        <v>6.0255169495473646E-2</v>
      </c>
      <c r="W866" s="4"/>
      <c r="X866">
        <v>864</v>
      </c>
      <c r="Y866" s="4">
        <f t="shared" ca="1" si="140"/>
        <v>-4.4041292612005574E-3</v>
      </c>
      <c r="Z866" s="4">
        <f ca="1"/>
        <v>2.2803441880939381E-2</v>
      </c>
      <c r="AA866" s="4"/>
    </row>
    <row r="867" spans="1:27" x14ac:dyDescent="0.35">
      <c r="A867">
        <v>865</v>
      </c>
      <c r="B867">
        <f ca="1">_xlfn.NORM.INV(RAND(),Hitorical_Sim!$AB$4,Hitorical_Sim!$AB$5)</f>
        <v>-2.3502626270483187E-3</v>
      </c>
      <c r="C867">
        <f ca="1">_xlfn.NORM.INV(RAND(),Hitorical_Sim!$AB$4,Hitorical_Sim!$AB$5)</f>
        <v>-1.2146493691696332E-2</v>
      </c>
      <c r="D867">
        <f ca="1">_xlfn.NORM.INV(RAND(),Hitorical_Sim!$AB$4,Hitorical_Sim!$AB$5)</f>
        <v>8.5857868378545633E-3</v>
      </c>
      <c r="K867">
        <f t="shared" ca="1" si="142"/>
        <v>2.5854190092354954</v>
      </c>
      <c r="L867">
        <f t="shared" ca="1" si="142"/>
        <v>-2.1101459046009481</v>
      </c>
      <c r="M867">
        <f t="shared" ca="1" si="142"/>
        <v>-0.55956117025385954</v>
      </c>
      <c r="O867">
        <v>865</v>
      </c>
      <c r="P867" s="6">
        <f t="shared" ca="1" si="134"/>
        <v>2030.9054822143321</v>
      </c>
      <c r="Q867" s="6">
        <f t="shared" ca="1" si="135"/>
        <v>361.94692412892198</v>
      </c>
      <c r="R867" s="6">
        <f t="shared" ca="1" si="136"/>
        <v>148.21759701214515</v>
      </c>
      <c r="S867" s="6"/>
      <c r="T867" s="4">
        <f t="shared" ca="1" si="137"/>
        <v>4.9640017325957263E-2</v>
      </c>
      <c r="U867" s="4">
        <f t="shared" ca="1" si="138"/>
        <v>-5.415496862162706E-2</v>
      </c>
      <c r="V867" s="4">
        <f t="shared" ca="1" si="139"/>
        <v>-6.0478992376774787E-2</v>
      </c>
      <c r="W867" s="4"/>
      <c r="X867">
        <v>865</v>
      </c>
      <c r="Y867" s="4">
        <f t="shared" ca="1" si="140"/>
        <v>2.347604809351888E-2</v>
      </c>
      <c r="Z867" s="4">
        <f ca="1"/>
        <v>2.3160181394178539E-2</v>
      </c>
      <c r="AA867" s="4"/>
    </row>
    <row r="868" spans="1:27" x14ac:dyDescent="0.35">
      <c r="A868">
        <v>866</v>
      </c>
      <c r="B868">
        <f ca="1">_xlfn.NORM.INV(RAND(),Hitorical_Sim!$AB$4,Hitorical_Sim!$AB$5)</f>
        <v>4.3500789620036034E-2</v>
      </c>
      <c r="C868">
        <f ca="1">_xlfn.NORM.INV(RAND(),Hitorical_Sim!$AB$4,Hitorical_Sim!$AB$5)</f>
        <v>-6.3893445527016847E-3</v>
      </c>
      <c r="D868">
        <f ca="1">_xlfn.NORM.INV(RAND(),Hitorical_Sim!$AB$4,Hitorical_Sim!$AB$5)</f>
        <v>-2.527934465515377E-2</v>
      </c>
      <c r="K868">
        <f t="shared" ca="1" si="142"/>
        <v>-1.3581671085237634</v>
      </c>
      <c r="L868">
        <f t="shared" ca="1" si="142"/>
        <v>1.1927842422578199</v>
      </c>
      <c r="M868">
        <f t="shared" ca="1" si="142"/>
        <v>-0.87445153519999264</v>
      </c>
      <c r="O868">
        <v>866</v>
      </c>
      <c r="P868" s="6">
        <f t="shared" ca="1" si="134"/>
        <v>1890.6791900107023</v>
      </c>
      <c r="Q868" s="6">
        <f t="shared" ca="1" si="135"/>
        <v>397.71256302546038</v>
      </c>
      <c r="R868" s="6">
        <f t="shared" ca="1" si="136"/>
        <v>146.80066673270022</v>
      </c>
      <c r="S868" s="6"/>
      <c r="T868" s="4">
        <f t="shared" ca="1" si="137"/>
        <v>-7.1545619643390165E-2</v>
      </c>
      <c r="U868" s="4">
        <f t="shared" ca="1" si="138"/>
        <v>9.4231958268430241E-2</v>
      </c>
      <c r="V868" s="4">
        <f t="shared" ca="1" si="139"/>
        <v>-9.605786140751197E-3</v>
      </c>
      <c r="W868" s="4"/>
      <c r="X868">
        <v>866</v>
      </c>
      <c r="Y868" s="4">
        <f t="shared" ca="1" si="140"/>
        <v>-3.5396295468033481E-2</v>
      </c>
      <c r="Z868" s="4">
        <f ca="1"/>
        <v>2.3262822435589622E-2</v>
      </c>
      <c r="AA868" s="4"/>
    </row>
    <row r="869" spans="1:27" x14ac:dyDescent="0.35">
      <c r="A869">
        <v>867</v>
      </c>
      <c r="B869">
        <f ca="1">_xlfn.NORM.INV(RAND(),Hitorical_Sim!$AB$4,Hitorical_Sim!$AB$5)</f>
        <v>5.2800750885007991E-3</v>
      </c>
      <c r="C869">
        <f ca="1">_xlfn.NORM.INV(RAND(),Hitorical_Sim!$AB$4,Hitorical_Sim!$AB$5)</f>
        <v>1.9283388246813818E-2</v>
      </c>
      <c r="D869">
        <f ca="1">_xlfn.NORM.INV(RAND(),Hitorical_Sim!$AB$4,Hitorical_Sim!$AB$5)</f>
        <v>-1.5781380862642191E-2</v>
      </c>
      <c r="K869">
        <f t="shared" ca="1" si="142"/>
        <v>2.7712380907200127</v>
      </c>
      <c r="L869">
        <f t="shared" ca="1" si="142"/>
        <v>-0.51015508834888523</v>
      </c>
      <c r="M869">
        <f t="shared" ca="1" si="142"/>
        <v>0.86637680788943627</v>
      </c>
      <c r="O869">
        <v>867</v>
      </c>
      <c r="P869" s="6">
        <f t="shared" ca="1" si="134"/>
        <v>2037.7635849936369</v>
      </c>
      <c r="Q869" s="6">
        <f t="shared" ca="1" si="135"/>
        <v>378.85176650706268</v>
      </c>
      <c r="R869" s="6">
        <f t="shared" ca="1" si="136"/>
        <v>154.80711671300929</v>
      </c>
      <c r="S869" s="6"/>
      <c r="T869" s="4">
        <f t="shared" ca="1" si="137"/>
        <v>7.4916800322444022E-2</v>
      </c>
      <c r="U869" s="4">
        <f t="shared" ca="1" si="138"/>
        <v>-4.8584529735821065E-2</v>
      </c>
      <c r="V869" s="4">
        <f t="shared" ca="1" si="139"/>
        <v>5.3104275751136014E-2</v>
      </c>
      <c r="W869" s="4"/>
      <c r="X869">
        <v>867</v>
      </c>
      <c r="Y869" s="4">
        <f t="shared" ca="1" si="140"/>
        <v>4.9190371015367343E-2</v>
      </c>
      <c r="Z869" s="4">
        <f ca="1"/>
        <v>2.3442947663630576E-2</v>
      </c>
      <c r="AA869" s="4"/>
    </row>
    <row r="870" spans="1:27" x14ac:dyDescent="0.35">
      <c r="A870">
        <v>868</v>
      </c>
      <c r="B870">
        <f ca="1">_xlfn.NORM.INV(RAND(),Hitorical_Sim!$AB$4,Hitorical_Sim!$AB$5)</f>
        <v>-1.7521839568244205E-3</v>
      </c>
      <c r="C870">
        <f ca="1">_xlfn.NORM.INV(RAND(),Hitorical_Sim!$AB$4,Hitorical_Sim!$AB$5)</f>
        <v>-3.238353538772798E-2</v>
      </c>
      <c r="D870">
        <f ca="1">_xlfn.NORM.INV(RAND(),Hitorical_Sim!$AB$4,Hitorical_Sim!$AB$5)</f>
        <v>1.5601745832868779E-2</v>
      </c>
      <c r="K870">
        <f t="shared" ca="1" si="142"/>
        <v>0.929707454257657</v>
      </c>
      <c r="L870">
        <f t="shared" ca="1" si="142"/>
        <v>-0.92959023849211608</v>
      </c>
      <c r="M870">
        <f t="shared" ca="1" si="142"/>
        <v>0.59801290125364104</v>
      </c>
      <c r="O870">
        <v>868</v>
      </c>
      <c r="P870" s="6">
        <f t="shared" ca="1" si="134"/>
        <v>1970.8075278310598</v>
      </c>
      <c r="Q870" s="6">
        <f t="shared" ca="1" si="135"/>
        <v>374.34529025491668</v>
      </c>
      <c r="R870" s="6">
        <f t="shared" ca="1" si="136"/>
        <v>153.54496341062892</v>
      </c>
      <c r="S870" s="6"/>
      <c r="T870" s="4">
        <f t="shared" ca="1" si="137"/>
        <v>-3.3409553270475491E-2</v>
      </c>
      <c r="U870" s="4">
        <f t="shared" ca="1" si="138"/>
        <v>-1.1966403710414159E-2</v>
      </c>
      <c r="V870" s="4">
        <f t="shared" ca="1" si="139"/>
        <v>-8.1864883210414352E-3</v>
      </c>
      <c r="W870" s="4"/>
      <c r="X870">
        <v>868</v>
      </c>
      <c r="Y870" s="4">
        <f t="shared" ca="1" si="140"/>
        <v>-2.7881892368186431E-2</v>
      </c>
      <c r="Z870" s="4">
        <f ca="1"/>
        <v>2.347604809351888E-2</v>
      </c>
      <c r="AA870" s="4"/>
    </row>
    <row r="871" spans="1:27" x14ac:dyDescent="0.35">
      <c r="A871">
        <v>869</v>
      </c>
      <c r="B871">
        <f ca="1">_xlfn.NORM.INV(RAND(),Hitorical_Sim!$AB$4,Hitorical_Sim!$AB$5)</f>
        <v>-2.726425738825267E-2</v>
      </c>
      <c r="C871">
        <f ca="1">_xlfn.NORM.INV(RAND(),Hitorical_Sim!$AB$4,Hitorical_Sim!$AB$5)</f>
        <v>3.5706462546537328E-3</v>
      </c>
      <c r="D871">
        <f ca="1">_xlfn.NORM.INV(RAND(),Hitorical_Sim!$AB$4,Hitorical_Sim!$AB$5)</f>
        <v>-2.2029250151852829E-2</v>
      </c>
      <c r="K871">
        <f t="shared" ca="1" si="142"/>
        <v>0.6149184420577386</v>
      </c>
      <c r="L871">
        <f t="shared" ca="1" si="142"/>
        <v>-1.0731272439563164</v>
      </c>
      <c r="M871">
        <f t="shared" ca="1" si="142"/>
        <v>1.4392801866242031</v>
      </c>
      <c r="O871">
        <v>869</v>
      </c>
      <c r="P871" s="6">
        <f t="shared" ca="1" si="134"/>
        <v>1959.5843469525867</v>
      </c>
      <c r="Q871" s="6">
        <f t="shared" ca="1" si="135"/>
        <v>372.81544976884493</v>
      </c>
      <c r="R871" s="6">
        <f t="shared" ca="1" si="136"/>
        <v>157.53638576999001</v>
      </c>
      <c r="S871" s="6"/>
      <c r="T871" s="4">
        <f t="shared" ca="1" si="137"/>
        <v>-5.710988491756489E-3</v>
      </c>
      <c r="U871" s="4">
        <f t="shared" ca="1" si="138"/>
        <v>-4.0950830043262913E-3</v>
      </c>
      <c r="V871" s="4">
        <f t="shared" ca="1" si="139"/>
        <v>2.5663006970259011E-2</v>
      </c>
      <c r="W871" s="4"/>
      <c r="X871">
        <v>869</v>
      </c>
      <c r="Y871" s="4">
        <f t="shared" ca="1" si="140"/>
        <v>-3.8358028161293279E-3</v>
      </c>
      <c r="Z871" s="4">
        <f ca="1"/>
        <v>2.3521828837241424E-2</v>
      </c>
      <c r="AA871" s="4"/>
    </row>
    <row r="872" spans="1:27" x14ac:dyDescent="0.35">
      <c r="A872">
        <v>870</v>
      </c>
      <c r="B872">
        <f ca="1">_xlfn.NORM.INV(RAND(),Hitorical_Sim!$AB$4,Hitorical_Sim!$AB$5)</f>
        <v>-3.0402086897722422E-2</v>
      </c>
      <c r="C872">
        <f ca="1">_xlfn.NORM.INV(RAND(),Hitorical_Sim!$AB$4,Hitorical_Sim!$AB$5)</f>
        <v>5.9666994505288657E-3</v>
      </c>
      <c r="D872">
        <f ca="1">_xlfn.NORM.INV(RAND(),Hitorical_Sim!$AB$4,Hitorical_Sim!$AB$5)</f>
        <v>2.7843642475266703E-2</v>
      </c>
      <c r="K872">
        <f t="shared" ca="1" si="142"/>
        <v>0.26488231639296611</v>
      </c>
      <c r="L872">
        <f t="shared" ca="1" si="142"/>
        <v>1.0742665524759418</v>
      </c>
      <c r="M872">
        <f t="shared" ca="1" si="142"/>
        <v>-0.40523458835225062</v>
      </c>
      <c r="O872">
        <v>870</v>
      </c>
      <c r="P872" s="6">
        <f t="shared" ca="1" si="134"/>
        <v>1947.1795318045147</v>
      </c>
      <c r="Q872" s="6">
        <f t="shared" ca="1" si="135"/>
        <v>396.37005378252456</v>
      </c>
      <c r="R872" s="6">
        <f t="shared" ca="1" si="136"/>
        <v>148.91701488264152</v>
      </c>
      <c r="S872" s="6"/>
      <c r="T872" s="4">
        <f t="shared" ca="1" si="137"/>
        <v>-6.3504512797320977E-3</v>
      </c>
      <c r="U872" s="4">
        <f t="shared" ca="1" si="138"/>
        <v>6.1264729683653013E-2</v>
      </c>
      <c r="V872" s="4">
        <f t="shared" ca="1" si="139"/>
        <v>-5.6267248649893194E-2</v>
      </c>
      <c r="W872" s="4"/>
      <c r="X872">
        <v>870</v>
      </c>
      <c r="Y872" s="4">
        <f t="shared" ca="1" si="140"/>
        <v>4.672993493682936E-3</v>
      </c>
      <c r="Z872" s="4">
        <f ca="1"/>
        <v>2.3522959142756827E-2</v>
      </c>
      <c r="AA872" s="4"/>
    </row>
    <row r="873" spans="1:27" x14ac:dyDescent="0.35">
      <c r="A873">
        <v>871</v>
      </c>
      <c r="B873">
        <f ca="1">_xlfn.NORM.INV(RAND(),Hitorical_Sim!$AB$4,Hitorical_Sim!$AB$5)</f>
        <v>-1.0737506397278173E-2</v>
      </c>
      <c r="C873">
        <f ca="1">_xlfn.NORM.INV(RAND(),Hitorical_Sim!$AB$4,Hitorical_Sim!$AB$5)</f>
        <v>-6.6427754207543039E-3</v>
      </c>
      <c r="D873">
        <f ca="1">_xlfn.NORM.INV(RAND(),Hitorical_Sim!$AB$4,Hitorical_Sim!$AB$5)</f>
        <v>1.8797049828280087E-2</v>
      </c>
      <c r="K873">
        <f t="shared" ca="1" si="142"/>
        <v>1.133548995945725</v>
      </c>
      <c r="L873">
        <f t="shared" ca="1" si="142"/>
        <v>6.0561007057531868E-3</v>
      </c>
      <c r="M873">
        <f t="shared" ca="1" si="142"/>
        <v>0.95628176497356843</v>
      </c>
      <c r="O873">
        <v>871</v>
      </c>
      <c r="P873" s="6">
        <f t="shared" ca="1" si="134"/>
        <v>1978.1093612072621</v>
      </c>
      <c r="Q873" s="6">
        <f t="shared" ca="1" si="135"/>
        <v>384.47255829834904</v>
      </c>
      <c r="R873" s="6">
        <f t="shared" ca="1" si="136"/>
        <v>155.23226827413976</v>
      </c>
      <c r="S873" s="6"/>
      <c r="T873" s="4">
        <f t="shared" ca="1" si="137"/>
        <v>1.575958886057784E-2</v>
      </c>
      <c r="U873" s="4">
        <f t="shared" ca="1" si="138"/>
        <v>-3.0475837585860348E-2</v>
      </c>
      <c r="V873" s="4">
        <f t="shared" ca="1" si="139"/>
        <v>4.1533296579019031E-2</v>
      </c>
      <c r="W873" s="4"/>
      <c r="X873">
        <v>871</v>
      </c>
      <c r="Y873" s="4">
        <f t="shared" ca="1" si="140"/>
        <v>7.8080166238367714E-3</v>
      </c>
      <c r="Z873" s="4">
        <f ca="1"/>
        <v>2.3711665278445804E-2</v>
      </c>
      <c r="AA873" s="4"/>
    </row>
    <row r="874" spans="1:27" x14ac:dyDescent="0.35">
      <c r="A874">
        <v>872</v>
      </c>
      <c r="B874">
        <f ca="1">_xlfn.NORM.INV(RAND(),Hitorical_Sim!$AB$4,Hitorical_Sim!$AB$5)</f>
        <v>-2.2499099642010398E-2</v>
      </c>
      <c r="C874">
        <f ca="1">_xlfn.NORM.INV(RAND(),Hitorical_Sim!$AB$4,Hitorical_Sim!$AB$5)</f>
        <v>5.1838435217895175E-3</v>
      </c>
      <c r="D874">
        <f ca="1">_xlfn.NORM.INV(RAND(),Hitorical_Sim!$AB$4,Hitorical_Sim!$AB$5)</f>
        <v>3.0142683898503994E-3</v>
      </c>
      <c r="K874">
        <f t="shared" ca="1" si="142"/>
        <v>-0.89251558119072694</v>
      </c>
      <c r="L874">
        <f t="shared" ca="1" si="142"/>
        <v>0.31312565944720649</v>
      </c>
      <c r="M874">
        <f t="shared" ca="1" si="142"/>
        <v>0.42545505357740881</v>
      </c>
      <c r="O874">
        <v>872</v>
      </c>
      <c r="P874" s="6">
        <f t="shared" ca="1" si="134"/>
        <v>1906.7192630892953</v>
      </c>
      <c r="Q874" s="6">
        <f t="shared" ca="1" si="135"/>
        <v>387.85557916426552</v>
      </c>
      <c r="R874" s="6">
        <f t="shared" ca="1" si="136"/>
        <v>152.73884045227132</v>
      </c>
      <c r="S874" s="6"/>
      <c r="T874" s="4">
        <f t="shared" ca="1" si="137"/>
        <v>-3.6757418572898909E-2</v>
      </c>
      <c r="U874" s="4">
        <f t="shared" ca="1" si="138"/>
        <v>8.7606351204095184E-3</v>
      </c>
      <c r="V874" s="4">
        <f t="shared" ca="1" si="139"/>
        <v>-1.6192962488204489E-2</v>
      </c>
      <c r="W874" s="4"/>
      <c r="X874">
        <v>872</v>
      </c>
      <c r="Y874" s="4">
        <f t="shared" ca="1" si="140"/>
        <v>-2.665573008774768E-2</v>
      </c>
      <c r="Z874" s="4">
        <f ca="1"/>
        <v>2.3823317652989947E-2</v>
      </c>
      <c r="AA874" s="4"/>
    </row>
    <row r="875" spans="1:27" x14ac:dyDescent="0.35">
      <c r="A875">
        <v>873</v>
      </c>
      <c r="B875">
        <f ca="1">_xlfn.NORM.INV(RAND(),Hitorical_Sim!$AB$4,Hitorical_Sim!$AB$5)</f>
        <v>-7.4804335371935378E-3</v>
      </c>
      <c r="C875">
        <f ca="1">_xlfn.NORM.INV(RAND(),Hitorical_Sim!$AB$4,Hitorical_Sim!$AB$5)</f>
        <v>4.0754159794614926E-3</v>
      </c>
      <c r="D875">
        <f ca="1">_xlfn.NORM.INV(RAND(),Hitorical_Sim!$AB$4,Hitorical_Sim!$AB$5)</f>
        <v>1.1259586923914846E-2</v>
      </c>
      <c r="K875">
        <f t="shared" ca="1" si="142"/>
        <v>0.35531269503491569</v>
      </c>
      <c r="L875">
        <f t="shared" ca="1" si="142"/>
        <v>-0.61820994180021671</v>
      </c>
      <c r="M875">
        <f t="shared" ca="1" si="142"/>
        <v>0.71011348488559511</v>
      </c>
      <c r="O875">
        <v>873</v>
      </c>
      <c r="P875" s="6">
        <f t="shared" ca="1" si="134"/>
        <v>1950.3767212342887</v>
      </c>
      <c r="Q875" s="6">
        <f t="shared" ca="1" si="135"/>
        <v>377.68564668770068</v>
      </c>
      <c r="R875" s="6">
        <f t="shared" ca="1" si="136"/>
        <v>154.07093195140249</v>
      </c>
      <c r="S875" s="6"/>
      <c r="T875" s="4">
        <f t="shared" ca="1" si="137"/>
        <v>2.263844241388947E-2</v>
      </c>
      <c r="U875" s="4">
        <f t="shared" ca="1" si="138"/>
        <v>-2.6570824573482529E-2</v>
      </c>
      <c r="V875" s="4">
        <f t="shared" ca="1" si="139"/>
        <v>8.6835556711170603E-3</v>
      </c>
      <c r="W875" s="4"/>
      <c r="X875">
        <v>873</v>
      </c>
      <c r="Y875" s="4">
        <f t="shared" ca="1" si="140"/>
        <v>1.2127213972211488E-2</v>
      </c>
      <c r="Z875" s="4">
        <f ca="1"/>
        <v>2.3855682871333109E-2</v>
      </c>
      <c r="AA875" s="4"/>
    </row>
    <row r="876" spans="1:27" x14ac:dyDescent="0.35">
      <c r="A876">
        <v>874</v>
      </c>
      <c r="B876">
        <f ca="1">_xlfn.NORM.INV(RAND(),Hitorical_Sim!$AB$4,Hitorical_Sim!$AB$5)</f>
        <v>6.3584680192494986E-3</v>
      </c>
      <c r="C876">
        <f ca="1">_xlfn.NORM.INV(RAND(),Hitorical_Sim!$AB$4,Hitorical_Sim!$AB$5)</f>
        <v>1.1484945901417752E-3</v>
      </c>
      <c r="D876">
        <f ca="1">_xlfn.NORM.INV(RAND(),Hitorical_Sim!$AB$4,Hitorical_Sim!$AB$5)</f>
        <v>-5.6977418308294678E-3</v>
      </c>
      <c r="K876">
        <f t="shared" ca="1" si="142"/>
        <v>-0.67292565716927877</v>
      </c>
      <c r="L876">
        <f t="shared" ca="1" si="142"/>
        <v>0.22304592142488217</v>
      </c>
      <c r="M876">
        <f t="shared" ca="1" si="142"/>
        <v>0.67139825250939633</v>
      </c>
      <c r="O876">
        <v>874</v>
      </c>
      <c r="P876" s="6">
        <f t="shared" ca="1" si="134"/>
        <v>1914.3305177738823</v>
      </c>
      <c r="Q876" s="6">
        <f t="shared" ca="1" si="135"/>
        <v>386.86008654312866</v>
      </c>
      <c r="R876" s="6">
        <f t="shared" ca="1" si="136"/>
        <v>153.88907927707069</v>
      </c>
      <c r="S876" s="6"/>
      <c r="T876" s="4">
        <f t="shared" ca="1" si="137"/>
        <v>-1.8654581858439958E-2</v>
      </c>
      <c r="U876" s="4">
        <f t="shared" ca="1" si="138"/>
        <v>2.4000867070074809E-2</v>
      </c>
      <c r="V876" s="4">
        <f t="shared" ca="1" si="139"/>
        <v>-1.1810149944056064E-3</v>
      </c>
      <c r="W876" s="4"/>
      <c r="X876">
        <v>874</v>
      </c>
      <c r="Y876" s="4">
        <f t="shared" ca="1" si="140"/>
        <v>-9.2771465345378428E-3</v>
      </c>
      <c r="Z876" s="4">
        <f ca="1"/>
        <v>2.3884426688387143E-2</v>
      </c>
      <c r="AA876" s="4"/>
    </row>
    <row r="877" spans="1:27" x14ac:dyDescent="0.35">
      <c r="A877">
        <v>875</v>
      </c>
      <c r="B877">
        <f ca="1">_xlfn.NORM.INV(RAND(),Hitorical_Sim!$AB$4,Hitorical_Sim!$AB$5)</f>
        <v>2.7034439930013466E-2</v>
      </c>
      <c r="C877">
        <f ca="1">_xlfn.NORM.INV(RAND(),Hitorical_Sim!$AB$4,Hitorical_Sim!$AB$5)</f>
        <v>-6.1481700199068597E-3</v>
      </c>
      <c r="D877">
        <f ca="1">_xlfn.NORM.INV(RAND(),Hitorical_Sim!$AB$4,Hitorical_Sim!$AB$5)</f>
        <v>1.2086687964155829E-2</v>
      </c>
      <c r="K877">
        <f t="shared" ca="1" si="142"/>
        <v>-0.38132246506914991</v>
      </c>
      <c r="L877">
        <f t="shared" ca="1" si="142"/>
        <v>-0.11097194850000026</v>
      </c>
      <c r="M877">
        <f t="shared" ca="1" si="142"/>
        <v>0.63399966475747571</v>
      </c>
      <c r="O877">
        <v>875</v>
      </c>
      <c r="P877" s="6">
        <f t="shared" ca="1" si="134"/>
        <v>1924.4848228472049</v>
      </c>
      <c r="Q877" s="6">
        <f t="shared" ca="1" si="135"/>
        <v>383.19102665602821</v>
      </c>
      <c r="R877" s="6">
        <f t="shared" ca="1" si="136"/>
        <v>153.71361494960337</v>
      </c>
      <c r="S877" s="6"/>
      <c r="T877" s="4">
        <f t="shared" ca="1" si="137"/>
        <v>5.2903449920472176E-3</v>
      </c>
      <c r="U877" s="4">
        <f t="shared" ca="1" si="138"/>
        <v>-9.5294652263855899E-3</v>
      </c>
      <c r="V877" s="4">
        <f t="shared" ca="1" si="139"/>
        <v>-1.1408505178383155E-3</v>
      </c>
      <c r="W877" s="4"/>
      <c r="X877">
        <v>875</v>
      </c>
      <c r="Y877" s="4">
        <f t="shared" ca="1" si="140"/>
        <v>2.0145031726683132E-3</v>
      </c>
      <c r="Z877" s="4">
        <f ca="1"/>
        <v>2.4016931716948523E-2</v>
      </c>
      <c r="AA877" s="4"/>
    </row>
    <row r="878" spans="1:27" x14ac:dyDescent="0.35">
      <c r="A878">
        <v>876</v>
      </c>
      <c r="B878">
        <f ca="1">_xlfn.NORM.INV(RAND(),Hitorical_Sim!$AB$4,Hitorical_Sim!$AB$5)</f>
        <v>4.0541660638625972E-3</v>
      </c>
      <c r="C878">
        <f ca="1">_xlfn.NORM.INV(RAND(),Hitorical_Sim!$AB$4,Hitorical_Sim!$AB$5)</f>
        <v>-6.1397611198362092E-3</v>
      </c>
      <c r="D878">
        <f ca="1">_xlfn.NORM.INV(RAND(),Hitorical_Sim!$AB$4,Hitorical_Sim!$AB$5)</f>
        <v>5.6082965511942886E-3</v>
      </c>
      <c r="K878">
        <f t="shared" ca="1" si="142"/>
        <v>-1.5839684270793153</v>
      </c>
      <c r="L878">
        <f t="shared" ca="1" si="142"/>
        <v>1.1393609422336781</v>
      </c>
      <c r="M878">
        <f t="shared" ca="1" si="142"/>
        <v>-1.2763111839810191</v>
      </c>
      <c r="O878">
        <v>876</v>
      </c>
      <c r="P878" s="6">
        <f t="shared" ca="1" si="134"/>
        <v>1882.9497721338748</v>
      </c>
      <c r="Q878" s="6">
        <f t="shared" ca="1" si="135"/>
        <v>397.10684858941079</v>
      </c>
      <c r="R878" s="6">
        <f t="shared" ca="1" si="136"/>
        <v>145.01205232619213</v>
      </c>
      <c r="S878" s="6"/>
      <c r="T878" s="4">
        <f t="shared" ca="1" si="137"/>
        <v>-2.1818732492274909E-2</v>
      </c>
      <c r="U878" s="4">
        <f t="shared" ca="1" si="138"/>
        <v>3.5671755545092269E-2</v>
      </c>
      <c r="V878" s="4">
        <f t="shared" ca="1" si="139"/>
        <v>-5.8274369488815467E-2</v>
      </c>
      <c r="W878" s="4"/>
      <c r="X878">
        <v>876</v>
      </c>
      <c r="Y878" s="4">
        <f t="shared" ca="1" si="140"/>
        <v>-1.2149658913572963E-2</v>
      </c>
      <c r="Z878" s="4">
        <f ca="1"/>
        <v>2.4030702182290531E-2</v>
      </c>
      <c r="AA878" s="4"/>
    </row>
    <row r="879" spans="1:27" x14ac:dyDescent="0.35">
      <c r="A879">
        <v>877</v>
      </c>
      <c r="B879">
        <f ca="1">_xlfn.NORM.INV(RAND(),Hitorical_Sim!$AB$4,Hitorical_Sim!$AB$5)</f>
        <v>1.7214259724523125E-2</v>
      </c>
      <c r="C879">
        <f ca="1">_xlfn.NORM.INV(RAND(),Hitorical_Sim!$AB$4,Hitorical_Sim!$AB$5)</f>
        <v>8.6983571088909712E-3</v>
      </c>
      <c r="D879">
        <f ca="1">_xlfn.NORM.INV(RAND(),Hitorical_Sim!$AB$4,Hitorical_Sim!$AB$5)</f>
        <v>-1.6832121955621147E-2</v>
      </c>
      <c r="K879">
        <f t="shared" ca="1" si="142"/>
        <v>0.15529872371273767</v>
      </c>
      <c r="L879">
        <f t="shared" ca="1" si="142"/>
        <v>-2.0007142348496063</v>
      </c>
      <c r="M879">
        <f t="shared" ca="1" si="142"/>
        <v>1.178617443065368</v>
      </c>
      <c r="O879">
        <v>877</v>
      </c>
      <c r="P879" s="6">
        <f t="shared" ca="1" si="134"/>
        <v>1943.3121984157926</v>
      </c>
      <c r="Q879" s="6">
        <f t="shared" ca="1" si="135"/>
        <v>363.07871156286967</v>
      </c>
      <c r="R879" s="6">
        <f t="shared" ca="1" si="136"/>
        <v>156.28869240668934</v>
      </c>
      <c r="S879" s="6"/>
      <c r="T879" s="4">
        <f t="shared" ca="1" si="137"/>
        <v>3.1554261099670418E-2</v>
      </c>
      <c r="U879" s="4">
        <f t="shared" ca="1" si="138"/>
        <v>-8.9585737478600769E-2</v>
      </c>
      <c r="V879" s="4">
        <f t="shared" ca="1" si="139"/>
        <v>7.4888030906406444E-2</v>
      </c>
      <c r="W879" s="4"/>
      <c r="X879">
        <v>877</v>
      </c>
      <c r="Y879" s="4">
        <f t="shared" ca="1" si="140"/>
        <v>9.5231757849699589E-3</v>
      </c>
      <c r="Z879" s="4">
        <f ca="1"/>
        <v>2.4139094946122198E-2</v>
      </c>
      <c r="AA879" s="4"/>
    </row>
    <row r="880" spans="1:27" x14ac:dyDescent="0.35">
      <c r="A880">
        <v>878</v>
      </c>
      <c r="B880">
        <f ca="1">_xlfn.NORM.INV(RAND(),Hitorical_Sim!$AB$4,Hitorical_Sim!$AB$5)</f>
        <v>-2.4908146928741525E-4</v>
      </c>
      <c r="C880">
        <f ca="1">_xlfn.NORM.INV(RAND(),Hitorical_Sim!$AB$4,Hitorical_Sim!$AB$5)</f>
        <v>1.7091092714826551E-2</v>
      </c>
      <c r="D880">
        <f ca="1">_xlfn.NORM.INV(RAND(),Hitorical_Sim!$AB$4,Hitorical_Sim!$AB$5)</f>
        <v>1.9703425870008257E-2</v>
      </c>
      <c r="K880">
        <f t="shared" ca="1" si="142"/>
        <v>-1.1985915992394665</v>
      </c>
      <c r="L880">
        <f t="shared" ca="1" si="142"/>
        <v>-1.5652589582230456E-2</v>
      </c>
      <c r="M880">
        <f t="shared" ca="1" si="142"/>
        <v>0.60310720096841008</v>
      </c>
      <c r="O880">
        <v>878</v>
      </c>
      <c r="P880" s="6">
        <f t="shared" ca="1" si="134"/>
        <v>1896.160755537262</v>
      </c>
      <c r="Q880" s="6">
        <f t="shared" ca="1" si="135"/>
        <v>384.23451096781747</v>
      </c>
      <c r="R880" s="6">
        <f t="shared" ca="1" si="136"/>
        <v>153.56882653773619</v>
      </c>
      <c r="S880" s="6"/>
      <c r="T880" s="4">
        <f t="shared" ca="1" si="137"/>
        <v>-2.4562649119944623E-2</v>
      </c>
      <c r="U880" s="4">
        <f t="shared" ca="1" si="138"/>
        <v>5.6633424807665228E-2</v>
      </c>
      <c r="V880" s="4">
        <f t="shared" ca="1" si="139"/>
        <v>-1.7556041476026175E-2</v>
      </c>
      <c r="W880" s="4"/>
      <c r="X880">
        <v>878</v>
      </c>
      <c r="Y880" s="4">
        <f t="shared" ca="1" si="140"/>
        <v>-8.0117458120548407E-3</v>
      </c>
      <c r="Z880" s="4">
        <f ca="1"/>
        <v>2.4244089733767862E-2</v>
      </c>
      <c r="AA880" s="4"/>
    </row>
    <row r="881" spans="1:27" x14ac:dyDescent="0.35">
      <c r="A881">
        <v>879</v>
      </c>
      <c r="B881">
        <f ca="1">_xlfn.NORM.INV(RAND(),Hitorical_Sim!$AB$4,Hitorical_Sim!$AB$5)</f>
        <v>1.6843366100020758E-3</v>
      </c>
      <c r="C881">
        <f ca="1">_xlfn.NORM.INV(RAND(),Hitorical_Sim!$AB$4,Hitorical_Sim!$AB$5)</f>
        <v>-3.2274663661689719E-3</v>
      </c>
      <c r="D881">
        <f ca="1">_xlfn.NORM.INV(RAND(),Hitorical_Sim!$AB$4,Hitorical_Sim!$AB$5)</f>
        <v>1.93329099726883E-2</v>
      </c>
      <c r="K881">
        <f t="shared" ca="1" si="142"/>
        <v>0.27077157386452266</v>
      </c>
      <c r="L881">
        <f t="shared" ca="1" si="142"/>
        <v>1.5770497401681036</v>
      </c>
      <c r="M881">
        <f t="shared" ca="1" si="142"/>
        <v>-0.42188391925699414</v>
      </c>
      <c r="O881">
        <v>879</v>
      </c>
      <c r="P881" s="6">
        <f t="shared" ca="1" si="134"/>
        <v>1947.3875883861472</v>
      </c>
      <c r="Q881" s="6">
        <f t="shared" ca="1" si="135"/>
        <v>402.09668162209721</v>
      </c>
      <c r="R881" s="6">
        <f t="shared" ca="1" si="136"/>
        <v>148.84140050782207</v>
      </c>
      <c r="S881" s="6"/>
      <c r="T881" s="4">
        <f t="shared" ca="1" si="137"/>
        <v>2.6657589199709269E-2</v>
      </c>
      <c r="U881" s="4">
        <f t="shared" ca="1" si="138"/>
        <v>4.5439489422384911E-2</v>
      </c>
      <c r="V881" s="4">
        <f t="shared" ca="1" si="139"/>
        <v>-3.1267534968046816E-2</v>
      </c>
      <c r="W881" s="4"/>
      <c r="X881">
        <v>879</v>
      </c>
      <c r="Y881" s="4">
        <f t="shared" ca="1" si="140"/>
        <v>2.7539136200388274E-2</v>
      </c>
      <c r="Z881" s="4">
        <f ca="1"/>
        <v>2.4272449142339111E-2</v>
      </c>
      <c r="AA881" s="4"/>
    </row>
    <row r="882" spans="1:27" x14ac:dyDescent="0.35">
      <c r="A882">
        <v>880</v>
      </c>
      <c r="B882">
        <f ca="1">_xlfn.NORM.INV(RAND(),Hitorical_Sim!$AB$4,Hitorical_Sim!$AB$5)</f>
        <v>-2.0135939699550701E-2</v>
      </c>
      <c r="C882">
        <f ca="1">_xlfn.NORM.INV(RAND(),Hitorical_Sim!$AB$4,Hitorical_Sim!$AB$5)</f>
        <v>8.7047573886879712E-3</v>
      </c>
      <c r="D882">
        <f ca="1">_xlfn.NORM.INV(RAND(),Hitorical_Sim!$AB$4,Hitorical_Sim!$AB$5)</f>
        <v>2.965967474713907E-3</v>
      </c>
      <c r="K882">
        <f t="shared" ca="1" si="142"/>
        <v>0.41039801684472493</v>
      </c>
      <c r="L882">
        <f t="shared" ca="1" si="142"/>
        <v>1.0893324528799284</v>
      </c>
      <c r="M882">
        <f t="shared" ca="1" si="142"/>
        <v>0.98044617106817211</v>
      </c>
      <c r="O882">
        <v>880</v>
      </c>
      <c r="P882" s="6">
        <f t="shared" ca="1" si="134"/>
        <v>1952.326849356182</v>
      </c>
      <c r="Q882" s="6">
        <f t="shared" ca="1" si="135"/>
        <v>396.54046104288147</v>
      </c>
      <c r="R882" s="6">
        <f t="shared" ca="1" si="136"/>
        <v>155.34673829131904</v>
      </c>
      <c r="S882" s="6"/>
      <c r="T882" s="4">
        <f t="shared" ca="1" si="137"/>
        <v>2.5331411774260192E-3</v>
      </c>
      <c r="U882" s="4">
        <f t="shared" ca="1" si="138"/>
        <v>-1.3914479876675444E-2</v>
      </c>
      <c r="V882" s="4">
        <f t="shared" ca="1" si="139"/>
        <v>4.2778326827205879E-2</v>
      </c>
      <c r="W882" s="4"/>
      <c r="X882">
        <v>880</v>
      </c>
      <c r="Y882" s="4">
        <f t="shared" ca="1" si="140"/>
        <v>1.2424594770325387E-3</v>
      </c>
      <c r="Z882" s="4">
        <f ca="1"/>
        <v>2.4278740110540532E-2</v>
      </c>
      <c r="AA882" s="4"/>
    </row>
    <row r="883" spans="1:27" x14ac:dyDescent="0.35">
      <c r="A883">
        <v>881</v>
      </c>
      <c r="B883">
        <f ca="1">_xlfn.NORM.INV(RAND(),Hitorical_Sim!$AB$4,Hitorical_Sim!$AB$5)</f>
        <v>7.8102537438463028E-3</v>
      </c>
      <c r="C883">
        <f ca="1">_xlfn.NORM.INV(RAND(),Hitorical_Sim!$AB$4,Hitorical_Sim!$AB$5)</f>
        <v>3.7997638212359914E-3</v>
      </c>
      <c r="D883">
        <f ca="1">_xlfn.NORM.INV(RAND(),Hitorical_Sim!$AB$4,Hitorical_Sim!$AB$5)</f>
        <v>-2.5888262853956921E-2</v>
      </c>
      <c r="K883">
        <f t="shared" ca="1" si="142"/>
        <v>0.84919074619663548</v>
      </c>
      <c r="L883">
        <f t="shared" ca="1" si="142"/>
        <v>2.1154047976968129</v>
      </c>
      <c r="M883">
        <f t="shared" ca="1" si="142"/>
        <v>-0.83281794202861215</v>
      </c>
      <c r="O883">
        <v>881</v>
      </c>
      <c r="P883" s="6">
        <f t="shared" ca="1" si="134"/>
        <v>1967.930760206262</v>
      </c>
      <c r="Q883" s="6">
        <f t="shared" ca="1" si="135"/>
        <v>408.32022302528418</v>
      </c>
      <c r="R883" s="6">
        <f t="shared" ca="1" si="136"/>
        <v>146.98722791195834</v>
      </c>
      <c r="S883" s="6"/>
      <c r="T883" s="4">
        <f t="shared" ca="1" si="137"/>
        <v>7.9606978975609258E-3</v>
      </c>
      <c r="U883" s="4">
        <f t="shared" ca="1" si="138"/>
        <v>2.9273645544435702E-2</v>
      </c>
      <c r="V883" s="4">
        <f t="shared" ca="1" si="139"/>
        <v>-5.5313941695504576E-2</v>
      </c>
      <c r="W883" s="4"/>
      <c r="X883">
        <v>881</v>
      </c>
      <c r="Y883" s="4">
        <f t="shared" ca="1" si="140"/>
        <v>9.082613253266E-3</v>
      </c>
      <c r="Z883" s="4">
        <f ca="1"/>
        <v>2.4365418862055163E-2</v>
      </c>
      <c r="AA883" s="4"/>
    </row>
    <row r="884" spans="1:27" x14ac:dyDescent="0.35">
      <c r="A884">
        <v>882</v>
      </c>
      <c r="B884">
        <f ca="1">_xlfn.NORM.INV(RAND(),Hitorical_Sim!$AB$4,Hitorical_Sim!$AB$5)</f>
        <v>-2.6289618108155956E-3</v>
      </c>
      <c r="C884">
        <f ca="1">_xlfn.NORM.INV(RAND(),Hitorical_Sim!$AB$4,Hitorical_Sim!$AB$5)</f>
        <v>-9.2939459940501925E-3</v>
      </c>
      <c r="D884">
        <f ca="1">_xlfn.NORM.INV(RAND(),Hitorical_Sim!$AB$4,Hitorical_Sim!$AB$5)</f>
        <v>2.958468601824326E-2</v>
      </c>
      <c r="K884">
        <f t="shared" ref="K884:M903" ca="1" si="143">_xlfn.NORM.S.INV(RAND())</f>
        <v>0.58232696829382569</v>
      </c>
      <c r="L884">
        <f t="shared" ca="1" si="143"/>
        <v>1.2516678244749526</v>
      </c>
      <c r="M884">
        <f t="shared" ca="1" si="143"/>
        <v>-0.35289500133463708</v>
      </c>
      <c r="O884">
        <v>882</v>
      </c>
      <c r="P884" s="6">
        <f t="shared" ca="1" si="134"/>
        <v>1958.4260196526945</v>
      </c>
      <c r="Q884" s="6">
        <f t="shared" ca="1" si="135"/>
        <v>398.38125668416234</v>
      </c>
      <c r="R884" s="6">
        <f t="shared" ca="1" si="136"/>
        <v>149.15496992072914</v>
      </c>
      <c r="S884" s="6"/>
      <c r="T884" s="4">
        <f t="shared" ca="1" si="137"/>
        <v>-4.8415157626332372E-3</v>
      </c>
      <c r="U884" s="4">
        <f t="shared" ca="1" si="138"/>
        <v>-2.4642248790198884E-2</v>
      </c>
      <c r="V884" s="4">
        <f t="shared" ca="1" si="139"/>
        <v>1.464013398166502E-2</v>
      </c>
      <c r="W884" s="4"/>
      <c r="X884">
        <v>882</v>
      </c>
      <c r="Y884" s="4">
        <f t="shared" ca="1" si="140"/>
        <v>-7.8289612060044398E-3</v>
      </c>
      <c r="Z884" s="4">
        <f ca="1"/>
        <v>2.4450322571099751E-2</v>
      </c>
      <c r="AA884" s="4"/>
    </row>
    <row r="885" spans="1:27" x14ac:dyDescent="0.35">
      <c r="A885">
        <v>883</v>
      </c>
      <c r="B885">
        <f ca="1">_xlfn.NORM.INV(RAND(),Hitorical_Sim!$AB$4,Hitorical_Sim!$AB$5)</f>
        <v>-1.4366028291159362E-2</v>
      </c>
      <c r="C885">
        <f ca="1">_xlfn.NORM.INV(RAND(),Hitorical_Sim!$AB$4,Hitorical_Sim!$AB$5)</f>
        <v>3.0219241920206148E-2</v>
      </c>
      <c r="D885">
        <f ca="1">_xlfn.NORM.INV(RAND(),Hitorical_Sim!$AB$4,Hitorical_Sim!$AB$5)</f>
        <v>-1.0406487257637402E-2</v>
      </c>
      <c r="K885">
        <f t="shared" ca="1" si="143"/>
        <v>0.35527629877209815</v>
      </c>
      <c r="L885">
        <f t="shared" ca="1" si="143"/>
        <v>-0.73646515360782827</v>
      </c>
      <c r="M885">
        <f t="shared" ca="1" si="143"/>
        <v>0.2465484052679372</v>
      </c>
      <c r="O885">
        <v>883</v>
      </c>
      <c r="P885" s="6">
        <f t="shared" ca="1" si="134"/>
        <v>1950.3754333795687</v>
      </c>
      <c r="Q885" s="6">
        <f t="shared" ca="1" si="135"/>
        <v>376.41355857800835</v>
      </c>
      <c r="R885" s="6">
        <f t="shared" ca="1" si="136"/>
        <v>151.90752672715183</v>
      </c>
      <c r="S885" s="6"/>
      <c r="T885" s="4">
        <f t="shared" ca="1" si="137"/>
        <v>-4.1192154440913365E-3</v>
      </c>
      <c r="U885" s="4">
        <f t="shared" ca="1" si="138"/>
        <v>-5.6721049338860671E-2</v>
      </c>
      <c r="V885" s="4">
        <f t="shared" ca="1" si="139"/>
        <v>1.8286126881947289E-2</v>
      </c>
      <c r="W885" s="4"/>
      <c r="X885">
        <v>883</v>
      </c>
      <c r="Y885" s="4">
        <f t="shared" ca="1" si="140"/>
        <v>-1.3508020052121364E-2</v>
      </c>
      <c r="Z885" s="4">
        <f ca="1"/>
        <v>2.4460941159158537E-2</v>
      </c>
      <c r="AA885" s="4"/>
    </row>
    <row r="886" spans="1:27" x14ac:dyDescent="0.35">
      <c r="A886">
        <v>884</v>
      </c>
      <c r="B886">
        <f ca="1">_xlfn.NORM.INV(RAND(),Hitorical_Sim!$AB$4,Hitorical_Sim!$AB$5)</f>
        <v>2.8529453178608964E-3</v>
      </c>
      <c r="C886">
        <f ca="1">_xlfn.NORM.INV(RAND(),Hitorical_Sim!$AB$4,Hitorical_Sim!$AB$5)</f>
        <v>-2.7171590454297813E-3</v>
      </c>
      <c r="D886">
        <f ca="1">_xlfn.NORM.INV(RAND(),Hitorical_Sim!$AB$4,Hitorical_Sim!$AB$5)</f>
        <v>-9.1092331314492556E-3</v>
      </c>
      <c r="K886">
        <f t="shared" ca="1" si="143"/>
        <v>0.42110201110540757</v>
      </c>
      <c r="L886">
        <f t="shared" ca="1" si="143"/>
        <v>-1.3621088071198575</v>
      </c>
      <c r="M886">
        <f t="shared" ca="1" si="143"/>
        <v>-0.12270528243196903</v>
      </c>
      <c r="O886">
        <v>884</v>
      </c>
      <c r="P886" s="6">
        <f t="shared" ca="1" si="134"/>
        <v>1952.7060178856989</v>
      </c>
      <c r="Q886" s="6">
        <f t="shared" ca="1" si="135"/>
        <v>369.75437593203702</v>
      </c>
      <c r="R886" s="6">
        <f t="shared" ca="1" si="136"/>
        <v>150.20601873851291</v>
      </c>
      <c r="S886" s="6"/>
      <c r="T886" s="4">
        <f t="shared" ca="1" si="137"/>
        <v>1.1942281052633162E-3</v>
      </c>
      <c r="U886" s="4">
        <f t="shared" ca="1" si="138"/>
        <v>-1.7849492428631462E-2</v>
      </c>
      <c r="V886" s="4">
        <f t="shared" ca="1" si="139"/>
        <v>-1.1264148893014862E-2</v>
      </c>
      <c r="W886" s="4"/>
      <c r="X886">
        <v>884</v>
      </c>
      <c r="Y886" s="4">
        <f t="shared" ca="1" si="140"/>
        <v>-3.2228572590112933E-3</v>
      </c>
      <c r="Z886" s="4">
        <f ca="1"/>
        <v>2.4559181076033276E-2</v>
      </c>
      <c r="AA886" s="4"/>
    </row>
    <row r="887" spans="1:27" x14ac:dyDescent="0.35">
      <c r="A887">
        <v>885</v>
      </c>
      <c r="B887">
        <f ca="1">_xlfn.NORM.INV(RAND(),Hitorical_Sim!$AB$4,Hitorical_Sim!$AB$5)</f>
        <v>-1.6876873364256171E-2</v>
      </c>
      <c r="C887">
        <f ca="1">_xlfn.NORM.INV(RAND(),Hitorical_Sim!$AB$4,Hitorical_Sim!$AB$5)</f>
        <v>2.1168629970188769E-3</v>
      </c>
      <c r="D887">
        <f ca="1">_xlfn.NORM.INV(RAND(),Hitorical_Sim!$AB$4,Hitorical_Sim!$AB$5)</f>
        <v>4.6828879475671846E-3</v>
      </c>
      <c r="K887">
        <f t="shared" ca="1" si="143"/>
        <v>1.5053694703537723</v>
      </c>
      <c r="L887">
        <f t="shared" ca="1" si="143"/>
        <v>-0.18800458254285218</v>
      </c>
      <c r="M887">
        <f t="shared" ca="1" si="143"/>
        <v>1.9338610366934048</v>
      </c>
      <c r="O887">
        <v>885</v>
      </c>
      <c r="P887" s="6">
        <f t="shared" ca="1" si="134"/>
        <v>1991.4981393722521</v>
      </c>
      <c r="Q887" s="6">
        <f t="shared" ca="1" si="135"/>
        <v>382.34980244499422</v>
      </c>
      <c r="R887" s="6">
        <f t="shared" ca="1" si="136"/>
        <v>159.93120090878801</v>
      </c>
      <c r="S887" s="6"/>
      <c r="T887" s="4">
        <f t="shared" ca="1" si="137"/>
        <v>1.9671077266892965E-2</v>
      </c>
      <c r="U887" s="4">
        <f t="shared" ca="1" si="138"/>
        <v>3.3496966443068633E-2</v>
      </c>
      <c r="V887" s="4">
        <f t="shared" ca="1" si="139"/>
        <v>6.2735918417731393E-2</v>
      </c>
      <c r="W887" s="4"/>
      <c r="X887">
        <v>885</v>
      </c>
      <c r="Y887" s="4">
        <f t="shared" ca="1" si="140"/>
        <v>2.4561567068830829E-2</v>
      </c>
      <c r="Z887" s="4">
        <f ca="1"/>
        <v>2.4561567068830829E-2</v>
      </c>
      <c r="AA887" s="4"/>
    </row>
    <row r="888" spans="1:27" x14ac:dyDescent="0.35">
      <c r="A888">
        <v>886</v>
      </c>
      <c r="B888">
        <f ca="1">_xlfn.NORM.INV(RAND(),Hitorical_Sim!$AB$4,Hitorical_Sim!$AB$5)</f>
        <v>2.7236037113929613E-2</v>
      </c>
      <c r="C888">
        <f ca="1">_xlfn.NORM.INV(RAND(),Hitorical_Sim!$AB$4,Hitorical_Sim!$AB$5)</f>
        <v>1.9331126779678433E-2</v>
      </c>
      <c r="D888">
        <f ca="1">_xlfn.NORM.INV(RAND(),Hitorical_Sim!$AB$4,Hitorical_Sim!$AB$5)</f>
        <v>1.1916907961653133E-2</v>
      </c>
      <c r="K888">
        <f t="shared" ca="1" si="143"/>
        <v>-1.0510408030731848</v>
      </c>
      <c r="L888">
        <f t="shared" ca="1" si="143"/>
        <v>-1.1466480612827918</v>
      </c>
      <c r="M888">
        <f t="shared" ca="1" si="143"/>
        <v>-5.3605894222927539E-2</v>
      </c>
      <c r="O888">
        <v>886</v>
      </c>
      <c r="P888" s="6">
        <f t="shared" ca="1" si="134"/>
        <v>1901.2434013178874</v>
      </c>
      <c r="Q888" s="6">
        <f t="shared" ca="1" si="135"/>
        <v>372.03427598274021</v>
      </c>
      <c r="R888" s="6">
        <f t="shared" ca="1" si="136"/>
        <v>150.52297028948647</v>
      </c>
      <c r="S888" s="6"/>
      <c r="T888" s="4">
        <f t="shared" ca="1" si="137"/>
        <v>-4.6379095476424936E-2</v>
      </c>
      <c r="U888" s="4">
        <f t="shared" ca="1" si="138"/>
        <v>-2.7349913036712872E-2</v>
      </c>
      <c r="V888" s="4">
        <f t="shared" ca="1" si="139"/>
        <v>-6.0628029388778856E-2</v>
      </c>
      <c r="W888" s="4"/>
      <c r="X888">
        <v>886</v>
      </c>
      <c r="Y888" s="4">
        <f t="shared" ca="1" si="140"/>
        <v>-4.3286658797668992E-2</v>
      </c>
      <c r="Z888" s="4">
        <f ca="1"/>
        <v>2.4667052641056213E-2</v>
      </c>
      <c r="AA888" s="4"/>
    </row>
    <row r="889" spans="1:27" x14ac:dyDescent="0.35">
      <c r="A889">
        <v>887</v>
      </c>
      <c r="B889">
        <f ca="1">_xlfn.NORM.INV(RAND(),Hitorical_Sim!$AB$4,Hitorical_Sim!$AB$5)</f>
        <v>-2.4130984199293003E-2</v>
      </c>
      <c r="C889">
        <f ca="1">_xlfn.NORM.INV(RAND(),Hitorical_Sim!$AB$4,Hitorical_Sim!$AB$5)</f>
        <v>8.3164266184751132E-3</v>
      </c>
      <c r="D889">
        <f ca="1">_xlfn.NORM.INV(RAND(),Hitorical_Sim!$AB$4,Hitorical_Sim!$AB$5)</f>
        <v>-1.5301316556760425E-2</v>
      </c>
      <c r="K889">
        <f t="shared" ca="1" si="143"/>
        <v>-1.1595701000814582</v>
      </c>
      <c r="L889">
        <f t="shared" ca="1" si="143"/>
        <v>-0.17087407933909782</v>
      </c>
      <c r="M889">
        <f t="shared" ca="1" si="143"/>
        <v>-0.6637277372316811</v>
      </c>
      <c r="O889">
        <v>887</v>
      </c>
      <c r="P889" s="6">
        <f t="shared" ca="1" si="134"/>
        <v>1897.5035964374936</v>
      </c>
      <c r="Q889" s="6">
        <f t="shared" ca="1" si="135"/>
        <v>382.53671391311462</v>
      </c>
      <c r="R889" s="6">
        <f t="shared" ca="1" si="136"/>
        <v>147.74736538924117</v>
      </c>
      <c r="S889" s="6"/>
      <c r="T889" s="4">
        <f t="shared" ca="1" si="137"/>
        <v>-1.9689682365374851E-3</v>
      </c>
      <c r="U889" s="4">
        <f t="shared" ca="1" si="138"/>
        <v>2.7838642979896588E-2</v>
      </c>
      <c r="V889" s="4">
        <f t="shared" ca="1" si="139"/>
        <v>-1.8611874468581004E-2</v>
      </c>
      <c r="W889" s="4"/>
      <c r="X889">
        <v>887</v>
      </c>
      <c r="Y889" s="4">
        <f t="shared" ca="1" si="140"/>
        <v>3.1560205494829282E-3</v>
      </c>
      <c r="Z889" s="4">
        <f ca="1"/>
        <v>2.5078067450924571E-2</v>
      </c>
      <c r="AA889" s="4"/>
    </row>
    <row r="890" spans="1:27" x14ac:dyDescent="0.35">
      <c r="A890">
        <v>888</v>
      </c>
      <c r="B890">
        <f ca="1">_xlfn.NORM.INV(RAND(),Hitorical_Sim!$AB$4,Hitorical_Sim!$AB$5)</f>
        <v>-3.5659577834385947E-2</v>
      </c>
      <c r="C890">
        <f ca="1">_xlfn.NORM.INV(RAND(),Hitorical_Sim!$AB$4,Hitorical_Sim!$AB$5)</f>
        <v>-1.2617057008238057E-2</v>
      </c>
      <c r="D890">
        <f ca="1">_xlfn.NORM.INV(RAND(),Hitorical_Sim!$AB$4,Hitorical_Sim!$AB$5)</f>
        <v>1.5363968669969348E-2</v>
      </c>
      <c r="K890">
        <f t="shared" ca="1" si="143"/>
        <v>1.1427746670264589</v>
      </c>
      <c r="L890">
        <f t="shared" ca="1" si="143"/>
        <v>0.9093078441167296</v>
      </c>
      <c r="M890">
        <f t="shared" ca="1" si="143"/>
        <v>-0.58632592640575398</v>
      </c>
      <c r="O890">
        <v>888</v>
      </c>
      <c r="P890" s="6">
        <f t="shared" ca="1" si="134"/>
        <v>1978.4404742824099</v>
      </c>
      <c r="Q890" s="6">
        <f t="shared" ca="1" si="135"/>
        <v>394.50902382468183</v>
      </c>
      <c r="R890" s="6">
        <f t="shared" ca="1" si="136"/>
        <v>148.09663212645108</v>
      </c>
      <c r="S890" s="6"/>
      <c r="T890" s="4">
        <f t="shared" ca="1" si="137"/>
        <v>4.1769769462787466E-2</v>
      </c>
      <c r="U890" s="4">
        <f t="shared" ca="1" si="138"/>
        <v>3.0817381357642969E-2</v>
      </c>
      <c r="V890" s="4">
        <f t="shared" ca="1" si="139"/>
        <v>2.3611558957288645E-3</v>
      </c>
      <c r="W890" s="4"/>
      <c r="X890">
        <v>888</v>
      </c>
      <c r="Y890" s="4">
        <f t="shared" ca="1" si="140"/>
        <v>3.7633685359178874E-2</v>
      </c>
      <c r="Z890" s="4">
        <f ca="1"/>
        <v>2.5181714569862367E-2</v>
      </c>
      <c r="AA890" s="4"/>
    </row>
    <row r="891" spans="1:27" x14ac:dyDescent="0.35">
      <c r="A891">
        <v>889</v>
      </c>
      <c r="B891">
        <f ca="1">_xlfn.NORM.INV(RAND(),Hitorical_Sim!$AB$4,Hitorical_Sim!$AB$5)</f>
        <v>2.0384086634936724E-2</v>
      </c>
      <c r="C891">
        <f ca="1">_xlfn.NORM.INV(RAND(),Hitorical_Sim!$AB$4,Hitorical_Sim!$AB$5)</f>
        <v>-3.1664597074382273E-5</v>
      </c>
      <c r="D891">
        <f ca="1">_xlfn.NORM.INV(RAND(),Hitorical_Sim!$AB$4,Hitorical_Sim!$AB$5)</f>
        <v>2.249108947186048E-4</v>
      </c>
      <c r="K891">
        <f t="shared" ca="1" si="143"/>
        <v>-2.1176560380045046</v>
      </c>
      <c r="L891">
        <f t="shared" ca="1" si="143"/>
        <v>0.53508196493272975</v>
      </c>
      <c r="M891">
        <f t="shared" ca="1" si="143"/>
        <v>-0.72208775515771684</v>
      </c>
      <c r="O891">
        <v>889</v>
      </c>
      <c r="P891" s="6">
        <f t="shared" ca="1" si="134"/>
        <v>1864.8064510275042</v>
      </c>
      <c r="Q891" s="6">
        <f t="shared" ca="1" si="135"/>
        <v>390.31941711339033</v>
      </c>
      <c r="R891" s="6">
        <f t="shared" ca="1" si="136"/>
        <v>147.48456731582684</v>
      </c>
      <c r="S891" s="6"/>
      <c r="T891" s="4">
        <f t="shared" ca="1" si="137"/>
        <v>-5.9151627003981744E-2</v>
      </c>
      <c r="U891" s="4">
        <f t="shared" ca="1" si="138"/>
        <v>-1.0676591953896163E-2</v>
      </c>
      <c r="V891" s="4">
        <f t="shared" ca="1" si="139"/>
        <v>-4.141438539384007E-3</v>
      </c>
      <c r="W891" s="4"/>
      <c r="X891">
        <v>889</v>
      </c>
      <c r="Y891" s="4">
        <f t="shared" ca="1" si="140"/>
        <v>-4.6755096157860533E-2</v>
      </c>
      <c r="Z891" s="4">
        <f ca="1"/>
        <v>2.524907493722902E-2</v>
      </c>
      <c r="AA891" s="4"/>
    </row>
    <row r="892" spans="1:27" x14ac:dyDescent="0.35">
      <c r="A892">
        <v>890</v>
      </c>
      <c r="B892">
        <f ca="1">_xlfn.NORM.INV(RAND(),Hitorical_Sim!$AB$4,Hitorical_Sim!$AB$5)</f>
        <v>7.3691918578152014E-3</v>
      </c>
      <c r="C892">
        <f ca="1">_xlfn.NORM.INV(RAND(),Hitorical_Sim!$AB$4,Hitorical_Sim!$AB$5)</f>
        <v>8.9714491597980015E-4</v>
      </c>
      <c r="D892">
        <f ca="1">_xlfn.NORM.INV(RAND(),Hitorical_Sim!$AB$4,Hitorical_Sim!$AB$5)</f>
        <v>8.9763386119808709E-3</v>
      </c>
      <c r="K892">
        <f t="shared" ca="1" si="143"/>
        <v>0.35846439050617673</v>
      </c>
      <c r="L892">
        <f t="shared" ca="1" si="143"/>
        <v>-1.3207866477880108</v>
      </c>
      <c r="M892">
        <f t="shared" ca="1" si="143"/>
        <v>-0.96323510149952307</v>
      </c>
      <c r="O892">
        <v>890</v>
      </c>
      <c r="P892" s="6">
        <f t="shared" ca="1" si="134"/>
        <v>1950.4882448622554</v>
      </c>
      <c r="Q892" s="6">
        <f t="shared" ca="1" si="135"/>
        <v>370.19054130165085</v>
      </c>
      <c r="R892" s="6">
        <f t="shared" ca="1" si="136"/>
        <v>146.40361584124676</v>
      </c>
      <c r="S892" s="6"/>
      <c r="T892" s="4">
        <f t="shared" ca="1" si="137"/>
        <v>4.4922455115577166E-2</v>
      </c>
      <c r="U892" s="4">
        <f t="shared" ca="1" si="138"/>
        <v>-5.2947572576402077E-2</v>
      </c>
      <c r="V892" s="4">
        <f t="shared" ca="1" si="139"/>
        <v>-7.3562423472860617E-3</v>
      </c>
      <c r="W892" s="4"/>
      <c r="X892">
        <v>890</v>
      </c>
      <c r="Y892" s="4">
        <f t="shared" ca="1" si="140"/>
        <v>2.2803441880939381E-2</v>
      </c>
      <c r="Z892" s="4">
        <f ca="1"/>
        <v>2.5408881205885307E-2</v>
      </c>
      <c r="AA892" s="4"/>
    </row>
    <row r="893" spans="1:27" x14ac:dyDescent="0.35">
      <c r="A893">
        <v>891</v>
      </c>
      <c r="B893">
        <f ca="1">_xlfn.NORM.INV(RAND(),Hitorical_Sim!$AB$4,Hitorical_Sim!$AB$5)</f>
        <v>-2.3296749802196792E-3</v>
      </c>
      <c r="C893">
        <f ca="1">_xlfn.NORM.INV(RAND(),Hitorical_Sim!$AB$4,Hitorical_Sim!$AB$5)</f>
        <v>-6.1598211996686135E-3</v>
      </c>
      <c r="D893">
        <f ca="1">_xlfn.NORM.INV(RAND(),Hitorical_Sim!$AB$4,Hitorical_Sim!$AB$5)</f>
        <v>1.3358368832046726E-2</v>
      </c>
      <c r="K893">
        <f t="shared" ca="1" si="143"/>
        <v>-0.43741104148203769</v>
      </c>
      <c r="L893">
        <f t="shared" ca="1" si="143"/>
        <v>-0.13724217804660968</v>
      </c>
      <c r="M893">
        <f t="shared" ca="1" si="143"/>
        <v>6.5060660747061939E-3</v>
      </c>
      <c r="O893">
        <v>891</v>
      </c>
      <c r="P893" s="6">
        <f t="shared" ca="1" si="134"/>
        <v>1922.5275125392786</v>
      </c>
      <c r="Q893" s="6">
        <f t="shared" ca="1" si="135"/>
        <v>382.9039384924564</v>
      </c>
      <c r="R893" s="6">
        <f t="shared" ca="1" si="136"/>
        <v>150.79924139223215</v>
      </c>
      <c r="S893" s="6"/>
      <c r="T893" s="4">
        <f t="shared" ca="1" si="137"/>
        <v>-1.4438990107030127E-2</v>
      </c>
      <c r="U893" s="4">
        <f t="shared" ca="1" si="138"/>
        <v>3.3766294811766295E-2</v>
      </c>
      <c r="V893" s="4">
        <f t="shared" ca="1" si="139"/>
        <v>2.9582125414329401E-2</v>
      </c>
      <c r="W893" s="4"/>
      <c r="X893">
        <v>891</v>
      </c>
      <c r="Y893" s="4">
        <f t="shared" ca="1" si="140"/>
        <v>-2.6401435770029799E-3</v>
      </c>
      <c r="Z893" s="4">
        <f ca="1"/>
        <v>2.5598854475452845E-2</v>
      </c>
      <c r="AA893" s="4"/>
    </row>
    <row r="894" spans="1:27" x14ac:dyDescent="0.35">
      <c r="A894">
        <v>892</v>
      </c>
      <c r="B894">
        <f ca="1">_xlfn.NORM.INV(RAND(),Hitorical_Sim!$AB$4,Hitorical_Sim!$AB$5)</f>
        <v>1.6266323440527981E-2</v>
      </c>
      <c r="C894">
        <f ca="1">_xlfn.NORM.INV(RAND(),Hitorical_Sim!$AB$4,Hitorical_Sim!$AB$5)</f>
        <v>-1.5759318513321668E-2</v>
      </c>
      <c r="D894">
        <f ca="1">_xlfn.NORM.INV(RAND(),Hitorical_Sim!$AB$4,Hitorical_Sim!$AB$5)</f>
        <v>-4.0354415598111088E-5</v>
      </c>
      <c r="K894">
        <f t="shared" ca="1" si="143"/>
        <v>1.2331904201861317</v>
      </c>
      <c r="L894">
        <f t="shared" ca="1" si="143"/>
        <v>-1.2666851142212066</v>
      </c>
      <c r="M894">
        <f t="shared" ca="1" si="143"/>
        <v>-0.34414559737724254</v>
      </c>
      <c r="O894">
        <v>892</v>
      </c>
      <c r="P894" s="6">
        <f t="shared" ca="1" si="134"/>
        <v>1981.6884670853178</v>
      </c>
      <c r="Q894" s="6">
        <f t="shared" ca="1" si="135"/>
        <v>370.76237393032545</v>
      </c>
      <c r="R894" s="6">
        <f t="shared" ca="1" si="136"/>
        <v>149.19478501026097</v>
      </c>
      <c r="S894" s="6"/>
      <c r="T894" s="4">
        <f t="shared" ca="1" si="137"/>
        <v>3.0308509357497022E-2</v>
      </c>
      <c r="U894" s="4">
        <f t="shared" ca="1" si="138"/>
        <v>-3.2222788522911272E-2</v>
      </c>
      <c r="V894" s="4">
        <f t="shared" ca="1" si="139"/>
        <v>-1.0696690861259647E-2</v>
      </c>
      <c r="W894" s="4"/>
      <c r="X894">
        <v>892</v>
      </c>
      <c r="Y894" s="4">
        <f t="shared" ca="1" si="140"/>
        <v>1.579990563759151E-2</v>
      </c>
      <c r="Z894" s="4">
        <f ca="1"/>
        <v>2.5773189806061955E-2</v>
      </c>
      <c r="AA894" s="4"/>
    </row>
    <row r="895" spans="1:27" x14ac:dyDescent="0.35">
      <c r="A895">
        <v>893</v>
      </c>
      <c r="B895">
        <f ca="1">_xlfn.NORM.INV(RAND(),Hitorical_Sim!$AB$4,Hitorical_Sim!$AB$5)</f>
        <v>1.318247510652298E-2</v>
      </c>
      <c r="C895">
        <f ca="1">_xlfn.NORM.INV(RAND(),Hitorical_Sim!$AB$4,Hitorical_Sim!$AB$5)</f>
        <v>1.1266258783438105E-3</v>
      </c>
      <c r="D895">
        <f ca="1">_xlfn.NORM.INV(RAND(),Hitorical_Sim!$AB$4,Hitorical_Sim!$AB$5)</f>
        <v>-2.7566068416477918E-3</v>
      </c>
      <c r="K895">
        <f t="shared" ca="1" si="143"/>
        <v>-1.2082558367274621</v>
      </c>
      <c r="L895">
        <f t="shared" ca="1" si="143"/>
        <v>-9.8556997791120843E-2</v>
      </c>
      <c r="M895">
        <f t="shared" ca="1" si="143"/>
        <v>0.65348224424987433</v>
      </c>
      <c r="O895">
        <v>893</v>
      </c>
      <c r="P895" s="6">
        <f t="shared" ca="1" si="134"/>
        <v>1895.8283284566346</v>
      </c>
      <c r="Q895" s="6">
        <f t="shared" ca="1" si="135"/>
        <v>383.32677547896208</v>
      </c>
      <c r="R895" s="6">
        <f t="shared" ca="1" si="136"/>
        <v>153.80499710461265</v>
      </c>
      <c r="S895" s="6"/>
      <c r="T895" s="4">
        <f t="shared" ca="1" si="137"/>
        <v>-4.4293386795916864E-2</v>
      </c>
      <c r="U895" s="4">
        <f t="shared" ca="1" si="138"/>
        <v>3.3326469233479407E-2</v>
      </c>
      <c r="V895" s="4">
        <f t="shared" ca="1" si="139"/>
        <v>3.0432813326532221E-2</v>
      </c>
      <c r="W895" s="4"/>
      <c r="X895">
        <v>893</v>
      </c>
      <c r="Y895" s="4">
        <f t="shared" ca="1" si="140"/>
        <v>-2.5104732276480132E-2</v>
      </c>
      <c r="Z895" s="4">
        <f ca="1"/>
        <v>2.6405874576576598E-2</v>
      </c>
      <c r="AA895" s="4"/>
    </row>
    <row r="896" spans="1:27" x14ac:dyDescent="0.35">
      <c r="A896">
        <v>894</v>
      </c>
      <c r="B896">
        <f ca="1">_xlfn.NORM.INV(RAND(),Hitorical_Sim!$AB$4,Hitorical_Sim!$AB$5)</f>
        <v>4.0293305768197866E-3</v>
      </c>
      <c r="C896">
        <f ca="1">_xlfn.NORM.INV(RAND(),Hitorical_Sim!$AB$4,Hitorical_Sim!$AB$5)</f>
        <v>2.4845997212352762E-2</v>
      </c>
      <c r="D896">
        <f ca="1">_xlfn.NORM.INV(RAND(),Hitorical_Sim!$AB$4,Hitorical_Sim!$AB$5)</f>
        <v>-1.4967944284647037E-2</v>
      </c>
      <c r="K896">
        <f t="shared" ca="1" si="143"/>
        <v>-0.86234702032681121</v>
      </c>
      <c r="L896">
        <f t="shared" ca="1" si="143"/>
        <v>0.69050215018277894</v>
      </c>
      <c r="M896">
        <f t="shared" ca="1" si="143"/>
        <v>0.25554613793254488</v>
      </c>
      <c r="O896">
        <v>894</v>
      </c>
      <c r="P896" s="6">
        <f t="shared" ca="1" si="134"/>
        <v>1907.7631463264045</v>
      </c>
      <c r="Q896" s="6">
        <f t="shared" ca="1" si="135"/>
        <v>392.05397826879147</v>
      </c>
      <c r="R896" s="6">
        <f t="shared" ca="1" si="136"/>
        <v>151.94922763625738</v>
      </c>
      <c r="S896" s="6"/>
      <c r="T896" s="4">
        <f t="shared" ca="1" si="137"/>
        <v>6.2755725044388493E-3</v>
      </c>
      <c r="U896" s="4">
        <f t="shared" ca="1" si="138"/>
        <v>2.2511704879352126E-2</v>
      </c>
      <c r="V896" s="4">
        <f t="shared" ca="1" si="139"/>
        <v>-1.2139111133557342E-2</v>
      </c>
      <c r="W896" s="4"/>
      <c r="X896">
        <v>894</v>
      </c>
      <c r="Y896" s="4">
        <f t="shared" ca="1" si="140"/>
        <v>8.6044416636336662E-3</v>
      </c>
      <c r="Z896" s="4">
        <f ca="1"/>
        <v>2.6465450444611207E-2</v>
      </c>
      <c r="AA896" s="4"/>
    </row>
    <row r="897" spans="1:27" x14ac:dyDescent="0.35">
      <c r="A897">
        <v>895</v>
      </c>
      <c r="B897">
        <f ca="1">_xlfn.NORM.INV(RAND(),Hitorical_Sim!$AB$4,Hitorical_Sim!$AB$5)</f>
        <v>1.926940114672946E-2</v>
      </c>
      <c r="C897">
        <f ca="1">_xlfn.NORM.INV(RAND(),Hitorical_Sim!$AB$4,Hitorical_Sim!$AB$5)</f>
        <v>-1.8855576674112643E-2</v>
      </c>
      <c r="D897">
        <f ca="1">_xlfn.NORM.INV(RAND(),Hitorical_Sim!$AB$4,Hitorical_Sim!$AB$5)</f>
        <v>1.9335468667688847E-2</v>
      </c>
      <c r="K897">
        <f t="shared" ca="1" si="143"/>
        <v>-0.63110872402730356</v>
      </c>
      <c r="L897">
        <f t="shared" ca="1" si="143"/>
        <v>0.45817456572300241</v>
      </c>
      <c r="M897">
        <f t="shared" ca="1" si="143"/>
        <v>-0.9880736485610242</v>
      </c>
      <c r="O897">
        <v>895</v>
      </c>
      <c r="P897" s="6">
        <f t="shared" ca="1" si="134"/>
        <v>1915.7833838109282</v>
      </c>
      <c r="Q897" s="6">
        <f t="shared" ca="1" si="135"/>
        <v>389.46393537786429</v>
      </c>
      <c r="R897" s="6">
        <f t="shared" ca="1" si="136"/>
        <v>146.29272721346487</v>
      </c>
      <c r="S897" s="6"/>
      <c r="T897" s="4">
        <f t="shared" ca="1" si="137"/>
        <v>4.1951885162409119E-3</v>
      </c>
      <c r="U897" s="4">
        <f t="shared" ca="1" si="138"/>
        <v>-6.6282610500375972E-3</v>
      </c>
      <c r="V897" s="4">
        <f t="shared" ca="1" si="139"/>
        <v>-3.7936841006575163E-2</v>
      </c>
      <c r="W897" s="4"/>
      <c r="X897">
        <v>895</v>
      </c>
      <c r="Y897" s="4">
        <f t="shared" ca="1" si="140"/>
        <v>-4.9945403243441483E-5</v>
      </c>
      <c r="Z897" s="4">
        <f ca="1"/>
        <v>2.6552022897827782E-2</v>
      </c>
      <c r="AA897" s="4"/>
    </row>
    <row r="898" spans="1:27" x14ac:dyDescent="0.35">
      <c r="A898">
        <v>896</v>
      </c>
      <c r="B898">
        <f ca="1">_xlfn.NORM.INV(RAND(),Hitorical_Sim!$AB$4,Hitorical_Sim!$AB$5)</f>
        <v>3.2369249820434704E-3</v>
      </c>
      <c r="C898">
        <f ca="1">_xlfn.NORM.INV(RAND(),Hitorical_Sim!$AB$4,Hitorical_Sim!$AB$5)</f>
        <v>-1.3406802714278652E-2</v>
      </c>
      <c r="D898">
        <f ca="1">_xlfn.NORM.INV(RAND(),Hitorical_Sim!$AB$4,Hitorical_Sim!$AB$5)</f>
        <v>3.0613914966358555E-2</v>
      </c>
      <c r="K898">
        <f t="shared" ca="1" si="143"/>
        <v>0.4850092891836823</v>
      </c>
      <c r="L898">
        <f t="shared" ca="1" si="143"/>
        <v>-1.3384152141514587</v>
      </c>
      <c r="M898">
        <f t="shared" ca="1" si="143"/>
        <v>9.9135587795209826E-2</v>
      </c>
      <c r="O898">
        <v>896</v>
      </c>
      <c r="P898" s="6">
        <f t="shared" ca="1" si="134"/>
        <v>1954.9713438118065</v>
      </c>
      <c r="Q898" s="6">
        <f t="shared" ca="1" si="135"/>
        <v>370.00440463470437</v>
      </c>
      <c r="R898" s="6">
        <f t="shared" ca="1" si="136"/>
        <v>151.225954371287</v>
      </c>
      <c r="S898" s="6"/>
      <c r="T898" s="4">
        <f t="shared" ca="1" si="137"/>
        <v>2.0248918741934789E-2</v>
      </c>
      <c r="U898" s="4">
        <f t="shared" ca="1" si="138"/>
        <v>-5.1256358940447604E-2</v>
      </c>
      <c r="V898" s="4">
        <f t="shared" ca="1" si="139"/>
        <v>3.3165509578147803E-2</v>
      </c>
      <c r="W898" s="4"/>
      <c r="X898">
        <v>896</v>
      </c>
      <c r="Y898" s="4">
        <f t="shared" ca="1" si="140"/>
        <v>6.617990425388456E-3</v>
      </c>
      <c r="Z898" s="4">
        <f ca="1"/>
        <v>2.6624937824253802E-2</v>
      </c>
      <c r="AA898" s="4"/>
    </row>
    <row r="899" spans="1:27" x14ac:dyDescent="0.35">
      <c r="A899">
        <v>897</v>
      </c>
      <c r="B899">
        <f ca="1">_xlfn.NORM.INV(RAND(),Hitorical_Sim!$AB$4,Hitorical_Sim!$AB$5)</f>
        <v>2.3327931542719491E-2</v>
      </c>
      <c r="C899">
        <f ca="1">_xlfn.NORM.INV(RAND(),Hitorical_Sim!$AB$4,Hitorical_Sim!$AB$5)</f>
        <v>-4.9844847552277388E-3</v>
      </c>
      <c r="D899">
        <f ca="1">_xlfn.NORM.INV(RAND(),Hitorical_Sim!$AB$4,Hitorical_Sim!$AB$5)</f>
        <v>1.2830047344850146E-2</v>
      </c>
      <c r="K899">
        <f t="shared" ca="1" si="143"/>
        <v>-0.31425616800652167</v>
      </c>
      <c r="L899">
        <f t="shared" ca="1" si="143"/>
        <v>3.7291955253506565E-2</v>
      </c>
      <c r="M899">
        <f t="shared" ca="1" si="143"/>
        <v>-2.1216733079266636</v>
      </c>
      <c r="O899">
        <v>897</v>
      </c>
      <c r="P899" s="6">
        <f t="shared" ref="P899:P962" ca="1" si="144">$G$17*EXP(($G$15-0.5*$G$16)+($G$16*K899))</f>
        <v>1926.8278362689136</v>
      </c>
      <c r="Q899" s="6">
        <f t="shared" ref="Q899:Q962" ca="1" si="145">$H$17*EXP(($H$15-0.5*$H$16^2)+($H$16*L899))</f>
        <v>384.81533483984896</v>
      </c>
      <c r="R899" s="6">
        <f t="shared" ref="R899:R962" ca="1" si="146">$I$17*EXP(($I$15-0.5*$I$16)+($I$16*M899))</f>
        <v>141.32029892361737</v>
      </c>
      <c r="S899" s="6"/>
      <c r="T899" s="4">
        <f t="shared" ca="1" si="137"/>
        <v>-1.450049287289876E-2</v>
      </c>
      <c r="U899" s="4">
        <f t="shared" ca="1" si="138"/>
        <v>3.924865946687929E-2</v>
      </c>
      <c r="V899" s="4">
        <f t="shared" ca="1" si="139"/>
        <v>-6.7746167195149032E-2</v>
      </c>
      <c r="W899" s="4"/>
      <c r="X899">
        <v>897</v>
      </c>
      <c r="Y899" s="4">
        <f t="shared" ca="1" si="140"/>
        <v>-6.409011350669745E-3</v>
      </c>
      <c r="Z899" s="4">
        <f ca="1"/>
        <v>2.6671315404157927E-2</v>
      </c>
      <c r="AA899" s="4"/>
    </row>
    <row r="900" spans="1:27" x14ac:dyDescent="0.35">
      <c r="A900">
        <v>898</v>
      </c>
      <c r="B900">
        <f ca="1">_xlfn.NORM.INV(RAND(),Hitorical_Sim!$AB$4,Hitorical_Sim!$AB$5)</f>
        <v>-4.2213016296094186E-3</v>
      </c>
      <c r="C900">
        <f ca="1">_xlfn.NORM.INV(RAND(),Hitorical_Sim!$AB$4,Hitorical_Sim!$AB$5)</f>
        <v>-1.3754404481186686E-3</v>
      </c>
      <c r="D900">
        <f ca="1">_xlfn.NORM.INV(RAND(),Hitorical_Sim!$AB$4,Hitorical_Sim!$AB$5)</f>
        <v>1.5707378152262974E-2</v>
      </c>
      <c r="K900">
        <f t="shared" ca="1" si="143"/>
        <v>2.670373125313414</v>
      </c>
      <c r="L900">
        <f t="shared" ca="1" si="143"/>
        <v>-0.17045658592317658</v>
      </c>
      <c r="M900">
        <f t="shared" ca="1" si="143"/>
        <v>1.7163356871849305</v>
      </c>
      <c r="O900">
        <v>898</v>
      </c>
      <c r="P900" s="6">
        <f t="shared" ca="1" si="144"/>
        <v>2034.0380507484549</v>
      </c>
      <c r="Q900" s="6">
        <f t="shared" ca="1" si="145"/>
        <v>382.54127033750126</v>
      </c>
      <c r="R900" s="6">
        <f t="shared" ca="1" si="146"/>
        <v>158.87346682614651</v>
      </c>
      <c r="S900" s="6"/>
      <c r="T900" s="4">
        <f t="shared" ref="T900:T963" ca="1" si="147">LN(P900/P899)</f>
        <v>5.414796224044939E-2</v>
      </c>
      <c r="U900" s="4">
        <f t="shared" ref="U900:U963" ca="1" si="148">LN(Q900/Q899)</f>
        <v>-5.9270256990167072E-3</v>
      </c>
      <c r="V900" s="4">
        <f t="shared" ref="V900:V963" ca="1" si="149">LN(R900/R899)</f>
        <v>0.11707914155972418</v>
      </c>
      <c r="W900" s="4"/>
      <c r="X900">
        <v>898</v>
      </c>
      <c r="Y900" s="4">
        <f t="shared" ref="Y900:Y963" ca="1" si="150">($G$18*T900)+($H$18*U900)+($I$18*V900)</f>
        <v>4.52733821570604E-2</v>
      </c>
      <c r="Z900" s="4">
        <f ca="1"/>
        <v>2.6856333796175295E-2</v>
      </c>
      <c r="AA900" s="4"/>
    </row>
    <row r="901" spans="1:27" x14ac:dyDescent="0.35">
      <c r="A901">
        <v>899</v>
      </c>
      <c r="B901">
        <f ca="1">_xlfn.NORM.INV(RAND(),Hitorical_Sim!$AB$4,Hitorical_Sim!$AB$5)</f>
        <v>1.9898101596321983E-2</v>
      </c>
      <c r="C901">
        <f ca="1">_xlfn.NORM.INV(RAND(),Hitorical_Sim!$AB$4,Hitorical_Sim!$AB$5)</f>
        <v>2.7258888680508383E-3</v>
      </c>
      <c r="D901">
        <f ca="1">_xlfn.NORM.INV(RAND(),Hitorical_Sim!$AB$4,Hitorical_Sim!$AB$5)</f>
        <v>-6.3582639560687349E-3</v>
      </c>
      <c r="K901">
        <f t="shared" ca="1" si="143"/>
        <v>-1.5052690569727707</v>
      </c>
      <c r="L901">
        <f t="shared" ca="1" si="143"/>
        <v>0.78176366941957975</v>
      </c>
      <c r="M901">
        <f t="shared" ca="1" si="143"/>
        <v>0.30511445389853747</v>
      </c>
      <c r="O901">
        <v>899</v>
      </c>
      <c r="P901" s="6">
        <f t="shared" ca="1" si="144"/>
        <v>1885.6401407520782</v>
      </c>
      <c r="Q901" s="6">
        <f t="shared" ca="1" si="145"/>
        <v>393.07608886350511</v>
      </c>
      <c r="R901" s="6">
        <f t="shared" ca="1" si="146"/>
        <v>152.1791623751642</v>
      </c>
      <c r="S901" s="6"/>
      <c r="T901" s="4">
        <f t="shared" ca="1" si="147"/>
        <v>-7.5755644334829869E-2</v>
      </c>
      <c r="U901" s="4">
        <f t="shared" ca="1" si="148"/>
        <v>2.7166659715510383E-2</v>
      </c>
      <c r="V901" s="4">
        <f t="shared" ca="1" si="149"/>
        <v>-4.3049552711958303E-2</v>
      </c>
      <c r="W901" s="4"/>
      <c r="X901">
        <v>899</v>
      </c>
      <c r="Y901" s="4">
        <f t="shared" ca="1" si="150"/>
        <v>-5.3597008097002082E-2</v>
      </c>
      <c r="Z901" s="4">
        <f ca="1"/>
        <v>2.6973473572286934E-2</v>
      </c>
      <c r="AA901" s="4"/>
    </row>
    <row r="902" spans="1:27" x14ac:dyDescent="0.35">
      <c r="A902">
        <v>900</v>
      </c>
      <c r="B902">
        <f ca="1">_xlfn.NORM.INV(RAND(),Hitorical_Sim!$AB$4,Hitorical_Sim!$AB$5)</f>
        <v>1.5818734377508786E-2</v>
      </c>
      <c r="C902">
        <f ca="1">_xlfn.NORM.INV(RAND(),Hitorical_Sim!$AB$4,Hitorical_Sim!$AB$5)</f>
        <v>7.0718574795394003E-3</v>
      </c>
      <c r="D902">
        <f ca="1">_xlfn.NORM.INV(RAND(),Hitorical_Sim!$AB$4,Hitorical_Sim!$AB$5)</f>
        <v>-3.6424271378186483E-2</v>
      </c>
      <c r="K902">
        <f t="shared" ca="1" si="143"/>
        <v>1.4768748592285399</v>
      </c>
      <c r="L902">
        <f t="shared" ca="1" si="143"/>
        <v>-1.3893755326661148</v>
      </c>
      <c r="M902">
        <f t="shared" ca="1" si="143"/>
        <v>-5.3580519370940716E-2</v>
      </c>
      <c r="O902">
        <v>900</v>
      </c>
      <c r="P902" s="6">
        <f t="shared" ca="1" si="144"/>
        <v>1990.4688864501206</v>
      </c>
      <c r="Q902" s="6">
        <f t="shared" ca="1" si="145"/>
        <v>369.46685052583513</v>
      </c>
      <c r="R902" s="6">
        <f t="shared" ca="1" si="146"/>
        <v>150.52308680399477</v>
      </c>
      <c r="S902" s="6"/>
      <c r="T902" s="4">
        <f t="shared" ca="1" si="147"/>
        <v>5.4102871847925935E-2</v>
      </c>
      <c r="U902" s="4">
        <f t="shared" ca="1" si="148"/>
        <v>-6.1942181514334275E-2</v>
      </c>
      <c r="V902" s="4">
        <f t="shared" ca="1" si="149"/>
        <v>-1.0942053446374653E-2</v>
      </c>
      <c r="W902" s="4"/>
      <c r="X902">
        <v>900</v>
      </c>
      <c r="Y902" s="4">
        <f t="shared" ca="1" si="150"/>
        <v>2.7724901383938023E-2</v>
      </c>
      <c r="Z902" s="4">
        <f ca="1"/>
        <v>2.6994845561071203E-2</v>
      </c>
      <c r="AA902" s="4"/>
    </row>
    <row r="903" spans="1:27" x14ac:dyDescent="0.35">
      <c r="A903">
        <v>901</v>
      </c>
      <c r="B903">
        <f ca="1">_xlfn.NORM.INV(RAND(),Hitorical_Sim!$AB$4,Hitorical_Sim!$AB$5)</f>
        <v>3.2824167895820536E-3</v>
      </c>
      <c r="C903">
        <f ca="1">_xlfn.NORM.INV(RAND(),Hitorical_Sim!$AB$4,Hitorical_Sim!$AB$5)</f>
        <v>6.7883366785851306E-3</v>
      </c>
      <c r="D903">
        <f ca="1">_xlfn.NORM.INV(RAND(),Hitorical_Sim!$AB$4,Hitorical_Sim!$AB$5)</f>
        <v>-1.6394980826349255E-3</v>
      </c>
      <c r="K903">
        <f t="shared" ca="1" si="143"/>
        <v>1.1481814246664996</v>
      </c>
      <c r="L903">
        <f t="shared" ca="1" si="143"/>
        <v>-0.68885200507656685</v>
      </c>
      <c r="M903">
        <f t="shared" ca="1" si="143"/>
        <v>-1.6380810387796387</v>
      </c>
      <c r="O903">
        <v>901</v>
      </c>
      <c r="P903" s="6">
        <f t="shared" ca="1" si="144"/>
        <v>1978.6345507644442</v>
      </c>
      <c r="Q903" s="6">
        <f t="shared" ca="1" si="145"/>
        <v>376.92522390976075</v>
      </c>
      <c r="R903" s="6">
        <f t="shared" ca="1" si="146"/>
        <v>143.42051871564618</v>
      </c>
      <c r="S903" s="6"/>
      <c r="T903" s="4">
        <f t="shared" ca="1" si="147"/>
        <v>-5.963246331188961E-3</v>
      </c>
      <c r="U903" s="4">
        <f t="shared" ca="1" si="148"/>
        <v>1.9985800753507397E-2</v>
      </c>
      <c r="V903" s="4">
        <f t="shared" ca="1" si="149"/>
        <v>-4.8335467907863514E-2</v>
      </c>
      <c r="W903" s="4"/>
      <c r="X903">
        <v>901</v>
      </c>
      <c r="Y903" s="4">
        <f t="shared" ca="1" si="150"/>
        <v>-2.8816504041976813E-3</v>
      </c>
      <c r="Z903" s="4">
        <f ca="1"/>
        <v>2.705488147640495E-2</v>
      </c>
      <c r="AA903" s="4"/>
    </row>
    <row r="904" spans="1:27" x14ac:dyDescent="0.35">
      <c r="A904">
        <v>902</v>
      </c>
      <c r="B904">
        <f ca="1">_xlfn.NORM.INV(RAND(),Hitorical_Sim!$AB$4,Hitorical_Sim!$AB$5)</f>
        <v>-6.8490101860274781E-3</v>
      </c>
      <c r="C904">
        <f ca="1">_xlfn.NORM.INV(RAND(),Hitorical_Sim!$AB$4,Hitorical_Sim!$AB$5)</f>
        <v>2.6684697040675758E-2</v>
      </c>
      <c r="D904">
        <f ca="1">_xlfn.NORM.INV(RAND(),Hitorical_Sim!$AB$4,Hitorical_Sim!$AB$5)</f>
        <v>-5.9189318848873471E-3</v>
      </c>
      <c r="K904">
        <f t="shared" ref="K904:M923" ca="1" si="151">_xlfn.NORM.S.INV(RAND())</f>
        <v>-0.38495056364307101</v>
      </c>
      <c r="L904">
        <f t="shared" ca="1" si="151"/>
        <v>-0.55334108259381842</v>
      </c>
      <c r="M904">
        <f t="shared" ca="1" si="151"/>
        <v>-0.47594330193345669</v>
      </c>
      <c r="O904">
        <v>902</v>
      </c>
      <c r="P904" s="6">
        <f t="shared" ca="1" si="144"/>
        <v>1924.3581536564932</v>
      </c>
      <c r="Q904" s="6">
        <f t="shared" ca="1" si="145"/>
        <v>378.38527520602838</v>
      </c>
      <c r="R904" s="6">
        <f t="shared" ca="1" si="146"/>
        <v>148.59614976881196</v>
      </c>
      <c r="S904" s="6"/>
      <c r="T904" s="4">
        <f t="shared" ca="1" si="147"/>
        <v>-2.7814500513820565E-2</v>
      </c>
      <c r="U904" s="4">
        <f t="shared" ca="1" si="148"/>
        <v>3.8661004091944122E-3</v>
      </c>
      <c r="V904" s="4">
        <f t="shared" ca="1" si="149"/>
        <v>3.5451216705695891E-2</v>
      </c>
      <c r="W904" s="4"/>
      <c r="X904">
        <v>902</v>
      </c>
      <c r="Y904" s="4">
        <f t="shared" ca="1" si="150"/>
        <v>-1.8361036043031829E-2</v>
      </c>
      <c r="Z904" s="4">
        <f ca="1"/>
        <v>2.719333613107882E-2</v>
      </c>
      <c r="AA904" s="4"/>
    </row>
    <row r="905" spans="1:27" x14ac:dyDescent="0.35">
      <c r="A905">
        <v>903</v>
      </c>
      <c r="B905">
        <f ca="1">_xlfn.NORM.INV(RAND(),Hitorical_Sim!$AB$4,Hitorical_Sim!$AB$5)</f>
        <v>3.8948073890484889E-3</v>
      </c>
      <c r="C905">
        <f ca="1">_xlfn.NORM.INV(RAND(),Hitorical_Sim!$AB$4,Hitorical_Sim!$AB$5)</f>
        <v>-2.2203737478442096E-2</v>
      </c>
      <c r="D905">
        <f ca="1">_xlfn.NORM.INV(RAND(),Hitorical_Sim!$AB$4,Hitorical_Sim!$AB$5)</f>
        <v>-2.1544494130863633E-2</v>
      </c>
      <c r="K905">
        <f t="shared" ca="1" si="151"/>
        <v>-1.0295284523348089</v>
      </c>
      <c r="L905">
        <f t="shared" ca="1" si="151"/>
        <v>-0.19544319018809214</v>
      </c>
      <c r="M905">
        <f t="shared" ca="1" si="151"/>
        <v>-2.2719713905448873</v>
      </c>
      <c r="O905">
        <v>903</v>
      </c>
      <c r="P905" s="6">
        <f t="shared" ca="1" si="144"/>
        <v>1901.9855690387665</v>
      </c>
      <c r="Q905" s="6">
        <f t="shared" ca="1" si="145"/>
        <v>382.2686680004777</v>
      </c>
      <c r="R905" s="6">
        <f t="shared" ca="1" si="146"/>
        <v>140.67384687293062</v>
      </c>
      <c r="S905" s="6"/>
      <c r="T905" s="4">
        <f t="shared" ca="1" si="147"/>
        <v>-1.1694108630517928E-2</v>
      </c>
      <c r="U905" s="4">
        <f t="shared" ca="1" si="148"/>
        <v>1.0210757649116263E-2</v>
      </c>
      <c r="V905" s="4">
        <f t="shared" ca="1" si="149"/>
        <v>-5.4788153727520043E-2</v>
      </c>
      <c r="W905" s="4"/>
      <c r="X905">
        <v>903</v>
      </c>
      <c r="Y905" s="4">
        <f t="shared" ca="1" si="150"/>
        <v>-9.4553252152016435E-3</v>
      </c>
      <c r="Z905" s="4">
        <f ca="1"/>
        <v>2.7356943482073046E-2</v>
      </c>
      <c r="AA905" s="4"/>
    </row>
    <row r="906" spans="1:27" x14ac:dyDescent="0.35">
      <c r="A906">
        <v>904</v>
      </c>
      <c r="B906">
        <f ca="1">_xlfn.NORM.INV(RAND(),Hitorical_Sim!$AB$4,Hitorical_Sim!$AB$5)</f>
        <v>-6.6281509393096632E-3</v>
      </c>
      <c r="C906">
        <f ca="1">_xlfn.NORM.INV(RAND(),Hitorical_Sim!$AB$4,Hitorical_Sim!$AB$5)</f>
        <v>-1.003461617377863E-2</v>
      </c>
      <c r="D906">
        <f ca="1">_xlfn.NORM.INV(RAND(),Hitorical_Sim!$AB$4,Hitorical_Sim!$AB$5)</f>
        <v>1.2407562400519483E-3</v>
      </c>
      <c r="K906">
        <f t="shared" ca="1" si="151"/>
        <v>-0.81151849476695703</v>
      </c>
      <c r="L906">
        <f t="shared" ca="1" si="151"/>
        <v>0.67840354967692262</v>
      </c>
      <c r="M906">
        <f t="shared" ca="1" si="151"/>
        <v>-0.19825732628135731</v>
      </c>
      <c r="O906">
        <v>904</v>
      </c>
      <c r="P906" s="6">
        <f t="shared" ca="1" si="144"/>
        <v>1909.5231920228302</v>
      </c>
      <c r="Q906" s="6">
        <f t="shared" ca="1" si="145"/>
        <v>391.9186760624824</v>
      </c>
      <c r="R906" s="6">
        <f t="shared" ca="1" si="146"/>
        <v>149.86023328095621</v>
      </c>
      <c r="S906" s="6"/>
      <c r="T906" s="4">
        <f t="shared" ca="1" si="147"/>
        <v>3.9551963712367629E-3</v>
      </c>
      <c r="U906" s="4">
        <f t="shared" ca="1" si="148"/>
        <v>2.4930678477193172E-2</v>
      </c>
      <c r="V906" s="4">
        <f t="shared" ca="1" si="149"/>
        <v>6.3259013408654585E-2</v>
      </c>
      <c r="W906" s="4"/>
      <c r="X906">
        <v>904</v>
      </c>
      <c r="Y906" s="4">
        <f t="shared" ca="1" si="150"/>
        <v>1.1076185593490915E-2</v>
      </c>
      <c r="Z906" s="4">
        <f ca="1"/>
        <v>2.7435900514564144E-2</v>
      </c>
      <c r="AA906" s="4"/>
    </row>
    <row r="907" spans="1:27" x14ac:dyDescent="0.35">
      <c r="A907">
        <v>905</v>
      </c>
      <c r="B907">
        <f ca="1">_xlfn.NORM.INV(RAND(),Hitorical_Sim!$AB$4,Hitorical_Sim!$AB$5)</f>
        <v>-2.4963811360598824E-2</v>
      </c>
      <c r="C907">
        <f ca="1">_xlfn.NORM.INV(RAND(),Hitorical_Sim!$AB$4,Hitorical_Sim!$AB$5)</f>
        <v>1.5810580030504531E-2</v>
      </c>
      <c r="D907">
        <f ca="1">_xlfn.NORM.INV(RAND(),Hitorical_Sim!$AB$4,Hitorical_Sim!$AB$5)</f>
        <v>1.2320034300146537E-2</v>
      </c>
      <c r="K907">
        <f t="shared" ca="1" si="151"/>
        <v>4.4623157766982124E-3</v>
      </c>
      <c r="L907">
        <f t="shared" ca="1" si="151"/>
        <v>0.27526350280929657</v>
      </c>
      <c r="M907">
        <f t="shared" ca="1" si="151"/>
        <v>0.49136561812771501</v>
      </c>
      <c r="O907">
        <v>905</v>
      </c>
      <c r="P907" s="6">
        <f t="shared" ca="1" si="144"/>
        <v>1938.0015642249723</v>
      </c>
      <c r="Q907" s="6">
        <f t="shared" ca="1" si="145"/>
        <v>387.4368437650549</v>
      </c>
      <c r="R907" s="6">
        <f t="shared" ca="1" si="146"/>
        <v>153.04624814713534</v>
      </c>
      <c r="S907" s="6"/>
      <c r="T907" s="4">
        <f t="shared" ca="1" si="147"/>
        <v>1.4803747392394448E-2</v>
      </c>
      <c r="U907" s="4">
        <f t="shared" ca="1" si="148"/>
        <v>-1.1501507565605628E-2</v>
      </c>
      <c r="V907" s="4">
        <f t="shared" ca="1" si="149"/>
        <v>2.1037069593672485E-2</v>
      </c>
      <c r="W907" s="4"/>
      <c r="X907">
        <v>905</v>
      </c>
      <c r="Y907" s="4">
        <f t="shared" ca="1" si="150"/>
        <v>9.8625455947323332E-3</v>
      </c>
      <c r="Z907" s="4">
        <f ca="1"/>
        <v>2.7463718036302577E-2</v>
      </c>
      <c r="AA907" s="4"/>
    </row>
    <row r="908" spans="1:27" x14ac:dyDescent="0.35">
      <c r="A908">
        <v>906</v>
      </c>
      <c r="B908">
        <f ca="1">_xlfn.NORM.INV(RAND(),Hitorical_Sim!$AB$4,Hitorical_Sim!$AB$5)</f>
        <v>1.5717018327395711E-2</v>
      </c>
      <c r="C908">
        <f ca="1">_xlfn.NORM.INV(RAND(),Hitorical_Sim!$AB$4,Hitorical_Sim!$AB$5)</f>
        <v>4.5136534074613115E-3</v>
      </c>
      <c r="D908">
        <f ca="1">_xlfn.NORM.INV(RAND(),Hitorical_Sim!$AB$4,Hitorical_Sim!$AB$5)</f>
        <v>-1.8682716769395376E-2</v>
      </c>
      <c r="K908">
        <f t="shared" ca="1" si="151"/>
        <v>0.25937034805666143</v>
      </c>
      <c r="L908">
        <f t="shared" ca="1" si="151"/>
        <v>-0.29243816365180048</v>
      </c>
      <c r="M908">
        <f t="shared" ca="1" si="151"/>
        <v>-0.19498965666149351</v>
      </c>
      <c r="O908">
        <v>906</v>
      </c>
      <c r="P908" s="6">
        <f t="shared" ca="1" si="144"/>
        <v>1946.9848242888138</v>
      </c>
      <c r="Q908" s="6">
        <f t="shared" ca="1" si="145"/>
        <v>381.21229815000237</v>
      </c>
      <c r="R908" s="6">
        <f t="shared" ca="1" si="146"/>
        <v>149.87517221918645</v>
      </c>
      <c r="S908" s="6"/>
      <c r="T908" s="4">
        <f t="shared" ca="1" si="147"/>
        <v>4.624611350419772E-3</v>
      </c>
      <c r="U908" s="4">
        <f t="shared" ca="1" si="148"/>
        <v>-1.6196418744658474E-2</v>
      </c>
      <c r="V908" s="4">
        <f t="shared" ca="1" si="149"/>
        <v>-2.0937388755383174E-2</v>
      </c>
      <c r="W908" s="4"/>
      <c r="X908">
        <v>906</v>
      </c>
      <c r="Y908" s="4">
        <f t="shared" ca="1" si="150"/>
        <v>-7.9566805251758818E-4</v>
      </c>
      <c r="Z908" s="4">
        <f ca="1"/>
        <v>2.7492727636643149E-2</v>
      </c>
      <c r="AA908" s="4"/>
    </row>
    <row r="909" spans="1:27" x14ac:dyDescent="0.35">
      <c r="A909">
        <v>907</v>
      </c>
      <c r="B909">
        <f ca="1">_xlfn.NORM.INV(RAND(),Hitorical_Sim!$AB$4,Hitorical_Sim!$AB$5)</f>
        <v>-2.9964704137323589E-5</v>
      </c>
      <c r="C909">
        <f ca="1">_xlfn.NORM.INV(RAND(),Hitorical_Sim!$AB$4,Hitorical_Sim!$AB$5)</f>
        <v>2.9448587075664449E-2</v>
      </c>
      <c r="D909">
        <f ca="1">_xlfn.NORM.INV(RAND(),Hitorical_Sim!$AB$4,Hitorical_Sim!$AB$5)</f>
        <v>5.4170658396897279E-3</v>
      </c>
      <c r="K909">
        <f t="shared" ca="1" si="151"/>
        <v>-0.71627468685981144</v>
      </c>
      <c r="L909">
        <f t="shared" ca="1" si="151"/>
        <v>1.2454334936982059</v>
      </c>
      <c r="M909">
        <f t="shared" ca="1" si="151"/>
        <v>0.78305665752064912</v>
      </c>
      <c r="O909">
        <v>907</v>
      </c>
      <c r="P909" s="6">
        <f t="shared" ca="1" si="144"/>
        <v>1912.8255844475791</v>
      </c>
      <c r="Q909" s="6">
        <f t="shared" ca="1" si="145"/>
        <v>398.31040520137975</v>
      </c>
      <c r="R909" s="6">
        <f t="shared" ca="1" si="146"/>
        <v>154.41414372154998</v>
      </c>
      <c r="S909" s="6"/>
      <c r="T909" s="4">
        <f t="shared" ca="1" si="147"/>
        <v>-1.7700419488939245E-2</v>
      </c>
      <c r="U909" s="4">
        <f t="shared" ca="1" si="148"/>
        <v>4.3875180943632457E-2</v>
      </c>
      <c r="V909" s="4">
        <f t="shared" ca="1" si="149"/>
        <v>2.983547537693235E-2</v>
      </c>
      <c r="W909" s="4"/>
      <c r="X909">
        <v>907</v>
      </c>
      <c r="Y909" s="4">
        <f t="shared" ca="1" si="150"/>
        <v>-3.059337799303753E-3</v>
      </c>
      <c r="Z909" s="4">
        <f ca="1"/>
        <v>2.7539136200388274E-2</v>
      </c>
      <c r="AA909" s="4"/>
    </row>
    <row r="910" spans="1:27" x14ac:dyDescent="0.35">
      <c r="A910">
        <v>908</v>
      </c>
      <c r="B910">
        <f ca="1">_xlfn.NORM.INV(RAND(),Hitorical_Sim!$AB$4,Hitorical_Sim!$AB$5)</f>
        <v>2.5761086626845276E-3</v>
      </c>
      <c r="C910">
        <f ca="1">_xlfn.NORM.INV(RAND(),Hitorical_Sim!$AB$4,Hitorical_Sim!$AB$5)</f>
        <v>-1.318427331898579E-3</v>
      </c>
      <c r="D910">
        <f ca="1">_xlfn.NORM.INV(RAND(),Hitorical_Sim!$AB$4,Hitorical_Sim!$AB$5)</f>
        <v>-3.5340167083925075E-3</v>
      </c>
      <c r="K910">
        <f t="shared" ca="1" si="151"/>
        <v>0.90214943855017693</v>
      </c>
      <c r="L910">
        <f t="shared" ca="1" si="151"/>
        <v>1.0304820815283717</v>
      </c>
      <c r="M910">
        <f t="shared" ca="1" si="151"/>
        <v>2.5699902339792096</v>
      </c>
      <c r="O910">
        <v>908</v>
      </c>
      <c r="P910" s="6">
        <f t="shared" ca="1" si="144"/>
        <v>1969.8224391826698</v>
      </c>
      <c r="Q910" s="6">
        <f t="shared" ca="1" si="145"/>
        <v>395.87523230062959</v>
      </c>
      <c r="R910" s="6">
        <f t="shared" ca="1" si="146"/>
        <v>163.06501100934253</v>
      </c>
      <c r="S910" s="6"/>
      <c r="T910" s="4">
        <f t="shared" ca="1" si="147"/>
        <v>2.9361893829786975E-2</v>
      </c>
      <c r="U910" s="4">
        <f t="shared" ca="1" si="148"/>
        <v>-6.1325222153399573E-3</v>
      </c>
      <c r="V910" s="4">
        <f t="shared" ca="1" si="149"/>
        <v>5.4510724029695139E-2</v>
      </c>
      <c r="W910" s="4"/>
      <c r="X910">
        <v>908</v>
      </c>
      <c r="Y910" s="4">
        <f t="shared" ca="1" si="150"/>
        <v>2.3522959142756827E-2</v>
      </c>
      <c r="Z910" s="4">
        <f ca="1"/>
        <v>2.7724901383938023E-2</v>
      </c>
      <c r="AA910" s="4"/>
    </row>
    <row r="911" spans="1:27" x14ac:dyDescent="0.35">
      <c r="A911">
        <v>909</v>
      </c>
      <c r="B911">
        <f ca="1">_xlfn.NORM.INV(RAND(),Hitorical_Sim!$AB$4,Hitorical_Sim!$AB$5)</f>
        <v>1.9237366751671158E-2</v>
      </c>
      <c r="C911">
        <f ca="1">_xlfn.NORM.INV(RAND(),Hitorical_Sim!$AB$4,Hitorical_Sim!$AB$5)</f>
        <v>-1.2009608841691374E-2</v>
      </c>
      <c r="D911">
        <f ca="1">_xlfn.NORM.INV(RAND(),Hitorical_Sim!$AB$4,Hitorical_Sim!$AB$5)</f>
        <v>9.8679481612828739E-3</v>
      </c>
      <c r="K911">
        <f t="shared" ca="1" si="151"/>
        <v>-0.975798270228174</v>
      </c>
      <c r="L911">
        <f t="shared" ca="1" si="151"/>
        <v>0.16285830591559203</v>
      </c>
      <c r="M911">
        <f t="shared" ca="1" si="151"/>
        <v>0.23467747937443093</v>
      </c>
      <c r="O911">
        <v>909</v>
      </c>
      <c r="P911" s="6">
        <f t="shared" ca="1" si="144"/>
        <v>1903.8405050812321</v>
      </c>
      <c r="Q911" s="6">
        <f t="shared" ca="1" si="145"/>
        <v>386.19636323217679</v>
      </c>
      <c r="R911" s="6">
        <f t="shared" ca="1" si="146"/>
        <v>151.85252722024356</v>
      </c>
      <c r="S911" s="6"/>
      <c r="T911" s="4">
        <f t="shared" ca="1" si="147"/>
        <v>-3.4070241772423647E-2</v>
      </c>
      <c r="U911" s="4">
        <f t="shared" ca="1" si="148"/>
        <v>-2.4753138510663568E-2</v>
      </c>
      <c r="V911" s="4">
        <f t="shared" ca="1" si="149"/>
        <v>-7.1239127613001496E-2</v>
      </c>
      <c r="W911" s="4"/>
      <c r="X911">
        <v>909</v>
      </c>
      <c r="Y911" s="4">
        <f t="shared" ca="1" si="150"/>
        <v>-3.4050337202030143E-2</v>
      </c>
      <c r="Z911" s="4">
        <f ca="1"/>
        <v>2.7820748991850417E-2</v>
      </c>
      <c r="AA911" s="4"/>
    </row>
    <row r="912" spans="1:27" x14ac:dyDescent="0.35">
      <c r="A912">
        <v>910</v>
      </c>
      <c r="B912">
        <f ca="1">_xlfn.NORM.INV(RAND(),Hitorical_Sim!$AB$4,Hitorical_Sim!$AB$5)</f>
        <v>3.6800050783518147E-2</v>
      </c>
      <c r="C912">
        <f ca="1">_xlfn.NORM.INV(RAND(),Hitorical_Sim!$AB$4,Hitorical_Sim!$AB$5)</f>
        <v>-1.7666490561322443E-2</v>
      </c>
      <c r="D912">
        <f ca="1">_xlfn.NORM.INV(RAND(),Hitorical_Sim!$AB$4,Hitorical_Sim!$AB$5)</f>
        <v>-1.3917907329065012E-2</v>
      </c>
      <c r="K912">
        <f t="shared" ca="1" si="151"/>
        <v>0.17248215627539096</v>
      </c>
      <c r="L912">
        <f t="shared" ca="1" si="151"/>
        <v>-0.41280889158182765</v>
      </c>
      <c r="M912">
        <f t="shared" ca="1" si="151"/>
        <v>1.1274573521410651</v>
      </c>
      <c r="O912">
        <v>910</v>
      </c>
      <c r="P912" s="6">
        <f t="shared" ca="1" si="144"/>
        <v>1943.9181137123053</v>
      </c>
      <c r="Q912" s="6">
        <f t="shared" ca="1" si="145"/>
        <v>379.90540189457693</v>
      </c>
      <c r="R912" s="6">
        <f t="shared" ca="1" si="146"/>
        <v>156.04497106498712</v>
      </c>
      <c r="S912" s="6"/>
      <c r="T912" s="4">
        <f t="shared" ca="1" si="147"/>
        <v>2.0832418054370805E-2</v>
      </c>
      <c r="U912" s="4">
        <f t="shared" ca="1" si="148"/>
        <v>-1.6423673804507027E-2</v>
      </c>
      <c r="V912" s="4">
        <f t="shared" ca="1" si="149"/>
        <v>2.7234407537462844E-2</v>
      </c>
      <c r="W912" s="4"/>
      <c r="X912">
        <v>910</v>
      </c>
      <c r="Y912" s="4">
        <f t="shared" ca="1" si="150"/>
        <v>1.3714125972424584E-2</v>
      </c>
      <c r="Z912" s="4">
        <f ca="1"/>
        <v>2.792669560496934E-2</v>
      </c>
      <c r="AA912" s="4"/>
    </row>
    <row r="913" spans="1:27" x14ac:dyDescent="0.35">
      <c r="A913">
        <v>911</v>
      </c>
      <c r="B913">
        <f ca="1">_xlfn.NORM.INV(RAND(),Hitorical_Sim!$AB$4,Hitorical_Sim!$AB$5)</f>
        <v>2.7070099996948746E-2</v>
      </c>
      <c r="C913">
        <f ca="1">_xlfn.NORM.INV(RAND(),Hitorical_Sim!$AB$4,Hitorical_Sim!$AB$5)</f>
        <v>2.4985620956628776E-2</v>
      </c>
      <c r="D913">
        <f ca="1">_xlfn.NORM.INV(RAND(),Hitorical_Sim!$AB$4,Hitorical_Sim!$AB$5)</f>
        <v>-2.0534573884262441E-2</v>
      </c>
      <c r="K913">
        <f t="shared" ca="1" si="151"/>
        <v>-4.5696752516534878E-2</v>
      </c>
      <c r="L913">
        <f t="shared" ca="1" si="151"/>
        <v>0.20181808985759739</v>
      </c>
      <c r="M913">
        <f t="shared" ca="1" si="151"/>
        <v>-0.5997652446884153</v>
      </c>
      <c r="O913">
        <v>911</v>
      </c>
      <c r="P913" s="6">
        <f t="shared" ca="1" si="144"/>
        <v>1936.2387858446843</v>
      </c>
      <c r="Q913" s="6">
        <f t="shared" ca="1" si="145"/>
        <v>386.62586497633657</v>
      </c>
      <c r="R913" s="6">
        <f t="shared" ca="1" si="146"/>
        <v>148.03592957546351</v>
      </c>
      <c r="S913" s="6"/>
      <c r="T913" s="4">
        <f t="shared" ca="1" si="147"/>
        <v>-3.9582615306259662E-3</v>
      </c>
      <c r="U913" s="4">
        <f t="shared" ca="1" si="148"/>
        <v>1.7535188905140234E-2</v>
      </c>
      <c r="V913" s="4">
        <f t="shared" ca="1" si="149"/>
        <v>-5.268923006092973E-2</v>
      </c>
      <c r="W913" s="4"/>
      <c r="X913">
        <v>911</v>
      </c>
      <c r="Y913" s="4">
        <f t="shared" ca="1" si="150"/>
        <v>-2.0805556102091475E-3</v>
      </c>
      <c r="Z913" s="4">
        <f ca="1"/>
        <v>2.8358441105671241E-2</v>
      </c>
      <c r="AA913" s="4"/>
    </row>
    <row r="914" spans="1:27" x14ac:dyDescent="0.35">
      <c r="A914">
        <v>912</v>
      </c>
      <c r="B914">
        <f ca="1">_xlfn.NORM.INV(RAND(),Hitorical_Sim!$AB$4,Hitorical_Sim!$AB$5)</f>
        <v>2.334228429978092E-2</v>
      </c>
      <c r="C914">
        <f ca="1">_xlfn.NORM.INV(RAND(),Hitorical_Sim!$AB$4,Hitorical_Sim!$AB$5)</f>
        <v>-1.6258926550373493E-2</v>
      </c>
      <c r="D914">
        <f ca="1">_xlfn.NORM.INV(RAND(),Hitorical_Sim!$AB$4,Hitorical_Sim!$AB$5)</f>
        <v>-6.5136664286779599E-3</v>
      </c>
      <c r="K914">
        <f t="shared" ca="1" si="151"/>
        <v>0.57441673970788831</v>
      </c>
      <c r="L914">
        <f t="shared" ca="1" si="151"/>
        <v>0.51992838710096323</v>
      </c>
      <c r="M914">
        <f t="shared" ca="1" si="151"/>
        <v>0.5596307219842056</v>
      </c>
      <c r="O914">
        <v>912</v>
      </c>
      <c r="P914" s="6">
        <f t="shared" ca="1" si="144"/>
        <v>1958.1449870133272</v>
      </c>
      <c r="Q914" s="6">
        <f t="shared" ca="1" si="145"/>
        <v>390.15070732046365</v>
      </c>
      <c r="R914" s="6">
        <f t="shared" ca="1" si="146"/>
        <v>153.36528970583527</v>
      </c>
      <c r="S914" s="6"/>
      <c r="T914" s="4">
        <f t="shared" ca="1" si="147"/>
        <v>1.1250268848099255E-2</v>
      </c>
      <c r="U914" s="4">
        <f t="shared" ca="1" si="148"/>
        <v>9.0756252544738399E-3</v>
      </c>
      <c r="V914" s="4">
        <f t="shared" ca="1" si="149"/>
        <v>3.5367578522803769E-2</v>
      </c>
      <c r="W914" s="4"/>
      <c r="X914">
        <v>912</v>
      </c>
      <c r="Y914" s="4">
        <f t="shared" ca="1" si="150"/>
        <v>1.2009847571740848E-2</v>
      </c>
      <c r="Z914" s="4">
        <f ca="1"/>
        <v>2.8383017502417715E-2</v>
      </c>
      <c r="AA914" s="4"/>
    </row>
    <row r="915" spans="1:27" x14ac:dyDescent="0.35">
      <c r="A915">
        <v>913</v>
      </c>
      <c r="B915">
        <f ca="1">_xlfn.NORM.INV(RAND(),Hitorical_Sim!$AB$4,Hitorical_Sim!$AB$5)</f>
        <v>-5.9557960947660216E-3</v>
      </c>
      <c r="C915">
        <f ca="1">_xlfn.NORM.INV(RAND(),Hitorical_Sim!$AB$4,Hitorical_Sim!$AB$5)</f>
        <v>-7.4651493293446825E-3</v>
      </c>
      <c r="D915">
        <f ca="1">_xlfn.NORM.INV(RAND(),Hitorical_Sim!$AB$4,Hitorical_Sim!$AB$5)</f>
        <v>-3.8638701760441252E-3</v>
      </c>
      <c r="K915">
        <f t="shared" ca="1" si="151"/>
        <v>2.1554867972255747</v>
      </c>
      <c r="L915">
        <f t="shared" ca="1" si="151"/>
        <v>-0.86031618810698707</v>
      </c>
      <c r="M915">
        <f t="shared" ca="1" si="151"/>
        <v>1.3315272760767902</v>
      </c>
      <c r="O915">
        <v>913</v>
      </c>
      <c r="P915" s="6">
        <f t="shared" ca="1" si="144"/>
        <v>2015.1261441398462</v>
      </c>
      <c r="Q915" s="6">
        <f t="shared" ca="1" si="145"/>
        <v>375.08586861427011</v>
      </c>
      <c r="R915" s="6">
        <f t="shared" ca="1" si="146"/>
        <v>157.01941039547677</v>
      </c>
      <c r="S915" s="6"/>
      <c r="T915" s="4">
        <f t="shared" ca="1" si="147"/>
        <v>2.8684206097415271E-2</v>
      </c>
      <c r="U915" s="4">
        <f t="shared" ca="1" si="148"/>
        <v>-3.9378110776856226E-2</v>
      </c>
      <c r="V915" s="4">
        <f t="shared" ca="1" si="149"/>
        <v>2.3546840573113775E-2</v>
      </c>
      <c r="W915" s="4"/>
      <c r="X915">
        <v>913</v>
      </c>
      <c r="Y915" s="4">
        <f t="shared" ca="1" si="150"/>
        <v>1.4846890549831909E-2</v>
      </c>
      <c r="Z915" s="4">
        <f ca="1"/>
        <v>2.855408018117055E-2</v>
      </c>
      <c r="AA915" s="4"/>
    </row>
    <row r="916" spans="1:27" x14ac:dyDescent="0.35">
      <c r="A916">
        <v>914</v>
      </c>
      <c r="B916">
        <f ca="1">_xlfn.NORM.INV(RAND(),Hitorical_Sim!$AB$4,Hitorical_Sim!$AB$5)</f>
        <v>-6.8208720015666933E-3</v>
      </c>
      <c r="C916">
        <f ca="1">_xlfn.NORM.INV(RAND(),Hitorical_Sim!$AB$4,Hitorical_Sim!$AB$5)</f>
        <v>2.4344802151423692E-2</v>
      </c>
      <c r="D916">
        <f ca="1">_xlfn.NORM.INV(RAND(),Hitorical_Sim!$AB$4,Hitorical_Sim!$AB$5)</f>
        <v>-1.047049446039002E-2</v>
      </c>
      <c r="K916">
        <f t="shared" ca="1" si="151"/>
        <v>-1.9333332523064413E-2</v>
      </c>
      <c r="L916">
        <f t="shared" ca="1" si="151"/>
        <v>-1.2926397035098605</v>
      </c>
      <c r="M916">
        <f t="shared" ca="1" si="151"/>
        <v>1.2286620558286587</v>
      </c>
      <c r="O916">
        <v>914</v>
      </c>
      <c r="P916" s="6">
        <f t="shared" ca="1" si="144"/>
        <v>1937.1650956220251</v>
      </c>
      <c r="Q916" s="6">
        <f t="shared" ca="1" si="145"/>
        <v>370.48793364672491</v>
      </c>
      <c r="R916" s="6">
        <f t="shared" ca="1" si="146"/>
        <v>156.52746802338459</v>
      </c>
      <c r="S916" s="6"/>
      <c r="T916" s="4">
        <f t="shared" ca="1" si="147"/>
        <v>-3.9456182558071186E-2</v>
      </c>
      <c r="U916" s="4">
        <f t="shared" ca="1" si="148"/>
        <v>-1.2334106278526347E-2</v>
      </c>
      <c r="V916" s="4">
        <f t="shared" ca="1" si="149"/>
        <v>-3.1379216928213291E-3</v>
      </c>
      <c r="W916" s="4"/>
      <c r="X916">
        <v>914</v>
      </c>
      <c r="Y916" s="4">
        <f t="shared" ca="1" si="150"/>
        <v>-3.2246086594634911E-2</v>
      </c>
      <c r="Z916" s="4">
        <f ca="1"/>
        <v>2.8656987923065393E-2</v>
      </c>
      <c r="AA916" s="4"/>
    </row>
    <row r="917" spans="1:27" x14ac:dyDescent="0.35">
      <c r="A917">
        <v>915</v>
      </c>
      <c r="B917">
        <f ca="1">_xlfn.NORM.INV(RAND(),Hitorical_Sim!$AB$4,Hitorical_Sim!$AB$5)</f>
        <v>2.3012051038741457E-2</v>
      </c>
      <c r="C917">
        <f ca="1">_xlfn.NORM.INV(RAND(),Hitorical_Sim!$AB$4,Hitorical_Sim!$AB$5)</f>
        <v>1.1109759568597178E-2</v>
      </c>
      <c r="D917">
        <f ca="1">_xlfn.NORM.INV(RAND(),Hitorical_Sim!$AB$4,Hitorical_Sim!$AB$5)</f>
        <v>-9.1556479639404529E-3</v>
      </c>
      <c r="K917">
        <f t="shared" ca="1" si="151"/>
        <v>-0.6610967025977782</v>
      </c>
      <c r="L917">
        <f t="shared" ca="1" si="151"/>
        <v>0.73425127521881706</v>
      </c>
      <c r="M917">
        <f t="shared" ca="1" si="151"/>
        <v>-0.21963502635422952</v>
      </c>
      <c r="O917">
        <v>915</v>
      </c>
      <c r="P917" s="6">
        <f t="shared" ca="1" si="144"/>
        <v>1914.7413851026104</v>
      </c>
      <c r="Q917" s="6">
        <f t="shared" ca="1" si="145"/>
        <v>392.54362755498443</v>
      </c>
      <c r="R917" s="6">
        <f t="shared" ca="1" si="146"/>
        <v>149.76253670913979</v>
      </c>
      <c r="S917" s="6"/>
      <c r="T917" s="4">
        <f t="shared" ca="1" si="147"/>
        <v>-1.1643046862766328E-2</v>
      </c>
      <c r="U917" s="4">
        <f t="shared" ca="1" si="148"/>
        <v>5.782680760108283E-2</v>
      </c>
      <c r="V917" s="4">
        <f t="shared" ca="1" si="149"/>
        <v>-4.4180558024068665E-2</v>
      </c>
      <c r="W917" s="4"/>
      <c r="X917">
        <v>915</v>
      </c>
      <c r="Y917" s="4">
        <f t="shared" ca="1" si="150"/>
        <v>6.1063437179450716E-4</v>
      </c>
      <c r="Z917" s="4">
        <f ca="1"/>
        <v>2.8770781853954489E-2</v>
      </c>
      <c r="AA917" s="4"/>
    </row>
    <row r="918" spans="1:27" x14ac:dyDescent="0.35">
      <c r="A918">
        <v>916</v>
      </c>
      <c r="B918">
        <f ca="1">_xlfn.NORM.INV(RAND(),Hitorical_Sim!$AB$4,Hitorical_Sim!$AB$5)</f>
        <v>-4.824838715096097E-2</v>
      </c>
      <c r="C918">
        <f ca="1">_xlfn.NORM.INV(RAND(),Hitorical_Sim!$AB$4,Hitorical_Sim!$AB$5)</f>
        <v>-2.3162911072277959E-2</v>
      </c>
      <c r="D918">
        <f ca="1">_xlfn.NORM.INV(RAND(),Hitorical_Sim!$AB$4,Hitorical_Sim!$AB$5)</f>
        <v>-3.1770481036545922E-2</v>
      </c>
      <c r="K918">
        <f t="shared" ca="1" si="151"/>
        <v>-2.3388274559181363</v>
      </c>
      <c r="L918">
        <f t="shared" ca="1" si="151"/>
        <v>0.74382304047695669</v>
      </c>
      <c r="M918">
        <f t="shared" ca="1" si="151"/>
        <v>-1.1718280582750513</v>
      </c>
      <c r="O918">
        <v>916</v>
      </c>
      <c r="P918" s="6">
        <f t="shared" ca="1" si="144"/>
        <v>1857.3388095031253</v>
      </c>
      <c r="Q918" s="6">
        <f t="shared" ca="1" si="145"/>
        <v>392.65083824676549</v>
      </c>
      <c r="R918" s="6">
        <f t="shared" ca="1" si="146"/>
        <v>145.47498313928222</v>
      </c>
      <c r="S918" s="6"/>
      <c r="T918" s="4">
        <f t="shared" ca="1" si="147"/>
        <v>-3.043785091962949E-2</v>
      </c>
      <c r="U918" s="4">
        <f t="shared" ca="1" si="148"/>
        <v>2.7308061153451984E-4</v>
      </c>
      <c r="V918" s="4">
        <f t="shared" ca="1" si="149"/>
        <v>-2.9046816440095106E-2</v>
      </c>
      <c r="W918" s="4"/>
      <c r="X918">
        <v>916</v>
      </c>
      <c r="Y918" s="4">
        <f t="shared" ca="1" si="150"/>
        <v>-2.4240086290428186E-2</v>
      </c>
      <c r="Z918" s="4">
        <f ca="1"/>
        <v>2.8787481424832884E-2</v>
      </c>
      <c r="AA918" s="4"/>
    </row>
    <row r="919" spans="1:27" x14ac:dyDescent="0.35">
      <c r="A919">
        <v>917</v>
      </c>
      <c r="B919">
        <f ca="1">_xlfn.NORM.INV(RAND(),Hitorical_Sim!$AB$4,Hitorical_Sim!$AB$5)</f>
        <v>-1.3167157981163342E-2</v>
      </c>
      <c r="C919">
        <f ca="1">_xlfn.NORM.INV(RAND(),Hitorical_Sim!$AB$4,Hitorical_Sim!$AB$5)</f>
        <v>-1.781189459279256E-3</v>
      </c>
      <c r="D919">
        <f ca="1">_xlfn.NORM.INV(RAND(),Hitorical_Sim!$AB$4,Hitorical_Sim!$AB$5)</f>
        <v>1.8296484637915965E-2</v>
      </c>
      <c r="K919">
        <f t="shared" ca="1" si="151"/>
        <v>-0.45915787836023464</v>
      </c>
      <c r="L919">
        <f t="shared" ca="1" si="151"/>
        <v>-2.4431144462223765E-2</v>
      </c>
      <c r="M919">
        <f t="shared" ca="1" si="151"/>
        <v>0.84074080420773245</v>
      </c>
      <c r="O919">
        <v>917</v>
      </c>
      <c r="P919" s="6">
        <f t="shared" ca="1" si="144"/>
        <v>1921.7691537739711</v>
      </c>
      <c r="Q919" s="6">
        <f t="shared" ca="1" si="145"/>
        <v>384.13829130248928</v>
      </c>
      <c r="R919" s="6">
        <f t="shared" ca="1" si="146"/>
        <v>154.68610010281853</v>
      </c>
      <c r="S919" s="6"/>
      <c r="T919" s="4">
        <f t="shared" ca="1" si="147"/>
        <v>3.410148038750626E-2</v>
      </c>
      <c r="U919" s="4">
        <f t="shared" ca="1" si="148"/>
        <v>-2.1918143307870185E-2</v>
      </c>
      <c r="V919" s="4">
        <f t="shared" ca="1" si="149"/>
        <v>6.1393768240103501E-2</v>
      </c>
      <c r="W919" s="4"/>
      <c r="X919">
        <v>917</v>
      </c>
      <c r="Y919" s="4">
        <f t="shared" ca="1" si="150"/>
        <v>2.4272449142339111E-2</v>
      </c>
      <c r="Z919" s="4">
        <f ca="1"/>
        <v>2.8825658387011871E-2</v>
      </c>
      <c r="AA919" s="4"/>
    </row>
    <row r="920" spans="1:27" x14ac:dyDescent="0.35">
      <c r="A920">
        <v>918</v>
      </c>
      <c r="B920">
        <f ca="1">_xlfn.NORM.INV(RAND(),Hitorical_Sim!$AB$4,Hitorical_Sim!$AB$5)</f>
        <v>-2.0174221743092205E-2</v>
      </c>
      <c r="C920">
        <f ca="1">_xlfn.NORM.INV(RAND(),Hitorical_Sim!$AB$4,Hitorical_Sim!$AB$5)</f>
        <v>-9.9187959699295423E-3</v>
      </c>
      <c r="D920">
        <f ca="1">_xlfn.NORM.INV(RAND(),Hitorical_Sim!$AB$4,Hitorical_Sim!$AB$5)</f>
        <v>-2.2602948206006866E-4</v>
      </c>
      <c r="K920">
        <f t="shared" ca="1" si="151"/>
        <v>0.43799575803534196</v>
      </c>
      <c r="L920">
        <f t="shared" ca="1" si="151"/>
        <v>2.0503618975882887</v>
      </c>
      <c r="M920">
        <f t="shared" ca="1" si="151"/>
        <v>1.1874472186807119</v>
      </c>
      <c r="O920">
        <v>918</v>
      </c>
      <c r="P920" s="6">
        <f t="shared" ca="1" si="144"/>
        <v>1953.3045964005848</v>
      </c>
      <c r="Q920" s="6">
        <f t="shared" ca="1" si="145"/>
        <v>407.56322155128174</v>
      </c>
      <c r="R920" s="6">
        <f t="shared" ca="1" si="146"/>
        <v>156.33079503973715</v>
      </c>
      <c r="S920" s="6"/>
      <c r="T920" s="4">
        <f t="shared" ca="1" si="147"/>
        <v>1.6276407035257904E-2</v>
      </c>
      <c r="U920" s="4">
        <f t="shared" ca="1" si="148"/>
        <v>5.9193444202891736E-2</v>
      </c>
      <c r="V920" s="4">
        <f t="shared" ca="1" si="149"/>
        <v>1.0576340345071541E-2</v>
      </c>
      <c r="W920" s="4"/>
      <c r="X920">
        <v>918</v>
      </c>
      <c r="Y920" s="4">
        <f t="shared" ca="1" si="150"/>
        <v>2.4559181076033276E-2</v>
      </c>
      <c r="Z920" s="4">
        <f ca="1"/>
        <v>2.8909465329110175E-2</v>
      </c>
      <c r="AA920" s="4"/>
    </row>
    <row r="921" spans="1:27" x14ac:dyDescent="0.35">
      <c r="A921">
        <v>919</v>
      </c>
      <c r="B921">
        <f ca="1">_xlfn.NORM.INV(RAND(),Hitorical_Sim!$AB$4,Hitorical_Sim!$AB$5)</f>
        <v>-1.1937041182064413E-2</v>
      </c>
      <c r="C921">
        <f ca="1">_xlfn.NORM.INV(RAND(),Hitorical_Sim!$AB$4,Hitorical_Sim!$AB$5)</f>
        <v>8.1498541563582751E-3</v>
      </c>
      <c r="D921">
        <f ca="1">_xlfn.NORM.INV(RAND(),Hitorical_Sim!$AB$4,Hitorical_Sim!$AB$5)</f>
        <v>3.563511427818878E-2</v>
      </c>
      <c r="K921">
        <f t="shared" ca="1" si="151"/>
        <v>0.39760947378864386</v>
      </c>
      <c r="L921">
        <f t="shared" ca="1" si="151"/>
        <v>1.3502091289369231</v>
      </c>
      <c r="M921">
        <f t="shared" ca="1" si="151"/>
        <v>0.34419024436865248</v>
      </c>
      <c r="O921">
        <v>919</v>
      </c>
      <c r="P921" s="6">
        <f t="shared" ca="1" si="144"/>
        <v>1951.8739361990629</v>
      </c>
      <c r="Q921" s="6">
        <f t="shared" ca="1" si="145"/>
        <v>399.50282738307425</v>
      </c>
      <c r="R921" s="6">
        <f t="shared" ca="1" si="146"/>
        <v>152.36067020780558</v>
      </c>
      <c r="S921" s="6"/>
      <c r="T921" s="4">
        <f t="shared" ca="1" si="147"/>
        <v>-7.3269903210982301E-4</v>
      </c>
      <c r="U921" s="4">
        <f t="shared" ca="1" si="148"/>
        <v>-1.9975223072709724E-2</v>
      </c>
      <c r="V921" s="4">
        <f t="shared" ca="1" si="149"/>
        <v>-2.5723702782472276E-2</v>
      </c>
      <c r="W921" s="4"/>
      <c r="X921">
        <v>919</v>
      </c>
      <c r="Y921" s="4">
        <f t="shared" ca="1" si="150"/>
        <v>-5.8097002806175397E-3</v>
      </c>
      <c r="Z921" s="4">
        <f ca="1"/>
        <v>2.8968355581399024E-2</v>
      </c>
      <c r="AA921" s="4"/>
    </row>
    <row r="922" spans="1:27" x14ac:dyDescent="0.35">
      <c r="A922">
        <v>920</v>
      </c>
      <c r="B922">
        <f ca="1">_xlfn.NORM.INV(RAND(),Hitorical_Sim!$AB$4,Hitorical_Sim!$AB$5)</f>
        <v>5.6550530934877776E-3</v>
      </c>
      <c r="C922">
        <f ca="1">_xlfn.NORM.INV(RAND(),Hitorical_Sim!$AB$4,Hitorical_Sim!$AB$5)</f>
        <v>7.0088187826266917E-3</v>
      </c>
      <c r="D922">
        <f ca="1">_xlfn.NORM.INV(RAND(),Hitorical_Sim!$AB$4,Hitorical_Sim!$AB$5)</f>
        <v>-3.0490980487857564E-4</v>
      </c>
      <c r="K922">
        <f t="shared" ca="1" si="151"/>
        <v>1.7555799845486495</v>
      </c>
      <c r="L922">
        <f t="shared" ca="1" si="151"/>
        <v>-0.67159660922419062</v>
      </c>
      <c r="M922">
        <f t="shared" ca="1" si="151"/>
        <v>0.36919153173156166</v>
      </c>
      <c r="O922">
        <v>920</v>
      </c>
      <c r="P922" s="6">
        <f t="shared" ca="1" si="144"/>
        <v>2000.5588710398499</v>
      </c>
      <c r="Q922" s="6">
        <f t="shared" ca="1" si="145"/>
        <v>377.11082728096119</v>
      </c>
      <c r="R922" s="6">
        <f t="shared" ca="1" si="146"/>
        <v>152.47691524195159</v>
      </c>
      <c r="S922" s="6"/>
      <c r="T922" s="4">
        <f t="shared" ca="1" si="147"/>
        <v>2.4636673004869002E-2</v>
      </c>
      <c r="U922" s="4">
        <f t="shared" ca="1" si="148"/>
        <v>-5.7681726671229179E-2</v>
      </c>
      <c r="V922" s="4">
        <f t="shared" ca="1" si="149"/>
        <v>7.6266868213845172E-4</v>
      </c>
      <c r="W922" s="4"/>
      <c r="X922">
        <v>920</v>
      </c>
      <c r="Y922" s="4">
        <f t="shared" ca="1" si="150"/>
        <v>7.0270199902728774E-3</v>
      </c>
      <c r="Z922" s="4">
        <f ca="1"/>
        <v>2.9045819255280322E-2</v>
      </c>
      <c r="AA922" s="4"/>
    </row>
    <row r="923" spans="1:27" x14ac:dyDescent="0.35">
      <c r="A923">
        <v>921</v>
      </c>
      <c r="B923">
        <f ca="1">_xlfn.NORM.INV(RAND(),Hitorical_Sim!$AB$4,Hitorical_Sim!$AB$5)</f>
        <v>-1.6632161347539063E-2</v>
      </c>
      <c r="C923">
        <f ca="1">_xlfn.NORM.INV(RAND(),Hitorical_Sim!$AB$4,Hitorical_Sim!$AB$5)</f>
        <v>-1.0794283240255264E-2</v>
      </c>
      <c r="D923">
        <f ca="1">_xlfn.NORM.INV(RAND(),Hitorical_Sim!$AB$4,Hitorical_Sim!$AB$5)</f>
        <v>-3.5367428725752242E-3</v>
      </c>
      <c r="K923">
        <f t="shared" ca="1" si="151"/>
        <v>-0.76974809899808738</v>
      </c>
      <c r="L923">
        <f t="shared" ca="1" si="151"/>
        <v>-1.5617049189243586</v>
      </c>
      <c r="M923">
        <f t="shared" ca="1" si="151"/>
        <v>-0.20123947414155213</v>
      </c>
      <c r="O923">
        <v>921</v>
      </c>
      <c r="P923" s="6">
        <f t="shared" ca="1" si="144"/>
        <v>1910.9707961565191</v>
      </c>
      <c r="Q923" s="6">
        <f t="shared" ca="1" si="145"/>
        <v>367.65481597180144</v>
      </c>
      <c r="R923" s="6">
        <f t="shared" ca="1" si="146"/>
        <v>149.84660097375317</v>
      </c>
      <c r="S923" s="6"/>
      <c r="T923" s="4">
        <f t="shared" ca="1" si="147"/>
        <v>-4.5815193873049304E-2</v>
      </c>
      <c r="U923" s="4">
        <f t="shared" ca="1" si="148"/>
        <v>-2.5394617919431348E-2</v>
      </c>
      <c r="V923" s="4">
        <f t="shared" ca="1" si="149"/>
        <v>-1.7401098478856417E-2</v>
      </c>
      <c r="W923" s="4"/>
      <c r="X923">
        <v>921</v>
      </c>
      <c r="Y923" s="4">
        <f t="shared" ca="1" si="150"/>
        <v>-4.0333681481458293E-2</v>
      </c>
      <c r="Z923" s="4">
        <f ca="1"/>
        <v>2.9153379863158982E-2</v>
      </c>
      <c r="AA923" s="4"/>
    </row>
    <row r="924" spans="1:27" x14ac:dyDescent="0.35">
      <c r="A924">
        <v>922</v>
      </c>
      <c r="B924">
        <f ca="1">_xlfn.NORM.INV(RAND(),Hitorical_Sim!$AB$4,Hitorical_Sim!$AB$5)</f>
        <v>1.6358706241516176E-2</v>
      </c>
      <c r="C924">
        <f ca="1">_xlfn.NORM.INV(RAND(),Hitorical_Sim!$AB$4,Hitorical_Sim!$AB$5)</f>
        <v>-2.7692818965229272E-3</v>
      </c>
      <c r="D924">
        <f ca="1">_xlfn.NORM.INV(RAND(),Hitorical_Sim!$AB$4,Hitorical_Sim!$AB$5)</f>
        <v>1.0612579677063203E-2</v>
      </c>
      <c r="K924">
        <f t="shared" ref="K924:M943" ca="1" si="152">_xlfn.NORM.S.INV(RAND())</f>
        <v>0.70337465888241513</v>
      </c>
      <c r="L924">
        <f t="shared" ca="1" si="152"/>
        <v>1.5369526291796567</v>
      </c>
      <c r="M924">
        <f t="shared" ca="1" si="152"/>
        <v>-0.70681150460964048</v>
      </c>
      <c r="O924">
        <v>922</v>
      </c>
      <c r="P924" s="6">
        <f t="shared" ca="1" si="144"/>
        <v>1962.7316065521443</v>
      </c>
      <c r="Q924" s="6">
        <f t="shared" ca="1" si="145"/>
        <v>401.63696096955641</v>
      </c>
      <c r="R924" s="6">
        <f t="shared" ca="1" si="146"/>
        <v>147.55331183645697</v>
      </c>
      <c r="S924" s="6"/>
      <c r="T924" s="4">
        <f t="shared" ca="1" si="147"/>
        <v>2.6725796616615033E-2</v>
      </c>
      <c r="U924" s="4">
        <f t="shared" ca="1" si="148"/>
        <v>8.8404100534427418E-2</v>
      </c>
      <c r="V924" s="4">
        <f t="shared" ca="1" si="149"/>
        <v>-1.5422563990653036E-2</v>
      </c>
      <c r="W924" s="4"/>
      <c r="X924">
        <v>922</v>
      </c>
      <c r="Y924" s="4">
        <f t="shared" ca="1" si="150"/>
        <v>3.6948890684102384E-2</v>
      </c>
      <c r="Z924" s="4">
        <f ca="1"/>
        <v>2.9207534161866236E-2</v>
      </c>
      <c r="AA924" s="4"/>
    </row>
    <row r="925" spans="1:27" x14ac:dyDescent="0.35">
      <c r="A925">
        <v>923</v>
      </c>
      <c r="B925">
        <f ca="1">_xlfn.NORM.INV(RAND(),Hitorical_Sim!$AB$4,Hitorical_Sim!$AB$5)</f>
        <v>2.4814672733147553E-2</v>
      </c>
      <c r="C925">
        <f ca="1">_xlfn.NORM.INV(RAND(),Hitorical_Sim!$AB$4,Hitorical_Sim!$AB$5)</f>
        <v>-1.1309557504214241E-2</v>
      </c>
      <c r="D925">
        <f ca="1">_xlfn.NORM.INV(RAND(),Hitorical_Sim!$AB$4,Hitorical_Sim!$AB$5)</f>
        <v>-1.977168692001504E-2</v>
      </c>
      <c r="K925">
        <f t="shared" ca="1" si="152"/>
        <v>1.3271571148645414</v>
      </c>
      <c r="L925">
        <f t="shared" ca="1" si="152"/>
        <v>-2.4808699183672118</v>
      </c>
      <c r="M925">
        <f t="shared" ca="1" si="152"/>
        <v>-1.4190613903791625</v>
      </c>
      <c r="O925">
        <v>923</v>
      </c>
      <c r="P925" s="6">
        <f t="shared" ca="1" si="144"/>
        <v>1985.0696704411996</v>
      </c>
      <c r="Q925" s="6">
        <f t="shared" ca="1" si="145"/>
        <v>358.13889937601687</v>
      </c>
      <c r="R925" s="6">
        <f t="shared" ca="1" si="146"/>
        <v>144.38195282689213</v>
      </c>
      <c r="S925" s="6"/>
      <c r="T925" s="4">
        <f t="shared" ca="1" si="147"/>
        <v>1.1316832193657089E-2</v>
      </c>
      <c r="U925" s="4">
        <f t="shared" ca="1" si="148"/>
        <v>-0.11462770019234789</v>
      </c>
      <c r="V925" s="4">
        <f t="shared" ca="1" si="149"/>
        <v>-2.172730843208524E-2</v>
      </c>
      <c r="W925" s="4"/>
      <c r="X925">
        <v>923</v>
      </c>
      <c r="Y925" s="4">
        <f t="shared" ca="1" si="150"/>
        <v>-1.545303569694698E-2</v>
      </c>
      <c r="Z925" s="4">
        <f ca="1"/>
        <v>2.9304272580412554E-2</v>
      </c>
      <c r="AA925" s="4"/>
    </row>
    <row r="926" spans="1:27" x14ac:dyDescent="0.35">
      <c r="A926">
        <v>924</v>
      </c>
      <c r="B926">
        <f ca="1">_xlfn.NORM.INV(RAND(),Hitorical_Sim!$AB$4,Hitorical_Sim!$AB$5)</f>
        <v>7.9101451776749116E-3</v>
      </c>
      <c r="C926">
        <f ca="1">_xlfn.NORM.INV(RAND(),Hitorical_Sim!$AB$4,Hitorical_Sim!$AB$5)</f>
        <v>1.8077821931837018E-2</v>
      </c>
      <c r="D926">
        <f ca="1">_xlfn.NORM.INV(RAND(),Hitorical_Sim!$AB$4,Hitorical_Sim!$AB$5)</f>
        <v>-5.4766914465704739E-3</v>
      </c>
      <c r="K926">
        <f t="shared" ca="1" si="152"/>
        <v>0.90143575467098824</v>
      </c>
      <c r="L926">
        <f t="shared" ca="1" si="152"/>
        <v>-7.6327443312824575E-3</v>
      </c>
      <c r="M926">
        <f t="shared" ca="1" si="152"/>
        <v>-2.1847400036927236</v>
      </c>
      <c r="O926">
        <v>924</v>
      </c>
      <c r="P926" s="6">
        <f t="shared" ca="1" si="144"/>
        <v>1969.7969343853888</v>
      </c>
      <c r="Q926" s="6">
        <f t="shared" ca="1" si="145"/>
        <v>384.32243566283148</v>
      </c>
      <c r="R926" s="6">
        <f t="shared" ca="1" si="146"/>
        <v>141.048679719538</v>
      </c>
      <c r="S926" s="6"/>
      <c r="T926" s="4">
        <f t="shared" ca="1" si="147"/>
        <v>-7.7235535375556183E-3</v>
      </c>
      <c r="U926" s="4">
        <f t="shared" ca="1" si="148"/>
        <v>7.05609782251473E-2</v>
      </c>
      <c r="V926" s="4">
        <f t="shared" ca="1" si="149"/>
        <v>-2.335716119257954E-2</v>
      </c>
      <c r="W926" s="4"/>
      <c r="X926">
        <v>924</v>
      </c>
      <c r="Y926" s="4">
        <f t="shared" ca="1" si="150"/>
        <v>7.1258319969303395E-3</v>
      </c>
      <c r="Z926" s="4">
        <f ca="1"/>
        <v>2.9350951728872404E-2</v>
      </c>
      <c r="AA926" s="4"/>
    </row>
    <row r="927" spans="1:27" x14ac:dyDescent="0.35">
      <c r="A927">
        <v>925</v>
      </c>
      <c r="B927">
        <f ca="1">_xlfn.NORM.INV(RAND(),Hitorical_Sim!$AB$4,Hitorical_Sim!$AB$5)</f>
        <v>2.0798234762052101E-2</v>
      </c>
      <c r="C927">
        <f ca="1">_xlfn.NORM.INV(RAND(),Hitorical_Sim!$AB$4,Hitorical_Sim!$AB$5)</f>
        <v>-1.1402270618535404E-2</v>
      </c>
      <c r="D927">
        <f ca="1">_xlfn.NORM.INV(RAND(),Hitorical_Sim!$AB$4,Hitorical_Sim!$AB$5)</f>
        <v>-5.9603669293709612E-3</v>
      </c>
      <c r="K927">
        <f t="shared" ca="1" si="152"/>
        <v>6.7397030822044957E-2</v>
      </c>
      <c r="L927">
        <f t="shared" ca="1" si="152"/>
        <v>-1.6333963336393094</v>
      </c>
      <c r="M927">
        <f t="shared" ca="1" si="152"/>
        <v>-1.2598840982122452</v>
      </c>
      <c r="O927">
        <v>925</v>
      </c>
      <c r="P927" s="6">
        <f t="shared" ca="1" si="144"/>
        <v>1940.2155971313198</v>
      </c>
      <c r="Q927" s="6">
        <f t="shared" ca="1" si="145"/>
        <v>366.90360456723079</v>
      </c>
      <c r="R927" s="6">
        <f t="shared" ca="1" si="146"/>
        <v>145.08473769265782</v>
      </c>
      <c r="S927" s="6"/>
      <c r="T927" s="4">
        <f t="shared" ca="1" si="147"/>
        <v>-1.5131359002313573E-2</v>
      </c>
      <c r="U927" s="4">
        <f t="shared" ca="1" si="148"/>
        <v>-4.6382720763170251E-2</v>
      </c>
      <c r="V927" s="4">
        <f t="shared" ca="1" si="149"/>
        <v>2.8212892574772962E-2</v>
      </c>
      <c r="W927" s="4"/>
      <c r="X927">
        <v>925</v>
      </c>
      <c r="Y927" s="4">
        <f t="shared" ca="1" si="150"/>
        <v>-1.9223021687709781E-2</v>
      </c>
      <c r="Z927" s="4">
        <f ca="1"/>
        <v>2.9591538248166335E-2</v>
      </c>
      <c r="AA927" s="4"/>
    </row>
    <row r="928" spans="1:27" x14ac:dyDescent="0.35">
      <c r="A928">
        <v>926</v>
      </c>
      <c r="B928">
        <f ca="1">_xlfn.NORM.INV(RAND(),Hitorical_Sim!$AB$4,Hitorical_Sim!$AB$5)</f>
        <v>8.2989031655285716E-3</v>
      </c>
      <c r="C928">
        <f ca="1">_xlfn.NORM.INV(RAND(),Hitorical_Sim!$AB$4,Hitorical_Sim!$AB$5)</f>
        <v>1.5547053777144281E-2</v>
      </c>
      <c r="D928">
        <f ca="1">_xlfn.NORM.INV(RAND(),Hitorical_Sim!$AB$4,Hitorical_Sim!$AB$5)</f>
        <v>7.7567915024543007E-4</v>
      </c>
      <c r="K928">
        <f t="shared" ca="1" si="152"/>
        <v>-1.3578409255570454</v>
      </c>
      <c r="L928">
        <f t="shared" ca="1" si="152"/>
        <v>0.20716977804870676</v>
      </c>
      <c r="M928">
        <f t="shared" ca="1" si="152"/>
        <v>-0.19946113298038345</v>
      </c>
      <c r="O928">
        <v>926</v>
      </c>
      <c r="P928" s="6">
        <f t="shared" ca="1" si="144"/>
        <v>1890.6903785174416</v>
      </c>
      <c r="Q928" s="6">
        <f t="shared" ca="1" si="145"/>
        <v>386.6849005365857</v>
      </c>
      <c r="R928" s="6">
        <f t="shared" ca="1" si="146"/>
        <v>149.85473016419851</v>
      </c>
      <c r="S928" s="6"/>
      <c r="T928" s="4">
        <f t="shared" ca="1" si="147"/>
        <v>-2.585705743034715E-2</v>
      </c>
      <c r="U928" s="4">
        <f t="shared" ca="1" si="148"/>
        <v>5.2510995181602863E-2</v>
      </c>
      <c r="V928" s="4">
        <f t="shared" ca="1" si="149"/>
        <v>3.2348389651429957E-2</v>
      </c>
      <c r="W928" s="4"/>
      <c r="X928">
        <v>926</v>
      </c>
      <c r="Y928" s="4">
        <f t="shared" ca="1" si="150"/>
        <v>-7.3367007746417464E-3</v>
      </c>
      <c r="Z928" s="4">
        <f ca="1"/>
        <v>2.9632168519043572E-2</v>
      </c>
      <c r="AA928" s="4"/>
    </row>
    <row r="929" spans="1:27" x14ac:dyDescent="0.35">
      <c r="A929">
        <v>927</v>
      </c>
      <c r="B929">
        <f ca="1">_xlfn.NORM.INV(RAND(),Hitorical_Sim!$AB$4,Hitorical_Sim!$AB$5)</f>
        <v>2.2746726695067884E-2</v>
      </c>
      <c r="C929">
        <f ca="1">_xlfn.NORM.INV(RAND(),Hitorical_Sim!$AB$4,Hitorical_Sim!$AB$5)</f>
        <v>-1.4284858892716889E-2</v>
      </c>
      <c r="D929">
        <f ca="1">_xlfn.NORM.INV(RAND(),Hitorical_Sim!$AB$4,Hitorical_Sim!$AB$5)</f>
        <v>-2.2206102556583205E-2</v>
      </c>
      <c r="K929">
        <f t="shared" ca="1" si="152"/>
        <v>0.57011685577370996</v>
      </c>
      <c r="L929">
        <f t="shared" ca="1" si="152"/>
        <v>-2.1288245144645792</v>
      </c>
      <c r="M929">
        <f t="shared" ca="1" si="152"/>
        <v>-0.14666190071031396</v>
      </c>
      <c r="O929">
        <v>927</v>
      </c>
      <c r="P929" s="6">
        <f t="shared" ca="1" si="144"/>
        <v>1957.9922387227068</v>
      </c>
      <c r="Q929" s="6">
        <f t="shared" ca="1" si="145"/>
        <v>361.75409503660848</v>
      </c>
      <c r="R929" s="6">
        <f t="shared" ca="1" si="146"/>
        <v>150.09628815021884</v>
      </c>
      <c r="S929" s="6"/>
      <c r="T929" s="4">
        <f t="shared" ca="1" si="147"/>
        <v>3.497753820828961E-2</v>
      </c>
      <c r="U929" s="4">
        <f t="shared" ca="1" si="148"/>
        <v>-6.6645465359523912E-2</v>
      </c>
      <c r="V929" s="4">
        <f t="shared" ca="1" si="149"/>
        <v>1.6106498960958547E-3</v>
      </c>
      <c r="W929" s="4"/>
      <c r="X929">
        <v>927</v>
      </c>
      <c r="Y929" s="4">
        <f t="shared" ca="1" si="150"/>
        <v>1.3045498330951579E-2</v>
      </c>
      <c r="Z929" s="4">
        <f ca="1"/>
        <v>2.990181634668896E-2</v>
      </c>
      <c r="AA929" s="4"/>
    </row>
    <row r="930" spans="1:27" x14ac:dyDescent="0.35">
      <c r="A930">
        <v>928</v>
      </c>
      <c r="B930">
        <f ca="1">_xlfn.NORM.INV(RAND(),Hitorical_Sim!$AB$4,Hitorical_Sim!$AB$5)</f>
        <v>5.3171269008055397E-3</v>
      </c>
      <c r="C930">
        <f ca="1">_xlfn.NORM.INV(RAND(),Hitorical_Sim!$AB$4,Hitorical_Sim!$AB$5)</f>
        <v>8.8107901580619791E-3</v>
      </c>
      <c r="D930">
        <f ca="1">_xlfn.NORM.INV(RAND(),Hitorical_Sim!$AB$4,Hitorical_Sim!$AB$5)</f>
        <v>2.2598229368605123E-2</v>
      </c>
      <c r="K930">
        <f t="shared" ca="1" si="152"/>
        <v>-0.36495625695094575</v>
      </c>
      <c r="L930">
        <f t="shared" ca="1" si="152"/>
        <v>1.2665332797361333</v>
      </c>
      <c r="M930">
        <f t="shared" ca="1" si="152"/>
        <v>-2.9466629414820082E-2</v>
      </c>
      <c r="O930">
        <v>928</v>
      </c>
      <c r="P930" s="6">
        <f t="shared" ca="1" si="144"/>
        <v>1925.0563261665991</v>
      </c>
      <c r="Q930" s="6">
        <f t="shared" ca="1" si="145"/>
        <v>398.55024941974654</v>
      </c>
      <c r="R930" s="6">
        <f t="shared" ca="1" si="146"/>
        <v>150.63385209039038</v>
      </c>
      <c r="S930" s="6"/>
      <c r="T930" s="4">
        <f t="shared" ca="1" si="147"/>
        <v>-1.6964352562375912E-2</v>
      </c>
      <c r="U930" s="4">
        <f t="shared" ca="1" si="148"/>
        <v>9.6868901170616278E-2</v>
      </c>
      <c r="V930" s="4">
        <f t="shared" ca="1" si="149"/>
        <v>3.5750624283612761E-3</v>
      </c>
      <c r="W930" s="4"/>
      <c r="X930">
        <v>928</v>
      </c>
      <c r="Y930" s="4">
        <f t="shared" ca="1" si="150"/>
        <v>6.7696304024931495E-3</v>
      </c>
      <c r="Z930" s="4">
        <f ca="1"/>
        <v>3.0075091357252726E-2</v>
      </c>
      <c r="AA930" s="4"/>
    </row>
    <row r="931" spans="1:27" x14ac:dyDescent="0.35">
      <c r="A931">
        <v>929</v>
      </c>
      <c r="B931">
        <f ca="1">_xlfn.NORM.INV(RAND(),Hitorical_Sim!$AB$4,Hitorical_Sim!$AB$5)</f>
        <v>-1.7402784782567576E-4</v>
      </c>
      <c r="C931">
        <f ca="1">_xlfn.NORM.INV(RAND(),Hitorical_Sim!$AB$4,Hitorical_Sim!$AB$5)</f>
        <v>6.6725955495402951E-3</v>
      </c>
      <c r="D931">
        <f ca="1">_xlfn.NORM.INV(RAND(),Hitorical_Sim!$AB$4,Hitorical_Sim!$AB$5)</f>
        <v>4.4856902099872286E-3</v>
      </c>
      <c r="K931">
        <f t="shared" ca="1" si="152"/>
        <v>2.327682015835697</v>
      </c>
      <c r="L931">
        <f t="shared" ca="1" si="152"/>
        <v>0.13768738014671794</v>
      </c>
      <c r="M931">
        <f t="shared" ca="1" si="152"/>
        <v>-1.2868391012061642</v>
      </c>
      <c r="O931">
        <v>929</v>
      </c>
      <c r="P931" s="6">
        <f t="shared" ca="1" si="144"/>
        <v>2021.4312675769302</v>
      </c>
      <c r="Q931" s="6">
        <f t="shared" ca="1" si="145"/>
        <v>385.91912682160586</v>
      </c>
      <c r="R931" s="6">
        <f t="shared" ca="1" si="146"/>
        <v>144.96548831706406</v>
      </c>
      <c r="S931" s="6"/>
      <c r="T931" s="4">
        <f t="shared" ca="1" si="147"/>
        <v>4.8850581158727077E-2</v>
      </c>
      <c r="U931" s="4">
        <f t="shared" ca="1" si="148"/>
        <v>-3.2205755184609018E-2</v>
      </c>
      <c r="V931" s="4">
        <f t="shared" ca="1" si="149"/>
        <v>-3.8356369098055974E-2</v>
      </c>
      <c r="W931" s="4"/>
      <c r="X931">
        <v>929</v>
      </c>
      <c r="Y931" s="4">
        <f t="shared" ca="1" si="150"/>
        <v>2.8358441105671241E-2</v>
      </c>
      <c r="Z931" s="4">
        <f ca="1"/>
        <v>3.0197056037800232E-2</v>
      </c>
      <c r="AA931" s="4"/>
    </row>
    <row r="932" spans="1:27" x14ac:dyDescent="0.35">
      <c r="A932">
        <v>930</v>
      </c>
      <c r="B932">
        <f ca="1">_xlfn.NORM.INV(RAND(),Hitorical_Sim!$AB$4,Hitorical_Sim!$AB$5)</f>
        <v>9.7508626237787395E-3</v>
      </c>
      <c r="C932">
        <f ca="1">_xlfn.NORM.INV(RAND(),Hitorical_Sim!$AB$4,Hitorical_Sim!$AB$5)</f>
        <v>-1.9813355790094821E-2</v>
      </c>
      <c r="D932">
        <f ca="1">_xlfn.NORM.INV(RAND(),Hitorical_Sim!$AB$4,Hitorical_Sim!$AB$5)</f>
        <v>9.3934279976738474E-3</v>
      </c>
      <c r="K932">
        <f t="shared" ca="1" si="152"/>
        <v>0.40917274265586662</v>
      </c>
      <c r="L932">
        <f t="shared" ca="1" si="152"/>
        <v>0.11877753715616335</v>
      </c>
      <c r="M932">
        <f t="shared" ca="1" si="152"/>
        <v>-0.2083368959854702</v>
      </c>
      <c r="O932">
        <v>930</v>
      </c>
      <c r="P932" s="6">
        <f t="shared" ca="1" si="144"/>
        <v>1952.2834510574348</v>
      </c>
      <c r="Q932" s="6">
        <f t="shared" ca="1" si="145"/>
        <v>385.71098185677982</v>
      </c>
      <c r="R932" s="6">
        <f t="shared" ca="1" si="146"/>
        <v>149.81416148188026</v>
      </c>
      <c r="S932" s="6"/>
      <c r="T932" s="4">
        <f t="shared" ca="1" si="147"/>
        <v>-3.4806120785117335E-2</v>
      </c>
      <c r="U932" s="4">
        <f t="shared" ca="1" si="148"/>
        <v>-5.3949416315797851E-4</v>
      </c>
      <c r="V932" s="4">
        <f t="shared" ca="1" si="149"/>
        <v>3.2899900057122448E-2</v>
      </c>
      <c r="W932" s="4"/>
      <c r="X932">
        <v>930</v>
      </c>
      <c r="Y932" s="4">
        <f t="shared" ca="1" si="150"/>
        <v>-2.461681693716215E-2</v>
      </c>
      <c r="Z932" s="4">
        <f ca="1"/>
        <v>3.0220390350512875E-2</v>
      </c>
      <c r="AA932" s="4"/>
    </row>
    <row r="933" spans="1:27" x14ac:dyDescent="0.35">
      <c r="A933">
        <v>931</v>
      </c>
      <c r="B933">
        <f ca="1">_xlfn.NORM.INV(RAND(),Hitorical_Sim!$AB$4,Hitorical_Sim!$AB$5)</f>
        <v>-2.798367774194688E-4</v>
      </c>
      <c r="C933">
        <f ca="1">_xlfn.NORM.INV(RAND(),Hitorical_Sim!$AB$4,Hitorical_Sim!$AB$5)</f>
        <v>2.7329385204061016E-2</v>
      </c>
      <c r="D933">
        <f ca="1">_xlfn.NORM.INV(RAND(),Hitorical_Sim!$AB$4,Hitorical_Sim!$AB$5)</f>
        <v>1.4005941315143177E-3</v>
      </c>
      <c r="K933">
        <f t="shared" ca="1" si="152"/>
        <v>-0.95193816742413007</v>
      </c>
      <c r="L933">
        <f t="shared" ca="1" si="152"/>
        <v>-1.0223166934370995</v>
      </c>
      <c r="M933">
        <f t="shared" ca="1" si="152"/>
        <v>-1.0577598223550717</v>
      </c>
      <c r="O933">
        <v>931</v>
      </c>
      <c r="P933" s="6">
        <f t="shared" ca="1" si="144"/>
        <v>1904.6648113346096</v>
      </c>
      <c r="Q933" s="6">
        <f t="shared" ca="1" si="145"/>
        <v>373.35628060739094</v>
      </c>
      <c r="R933" s="6">
        <f t="shared" ca="1" si="146"/>
        <v>145.98207005204083</v>
      </c>
      <c r="S933" s="6"/>
      <c r="T933" s="4">
        <f t="shared" ca="1" si="147"/>
        <v>-2.4693646989604606E-2</v>
      </c>
      <c r="U933" s="4">
        <f t="shared" ca="1" si="148"/>
        <v>-3.2555197699192767E-2</v>
      </c>
      <c r="V933" s="4">
        <f t="shared" ca="1" si="149"/>
        <v>-2.5911796237885171E-2</v>
      </c>
      <c r="W933" s="4"/>
      <c r="X933">
        <v>931</v>
      </c>
      <c r="Y933" s="4">
        <f t="shared" ca="1" si="150"/>
        <v>-2.6322847772279393E-2</v>
      </c>
      <c r="Z933" s="4">
        <f ca="1"/>
        <v>3.0282502471352134E-2</v>
      </c>
      <c r="AA933" s="4"/>
    </row>
    <row r="934" spans="1:27" x14ac:dyDescent="0.35">
      <c r="A934">
        <v>932</v>
      </c>
      <c r="B934">
        <f ca="1">_xlfn.NORM.INV(RAND(),Hitorical_Sim!$AB$4,Hitorical_Sim!$AB$5)</f>
        <v>1.516679832432128E-2</v>
      </c>
      <c r="C934">
        <f ca="1">_xlfn.NORM.INV(RAND(),Hitorical_Sim!$AB$4,Hitorical_Sim!$AB$5)</f>
        <v>-9.9647898388499963E-3</v>
      </c>
      <c r="D934">
        <f ca="1">_xlfn.NORM.INV(RAND(),Hitorical_Sim!$AB$4,Hitorical_Sim!$AB$5)</f>
        <v>-1.3430583367124234E-3</v>
      </c>
      <c r="K934">
        <f t="shared" ca="1" si="152"/>
        <v>-1.6418628059456521</v>
      </c>
      <c r="L934">
        <f t="shared" ca="1" si="152"/>
        <v>0.2496421534791286</v>
      </c>
      <c r="M934">
        <f t="shared" ca="1" si="152"/>
        <v>-0.56972558193953704</v>
      </c>
      <c r="O934">
        <v>932</v>
      </c>
      <c r="P934" s="6">
        <f t="shared" ca="1" si="144"/>
        <v>1880.9730810793112</v>
      </c>
      <c r="Q934" s="6">
        <f t="shared" ca="1" si="145"/>
        <v>387.15374170834849</v>
      </c>
      <c r="R934" s="6">
        <f t="shared" ca="1" si="146"/>
        <v>148.17164672522827</v>
      </c>
      <c r="S934" s="6"/>
      <c r="T934" s="4">
        <f t="shared" ca="1" si="147"/>
        <v>-1.2516801788092105E-2</v>
      </c>
      <c r="U934" s="4">
        <f t="shared" ca="1" si="148"/>
        <v>3.6288739892293191E-2</v>
      </c>
      <c r="V934" s="4">
        <f t="shared" ca="1" si="149"/>
        <v>1.4887570610798224E-2</v>
      </c>
      <c r="W934" s="4"/>
      <c r="X934">
        <v>932</v>
      </c>
      <c r="Y934" s="4">
        <f t="shared" ca="1" si="150"/>
        <v>-1.4205276086225655E-3</v>
      </c>
      <c r="Z934" s="4">
        <f ca="1"/>
        <v>3.0347427066078188E-2</v>
      </c>
      <c r="AA934" s="4"/>
    </row>
    <row r="935" spans="1:27" x14ac:dyDescent="0.35">
      <c r="A935">
        <v>933</v>
      </c>
      <c r="B935">
        <f ca="1">_xlfn.NORM.INV(RAND(),Hitorical_Sim!$AB$4,Hitorical_Sim!$AB$5)</f>
        <v>-1.0863530664183017E-2</v>
      </c>
      <c r="C935">
        <f ca="1">_xlfn.NORM.INV(RAND(),Hitorical_Sim!$AB$4,Hitorical_Sim!$AB$5)</f>
        <v>-2.2816812038102987E-3</v>
      </c>
      <c r="D935">
        <f ca="1">_xlfn.NORM.INV(RAND(),Hitorical_Sim!$AB$4,Hitorical_Sim!$AB$5)</f>
        <v>9.7042944040568666E-3</v>
      </c>
      <c r="K935">
        <f t="shared" ca="1" si="152"/>
        <v>0.70845085628165039</v>
      </c>
      <c r="L935">
        <f t="shared" ca="1" si="152"/>
        <v>-0.15380731421697508</v>
      </c>
      <c r="M935">
        <f t="shared" ca="1" si="152"/>
        <v>1.0840354473565357</v>
      </c>
      <c r="O935">
        <v>933</v>
      </c>
      <c r="P935" s="6">
        <f t="shared" ca="1" si="144"/>
        <v>1962.9123702165498</v>
      </c>
      <c r="Q935" s="6">
        <f t="shared" ca="1" si="145"/>
        <v>382.72302079516913</v>
      </c>
      <c r="R935" s="6">
        <f t="shared" ca="1" si="146"/>
        <v>155.83841184307539</v>
      </c>
      <c r="S935" s="6"/>
      <c r="T935" s="4">
        <f t="shared" ca="1" si="147"/>
        <v>4.2640034298508912E-2</v>
      </c>
      <c r="U935" s="4">
        <f t="shared" ca="1" si="148"/>
        <v>-1.1510335281997028E-2</v>
      </c>
      <c r="V935" s="4">
        <f t="shared" ca="1" si="149"/>
        <v>5.0448271982041208E-2</v>
      </c>
      <c r="W935" s="4"/>
      <c r="X935">
        <v>933</v>
      </c>
      <c r="Y935" s="4">
        <f t="shared" ca="1" si="150"/>
        <v>3.2219778685185302E-2</v>
      </c>
      <c r="Z935" s="4">
        <f ca="1"/>
        <v>3.0368057880580029E-2</v>
      </c>
      <c r="AA935" s="4"/>
    </row>
    <row r="936" spans="1:27" x14ac:dyDescent="0.35">
      <c r="A936">
        <v>934</v>
      </c>
      <c r="B936">
        <f ca="1">_xlfn.NORM.INV(RAND(),Hitorical_Sim!$AB$4,Hitorical_Sim!$AB$5)</f>
        <v>-2.2328513745076699E-2</v>
      </c>
      <c r="C936">
        <f ca="1">_xlfn.NORM.INV(RAND(),Hitorical_Sim!$AB$4,Hitorical_Sim!$AB$5)</f>
        <v>1.6193360835479926E-3</v>
      </c>
      <c r="D936">
        <f ca="1">_xlfn.NORM.INV(RAND(),Hitorical_Sim!$AB$4,Hitorical_Sim!$AB$5)</f>
        <v>1.2781983054036066E-2</v>
      </c>
      <c r="K936">
        <f t="shared" ca="1" si="152"/>
        <v>0.9423116927476739</v>
      </c>
      <c r="L936">
        <f t="shared" ca="1" si="152"/>
        <v>0.51880643431196227</v>
      </c>
      <c r="M936">
        <f t="shared" ca="1" si="152"/>
        <v>0.62907895058131358</v>
      </c>
      <c r="O936">
        <v>934</v>
      </c>
      <c r="P936" s="6">
        <f t="shared" ca="1" si="144"/>
        <v>1971.2582430270277</v>
      </c>
      <c r="Q936" s="6">
        <f t="shared" ca="1" si="145"/>
        <v>390.13821914885887</v>
      </c>
      <c r="R936" s="6">
        <f t="shared" ca="1" si="146"/>
        <v>153.69054315260533</v>
      </c>
      <c r="S936" s="6"/>
      <c r="T936" s="4">
        <f t="shared" ca="1" si="147"/>
        <v>4.242767358353083E-3</v>
      </c>
      <c r="U936" s="4">
        <f t="shared" ca="1" si="148"/>
        <v>1.9189540154953059E-2</v>
      </c>
      <c r="V936" s="4">
        <f t="shared" ca="1" si="149"/>
        <v>-1.3878528204938217E-2</v>
      </c>
      <c r="W936" s="4"/>
      <c r="X936">
        <v>934</v>
      </c>
      <c r="Y936" s="4">
        <f t="shared" ca="1" si="150"/>
        <v>6.3288413152973785E-3</v>
      </c>
      <c r="Z936" s="4">
        <f ca="1"/>
        <v>3.057972182297726E-2</v>
      </c>
      <c r="AA936" s="4"/>
    </row>
    <row r="937" spans="1:27" x14ac:dyDescent="0.35">
      <c r="A937">
        <v>935</v>
      </c>
      <c r="B937">
        <f ca="1">_xlfn.NORM.INV(RAND(),Hitorical_Sim!$AB$4,Hitorical_Sim!$AB$5)</f>
        <v>-3.6993824122619964E-2</v>
      </c>
      <c r="C937">
        <f ca="1">_xlfn.NORM.INV(RAND(),Hitorical_Sim!$AB$4,Hitorical_Sim!$AB$5)</f>
        <v>-5.3292722438978224E-4</v>
      </c>
      <c r="D937">
        <f ca="1">_xlfn.NORM.INV(RAND(),Hitorical_Sim!$AB$4,Hitorical_Sim!$AB$5)</f>
        <v>1.5544397688712413E-2</v>
      </c>
      <c r="K937">
        <f t="shared" ca="1" si="152"/>
        <v>1.562889546908935</v>
      </c>
      <c r="L937">
        <f t="shared" ca="1" si="152"/>
        <v>-0.18076276874782171</v>
      </c>
      <c r="M937">
        <f t="shared" ca="1" si="152"/>
        <v>-1.0627229093784218</v>
      </c>
      <c r="O937">
        <v>935</v>
      </c>
      <c r="P937" s="6">
        <f t="shared" ca="1" si="144"/>
        <v>1993.5774420039545</v>
      </c>
      <c r="Q937" s="6">
        <f t="shared" ca="1" si="145"/>
        <v>382.42880696092988</v>
      </c>
      <c r="R937" s="6">
        <f t="shared" ca="1" si="146"/>
        <v>145.95997006222584</v>
      </c>
      <c r="S937" s="6"/>
      <c r="T937" s="4">
        <f t="shared" ca="1" si="147"/>
        <v>1.1258693429563106E-2</v>
      </c>
      <c r="U937" s="4">
        <f t="shared" ca="1" si="148"/>
        <v>-1.9958574059249622E-2</v>
      </c>
      <c r="V937" s="4">
        <f t="shared" ca="1" si="149"/>
        <v>-5.1608714233216876E-2</v>
      </c>
      <c r="W937" s="4"/>
      <c r="X937">
        <v>935</v>
      </c>
      <c r="Y937" s="4">
        <f t="shared" ca="1" si="150"/>
        <v>1.9174080508191859E-3</v>
      </c>
      <c r="Z937" s="4">
        <f ca="1"/>
        <v>3.0952873455827229E-2</v>
      </c>
      <c r="AA937" s="4"/>
    </row>
    <row r="938" spans="1:27" x14ac:dyDescent="0.35">
      <c r="A938">
        <v>936</v>
      </c>
      <c r="B938">
        <f ca="1">_xlfn.NORM.INV(RAND(),Hitorical_Sim!$AB$4,Hitorical_Sim!$AB$5)</f>
        <v>-1.2288030335944104E-2</v>
      </c>
      <c r="C938">
        <f ca="1">_xlfn.NORM.INV(RAND(),Hitorical_Sim!$AB$4,Hitorical_Sim!$AB$5)</f>
        <v>2.0934604003301542E-2</v>
      </c>
      <c r="D938">
        <f ca="1">_xlfn.NORM.INV(RAND(),Hitorical_Sim!$AB$4,Hitorical_Sim!$AB$5)</f>
        <v>4.7712482032396572E-2</v>
      </c>
      <c r="K938">
        <f t="shared" ca="1" si="152"/>
        <v>1.6491053046562878</v>
      </c>
      <c r="L938">
        <f t="shared" ca="1" si="152"/>
        <v>-1.6575936560216926</v>
      </c>
      <c r="M938">
        <f t="shared" ca="1" si="152"/>
        <v>0.37921990583248216</v>
      </c>
      <c r="O938">
        <v>936</v>
      </c>
      <c r="P938" s="6">
        <f t="shared" ca="1" si="144"/>
        <v>1996.698135930345</v>
      </c>
      <c r="Q938" s="6">
        <f t="shared" ca="1" si="145"/>
        <v>366.65040193354974</v>
      </c>
      <c r="R938" s="6">
        <f t="shared" ca="1" si="146"/>
        <v>152.52356770695982</v>
      </c>
      <c r="S938" s="6"/>
      <c r="T938" s="4">
        <f t="shared" ca="1" si="147"/>
        <v>1.5641498947569724E-3</v>
      </c>
      <c r="U938" s="4">
        <f t="shared" ca="1" si="148"/>
        <v>-4.2133699579287871E-2</v>
      </c>
      <c r="V938" s="4">
        <f t="shared" ca="1" si="149"/>
        <v>4.3986719988965237E-2</v>
      </c>
      <c r="W938" s="4"/>
      <c r="X938">
        <v>936</v>
      </c>
      <c r="Y938" s="4">
        <f t="shared" ca="1" si="150"/>
        <v>-5.0570488194312327E-3</v>
      </c>
      <c r="Z938" s="4">
        <f ca="1"/>
        <v>3.0960528099344329E-2</v>
      </c>
      <c r="AA938" s="4"/>
    </row>
    <row r="939" spans="1:27" x14ac:dyDescent="0.35">
      <c r="A939">
        <v>937</v>
      </c>
      <c r="B939">
        <f ca="1">_xlfn.NORM.INV(RAND(),Hitorical_Sim!$AB$4,Hitorical_Sim!$AB$5)</f>
        <v>-1.0019896300613005E-2</v>
      </c>
      <c r="C939">
        <f ca="1">_xlfn.NORM.INV(RAND(),Hitorical_Sim!$AB$4,Hitorical_Sim!$AB$5)</f>
        <v>2.9367024282608147E-2</v>
      </c>
      <c r="D939">
        <f ca="1">_xlfn.NORM.INV(RAND(),Hitorical_Sim!$AB$4,Hitorical_Sim!$AB$5)</f>
        <v>2.7238382134259692E-2</v>
      </c>
      <c r="K939">
        <f t="shared" ca="1" si="152"/>
        <v>-0.75956144182434948</v>
      </c>
      <c r="L939">
        <f t="shared" ca="1" si="152"/>
        <v>1.3553668385814144</v>
      </c>
      <c r="M939">
        <f t="shared" ca="1" si="152"/>
        <v>0.13405353132045228</v>
      </c>
      <c r="O939">
        <v>937</v>
      </c>
      <c r="P939" s="6">
        <f t="shared" ca="1" si="144"/>
        <v>1911.3239936332157</v>
      </c>
      <c r="Q939" s="6">
        <f t="shared" ca="1" si="145"/>
        <v>399.56161793369421</v>
      </c>
      <c r="R939" s="6">
        <f t="shared" ca="1" si="146"/>
        <v>151.38712275642362</v>
      </c>
      <c r="S939" s="6"/>
      <c r="T939" s="4">
        <f t="shared" ca="1" si="147"/>
        <v>-4.3698691938114202E-2</v>
      </c>
      <c r="U939" s="4">
        <f t="shared" ca="1" si="148"/>
        <v>8.5959180172758637E-2</v>
      </c>
      <c r="V939" s="4">
        <f t="shared" ca="1" si="149"/>
        <v>-7.4788435107207519E-3</v>
      </c>
      <c r="W939" s="4"/>
      <c r="X939">
        <v>937</v>
      </c>
      <c r="Y939" s="4">
        <f t="shared" ca="1" si="150"/>
        <v>-1.6030593533851823E-2</v>
      </c>
      <c r="Z939" s="4">
        <f ca="1"/>
        <v>3.1237827544856808E-2</v>
      </c>
      <c r="AA939" s="4"/>
    </row>
    <row r="940" spans="1:27" x14ac:dyDescent="0.35">
      <c r="A940">
        <v>938</v>
      </c>
      <c r="B940">
        <f ca="1">_xlfn.NORM.INV(RAND(),Hitorical_Sim!$AB$4,Hitorical_Sim!$AB$5)</f>
        <v>-2.2669964879517626E-2</v>
      </c>
      <c r="C940">
        <f ca="1">_xlfn.NORM.INV(RAND(),Hitorical_Sim!$AB$4,Hitorical_Sim!$AB$5)</f>
        <v>1.5027453207034549E-2</v>
      </c>
      <c r="D940">
        <f ca="1">_xlfn.NORM.INV(RAND(),Hitorical_Sim!$AB$4,Hitorical_Sim!$AB$5)</f>
        <v>1.2071059691948627E-2</v>
      </c>
      <c r="K940">
        <f t="shared" ca="1" si="152"/>
        <v>1.6990324055910284</v>
      </c>
      <c r="L940">
        <f t="shared" ca="1" si="152"/>
        <v>-2.0309795470691787</v>
      </c>
      <c r="M940">
        <f t="shared" ca="1" si="152"/>
        <v>0.26644137352887748</v>
      </c>
      <c r="O940">
        <v>938</v>
      </c>
      <c r="P940" s="6">
        <f t="shared" ca="1" si="144"/>
        <v>1998.5075467656579</v>
      </c>
      <c r="Q940" s="6">
        <f t="shared" ca="1" si="145"/>
        <v>362.7653416575659</v>
      </c>
      <c r="R940" s="6">
        <f t="shared" ca="1" si="146"/>
        <v>151.9997380396762</v>
      </c>
      <c r="S940" s="6"/>
      <c r="T940" s="4">
        <f t="shared" ca="1" si="147"/>
        <v>4.4604483080163349E-2</v>
      </c>
      <c r="U940" s="4">
        <f t="shared" ca="1" si="148"/>
        <v>-9.6611807427582547E-2</v>
      </c>
      <c r="V940" s="4">
        <f t="shared" ca="1" si="149"/>
        <v>4.0385144845800323E-3</v>
      </c>
      <c r="W940" s="4"/>
      <c r="X940">
        <v>938</v>
      </c>
      <c r="Y940" s="4">
        <f t="shared" ca="1" si="150"/>
        <v>1.4414603233686275E-2</v>
      </c>
      <c r="Z940" s="4">
        <f ca="1"/>
        <v>3.1366776572180809E-2</v>
      </c>
      <c r="AA940" s="4"/>
    </row>
    <row r="941" spans="1:27" x14ac:dyDescent="0.35">
      <c r="A941">
        <v>939</v>
      </c>
      <c r="B941">
        <f ca="1">_xlfn.NORM.INV(RAND(),Hitorical_Sim!$AB$4,Hitorical_Sim!$AB$5)</f>
        <v>-1.2769643557319552E-2</v>
      </c>
      <c r="C941">
        <f ca="1">_xlfn.NORM.INV(RAND(),Hitorical_Sim!$AB$4,Hitorical_Sim!$AB$5)</f>
        <v>-1.3633451361901832E-3</v>
      </c>
      <c r="D941">
        <f ca="1">_xlfn.NORM.INV(RAND(),Hitorical_Sim!$AB$4,Hitorical_Sim!$AB$5)</f>
        <v>-1.7812238748080078E-2</v>
      </c>
      <c r="K941">
        <f t="shared" ca="1" si="152"/>
        <v>-0.27746441271613304</v>
      </c>
      <c r="L941">
        <f t="shared" ca="1" si="152"/>
        <v>0.51302533542594519</v>
      </c>
      <c r="M941">
        <f t="shared" ca="1" si="152"/>
        <v>-0.42155849914059929</v>
      </c>
      <c r="O941">
        <v>939</v>
      </c>
      <c r="P941" s="6">
        <f t="shared" ca="1" si="144"/>
        <v>1928.1143964054456</v>
      </c>
      <c r="Q941" s="6">
        <f t="shared" ca="1" si="145"/>
        <v>390.07387754115967</v>
      </c>
      <c r="R941" s="6">
        <f t="shared" ca="1" si="146"/>
        <v>148.84287806345097</v>
      </c>
      <c r="S941" s="6"/>
      <c r="T941" s="4">
        <f t="shared" ca="1" si="147"/>
        <v>-3.5858146713764097E-2</v>
      </c>
      <c r="U941" s="4">
        <f t="shared" ca="1" si="148"/>
        <v>7.2579967260268649E-2</v>
      </c>
      <c r="V941" s="4">
        <f t="shared" ca="1" si="149"/>
        <v>-2.0987557503887384E-2</v>
      </c>
      <c r="W941" s="4"/>
      <c r="X941">
        <v>939</v>
      </c>
      <c r="Y941" s="4">
        <f t="shared" ca="1" si="150"/>
        <v>-1.3481412127178044E-2</v>
      </c>
      <c r="Z941" s="4">
        <f ca="1"/>
        <v>3.1442990256170006E-2</v>
      </c>
      <c r="AA941" s="4"/>
    </row>
    <row r="942" spans="1:27" x14ac:dyDescent="0.35">
      <c r="A942">
        <v>940</v>
      </c>
      <c r="B942">
        <f ca="1">_xlfn.NORM.INV(RAND(),Hitorical_Sim!$AB$4,Hitorical_Sim!$AB$5)</f>
        <v>3.4572378966006553E-2</v>
      </c>
      <c r="C942">
        <f ca="1">_xlfn.NORM.INV(RAND(),Hitorical_Sim!$AB$4,Hitorical_Sim!$AB$5)</f>
        <v>2.5476056770849742E-2</v>
      </c>
      <c r="D942">
        <f ca="1">_xlfn.NORM.INV(RAND(),Hitorical_Sim!$AB$4,Hitorical_Sim!$AB$5)</f>
        <v>3.4338352531609995E-2</v>
      </c>
      <c r="K942">
        <f t="shared" ca="1" si="152"/>
        <v>-5.1471983754555077E-2</v>
      </c>
      <c r="L942">
        <f t="shared" ca="1" si="152"/>
        <v>-0.17810722484309788</v>
      </c>
      <c r="M942">
        <f t="shared" ca="1" si="152"/>
        <v>1.1155285170934639</v>
      </c>
      <c r="O942">
        <v>940</v>
      </c>
      <c r="P942" s="6">
        <f t="shared" ca="1" si="144"/>
        <v>1936.0359254519153</v>
      </c>
      <c r="Q942" s="6">
        <f t="shared" ca="1" si="145"/>
        <v>382.45778168867372</v>
      </c>
      <c r="R942" s="6">
        <f t="shared" ca="1" si="146"/>
        <v>155.98819800067005</v>
      </c>
      <c r="S942" s="6"/>
      <c r="T942" s="4">
        <f t="shared" ca="1" si="147"/>
        <v>4.1000165539577084E-3</v>
      </c>
      <c r="U942" s="4">
        <f t="shared" ca="1" si="148"/>
        <v>-1.9717878272165069E-2</v>
      </c>
      <c r="V942" s="4">
        <f t="shared" ca="1" si="149"/>
        <v>4.6889110628061031E-2</v>
      </c>
      <c r="W942" s="4"/>
      <c r="X942">
        <v>940</v>
      </c>
      <c r="Y942" s="4">
        <f t="shared" ca="1" si="150"/>
        <v>1.4643616921443652E-3</v>
      </c>
      <c r="Z942" s="4">
        <f ca="1"/>
        <v>3.147625422709413E-2</v>
      </c>
      <c r="AA942" s="4"/>
    </row>
    <row r="943" spans="1:27" x14ac:dyDescent="0.35">
      <c r="A943">
        <v>941</v>
      </c>
      <c r="B943">
        <f ca="1">_xlfn.NORM.INV(RAND(),Hitorical_Sim!$AB$4,Hitorical_Sim!$AB$5)</f>
        <v>5.4999787149401192E-3</v>
      </c>
      <c r="C943">
        <f ca="1">_xlfn.NORM.INV(RAND(),Hitorical_Sim!$AB$4,Hitorical_Sim!$AB$5)</f>
        <v>4.2987196358064375E-2</v>
      </c>
      <c r="D943">
        <f ca="1">_xlfn.NORM.INV(RAND(),Hitorical_Sim!$AB$4,Hitorical_Sim!$AB$5)</f>
        <v>-2.8827730672981453E-3</v>
      </c>
      <c r="K943">
        <f t="shared" ca="1" si="152"/>
        <v>0.16305381076354031</v>
      </c>
      <c r="L943">
        <f t="shared" ca="1" si="152"/>
        <v>0.59515934212705834</v>
      </c>
      <c r="M943">
        <f t="shared" ca="1" si="152"/>
        <v>-3.6254132880709743E-2</v>
      </c>
      <c r="O943">
        <v>941</v>
      </c>
      <c r="P943" s="6">
        <f t="shared" ca="1" si="144"/>
        <v>1943.5856317926987</v>
      </c>
      <c r="Q943" s="6">
        <f t="shared" ca="1" si="145"/>
        <v>390.98899667862372</v>
      </c>
      <c r="R943" s="6">
        <f t="shared" ca="1" si="146"/>
        <v>150.60266597888304</v>
      </c>
      <c r="S943" s="6"/>
      <c r="T943" s="4">
        <f t="shared" ca="1" si="147"/>
        <v>3.8919857307462306E-3</v>
      </c>
      <c r="U943" s="4">
        <f t="shared" ca="1" si="148"/>
        <v>2.2061145597766622E-2</v>
      </c>
      <c r="V943" s="4">
        <f t="shared" ca="1" si="149"/>
        <v>-3.5135332953652842E-2</v>
      </c>
      <c r="W943" s="4"/>
      <c r="X943">
        <v>941</v>
      </c>
      <c r="Y943" s="4">
        <f t="shared" ca="1" si="150"/>
        <v>5.5865039568782013E-3</v>
      </c>
      <c r="Z943" s="4">
        <f ca="1"/>
        <v>3.1631578073042774E-2</v>
      </c>
      <c r="AA943" s="4"/>
    </row>
    <row r="944" spans="1:27" x14ac:dyDescent="0.35">
      <c r="A944">
        <v>942</v>
      </c>
      <c r="B944">
        <f ca="1">_xlfn.NORM.INV(RAND(),Hitorical_Sim!$AB$4,Hitorical_Sim!$AB$5)</f>
        <v>-2.7384993114133071E-2</v>
      </c>
      <c r="C944">
        <f ca="1">_xlfn.NORM.INV(RAND(),Hitorical_Sim!$AB$4,Hitorical_Sim!$AB$5)</f>
        <v>1.3270818354320632E-2</v>
      </c>
      <c r="D944">
        <f ca="1">_xlfn.NORM.INV(RAND(),Hitorical_Sim!$AB$4,Hitorical_Sim!$AB$5)</f>
        <v>2.8068216467038096E-2</v>
      </c>
      <c r="K944">
        <f t="shared" ref="K944:M963" ca="1" si="153">_xlfn.NORM.S.INV(RAND())</f>
        <v>-0.52671592058833083</v>
      </c>
      <c r="L944">
        <f t="shared" ca="1" si="153"/>
        <v>-0.37849150934141068</v>
      </c>
      <c r="M944">
        <f t="shared" ca="1" si="153"/>
        <v>-1.6974396730496548</v>
      </c>
      <c r="O944">
        <v>942</v>
      </c>
      <c r="P944" s="6">
        <f t="shared" ca="1" si="144"/>
        <v>1919.4151677861162</v>
      </c>
      <c r="Q944" s="6">
        <f t="shared" ca="1" si="145"/>
        <v>380.27753736549437</v>
      </c>
      <c r="R944" s="6">
        <f t="shared" ca="1" si="146"/>
        <v>143.16105562251673</v>
      </c>
      <c r="S944" s="6"/>
      <c r="T944" s="4">
        <f t="shared" ca="1" si="147"/>
        <v>-1.2513991419785453E-2</v>
      </c>
      <c r="U944" s="4">
        <f t="shared" ca="1" si="148"/>
        <v>-2.7778070478074023E-2</v>
      </c>
      <c r="V944" s="4">
        <f t="shared" ca="1" si="149"/>
        <v>-5.0674757996170695E-2</v>
      </c>
      <c r="W944" s="4"/>
      <c r="X944">
        <v>942</v>
      </c>
      <c r="Y944" s="4">
        <f t="shared" ca="1" si="150"/>
        <v>-1.7448794903656795E-2</v>
      </c>
      <c r="Z944" s="4">
        <f ca="1"/>
        <v>3.2003941375998643E-2</v>
      </c>
      <c r="AA944" s="4"/>
    </row>
    <row r="945" spans="1:27" x14ac:dyDescent="0.35">
      <c r="A945">
        <v>943</v>
      </c>
      <c r="B945">
        <f ca="1">_xlfn.NORM.INV(RAND(),Hitorical_Sim!$AB$4,Hitorical_Sim!$AB$5)</f>
        <v>-2.8160567191339823E-2</v>
      </c>
      <c r="C945">
        <f ca="1">_xlfn.NORM.INV(RAND(),Hitorical_Sim!$AB$4,Hitorical_Sim!$AB$5)</f>
        <v>-2.4775926601109722E-3</v>
      </c>
      <c r="D945">
        <f ca="1">_xlfn.NORM.INV(RAND(),Hitorical_Sim!$AB$4,Hitorical_Sim!$AB$5)</f>
        <v>-5.4592715770491566E-3</v>
      </c>
      <c r="K945">
        <f t="shared" ca="1" si="153"/>
        <v>-0.30787372865588353</v>
      </c>
      <c r="L945">
        <f t="shared" ca="1" si="153"/>
        <v>2.245594087978072</v>
      </c>
      <c r="M945">
        <f t="shared" ca="1" si="153"/>
        <v>0.48399353109141829</v>
      </c>
      <c r="O945">
        <v>943</v>
      </c>
      <c r="P945" s="6">
        <f t="shared" ca="1" si="144"/>
        <v>1927.0509603643452</v>
      </c>
      <c r="Q945" s="6">
        <f t="shared" ca="1" si="145"/>
        <v>409.83965678341633</v>
      </c>
      <c r="R945" s="6">
        <f t="shared" ca="1" si="146"/>
        <v>153.0118339335242</v>
      </c>
      <c r="S945" s="6"/>
      <c r="T945" s="4">
        <f t="shared" ca="1" si="147"/>
        <v>3.9702949950593614E-3</v>
      </c>
      <c r="U945" s="4">
        <f t="shared" ca="1" si="148"/>
        <v>7.4864654565754613E-2</v>
      </c>
      <c r="V945" s="4">
        <f t="shared" ca="1" si="149"/>
        <v>6.6545004776177835E-2</v>
      </c>
      <c r="W945" s="4"/>
      <c r="X945">
        <v>943</v>
      </c>
      <c r="Y945" s="4">
        <f t="shared" ca="1" si="150"/>
        <v>2.1215376045645083E-2</v>
      </c>
      <c r="Z945" s="4">
        <f ca="1"/>
        <v>3.2033973705490791E-2</v>
      </c>
      <c r="AA945" s="4"/>
    </row>
    <row r="946" spans="1:27" x14ac:dyDescent="0.35">
      <c r="A946">
        <v>944</v>
      </c>
      <c r="B946">
        <f ca="1">_xlfn.NORM.INV(RAND(),Hitorical_Sim!$AB$4,Hitorical_Sim!$AB$5)</f>
        <v>-1.6680092092768842E-2</v>
      </c>
      <c r="C946">
        <f ca="1">_xlfn.NORM.INV(RAND(),Hitorical_Sim!$AB$4,Hitorical_Sim!$AB$5)</f>
        <v>-1.7924857642413104E-2</v>
      </c>
      <c r="D946">
        <f ca="1">_xlfn.NORM.INV(RAND(),Hitorical_Sim!$AB$4,Hitorical_Sim!$AB$5)</f>
        <v>-1.5479773044294792E-2</v>
      </c>
      <c r="K946">
        <f t="shared" ca="1" si="153"/>
        <v>-1.3532661605991156</v>
      </c>
      <c r="L946">
        <f t="shared" ca="1" si="153"/>
        <v>-1.0663319950986363</v>
      </c>
      <c r="M946">
        <f t="shared" ca="1" si="153"/>
        <v>0.90651125619236939</v>
      </c>
      <c r="O946">
        <v>944</v>
      </c>
      <c r="P946" s="6">
        <f t="shared" ca="1" si="144"/>
        <v>1890.847305976507</v>
      </c>
      <c r="Q946" s="6">
        <f t="shared" ca="1" si="145"/>
        <v>372.88773343870048</v>
      </c>
      <c r="R946" s="6">
        <f t="shared" ca="1" si="146"/>
        <v>154.99676444047307</v>
      </c>
      <c r="S946" s="6"/>
      <c r="T946" s="4">
        <f t="shared" ca="1" si="147"/>
        <v>-1.8965795872206478E-2</v>
      </c>
      <c r="U946" s="4">
        <f t="shared" ca="1" si="148"/>
        <v>-9.4488610588819411E-2</v>
      </c>
      <c r="V946" s="4">
        <f t="shared" ca="1" si="149"/>
        <v>1.2888977751640017E-2</v>
      </c>
      <c r="W946" s="4"/>
      <c r="X946">
        <v>944</v>
      </c>
      <c r="Y946" s="4">
        <f t="shared" ca="1" si="150"/>
        <v>-3.2461243313692156E-2</v>
      </c>
      <c r="Z946" s="4">
        <f ca="1"/>
        <v>3.2144840781312099E-2</v>
      </c>
      <c r="AA946" s="4"/>
    </row>
    <row r="947" spans="1:27" x14ac:dyDescent="0.35">
      <c r="A947">
        <v>945</v>
      </c>
      <c r="B947">
        <f ca="1">_xlfn.NORM.INV(RAND(),Hitorical_Sim!$AB$4,Hitorical_Sim!$AB$5)</f>
        <v>7.6723710429578932E-3</v>
      </c>
      <c r="C947">
        <f ca="1">_xlfn.NORM.INV(RAND(),Hitorical_Sim!$AB$4,Hitorical_Sim!$AB$5)</f>
        <v>-1.9512357834771087E-2</v>
      </c>
      <c r="D947">
        <f ca="1">_xlfn.NORM.INV(RAND(),Hitorical_Sim!$AB$4,Hitorical_Sim!$AB$5)</f>
        <v>-5.3363472172014825E-3</v>
      </c>
      <c r="K947">
        <f t="shared" ca="1" si="153"/>
        <v>0.36079573352669841</v>
      </c>
      <c r="L947">
        <f t="shared" ca="1" si="153"/>
        <v>-1.5576727790453888</v>
      </c>
      <c r="M947">
        <f t="shared" ca="1" si="153"/>
        <v>-1.0750473513048737</v>
      </c>
      <c r="O947">
        <v>945</v>
      </c>
      <c r="P947" s="6">
        <f t="shared" ca="1" si="144"/>
        <v>1950.5707441919253</v>
      </c>
      <c r="Q947" s="6">
        <f t="shared" ca="1" si="145"/>
        <v>367.69711200677995</v>
      </c>
      <c r="R947" s="6">
        <f t="shared" ca="1" si="146"/>
        <v>145.90510537172821</v>
      </c>
      <c r="S947" s="6"/>
      <c r="T947" s="4">
        <f t="shared" ca="1" si="147"/>
        <v>3.1096980428573534E-2</v>
      </c>
      <c r="U947" s="4">
        <f t="shared" ca="1" si="148"/>
        <v>-1.4017857535522409E-2</v>
      </c>
      <c r="V947" s="4">
        <f t="shared" ca="1" si="149"/>
        <v>-6.0447794940437352E-2</v>
      </c>
      <c r="W947" s="4"/>
      <c r="X947">
        <v>945</v>
      </c>
      <c r="Y947" s="4">
        <f t="shared" ca="1" si="150"/>
        <v>1.7562937242353961E-2</v>
      </c>
      <c r="Z947" s="4">
        <f ca="1"/>
        <v>3.2219778685185302E-2</v>
      </c>
      <c r="AA947" s="4"/>
    </row>
    <row r="948" spans="1:27" x14ac:dyDescent="0.35">
      <c r="A948">
        <v>946</v>
      </c>
      <c r="B948">
        <f ca="1">_xlfn.NORM.INV(RAND(),Hitorical_Sim!$AB$4,Hitorical_Sim!$AB$5)</f>
        <v>8.6953263245926546E-3</v>
      </c>
      <c r="C948">
        <f ca="1">_xlfn.NORM.INV(RAND(),Hitorical_Sim!$AB$4,Hitorical_Sim!$AB$5)</f>
        <v>7.0369681731632782E-3</v>
      </c>
      <c r="D948">
        <f ca="1">_xlfn.NORM.INV(RAND(),Hitorical_Sim!$AB$4,Hitorical_Sim!$AB$5)</f>
        <v>-3.040939924074864E-2</v>
      </c>
      <c r="K948">
        <f t="shared" ca="1" si="153"/>
        <v>-0.99825271253139769</v>
      </c>
      <c r="L948">
        <f t="shared" ca="1" si="153"/>
        <v>-4.1235877181476314E-3</v>
      </c>
      <c r="M948">
        <f t="shared" ca="1" si="153"/>
        <v>-1.2398405576442328</v>
      </c>
      <c r="O948">
        <v>946</v>
      </c>
      <c r="P948" s="6">
        <f t="shared" ca="1" si="144"/>
        <v>1903.065086688056</v>
      </c>
      <c r="Q948" s="6">
        <f t="shared" ca="1" si="145"/>
        <v>384.36091424461301</v>
      </c>
      <c r="R948" s="6">
        <f t="shared" ca="1" si="146"/>
        <v>145.17347423188457</v>
      </c>
      <c r="S948" s="6"/>
      <c r="T948" s="4">
        <f t="shared" ca="1" si="147"/>
        <v>-2.4656229202333502E-2</v>
      </c>
      <c r="U948" s="4">
        <f t="shared" ca="1" si="148"/>
        <v>4.4322457955803009E-2</v>
      </c>
      <c r="V948" s="4">
        <f t="shared" ca="1" si="149"/>
        <v>-5.0270458348746312E-3</v>
      </c>
      <c r="W948" s="4"/>
      <c r="X948">
        <v>946</v>
      </c>
      <c r="Y948" s="4">
        <f t="shared" ca="1" si="150"/>
        <v>-9.9188337770254147E-3</v>
      </c>
      <c r="Z948" s="4">
        <f ca="1"/>
        <v>3.2602864209732019E-2</v>
      </c>
      <c r="AA948" s="4"/>
    </row>
    <row r="949" spans="1:27" x14ac:dyDescent="0.35">
      <c r="A949">
        <v>947</v>
      </c>
      <c r="B949">
        <f ca="1">_xlfn.NORM.INV(RAND(),Hitorical_Sim!$AB$4,Hitorical_Sim!$AB$5)</f>
        <v>-5.0299881150394944E-3</v>
      </c>
      <c r="C949">
        <f ca="1">_xlfn.NORM.INV(RAND(),Hitorical_Sim!$AB$4,Hitorical_Sim!$AB$5)</f>
        <v>2.75356520231728E-3</v>
      </c>
      <c r="D949">
        <f ca="1">_xlfn.NORM.INV(RAND(),Hitorical_Sim!$AB$4,Hitorical_Sim!$AB$5)</f>
        <v>-2.1814818886400241E-2</v>
      </c>
      <c r="K949">
        <f t="shared" ca="1" si="153"/>
        <v>-2.3485059404218925E-2</v>
      </c>
      <c r="L949">
        <f t="shared" ca="1" si="153"/>
        <v>0.66119599596593914</v>
      </c>
      <c r="M949">
        <f t="shared" ca="1" si="153"/>
        <v>0.87859097105673822</v>
      </c>
      <c r="O949">
        <v>947</v>
      </c>
      <c r="P949" s="6">
        <f t="shared" ca="1" si="144"/>
        <v>1937.0191904202209</v>
      </c>
      <c r="Q949" s="6">
        <f t="shared" ca="1" si="145"/>
        <v>391.72631936095399</v>
      </c>
      <c r="R949" s="6">
        <f t="shared" ca="1" si="146"/>
        <v>154.86480784905288</v>
      </c>
      <c r="S949" s="6"/>
      <c r="T949" s="4">
        <f t="shared" ca="1" si="147"/>
        <v>1.7684501788170357E-2</v>
      </c>
      <c r="U949" s="4">
        <f t="shared" ca="1" si="148"/>
        <v>1.8981439042697799E-2</v>
      </c>
      <c r="V949" s="4">
        <f t="shared" ca="1" si="149"/>
        <v>6.462312755109946E-2</v>
      </c>
      <c r="W949" s="4"/>
      <c r="X949">
        <v>947</v>
      </c>
      <c r="Y949" s="4">
        <f t="shared" ca="1" si="150"/>
        <v>2.0266326635364668E-2</v>
      </c>
      <c r="Z949" s="4">
        <f ca="1"/>
        <v>3.3183286093507111E-2</v>
      </c>
      <c r="AA949" s="4"/>
    </row>
    <row r="950" spans="1:27" x14ac:dyDescent="0.35">
      <c r="A950">
        <v>948</v>
      </c>
      <c r="B950">
        <f ca="1">_xlfn.NORM.INV(RAND(),Hitorical_Sim!$AB$4,Hitorical_Sim!$AB$5)</f>
        <v>9.0126649726373301E-3</v>
      </c>
      <c r="C950">
        <f ca="1">_xlfn.NORM.INV(RAND(),Hitorical_Sim!$AB$4,Hitorical_Sim!$AB$5)</f>
        <v>-2.16103187170818E-2</v>
      </c>
      <c r="D950">
        <f ca="1">_xlfn.NORM.INV(RAND(),Hitorical_Sim!$AB$4,Hitorical_Sim!$AB$5)</f>
        <v>1.8102013598040258E-3</v>
      </c>
      <c r="K950">
        <f t="shared" ca="1" si="153"/>
        <v>-0.58437408253927503</v>
      </c>
      <c r="L950">
        <f t="shared" ca="1" si="153"/>
        <v>0.97378824103358108</v>
      </c>
      <c r="M950">
        <f t="shared" ca="1" si="153"/>
        <v>1.4537897974338706E-2</v>
      </c>
      <c r="O950">
        <v>948</v>
      </c>
      <c r="P950" s="6">
        <f t="shared" ca="1" si="144"/>
        <v>1917.4084129918795</v>
      </c>
      <c r="Q950" s="6">
        <f t="shared" ca="1" si="145"/>
        <v>395.23543580697469</v>
      </c>
      <c r="R950" s="6">
        <f t="shared" ca="1" si="146"/>
        <v>150.83619361039572</v>
      </c>
      <c r="S950" s="6"/>
      <c r="T950" s="4">
        <f t="shared" ca="1" si="147"/>
        <v>-1.0175802306093662E-2</v>
      </c>
      <c r="U950" s="4">
        <f t="shared" ca="1" si="148"/>
        <v>8.9181962931498791E-3</v>
      </c>
      <c r="V950" s="4">
        <f t="shared" ca="1" si="149"/>
        <v>-2.6358091444646767E-2</v>
      </c>
      <c r="W950" s="4"/>
      <c r="X950">
        <v>948</v>
      </c>
      <c r="Y950" s="4">
        <f t="shared" ca="1" si="150"/>
        <v>-7.1661126585044503E-3</v>
      </c>
      <c r="Z950" s="4">
        <f ca="1"/>
        <v>3.3237912749284289E-2</v>
      </c>
      <c r="AA950" s="4"/>
    </row>
    <row r="951" spans="1:27" x14ac:dyDescent="0.35">
      <c r="A951">
        <v>949</v>
      </c>
      <c r="B951">
        <f ca="1">_xlfn.NORM.INV(RAND(),Hitorical_Sim!$AB$4,Hitorical_Sim!$AB$5)</f>
        <v>-2.035179691283345E-2</v>
      </c>
      <c r="C951">
        <f ca="1">_xlfn.NORM.INV(RAND(),Hitorical_Sim!$AB$4,Hitorical_Sim!$AB$5)</f>
        <v>4.844927902511463E-2</v>
      </c>
      <c r="D951">
        <f ca="1">_xlfn.NORM.INV(RAND(),Hitorical_Sim!$AB$4,Hitorical_Sim!$AB$5)</f>
        <v>-2.2817477279973113E-2</v>
      </c>
      <c r="K951">
        <f t="shared" ca="1" si="153"/>
        <v>-1.3939314155860048</v>
      </c>
      <c r="L951">
        <f t="shared" ca="1" si="153"/>
        <v>1.3627209120118731</v>
      </c>
      <c r="M951">
        <f t="shared" ca="1" si="153"/>
        <v>6.7715127142359388E-2</v>
      </c>
      <c r="O951">
        <v>949</v>
      </c>
      <c r="P951" s="6">
        <f t="shared" ca="1" si="144"/>
        <v>1889.4528285562303</v>
      </c>
      <c r="Q951" s="6">
        <f t="shared" ca="1" si="145"/>
        <v>399.64545886870894</v>
      </c>
      <c r="R951" s="6">
        <f t="shared" ca="1" si="146"/>
        <v>151.08107574915141</v>
      </c>
      <c r="S951" s="6"/>
      <c r="T951" s="4">
        <f t="shared" ca="1" si="147"/>
        <v>-1.4687210904015599E-2</v>
      </c>
      <c r="U951" s="4">
        <f t="shared" ca="1" si="148"/>
        <v>1.1096173879339115E-2</v>
      </c>
      <c r="V951" s="4">
        <f t="shared" ca="1" si="149"/>
        <v>1.6221807581604326E-3</v>
      </c>
      <c r="W951" s="4"/>
      <c r="X951">
        <v>949</v>
      </c>
      <c r="Y951" s="4">
        <f t="shared" ca="1" si="150"/>
        <v>-8.734516373533464E-3</v>
      </c>
      <c r="Z951" s="4">
        <f ca="1"/>
        <v>3.3558416579695785E-2</v>
      </c>
      <c r="AA951" s="4"/>
    </row>
    <row r="952" spans="1:27" x14ac:dyDescent="0.35">
      <c r="A952">
        <v>950</v>
      </c>
      <c r="B952">
        <f ca="1">_xlfn.NORM.INV(RAND(),Hitorical_Sim!$AB$4,Hitorical_Sim!$AB$5)</f>
        <v>1.2875093039924991E-2</v>
      </c>
      <c r="C952">
        <f ca="1">_xlfn.NORM.INV(RAND(),Hitorical_Sim!$AB$4,Hitorical_Sim!$AB$5)</f>
        <v>-1.9015502764966392E-2</v>
      </c>
      <c r="D952">
        <f ca="1">_xlfn.NORM.INV(RAND(),Hitorical_Sim!$AB$4,Hitorical_Sim!$AB$5)</f>
        <v>2.5645719469910816E-4</v>
      </c>
      <c r="K952">
        <f t="shared" ca="1" si="153"/>
        <v>0.59867353038691895</v>
      </c>
      <c r="L952">
        <f t="shared" ca="1" si="153"/>
        <v>1.1697902928571078</v>
      </c>
      <c r="M952">
        <f t="shared" ca="1" si="153"/>
        <v>-0.11455078706207171</v>
      </c>
      <c r="O952">
        <v>950</v>
      </c>
      <c r="P952" s="6">
        <f t="shared" ca="1" si="144"/>
        <v>1959.0069040600308</v>
      </c>
      <c r="Q952" s="6">
        <f t="shared" ca="1" si="145"/>
        <v>397.45174400171754</v>
      </c>
      <c r="R952" s="6">
        <f t="shared" ca="1" si="146"/>
        <v>150.24338778222801</v>
      </c>
      <c r="S952" s="6"/>
      <c r="T952" s="4">
        <f t="shared" ca="1" si="147"/>
        <v>3.6150384778492001E-2</v>
      </c>
      <c r="U952" s="4">
        <f t="shared" ca="1" si="148"/>
        <v>-5.5042732496734048E-3</v>
      </c>
      <c r="V952" s="4">
        <f t="shared" ca="1" si="149"/>
        <v>-5.5600538711173056E-3</v>
      </c>
      <c r="W952" s="4"/>
      <c r="X952">
        <v>950</v>
      </c>
      <c r="Y952" s="4">
        <f t="shared" ca="1" si="150"/>
        <v>2.5773189806061955E-2</v>
      </c>
      <c r="Z952" s="4">
        <f ca="1"/>
        <v>3.3747565593400752E-2</v>
      </c>
      <c r="AA952" s="4"/>
    </row>
    <row r="953" spans="1:27" x14ac:dyDescent="0.35">
      <c r="A953">
        <v>951</v>
      </c>
      <c r="B953">
        <f ca="1">_xlfn.NORM.INV(RAND(),Hitorical_Sim!$AB$4,Hitorical_Sim!$AB$5)</f>
        <v>3.9921212895049143E-3</v>
      </c>
      <c r="C953">
        <f ca="1">_xlfn.NORM.INV(RAND(),Hitorical_Sim!$AB$4,Hitorical_Sim!$AB$5)</f>
        <v>-2.5005447639393833E-2</v>
      </c>
      <c r="D953">
        <f ca="1">_xlfn.NORM.INV(RAND(),Hitorical_Sim!$AB$4,Hitorical_Sim!$AB$5)</f>
        <v>-2.4711202859396927E-2</v>
      </c>
      <c r="K953">
        <f t="shared" ca="1" si="153"/>
        <v>-0.25964920062746533</v>
      </c>
      <c r="L953">
        <f t="shared" ca="1" si="153"/>
        <v>0.48196317562292346</v>
      </c>
      <c r="M953">
        <f t="shared" ca="1" si="153"/>
        <v>-0.28547190462731142</v>
      </c>
      <c r="O953">
        <v>951</v>
      </c>
      <c r="P953" s="6">
        <f t="shared" ca="1" si="144"/>
        <v>1928.7376800061224</v>
      </c>
      <c r="Q953" s="6">
        <f t="shared" ca="1" si="145"/>
        <v>389.72834820682982</v>
      </c>
      <c r="R953" s="6">
        <f t="shared" ca="1" si="146"/>
        <v>149.46206061800086</v>
      </c>
      <c r="S953" s="6"/>
      <c r="T953" s="4">
        <f t="shared" ca="1" si="147"/>
        <v>-1.5571926112602306E-2</v>
      </c>
      <c r="U953" s="4">
        <f t="shared" ca="1" si="148"/>
        <v>-1.9623574621687914E-2</v>
      </c>
      <c r="V953" s="4">
        <f t="shared" ca="1" si="149"/>
        <v>-5.2139788480054681E-3</v>
      </c>
      <c r="W953" s="4"/>
      <c r="X953">
        <v>951</v>
      </c>
      <c r="Y953" s="4">
        <f t="shared" ca="1" si="150"/>
        <v>-1.5867889791782577E-2</v>
      </c>
      <c r="Z953" s="4">
        <f ca="1"/>
        <v>3.3954941796577993E-2</v>
      </c>
      <c r="AA953" s="4"/>
    </row>
    <row r="954" spans="1:27" x14ac:dyDescent="0.35">
      <c r="A954">
        <v>952</v>
      </c>
      <c r="B954">
        <f ca="1">_xlfn.NORM.INV(RAND(),Hitorical_Sim!$AB$4,Hitorical_Sim!$AB$5)</f>
        <v>1.6944522017294963E-3</v>
      </c>
      <c r="C954">
        <f ca="1">_xlfn.NORM.INV(RAND(),Hitorical_Sim!$AB$4,Hitorical_Sim!$AB$5)</f>
        <v>-4.2363080606777253E-3</v>
      </c>
      <c r="D954">
        <f ca="1">_xlfn.NORM.INV(RAND(),Hitorical_Sim!$AB$4,Hitorical_Sim!$AB$5)</f>
        <v>-1.7442345900106127E-2</v>
      </c>
      <c r="K954">
        <f t="shared" ca="1" si="153"/>
        <v>-0.58155647487815854</v>
      </c>
      <c r="L954">
        <f t="shared" ca="1" si="153"/>
        <v>0.62628134592603302</v>
      </c>
      <c r="M954">
        <f t="shared" ca="1" si="153"/>
        <v>-0.50050505399952938</v>
      </c>
      <c r="O954">
        <v>952</v>
      </c>
      <c r="P954" s="6">
        <f t="shared" ca="1" si="144"/>
        <v>1917.5064292160616</v>
      </c>
      <c r="Q954" s="6">
        <f t="shared" ca="1" si="145"/>
        <v>391.33631183417572</v>
      </c>
      <c r="R954" s="6">
        <f t="shared" ca="1" si="146"/>
        <v>148.48485423128335</v>
      </c>
      <c r="S954" s="6"/>
      <c r="T954" s="4">
        <f t="shared" ca="1" si="147"/>
        <v>-5.8401299518385588E-3</v>
      </c>
      <c r="U954" s="4">
        <f t="shared" ca="1" si="148"/>
        <v>4.1173694860947322E-3</v>
      </c>
      <c r="V954" s="4">
        <f t="shared" ca="1" si="149"/>
        <v>-6.5596241612381418E-3</v>
      </c>
      <c r="W954" s="4"/>
      <c r="X954">
        <v>952</v>
      </c>
      <c r="Y954" s="4">
        <f t="shared" ca="1" si="150"/>
        <v>-3.888538613263672E-3</v>
      </c>
      <c r="Z954" s="4">
        <f ca="1"/>
        <v>3.4091705983743024E-2</v>
      </c>
      <c r="AA954" s="4"/>
    </row>
    <row r="955" spans="1:27" x14ac:dyDescent="0.35">
      <c r="A955">
        <v>953</v>
      </c>
      <c r="B955">
        <f ca="1">_xlfn.NORM.INV(RAND(),Hitorical_Sim!$AB$4,Hitorical_Sim!$AB$5)</f>
        <v>2.6033991331401202E-3</v>
      </c>
      <c r="C955">
        <f ca="1">_xlfn.NORM.INV(RAND(),Hitorical_Sim!$AB$4,Hitorical_Sim!$AB$5)</f>
        <v>8.8850409754943037E-3</v>
      </c>
      <c r="D955">
        <f ca="1">_xlfn.NORM.INV(RAND(),Hitorical_Sim!$AB$4,Hitorical_Sim!$AB$5)</f>
        <v>2.0381299312559789E-2</v>
      </c>
      <c r="K955">
        <f t="shared" ca="1" si="153"/>
        <v>1.1158808290221927</v>
      </c>
      <c r="L955">
        <f t="shared" ca="1" si="153"/>
        <v>1.2280188891870794</v>
      </c>
      <c r="M955">
        <f t="shared" ca="1" si="153"/>
        <v>1.06129507748507</v>
      </c>
      <c r="O955">
        <v>953</v>
      </c>
      <c r="P955" s="6">
        <f t="shared" ca="1" si="144"/>
        <v>1977.4753982107929</v>
      </c>
      <c r="Q955" s="6">
        <f t="shared" ca="1" si="145"/>
        <v>398.11255968469004</v>
      </c>
      <c r="R955" s="6">
        <f t="shared" ca="1" si="146"/>
        <v>155.73034438085205</v>
      </c>
      <c r="S955" s="6"/>
      <c r="T955" s="4">
        <f t="shared" ca="1" si="147"/>
        <v>3.0795372558609292E-2</v>
      </c>
      <c r="U955" s="4">
        <f t="shared" ca="1" si="148"/>
        <v>1.7167455726864171E-2</v>
      </c>
      <c r="V955" s="4">
        <f t="shared" ca="1" si="149"/>
        <v>4.7642988569067742E-2</v>
      </c>
      <c r="W955" s="4"/>
      <c r="X955">
        <v>953</v>
      </c>
      <c r="Y955" s="4">
        <f t="shared" ca="1" si="150"/>
        <v>2.8909465329110175E-2</v>
      </c>
      <c r="Z955" s="4">
        <f ca="1"/>
        <v>3.4128031938087763E-2</v>
      </c>
      <c r="AA955" s="4"/>
    </row>
    <row r="956" spans="1:27" x14ac:dyDescent="0.35">
      <c r="A956">
        <v>954</v>
      </c>
      <c r="B956">
        <f ca="1">_xlfn.NORM.INV(RAND(),Hitorical_Sim!$AB$4,Hitorical_Sim!$AB$5)</f>
        <v>-6.265986331290259E-4</v>
      </c>
      <c r="C956">
        <f ca="1">_xlfn.NORM.INV(RAND(),Hitorical_Sim!$AB$4,Hitorical_Sim!$AB$5)</f>
        <v>-2.832218439058139E-2</v>
      </c>
      <c r="D956">
        <f ca="1">_xlfn.NORM.INV(RAND(),Hitorical_Sim!$AB$4,Hitorical_Sim!$AB$5)</f>
        <v>-1.0483904383028545E-2</v>
      </c>
      <c r="K956">
        <f t="shared" ca="1" si="153"/>
        <v>1.102621963686919</v>
      </c>
      <c r="L956">
        <f t="shared" ca="1" si="153"/>
        <v>-0.79192441432812199</v>
      </c>
      <c r="M956">
        <f t="shared" ca="1" si="153"/>
        <v>-0.34379798762021241</v>
      </c>
      <c r="O956">
        <v>954</v>
      </c>
      <c r="P956" s="6">
        <f t="shared" ca="1" si="144"/>
        <v>1976.9997816850055</v>
      </c>
      <c r="Q956" s="6">
        <f t="shared" ca="1" si="145"/>
        <v>375.81845216837883</v>
      </c>
      <c r="R956" s="6">
        <f t="shared" ca="1" si="146"/>
        <v>149.19636706477749</v>
      </c>
      <c r="S956" s="6"/>
      <c r="T956" s="4">
        <f t="shared" ca="1" si="147"/>
        <v>-2.405459670091494E-4</v>
      </c>
      <c r="U956" s="4">
        <f t="shared" ca="1" si="148"/>
        <v>-5.7628591770995954E-2</v>
      </c>
      <c r="V956" s="4">
        <f t="shared" ca="1" si="149"/>
        <v>-4.2862611860362471E-2</v>
      </c>
      <c r="W956" s="4"/>
      <c r="X956">
        <v>954</v>
      </c>
      <c r="Y956" s="4">
        <f t="shared" ca="1" si="150"/>
        <v>-1.3802739297077628E-2</v>
      </c>
      <c r="Z956" s="4">
        <f ca="1"/>
        <v>3.4207498889445E-2</v>
      </c>
      <c r="AA956" s="4"/>
    </row>
    <row r="957" spans="1:27" x14ac:dyDescent="0.35">
      <c r="A957">
        <v>955</v>
      </c>
      <c r="B957">
        <f ca="1">_xlfn.NORM.INV(RAND(),Hitorical_Sim!$AB$4,Hitorical_Sim!$AB$5)</f>
        <v>4.7823281548219437E-2</v>
      </c>
      <c r="C957">
        <f ca="1">_xlfn.NORM.INV(RAND(),Hitorical_Sim!$AB$4,Hitorical_Sim!$AB$5)</f>
        <v>1.0923585189172982E-2</v>
      </c>
      <c r="D957">
        <f ca="1">_xlfn.NORM.INV(RAND(),Hitorical_Sim!$AB$4,Hitorical_Sim!$AB$5)</f>
        <v>9.6328196130514125E-4</v>
      </c>
      <c r="K957">
        <f t="shared" ca="1" si="153"/>
        <v>1.3643763443013415</v>
      </c>
      <c r="L957">
        <f t="shared" ca="1" si="153"/>
        <v>-0.66501364929746265</v>
      </c>
      <c r="M957">
        <f t="shared" ca="1" si="153"/>
        <v>0.6198734410944432</v>
      </c>
      <c r="O957">
        <v>955</v>
      </c>
      <c r="P957" s="6">
        <f t="shared" ca="1" si="144"/>
        <v>1986.4105244252273</v>
      </c>
      <c r="Q957" s="6">
        <f t="shared" ca="1" si="145"/>
        <v>377.18165933300025</v>
      </c>
      <c r="R957" s="6">
        <f t="shared" ca="1" si="146"/>
        <v>153.64739049577224</v>
      </c>
      <c r="S957" s="6"/>
      <c r="T957" s="4">
        <f t="shared" ca="1" si="147"/>
        <v>4.7488196773731086E-3</v>
      </c>
      <c r="U957" s="4">
        <f t="shared" ca="1" si="148"/>
        <v>3.6207395804472909E-3</v>
      </c>
      <c r="V957" s="4">
        <f t="shared" ca="1" si="149"/>
        <v>2.939696695949617E-2</v>
      </c>
      <c r="W957" s="4"/>
      <c r="X957">
        <v>955</v>
      </c>
      <c r="Y957" s="4">
        <f t="shared" ca="1" si="150"/>
        <v>5.743530344525077E-3</v>
      </c>
      <c r="Z957" s="4">
        <f ca="1"/>
        <v>3.4498017620482969E-2</v>
      </c>
      <c r="AA957" s="4"/>
    </row>
    <row r="958" spans="1:27" x14ac:dyDescent="0.35">
      <c r="A958">
        <v>956</v>
      </c>
      <c r="B958">
        <f ca="1">_xlfn.NORM.INV(RAND(),Hitorical_Sim!$AB$4,Hitorical_Sim!$AB$5)</f>
        <v>1.3894793019637249E-2</v>
      </c>
      <c r="C958">
        <f ca="1">_xlfn.NORM.INV(RAND(),Hitorical_Sim!$AB$4,Hitorical_Sim!$AB$5)</f>
        <v>-1.8355522710313639E-3</v>
      </c>
      <c r="D958">
        <f ca="1">_xlfn.NORM.INV(RAND(),Hitorical_Sim!$AB$4,Hitorical_Sim!$AB$5)</f>
        <v>-4.3569386394098292E-3</v>
      </c>
      <c r="K958">
        <f t="shared" ca="1" si="153"/>
        <v>0.35868515146429486</v>
      </c>
      <c r="L958">
        <f t="shared" ca="1" si="153"/>
        <v>1.091401880575207</v>
      </c>
      <c r="M958">
        <f t="shared" ca="1" si="153"/>
        <v>2.2055719269809715</v>
      </c>
      <c r="O958">
        <v>956</v>
      </c>
      <c r="P958" s="6">
        <f t="shared" ca="1" si="144"/>
        <v>1950.4960567896362</v>
      </c>
      <c r="Q958" s="6">
        <f t="shared" ca="1" si="145"/>
        <v>396.56387363031092</v>
      </c>
      <c r="R958" s="6">
        <f t="shared" ca="1" si="146"/>
        <v>161.26231374777348</v>
      </c>
      <c r="S958" s="6"/>
      <c r="T958" s="4">
        <f t="shared" ca="1" si="147"/>
        <v>-1.8245525116695076E-2</v>
      </c>
      <c r="U958" s="4">
        <f t="shared" ca="1" si="148"/>
        <v>5.011019535801936E-2</v>
      </c>
      <c r="V958" s="4">
        <f t="shared" ca="1" si="149"/>
        <v>4.8372012086634317E-2</v>
      </c>
      <c r="W958" s="4"/>
      <c r="X958">
        <v>956</v>
      </c>
      <c r="Y958" s="4">
        <f t="shared" ca="1" si="150"/>
        <v>-1.3069952610616758E-3</v>
      </c>
      <c r="Z958" s="4">
        <f ca="1"/>
        <v>3.4660382835563303E-2</v>
      </c>
      <c r="AA958" s="4"/>
    </row>
    <row r="959" spans="1:27" x14ac:dyDescent="0.35">
      <c r="A959">
        <v>957</v>
      </c>
      <c r="B959">
        <f ca="1">_xlfn.NORM.INV(RAND(),Hitorical_Sim!$AB$4,Hitorical_Sim!$AB$5)</f>
        <v>-3.0705980577641016E-3</v>
      </c>
      <c r="C959">
        <f ca="1">_xlfn.NORM.INV(RAND(),Hitorical_Sim!$AB$4,Hitorical_Sim!$AB$5)</f>
        <v>1.8734902853748993E-2</v>
      </c>
      <c r="D959">
        <f ca="1">_xlfn.NORM.INV(RAND(),Hitorical_Sim!$AB$4,Hitorical_Sim!$AB$5)</f>
        <v>5.8642376005076893E-2</v>
      </c>
      <c r="K959">
        <f t="shared" ca="1" si="153"/>
        <v>-1.2414124011739462</v>
      </c>
      <c r="L959">
        <f t="shared" ca="1" si="153"/>
        <v>0.98228242643768271</v>
      </c>
      <c r="M959">
        <f t="shared" ca="1" si="153"/>
        <v>-0.1612251129727999</v>
      </c>
      <c r="O959">
        <v>957</v>
      </c>
      <c r="P959" s="6">
        <f t="shared" ca="1" si="144"/>
        <v>1894.688263391716</v>
      </c>
      <c r="Q959" s="6">
        <f t="shared" ca="1" si="145"/>
        <v>395.3312277677656</v>
      </c>
      <c r="R959" s="6">
        <f t="shared" ca="1" si="146"/>
        <v>150.02962217934004</v>
      </c>
      <c r="S959" s="6"/>
      <c r="T959" s="4">
        <f t="shared" ca="1" si="147"/>
        <v>-2.9029408126231646E-2</v>
      </c>
      <c r="U959" s="4">
        <f t="shared" ca="1" si="148"/>
        <v>-3.1131569216929188E-3</v>
      </c>
      <c r="V959" s="4">
        <f t="shared" ca="1" si="149"/>
        <v>-7.219956129254089E-2</v>
      </c>
      <c r="W959" s="4"/>
      <c r="X959">
        <v>957</v>
      </c>
      <c r="Y959" s="4">
        <f t="shared" ca="1" si="150"/>
        <v>-2.5993846735973276E-2</v>
      </c>
      <c r="Z959" s="4">
        <f ca="1"/>
        <v>3.4885162052044442E-2</v>
      </c>
      <c r="AA959" s="4"/>
    </row>
    <row r="960" spans="1:27" x14ac:dyDescent="0.35">
      <c r="A960">
        <v>958</v>
      </c>
      <c r="B960">
        <f ca="1">_xlfn.NORM.INV(RAND(),Hitorical_Sim!$AB$4,Hitorical_Sim!$AB$5)</f>
        <v>-2.2250751687120481E-2</v>
      </c>
      <c r="C960">
        <f ca="1">_xlfn.NORM.INV(RAND(),Hitorical_Sim!$AB$4,Hitorical_Sim!$AB$5)</f>
        <v>5.2444101210970913E-3</v>
      </c>
      <c r="D960">
        <f ca="1">_xlfn.NORM.INV(RAND(),Hitorical_Sim!$AB$4,Hitorical_Sim!$AB$5)</f>
        <v>2.5671824116153927E-3</v>
      </c>
      <c r="K960">
        <f t="shared" ca="1" si="153"/>
        <v>-0.55097997534541865</v>
      </c>
      <c r="L960">
        <f t="shared" ca="1" si="153"/>
        <v>2.2528148782363524</v>
      </c>
      <c r="M960">
        <f t="shared" ca="1" si="153"/>
        <v>0.21466356733308456</v>
      </c>
      <c r="O960">
        <v>958</v>
      </c>
      <c r="P960" s="6">
        <f t="shared" ca="1" si="144"/>
        <v>1918.5704173314352</v>
      </c>
      <c r="Q960" s="6">
        <f t="shared" ca="1" si="145"/>
        <v>409.92409562599215</v>
      </c>
      <c r="R960" s="6">
        <f t="shared" ca="1" si="146"/>
        <v>151.75984530828293</v>
      </c>
      <c r="S960" s="6"/>
      <c r="T960" s="4">
        <f t="shared" ca="1" si="147"/>
        <v>1.2526014204517641E-2</v>
      </c>
      <c r="U960" s="4">
        <f t="shared" ca="1" si="148"/>
        <v>3.6248045115468794E-2</v>
      </c>
      <c r="V960" s="4">
        <f t="shared" ca="1" si="149"/>
        <v>1.146655051311311E-2</v>
      </c>
      <c r="W960" s="4"/>
      <c r="X960">
        <v>958</v>
      </c>
      <c r="Y960" s="4">
        <f t="shared" ca="1" si="150"/>
        <v>1.7207741505054556E-2</v>
      </c>
      <c r="Z960" s="4">
        <f ca="1"/>
        <v>3.5492339337934116E-2</v>
      </c>
      <c r="AA960" s="4"/>
    </row>
    <row r="961" spans="1:27" x14ac:dyDescent="0.35">
      <c r="A961">
        <v>959</v>
      </c>
      <c r="B961">
        <f ca="1">_xlfn.NORM.INV(RAND(),Hitorical_Sim!$AB$4,Hitorical_Sim!$AB$5)</f>
        <v>1.5977553560902344E-2</v>
      </c>
      <c r="C961">
        <f ca="1">_xlfn.NORM.INV(RAND(),Hitorical_Sim!$AB$4,Hitorical_Sim!$AB$5)</f>
        <v>-7.7637904607354331E-5</v>
      </c>
      <c r="D961">
        <f ca="1">_xlfn.NORM.INV(RAND(),Hitorical_Sim!$AB$4,Hitorical_Sim!$AB$5)</f>
        <v>-1.0569533070150041E-3</v>
      </c>
      <c r="K961">
        <f t="shared" ca="1" si="153"/>
        <v>0.16451337877990388</v>
      </c>
      <c r="L961">
        <f t="shared" ca="1" si="153"/>
        <v>-0.71613346749985973</v>
      </c>
      <c r="M961">
        <f t="shared" ca="1" si="153"/>
        <v>0.42085169186814181</v>
      </c>
      <c r="O961">
        <v>959</v>
      </c>
      <c r="P961" s="6">
        <f t="shared" ca="1" si="144"/>
        <v>1943.6370983938189</v>
      </c>
      <c r="Q961" s="6">
        <f t="shared" ca="1" si="145"/>
        <v>376.63196401550141</v>
      </c>
      <c r="R961" s="6">
        <f t="shared" ca="1" si="146"/>
        <v>152.71739339860278</v>
      </c>
      <c r="S961" s="6"/>
      <c r="T961" s="4">
        <f t="shared" ca="1" si="147"/>
        <v>1.2980676430799015E-2</v>
      </c>
      <c r="U961" s="4">
        <f t="shared" ca="1" si="148"/>
        <v>-8.4703522077999041E-2</v>
      </c>
      <c r="V961" s="4">
        <f t="shared" ca="1" si="149"/>
        <v>6.2898051179976853E-3</v>
      </c>
      <c r="W961" s="4"/>
      <c r="X961">
        <v>959</v>
      </c>
      <c r="Y961" s="4">
        <f t="shared" ca="1" si="150"/>
        <v>-6.8451044702319431E-3</v>
      </c>
      <c r="Z961" s="4">
        <f ca="1"/>
        <v>3.5869785926181182E-2</v>
      </c>
      <c r="AA961" s="4"/>
    </row>
    <row r="962" spans="1:27" x14ac:dyDescent="0.35">
      <c r="A962">
        <v>960</v>
      </c>
      <c r="B962">
        <f ca="1">_xlfn.NORM.INV(RAND(),Hitorical_Sim!$AB$4,Hitorical_Sim!$AB$5)</f>
        <v>-9.6145573428104546E-3</v>
      </c>
      <c r="C962">
        <f ca="1">_xlfn.NORM.INV(RAND(),Hitorical_Sim!$AB$4,Hitorical_Sim!$AB$5)</f>
        <v>1.4647130274178993E-2</v>
      </c>
      <c r="D962">
        <f ca="1">_xlfn.NORM.INV(RAND(),Hitorical_Sim!$AB$4,Hitorical_Sim!$AB$5)</f>
        <v>3.4391946112992657E-2</v>
      </c>
      <c r="K962">
        <f t="shared" ca="1" si="153"/>
        <v>9.5741200151806496E-2</v>
      </c>
      <c r="L962">
        <f t="shared" ca="1" si="153"/>
        <v>-0.81876987040955496</v>
      </c>
      <c r="M962">
        <f t="shared" ca="1" si="153"/>
        <v>-0.65699685389182594</v>
      </c>
      <c r="O962">
        <v>960</v>
      </c>
      <c r="P962" s="6">
        <f t="shared" ca="1" si="144"/>
        <v>1941.2135662749597</v>
      </c>
      <c r="Q962" s="6">
        <f t="shared" ca="1" si="145"/>
        <v>375.53072464192684</v>
      </c>
      <c r="R962" s="6">
        <f t="shared" ca="1" si="146"/>
        <v>147.77770499525974</v>
      </c>
      <c r="S962" s="6"/>
      <c r="T962" s="4">
        <f t="shared" ca="1" si="147"/>
        <v>-1.2476837039302317E-3</v>
      </c>
      <c r="U962" s="4">
        <f t="shared" ca="1" si="148"/>
        <v>-2.9281967240530836E-3</v>
      </c>
      <c r="V962" s="4">
        <f t="shared" ca="1" si="149"/>
        <v>-3.2879960059943439E-2</v>
      </c>
      <c r="W962" s="4"/>
      <c r="X962">
        <v>960</v>
      </c>
      <c r="Y962" s="4">
        <f t="shared" ca="1" si="150"/>
        <v>-3.1485452719471072E-3</v>
      </c>
      <c r="Z962" s="4">
        <f ca="1"/>
        <v>3.6933044684578531E-2</v>
      </c>
      <c r="AA962" s="4"/>
    </row>
    <row r="963" spans="1:27" x14ac:dyDescent="0.35">
      <c r="A963">
        <v>961</v>
      </c>
      <c r="B963">
        <f ca="1">_xlfn.NORM.INV(RAND(),Hitorical_Sim!$AB$4,Hitorical_Sim!$AB$5)</f>
        <v>-1.7355760225874303E-2</v>
      </c>
      <c r="C963">
        <f ca="1">_xlfn.NORM.INV(RAND(),Hitorical_Sim!$AB$4,Hitorical_Sim!$AB$5)</f>
        <v>-3.3766157961636338E-2</v>
      </c>
      <c r="D963">
        <f ca="1">_xlfn.NORM.INV(RAND(),Hitorical_Sim!$AB$4,Hitorical_Sim!$AB$5)</f>
        <v>1.3912314037704845E-2</v>
      </c>
      <c r="K963">
        <f t="shared" ca="1" si="153"/>
        <v>1.3915201007830045</v>
      </c>
      <c r="L963">
        <f t="shared" ca="1" si="153"/>
        <v>0.34483031742201242</v>
      </c>
      <c r="M963">
        <f t="shared" ca="1" si="153"/>
        <v>-0.82116081644790473</v>
      </c>
      <c r="O963">
        <v>961</v>
      </c>
      <c r="P963" s="6">
        <f t="shared" ref="P963:P1002" ca="1" si="154">$G$17*EXP(($G$15-0.5*$G$16)+($G$16*K963))</f>
        <v>1987.3889721250414</v>
      </c>
      <c r="Q963" s="6">
        <f t="shared" ref="Q963:Q1002" ca="1" si="155">$H$17*EXP(($H$15-0.5*$H$16^2)+($H$16*L963))</f>
        <v>388.20656401633352</v>
      </c>
      <c r="R963" s="6">
        <f t="shared" ref="R963:R1002" ca="1" si="156">$I$17*EXP(($I$15-0.5*$I$16)+($I$16*M963))</f>
        <v>147.03950625764759</v>
      </c>
      <c r="S963" s="6"/>
      <c r="T963" s="4">
        <f t="shared" ca="1" si="147"/>
        <v>2.3508375777315745E-2</v>
      </c>
      <c r="U963" s="4">
        <f t="shared" ca="1" si="148"/>
        <v>3.3197288306312404E-2</v>
      </c>
      <c r="V963" s="4">
        <f t="shared" ca="1" si="149"/>
        <v>-5.0078506422443761E-3</v>
      </c>
      <c r="W963" s="4"/>
      <c r="X963">
        <v>961</v>
      </c>
      <c r="Y963" s="4">
        <f t="shared" ca="1" si="150"/>
        <v>2.4030702182290531E-2</v>
      </c>
      <c r="Z963" s="4">
        <f ca="1"/>
        <v>3.6948890684102384E-2</v>
      </c>
      <c r="AA963" s="4"/>
    </row>
    <row r="964" spans="1:27" x14ac:dyDescent="0.35">
      <c r="A964">
        <v>962</v>
      </c>
      <c r="B964">
        <f ca="1">_xlfn.NORM.INV(RAND(),Hitorical_Sim!$AB$4,Hitorical_Sim!$AB$5)</f>
        <v>2.6961761494103304E-2</v>
      </c>
      <c r="C964">
        <f ca="1">_xlfn.NORM.INV(RAND(),Hitorical_Sim!$AB$4,Hitorical_Sim!$AB$5)</f>
        <v>-1.5385659898142889E-2</v>
      </c>
      <c r="D964">
        <f ca="1">_xlfn.NORM.INV(RAND(),Hitorical_Sim!$AB$4,Hitorical_Sim!$AB$5)</f>
        <v>-4.7689205743857667E-3</v>
      </c>
      <c r="K964">
        <f t="shared" ref="K964:M983" ca="1" si="157">_xlfn.NORM.S.INV(RAND())</f>
        <v>-0.85640542642632889</v>
      </c>
      <c r="L964">
        <f t="shared" ca="1" si="157"/>
        <v>-0.33383124300489891</v>
      </c>
      <c r="M964">
        <f t="shared" ca="1" si="157"/>
        <v>-8.4021269812497162E-2</v>
      </c>
      <c r="O964">
        <v>962</v>
      </c>
      <c r="P964" s="6">
        <f t="shared" ca="1" si="154"/>
        <v>1907.9688028771775</v>
      </c>
      <c r="Q964" s="6">
        <f t="shared" ca="1" si="155"/>
        <v>380.76237633138544</v>
      </c>
      <c r="R964" s="6">
        <f t="shared" ca="1" si="156"/>
        <v>150.38337587374235</v>
      </c>
      <c r="S964" s="6"/>
      <c r="T964" s="4">
        <f t="shared" ref="T964:T1002" ca="1" si="158">LN(P964/P963)</f>
        <v>-4.0782480705092126E-2</v>
      </c>
      <c r="U964" s="4">
        <f t="shared" ref="U964:U1002" ca="1" si="159">LN(Q964/Q963)</f>
        <v>-1.936208305869154E-2</v>
      </c>
      <c r="V964" s="4">
        <f t="shared" ref="V964:V1002" ca="1" si="160">LN(R964/R963)</f>
        <v>2.2486571928237341E-2</v>
      </c>
      <c r="W964" s="4"/>
      <c r="X964">
        <v>962</v>
      </c>
      <c r="Y964" s="4">
        <f t="shared" ref="Y964:Y1002" ca="1" si="161">($G$18*T964)+($H$18*U964)+($I$18*V964)</f>
        <v>-3.3376460216797577E-2</v>
      </c>
      <c r="Z964" s="4">
        <f ca="1"/>
        <v>3.6988124375097298E-2</v>
      </c>
      <c r="AA964" s="4"/>
    </row>
    <row r="965" spans="1:27" x14ac:dyDescent="0.35">
      <c r="A965">
        <v>963</v>
      </c>
      <c r="B965">
        <f ca="1">_xlfn.NORM.INV(RAND(),Hitorical_Sim!$AB$4,Hitorical_Sim!$AB$5)</f>
        <v>-1.3711946198983119E-2</v>
      </c>
      <c r="C965">
        <f ca="1">_xlfn.NORM.INV(RAND(),Hitorical_Sim!$AB$4,Hitorical_Sim!$AB$5)</f>
        <v>-1.1114434825950016E-2</v>
      </c>
      <c r="D965">
        <f ca="1">_xlfn.NORM.INV(RAND(),Hitorical_Sim!$AB$4,Hitorical_Sim!$AB$5)</f>
        <v>-4.8645447938917511E-3</v>
      </c>
      <c r="K965">
        <f t="shared" ca="1" si="157"/>
        <v>0.96794654099679589</v>
      </c>
      <c r="L965">
        <f t="shared" ca="1" si="157"/>
        <v>-0.21547998893925446</v>
      </c>
      <c r="M965">
        <f t="shared" ca="1" si="157"/>
        <v>0.88729795344767204</v>
      </c>
      <c r="O965">
        <v>963</v>
      </c>
      <c r="P965" s="6">
        <f t="shared" ca="1" si="154"/>
        <v>1972.1752380680173</v>
      </c>
      <c r="Q965" s="6">
        <f t="shared" ca="1" si="155"/>
        <v>382.05020809496324</v>
      </c>
      <c r="R965" s="6">
        <f t="shared" ca="1" si="156"/>
        <v>154.90594664936725</v>
      </c>
      <c r="S965" s="6"/>
      <c r="T965" s="4">
        <f t="shared" ca="1" si="158"/>
        <v>3.3097893150889027E-2</v>
      </c>
      <c r="U965" s="4">
        <f t="shared" ca="1" si="159"/>
        <v>3.3765383881146655E-3</v>
      </c>
      <c r="V965" s="4">
        <f t="shared" ca="1" si="160"/>
        <v>2.9630264281455081E-2</v>
      </c>
      <c r="W965" s="4"/>
      <c r="X965">
        <v>963</v>
      </c>
      <c r="Y965" s="4">
        <f t="shared" ca="1" si="161"/>
        <v>2.6994845561071203E-2</v>
      </c>
      <c r="Z965" s="4">
        <f ca="1"/>
        <v>3.7012565453831761E-2</v>
      </c>
      <c r="AA965" s="4"/>
    </row>
    <row r="966" spans="1:27" x14ac:dyDescent="0.35">
      <c r="A966">
        <v>964</v>
      </c>
      <c r="B966">
        <f ca="1">_xlfn.NORM.INV(RAND(),Hitorical_Sim!$AB$4,Hitorical_Sim!$AB$5)</f>
        <v>-4.74657858734633E-3</v>
      </c>
      <c r="C966">
        <f ca="1">_xlfn.NORM.INV(RAND(),Hitorical_Sim!$AB$4,Hitorical_Sim!$AB$5)</f>
        <v>-2.5615924225821231E-3</v>
      </c>
      <c r="D966">
        <f ca="1">_xlfn.NORM.INV(RAND(),Hitorical_Sim!$AB$4,Hitorical_Sim!$AB$5)</f>
        <v>-1.3228951063661171E-2</v>
      </c>
      <c r="K966">
        <f t="shared" ca="1" si="157"/>
        <v>-0.50694133693692822</v>
      </c>
      <c r="L966">
        <f t="shared" ca="1" si="157"/>
        <v>-1.8147801736006797</v>
      </c>
      <c r="M966">
        <f t="shared" ca="1" si="157"/>
        <v>-0.49335424837996544</v>
      </c>
      <c r="O966">
        <v>964</v>
      </c>
      <c r="P966" s="6">
        <f t="shared" ca="1" si="154"/>
        <v>1920.1038928629196</v>
      </c>
      <c r="Q966" s="6">
        <f t="shared" ca="1" si="155"/>
        <v>365.00983916165518</v>
      </c>
      <c r="R966" s="6">
        <f t="shared" ca="1" si="156"/>
        <v>148.51724774359599</v>
      </c>
      <c r="S966" s="6"/>
      <c r="T966" s="4">
        <f t="shared" ca="1" si="158"/>
        <v>-2.6757819908152583E-2</v>
      </c>
      <c r="U966" s="4">
        <f t="shared" ca="1" si="159"/>
        <v>-4.5627724946903689E-2</v>
      </c>
      <c r="V966" s="4">
        <f t="shared" ca="1" si="160"/>
        <v>-4.211703901382402E-2</v>
      </c>
      <c r="W966" s="4"/>
      <c r="X966">
        <v>964</v>
      </c>
      <c r="Y966" s="4">
        <f t="shared" ca="1" si="161"/>
        <v>-3.1283780001159896E-2</v>
      </c>
      <c r="Z966" s="4">
        <f ca="1"/>
        <v>3.7204876895792154E-2</v>
      </c>
      <c r="AA966" s="4"/>
    </row>
    <row r="967" spans="1:27" x14ac:dyDescent="0.35">
      <c r="A967">
        <v>965</v>
      </c>
      <c r="B967">
        <f ca="1">_xlfn.NORM.INV(RAND(),Hitorical_Sim!$AB$4,Hitorical_Sim!$AB$5)</f>
        <v>-2.617735381590014E-2</v>
      </c>
      <c r="C967">
        <f ca="1">_xlfn.NORM.INV(RAND(),Hitorical_Sim!$AB$4,Hitorical_Sim!$AB$5)</f>
        <v>1.3973940565698782E-2</v>
      </c>
      <c r="D967">
        <f ca="1">_xlfn.NORM.INV(RAND(),Hitorical_Sim!$AB$4,Hitorical_Sim!$AB$5)</f>
        <v>-1.8135454304845831E-2</v>
      </c>
      <c r="K967">
        <f t="shared" ca="1" si="157"/>
        <v>-0.86145827863792357</v>
      </c>
      <c r="L967">
        <f t="shared" ca="1" si="157"/>
        <v>-0.72997653598148526</v>
      </c>
      <c r="M967">
        <f t="shared" ca="1" si="157"/>
        <v>-1.0186658849884094</v>
      </c>
      <c r="O967">
        <v>965</v>
      </c>
      <c r="P967" s="6">
        <f t="shared" ca="1" si="154"/>
        <v>1907.7939069566146</v>
      </c>
      <c r="Q967" s="6">
        <f t="shared" ca="1" si="155"/>
        <v>376.48324633184916</v>
      </c>
      <c r="R967" s="6">
        <f t="shared" ca="1" si="156"/>
        <v>146.15626736846392</v>
      </c>
      <c r="S967" s="6"/>
      <c r="T967" s="4">
        <f t="shared" ca="1" si="158"/>
        <v>-6.4317434717235328E-3</v>
      </c>
      <c r="U967" s="4">
        <f t="shared" ca="1" si="159"/>
        <v>3.0949237968835495E-2</v>
      </c>
      <c r="V967" s="4">
        <f t="shared" ca="1" si="160"/>
        <v>-1.6024724158746308E-2</v>
      </c>
      <c r="W967" s="4"/>
      <c r="X967">
        <v>965</v>
      </c>
      <c r="Y967" s="4">
        <f t="shared" ca="1" si="161"/>
        <v>5.5354996050607634E-4</v>
      </c>
      <c r="Z967" s="4">
        <f ca="1"/>
        <v>3.7633685359178874E-2</v>
      </c>
      <c r="AA967" s="4"/>
    </row>
    <row r="968" spans="1:27" x14ac:dyDescent="0.35">
      <c r="A968">
        <v>966</v>
      </c>
      <c r="B968">
        <f ca="1">_xlfn.NORM.INV(RAND(),Hitorical_Sim!$AB$4,Hitorical_Sim!$AB$5)</f>
        <v>2.6421452230519449E-2</v>
      </c>
      <c r="C968">
        <f ca="1">_xlfn.NORM.INV(RAND(),Hitorical_Sim!$AB$4,Hitorical_Sim!$AB$5)</f>
        <v>-1.9628951168776703E-2</v>
      </c>
      <c r="D968">
        <f ca="1">_xlfn.NORM.INV(RAND(),Hitorical_Sim!$AB$4,Hitorical_Sim!$AB$5)</f>
        <v>3.2207884695614676E-2</v>
      </c>
      <c r="K968">
        <f t="shared" ca="1" si="157"/>
        <v>1.5002059830097019</v>
      </c>
      <c r="L968">
        <f t="shared" ca="1" si="157"/>
        <v>-1.2547695670706907</v>
      </c>
      <c r="M968">
        <f t="shared" ca="1" si="157"/>
        <v>0.15112163523479122</v>
      </c>
      <c r="O968">
        <v>966</v>
      </c>
      <c r="P968" s="6">
        <f t="shared" ca="1" si="154"/>
        <v>1991.3115897386103</v>
      </c>
      <c r="Q968" s="6">
        <f t="shared" ca="1" si="155"/>
        <v>370.88843537856036</v>
      </c>
      <c r="R968" s="6">
        <f t="shared" ca="1" si="156"/>
        <v>151.46596533514264</v>
      </c>
      <c r="S968" s="6"/>
      <c r="T968" s="4">
        <f t="shared" ca="1" si="158"/>
        <v>4.2845959982543862E-2</v>
      </c>
      <c r="U968" s="4">
        <f t="shared" ca="1" si="159"/>
        <v>-1.4972243676479915E-2</v>
      </c>
      <c r="V968" s="4">
        <f t="shared" ca="1" si="160"/>
        <v>3.5684574697310747E-2</v>
      </c>
      <c r="W968" s="4"/>
      <c r="X968">
        <v>966</v>
      </c>
      <c r="Y968" s="4">
        <f t="shared" ca="1" si="161"/>
        <v>3.0952873455827229E-2</v>
      </c>
      <c r="Z968" s="4">
        <f ca="1"/>
        <v>3.7920805675987761E-2</v>
      </c>
      <c r="AA968" s="4"/>
    </row>
    <row r="969" spans="1:27" x14ac:dyDescent="0.35">
      <c r="A969">
        <v>967</v>
      </c>
      <c r="B969">
        <f ca="1">_xlfn.NORM.INV(RAND(),Hitorical_Sim!$AB$4,Hitorical_Sim!$AB$5)</f>
        <v>3.4494836165401082E-3</v>
      </c>
      <c r="C969">
        <f ca="1">_xlfn.NORM.INV(RAND(),Hitorical_Sim!$AB$4,Hitorical_Sim!$AB$5)</f>
        <v>-8.4806709943016038E-3</v>
      </c>
      <c r="D969">
        <f ca="1">_xlfn.NORM.INV(RAND(),Hitorical_Sim!$AB$4,Hitorical_Sim!$AB$5)</f>
        <v>-2.2586160512583688E-2</v>
      </c>
      <c r="K969">
        <f t="shared" ca="1" si="157"/>
        <v>1.5010918701612064</v>
      </c>
      <c r="L969">
        <f t="shared" ca="1" si="157"/>
        <v>-0.55476971777868112</v>
      </c>
      <c r="M969">
        <f t="shared" ca="1" si="157"/>
        <v>-0.65219704266410694</v>
      </c>
      <c r="O969">
        <v>967</v>
      </c>
      <c r="P969" s="6">
        <f t="shared" ca="1" si="154"/>
        <v>1991.3435943703653</v>
      </c>
      <c r="Q969" s="6">
        <f t="shared" ca="1" si="155"/>
        <v>378.36985303389008</v>
      </c>
      <c r="R969" s="6">
        <f t="shared" ca="1" si="156"/>
        <v>147.79934405625252</v>
      </c>
      <c r="S969" s="6"/>
      <c r="T969" s="4">
        <f t="shared" ca="1" si="158"/>
        <v>1.6072007380025178E-5</v>
      </c>
      <c r="U969" s="4">
        <f t="shared" ca="1" si="159"/>
        <v>1.9970860312963381E-2</v>
      </c>
      <c r="V969" s="4">
        <f t="shared" ca="1" si="160"/>
        <v>-2.4505378003826354E-2</v>
      </c>
      <c r="W969" s="4"/>
      <c r="X969">
        <v>967</v>
      </c>
      <c r="Y969" s="4">
        <f t="shared" ca="1" si="161"/>
        <v>2.7848417443778104E-3</v>
      </c>
      <c r="Z969" s="4">
        <f ca="1"/>
        <v>3.7930619753863429E-2</v>
      </c>
      <c r="AA969" s="4"/>
    </row>
    <row r="970" spans="1:27" x14ac:dyDescent="0.35">
      <c r="A970">
        <v>968</v>
      </c>
      <c r="B970">
        <f ca="1">_xlfn.NORM.INV(RAND(),Hitorical_Sim!$AB$4,Hitorical_Sim!$AB$5)</f>
        <v>-1.7611277607457198E-3</v>
      </c>
      <c r="C970">
        <f ca="1">_xlfn.NORM.INV(RAND(),Hitorical_Sim!$AB$4,Hitorical_Sim!$AB$5)</f>
        <v>1.3869620038851442E-2</v>
      </c>
      <c r="D970">
        <f ca="1">_xlfn.NORM.INV(RAND(),Hitorical_Sim!$AB$4,Hitorical_Sim!$AB$5)</f>
        <v>-1.9871290852048154E-2</v>
      </c>
      <c r="K970">
        <f t="shared" ca="1" si="157"/>
        <v>0.69298230236989378</v>
      </c>
      <c r="L970">
        <f t="shared" ca="1" si="157"/>
        <v>-0.60209340449789395</v>
      </c>
      <c r="M970">
        <f t="shared" ca="1" si="157"/>
        <v>3.0258904067286383</v>
      </c>
      <c r="O970">
        <v>968</v>
      </c>
      <c r="P970" s="6">
        <f t="shared" ca="1" si="154"/>
        <v>1962.3615860972184</v>
      </c>
      <c r="Q970" s="6">
        <f t="shared" ca="1" si="155"/>
        <v>377.85934711795551</v>
      </c>
      <c r="R970" s="6">
        <f t="shared" ca="1" si="156"/>
        <v>165.34865035570309</v>
      </c>
      <c r="S970" s="6"/>
      <c r="T970" s="4">
        <f t="shared" ca="1" si="158"/>
        <v>-1.4660945150154987E-2</v>
      </c>
      <c r="U970" s="4">
        <f t="shared" ca="1" si="159"/>
        <v>-1.3501356292001043E-3</v>
      </c>
      <c r="V970" s="4">
        <f t="shared" ca="1" si="160"/>
        <v>0.11220070659161537</v>
      </c>
      <c r="W970" s="4"/>
      <c r="X970">
        <v>968</v>
      </c>
      <c r="Y970" s="4">
        <f t="shared" ca="1" si="161"/>
        <v>-5.7261352252590469E-3</v>
      </c>
      <c r="Z970" s="4">
        <f ca="1"/>
        <v>3.8753066958789564E-2</v>
      </c>
      <c r="AA970" s="4"/>
    </row>
    <row r="971" spans="1:27" x14ac:dyDescent="0.35">
      <c r="A971">
        <v>969</v>
      </c>
      <c r="B971">
        <f ca="1">_xlfn.NORM.INV(RAND(),Hitorical_Sim!$AB$4,Hitorical_Sim!$AB$5)</f>
        <v>4.2076915469731234E-3</v>
      </c>
      <c r="C971">
        <f ca="1">_xlfn.NORM.INV(RAND(),Hitorical_Sim!$AB$4,Hitorical_Sim!$AB$5)</f>
        <v>-2.6151431284887239E-3</v>
      </c>
      <c r="D971">
        <f ca="1">_xlfn.NORM.INV(RAND(),Hitorical_Sim!$AB$4,Hitorical_Sim!$AB$5)</f>
        <v>-9.6583475356040657E-3</v>
      </c>
      <c r="K971">
        <f t="shared" ca="1" si="157"/>
        <v>1.0202608162751059</v>
      </c>
      <c r="L971">
        <f t="shared" ca="1" si="157"/>
        <v>1.6672725184784691</v>
      </c>
      <c r="M971">
        <f t="shared" ca="1" si="157"/>
        <v>-0.16271225960642352</v>
      </c>
      <c r="O971">
        <v>969</v>
      </c>
      <c r="P971" s="6">
        <f t="shared" ca="1" si="154"/>
        <v>1974.0479179543267</v>
      </c>
      <c r="Q971" s="6">
        <f t="shared" ca="1" si="155"/>
        <v>403.13302715159574</v>
      </c>
      <c r="R971" s="6">
        <f t="shared" ca="1" si="156"/>
        <v>150.02281613932468</v>
      </c>
      <c r="S971" s="6"/>
      <c r="T971" s="4">
        <f t="shared" ca="1" si="158"/>
        <v>5.9375764530332897E-3</v>
      </c>
      <c r="U971" s="4">
        <f t="shared" ca="1" si="159"/>
        <v>6.4744570863263254E-2</v>
      </c>
      <c r="V971" s="4">
        <f t="shared" ca="1" si="160"/>
        <v>-9.7268886921590039E-2</v>
      </c>
      <c r="W971" s="4"/>
      <c r="X971">
        <v>969</v>
      </c>
      <c r="Y971" s="4">
        <f t="shared" ca="1" si="161"/>
        <v>1.2565876780797604E-2</v>
      </c>
      <c r="Z971" s="4">
        <f ca="1"/>
        <v>3.925203197173896E-2</v>
      </c>
      <c r="AA971" s="4"/>
    </row>
    <row r="972" spans="1:27" x14ac:dyDescent="0.35">
      <c r="A972">
        <v>970</v>
      </c>
      <c r="B972">
        <f ca="1">_xlfn.NORM.INV(RAND(),Hitorical_Sim!$AB$4,Hitorical_Sim!$AB$5)</f>
        <v>2.1192380470542102E-2</v>
      </c>
      <c r="C972">
        <f ca="1">_xlfn.NORM.INV(RAND(),Hitorical_Sim!$AB$4,Hitorical_Sim!$AB$5)</f>
        <v>-7.2813467230270559E-3</v>
      </c>
      <c r="D972">
        <f ca="1">_xlfn.NORM.INV(RAND(),Hitorical_Sim!$AB$4,Hitorical_Sim!$AB$5)</f>
        <v>4.0665095068120735E-3</v>
      </c>
      <c r="K972">
        <f t="shared" ca="1" si="157"/>
        <v>1.9299055533961516</v>
      </c>
      <c r="L972">
        <f t="shared" ca="1" si="157"/>
        <v>0.70093072774297105</v>
      </c>
      <c r="M972">
        <f t="shared" ca="1" si="157"/>
        <v>1.2363668730803763</v>
      </c>
      <c r="O972">
        <v>970</v>
      </c>
      <c r="P972" s="6">
        <f t="shared" ca="1" si="154"/>
        <v>2006.8959787922036</v>
      </c>
      <c r="Q972" s="6">
        <f t="shared" ca="1" si="155"/>
        <v>392.17064160088989</v>
      </c>
      <c r="R972" s="6">
        <f t="shared" ca="1" si="156"/>
        <v>156.56426206390253</v>
      </c>
      <c r="S972" s="6"/>
      <c r="T972" s="4">
        <f t="shared" ca="1" si="158"/>
        <v>1.6503024006396722E-2</v>
      </c>
      <c r="U972" s="4">
        <f t="shared" ca="1" si="159"/>
        <v>-2.7569544389011595E-2</v>
      </c>
      <c r="V972" s="4">
        <f t="shared" ca="1" si="160"/>
        <v>4.2679155790860998E-2</v>
      </c>
      <c r="W972" s="4"/>
      <c r="X972">
        <v>970</v>
      </c>
      <c r="Y972" s="4">
        <f t="shared" ca="1" si="161"/>
        <v>9.0030052226786721E-3</v>
      </c>
      <c r="Z972" s="4">
        <f ca="1"/>
        <v>3.9591842529706198E-2</v>
      </c>
      <c r="AA972" s="4"/>
    </row>
    <row r="973" spans="1:27" x14ac:dyDescent="0.35">
      <c r="A973">
        <v>971</v>
      </c>
      <c r="B973">
        <f ca="1">_xlfn.NORM.INV(RAND(),Hitorical_Sim!$AB$4,Hitorical_Sim!$AB$5)</f>
        <v>2.1087263160289631E-2</v>
      </c>
      <c r="C973">
        <f ca="1">_xlfn.NORM.INV(RAND(),Hitorical_Sim!$AB$4,Hitorical_Sim!$AB$5)</f>
        <v>3.8513063973698246E-3</v>
      </c>
      <c r="D973">
        <f ca="1">_xlfn.NORM.INV(RAND(),Hitorical_Sim!$AB$4,Hitorical_Sim!$AB$5)</f>
        <v>1.0049200642237065E-2</v>
      </c>
      <c r="K973">
        <f t="shared" ca="1" si="157"/>
        <v>-0.89439724104113982</v>
      </c>
      <c r="L973">
        <f t="shared" ca="1" si="157"/>
        <v>-0.21577332832935409</v>
      </c>
      <c r="M973">
        <f t="shared" ca="1" si="157"/>
        <v>-0.80628624100835888</v>
      </c>
      <c r="O973">
        <v>971</v>
      </c>
      <c r="P973" s="6">
        <f t="shared" ca="1" si="154"/>
        <v>1906.6541734027865</v>
      </c>
      <c r="Q973" s="6">
        <f t="shared" ca="1" si="155"/>
        <v>382.04701076221835</v>
      </c>
      <c r="R973" s="6">
        <f t="shared" ca="1" si="156"/>
        <v>147.10624080056428</v>
      </c>
      <c r="S973" s="6"/>
      <c r="T973" s="4">
        <f t="shared" ca="1" si="158"/>
        <v>-5.1239274978325561E-2</v>
      </c>
      <c r="U973" s="4">
        <f t="shared" ca="1" si="159"/>
        <v>-2.6153389419531551E-2</v>
      </c>
      <c r="V973" s="4">
        <f t="shared" ca="1" si="160"/>
        <v>-6.2311493643295329E-2</v>
      </c>
      <c r="W973" s="4"/>
      <c r="X973">
        <v>971</v>
      </c>
      <c r="Y973" s="4">
        <f t="shared" ca="1" si="161"/>
        <v>-4.6780897606070265E-2</v>
      </c>
      <c r="Z973" s="4">
        <f ca="1"/>
        <v>4.0336247692955927E-2</v>
      </c>
      <c r="AA973" s="4"/>
    </row>
    <row r="974" spans="1:27" x14ac:dyDescent="0.35">
      <c r="A974">
        <v>972</v>
      </c>
      <c r="B974">
        <f ca="1">_xlfn.NORM.INV(RAND(),Hitorical_Sim!$AB$4,Hitorical_Sim!$AB$5)</f>
        <v>1.3595789922838025E-2</v>
      </c>
      <c r="C974">
        <f ca="1">_xlfn.NORM.INV(RAND(),Hitorical_Sim!$AB$4,Hitorical_Sim!$AB$5)</f>
        <v>3.3342478715213418E-2</v>
      </c>
      <c r="D974">
        <f ca="1">_xlfn.NORM.INV(RAND(),Hitorical_Sim!$AB$4,Hitorical_Sim!$AB$5)</f>
        <v>-5.3952076211639353E-3</v>
      </c>
      <c r="K974">
        <f t="shared" ca="1" si="157"/>
        <v>-1.5992570448993351</v>
      </c>
      <c r="L974">
        <f t="shared" ca="1" si="157"/>
        <v>-0.65327363968920515</v>
      </c>
      <c r="M974">
        <f t="shared" ca="1" si="157"/>
        <v>1.9722805489616673E-2</v>
      </c>
      <c r="O974">
        <v>972</v>
      </c>
      <c r="P974" s="6">
        <f t="shared" ca="1" si="154"/>
        <v>1882.4275702295993</v>
      </c>
      <c r="Q974" s="6">
        <f t="shared" ca="1" si="155"/>
        <v>377.30801379414015</v>
      </c>
      <c r="R974" s="6">
        <f t="shared" ca="1" si="156"/>
        <v>150.86005273281921</v>
      </c>
      <c r="S974" s="6"/>
      <c r="T974" s="4">
        <f t="shared" ca="1" si="158"/>
        <v>-1.2787759648927605E-2</v>
      </c>
      <c r="U974" s="4">
        <f t="shared" ca="1" si="159"/>
        <v>-1.2481799265932226E-2</v>
      </c>
      <c r="V974" s="4">
        <f t="shared" ca="1" si="160"/>
        <v>2.5197551701344214E-2</v>
      </c>
      <c r="W974" s="4"/>
      <c r="X974">
        <v>972</v>
      </c>
      <c r="Y974" s="4">
        <f t="shared" ca="1" si="161"/>
        <v>-1.0846802410392983E-2</v>
      </c>
      <c r="Z974" s="4">
        <f ca="1"/>
        <v>4.038881635675079E-2</v>
      </c>
      <c r="AA974" s="4"/>
    </row>
    <row r="975" spans="1:27" x14ac:dyDescent="0.35">
      <c r="A975">
        <v>973</v>
      </c>
      <c r="B975">
        <f ca="1">_xlfn.NORM.INV(RAND(),Hitorical_Sim!$AB$4,Hitorical_Sim!$AB$5)</f>
        <v>1.5879825551027602E-2</v>
      </c>
      <c r="C975">
        <f ca="1">_xlfn.NORM.INV(RAND(),Hitorical_Sim!$AB$4,Hitorical_Sim!$AB$5)</f>
        <v>-2.3943096369324537E-3</v>
      </c>
      <c r="D975">
        <f ca="1">_xlfn.NORM.INV(RAND(),Hitorical_Sim!$AB$4,Hitorical_Sim!$AB$5)</f>
        <v>-6.9679145601117811E-3</v>
      </c>
      <c r="K975">
        <f t="shared" ca="1" si="157"/>
        <v>-0.11717869371398999</v>
      </c>
      <c r="L975">
        <f t="shared" ca="1" si="157"/>
        <v>0.9165670520856215</v>
      </c>
      <c r="M975">
        <f t="shared" ca="1" si="157"/>
        <v>-8.7104297444567824E-2</v>
      </c>
      <c r="O975">
        <v>973</v>
      </c>
      <c r="P975" s="6">
        <f t="shared" ca="1" si="154"/>
        <v>1933.7294118225057</v>
      </c>
      <c r="Q975" s="6">
        <f t="shared" ca="1" si="155"/>
        <v>394.59073660361327</v>
      </c>
      <c r="R975" s="6">
        <f t="shared" ca="1" si="156"/>
        <v>150.3692332376672</v>
      </c>
      <c r="S975" s="6"/>
      <c r="T975" s="4">
        <f t="shared" ca="1" si="158"/>
        <v>2.6888271443621801E-2</v>
      </c>
      <c r="U975" s="4">
        <f t="shared" ca="1" si="159"/>
        <v>4.4787251312625002E-2</v>
      </c>
      <c r="V975" s="4">
        <f t="shared" ca="1" si="160"/>
        <v>-3.2587796231787276E-3</v>
      </c>
      <c r="W975" s="4"/>
      <c r="X975">
        <v>973</v>
      </c>
      <c r="Y975" s="4">
        <f t="shared" ca="1" si="161"/>
        <v>2.8968355581399024E-2</v>
      </c>
      <c r="Z975" s="4">
        <f ca="1"/>
        <v>4.0459065669823074E-2</v>
      </c>
      <c r="AA975" s="4"/>
    </row>
    <row r="976" spans="1:27" x14ac:dyDescent="0.35">
      <c r="A976">
        <v>974</v>
      </c>
      <c r="B976">
        <f ca="1">_xlfn.NORM.INV(RAND(),Hitorical_Sim!$AB$4,Hitorical_Sim!$AB$5)</f>
        <v>4.3626876972543182E-3</v>
      </c>
      <c r="C976">
        <f ca="1">_xlfn.NORM.INV(RAND(),Hitorical_Sim!$AB$4,Hitorical_Sim!$AB$5)</f>
        <v>1.8623546126585757E-2</v>
      </c>
      <c r="D976">
        <f ca="1">_xlfn.NORM.INV(RAND(),Hitorical_Sim!$AB$4,Hitorical_Sim!$AB$5)</f>
        <v>9.849078802380333E-3</v>
      </c>
      <c r="K976">
        <f t="shared" ca="1" si="157"/>
        <v>0.28542556468632507</v>
      </c>
      <c r="L976">
        <f t="shared" ca="1" si="157"/>
        <v>3.9433339860860124E-2</v>
      </c>
      <c r="M976">
        <f t="shared" ca="1" si="157"/>
        <v>1.1856056690989578</v>
      </c>
      <c r="O976">
        <v>974</v>
      </c>
      <c r="P976" s="6">
        <f t="shared" ca="1" si="154"/>
        <v>1947.9053832812879</v>
      </c>
      <c r="Q976" s="6">
        <f t="shared" ca="1" si="155"/>
        <v>384.83884519234437</v>
      </c>
      <c r="R976" s="6">
        <f t="shared" ca="1" si="156"/>
        <v>156.32201312339879</v>
      </c>
      <c r="S976" s="6"/>
      <c r="T976" s="4">
        <f t="shared" ca="1" si="158"/>
        <v>7.3041567441882007E-3</v>
      </c>
      <c r="U976" s="4">
        <f t="shared" ca="1" si="159"/>
        <v>-2.5024455162881643E-2</v>
      </c>
      <c r="V976" s="4">
        <f t="shared" ca="1" si="160"/>
        <v>3.8824242081560961E-2</v>
      </c>
      <c r="W976" s="4"/>
      <c r="X976">
        <v>974</v>
      </c>
      <c r="Y976" s="4">
        <f t="shared" ca="1" si="161"/>
        <v>2.4123298384846918E-3</v>
      </c>
      <c r="Z976" s="4">
        <f ca="1"/>
        <v>4.0647899076460596E-2</v>
      </c>
      <c r="AA976" s="4"/>
    </row>
    <row r="977" spans="1:27" x14ac:dyDescent="0.35">
      <c r="A977">
        <v>975</v>
      </c>
      <c r="B977">
        <f ca="1">_xlfn.NORM.INV(RAND(),Hitorical_Sim!$AB$4,Hitorical_Sim!$AB$5)</f>
        <v>-1.8280410543091142E-2</v>
      </c>
      <c r="C977">
        <f ca="1">_xlfn.NORM.INV(RAND(),Hitorical_Sim!$AB$4,Hitorical_Sim!$AB$5)</f>
        <v>-2.2011851020188097E-2</v>
      </c>
      <c r="D977">
        <f ca="1">_xlfn.NORM.INV(RAND(),Hitorical_Sim!$AB$4,Hitorical_Sim!$AB$5)</f>
        <v>8.9421344777957865E-3</v>
      </c>
      <c r="K977">
        <f t="shared" ca="1" si="157"/>
        <v>-0.70375891752690767</v>
      </c>
      <c r="L977">
        <f t="shared" ca="1" si="157"/>
        <v>-1.9246081283701555</v>
      </c>
      <c r="M977">
        <f t="shared" ca="1" si="157"/>
        <v>0.98925822163070376</v>
      </c>
      <c r="O977">
        <v>975</v>
      </c>
      <c r="P977" s="6">
        <f t="shared" ca="1" si="154"/>
        <v>1913.2599685774137</v>
      </c>
      <c r="Q977" s="6">
        <f t="shared" ca="1" si="155"/>
        <v>363.86791813461343</v>
      </c>
      <c r="R977" s="6">
        <f t="shared" ca="1" si="156"/>
        <v>155.38850315171649</v>
      </c>
      <c r="S977" s="6"/>
      <c r="T977" s="4">
        <f t="shared" ca="1" si="158"/>
        <v>-1.7946055850755593E-2</v>
      </c>
      <c r="U977" s="4">
        <f t="shared" ca="1" si="159"/>
        <v>-5.603372322234116E-2</v>
      </c>
      <c r="V977" s="4">
        <f t="shared" ca="1" si="160"/>
        <v>-5.9896135278230114E-3</v>
      </c>
      <c r="W977" s="4"/>
      <c r="X977">
        <v>975</v>
      </c>
      <c r="Y977" s="4">
        <f t="shared" ca="1" si="161"/>
        <v>-2.4955413062877938E-2</v>
      </c>
      <c r="Z977" s="4">
        <f ca="1"/>
        <v>4.1065185085524612E-2</v>
      </c>
      <c r="AA977" s="4"/>
    </row>
    <row r="978" spans="1:27" x14ac:dyDescent="0.35">
      <c r="A978">
        <v>976</v>
      </c>
      <c r="B978">
        <f ca="1">_xlfn.NORM.INV(RAND(),Hitorical_Sim!$AB$4,Hitorical_Sim!$AB$5)</f>
        <v>-9.8295631845987178E-3</v>
      </c>
      <c r="C978">
        <f ca="1">_xlfn.NORM.INV(RAND(),Hitorical_Sim!$AB$4,Hitorical_Sim!$AB$5)</f>
        <v>8.6985697719790915E-3</v>
      </c>
      <c r="D978">
        <f ca="1">_xlfn.NORM.INV(RAND(),Hitorical_Sim!$AB$4,Hitorical_Sim!$AB$5)</f>
        <v>1.6057691033626784E-2</v>
      </c>
      <c r="K978">
        <f t="shared" ca="1" si="157"/>
        <v>1.5127302262028326</v>
      </c>
      <c r="L978">
        <f t="shared" ca="1" si="157"/>
        <v>0.16336378107035074</v>
      </c>
      <c r="M978">
        <f t="shared" ca="1" si="157"/>
        <v>3.7253617779138139E-2</v>
      </c>
      <c r="O978">
        <v>976</v>
      </c>
      <c r="P978" s="6">
        <f t="shared" ca="1" si="154"/>
        <v>1991.7641034827041</v>
      </c>
      <c r="Q978" s="6">
        <f t="shared" ca="1" si="155"/>
        <v>386.20193265195354</v>
      </c>
      <c r="R978" s="6">
        <f t="shared" ca="1" si="156"/>
        <v>150.94075132665776</v>
      </c>
      <c r="S978" s="6"/>
      <c r="T978" s="4">
        <f t="shared" ca="1" si="158"/>
        <v>4.0212153224409991E-2</v>
      </c>
      <c r="U978" s="4">
        <f t="shared" ca="1" si="159"/>
        <v>5.9569434740596568E-2</v>
      </c>
      <c r="V978" s="4">
        <f t="shared" ca="1" si="160"/>
        <v>-2.9041068408596948E-2</v>
      </c>
      <c r="W978" s="4"/>
      <c r="X978">
        <v>976</v>
      </c>
      <c r="Y978" s="4">
        <f t="shared" ca="1" si="161"/>
        <v>4.0647899076460596E-2</v>
      </c>
      <c r="Z978" s="4">
        <f ca="1"/>
        <v>4.1075691766018683E-2</v>
      </c>
      <c r="AA978" s="4"/>
    </row>
    <row r="979" spans="1:27" x14ac:dyDescent="0.35">
      <c r="A979">
        <v>977</v>
      </c>
      <c r="B979">
        <f ca="1">_xlfn.NORM.INV(RAND(),Hitorical_Sim!$AB$4,Hitorical_Sim!$AB$5)</f>
        <v>-1.810412648658145E-2</v>
      </c>
      <c r="C979">
        <f ca="1">_xlfn.NORM.INV(RAND(),Hitorical_Sim!$AB$4,Hitorical_Sim!$AB$5)</f>
        <v>1.3474126190674701E-2</v>
      </c>
      <c r="D979">
        <f ca="1">_xlfn.NORM.INV(RAND(),Hitorical_Sim!$AB$4,Hitorical_Sim!$AB$5)</f>
        <v>1.7289577734297585E-2</v>
      </c>
      <c r="K979">
        <f t="shared" ca="1" si="157"/>
        <v>-0.62443465318359859</v>
      </c>
      <c r="L979">
        <f t="shared" ca="1" si="157"/>
        <v>-1.1145807308788467</v>
      </c>
      <c r="M979">
        <f t="shared" ca="1" si="157"/>
        <v>1.3549926083915549</v>
      </c>
      <c r="O979">
        <v>977</v>
      </c>
      <c r="P979" s="6">
        <f t="shared" ca="1" si="154"/>
        <v>1916.015366312731</v>
      </c>
      <c r="Q979" s="6">
        <f t="shared" ca="1" si="155"/>
        <v>372.37479648516842</v>
      </c>
      <c r="R979" s="6">
        <f t="shared" ca="1" si="156"/>
        <v>157.13184734096248</v>
      </c>
      <c r="S979" s="6"/>
      <c r="T979" s="4">
        <f t="shared" ca="1" si="158"/>
        <v>-3.8773030690825515E-2</v>
      </c>
      <c r="U979" s="4">
        <f t="shared" ca="1" si="159"/>
        <v>-3.6459509757992982E-2</v>
      </c>
      <c r="V979" s="4">
        <f t="shared" ca="1" si="160"/>
        <v>4.019786040553381E-2</v>
      </c>
      <c r="W979" s="4"/>
      <c r="X979">
        <v>977</v>
      </c>
      <c r="Y979" s="4">
        <f t="shared" ca="1" si="161"/>
        <v>-3.4403047397795733E-2</v>
      </c>
      <c r="Z979" s="4">
        <f ca="1"/>
        <v>4.1402680691594508E-2</v>
      </c>
      <c r="AA979" s="4"/>
    </row>
    <row r="980" spans="1:27" x14ac:dyDescent="0.35">
      <c r="A980">
        <v>978</v>
      </c>
      <c r="B980">
        <f ca="1">_xlfn.NORM.INV(RAND(),Hitorical_Sim!$AB$4,Hitorical_Sim!$AB$5)</f>
        <v>-6.9954169867154237E-3</v>
      </c>
      <c r="C980">
        <f ca="1">_xlfn.NORM.INV(RAND(),Hitorical_Sim!$AB$4,Hitorical_Sim!$AB$5)</f>
        <v>-2.4758049306878343E-2</v>
      </c>
      <c r="D980">
        <f ca="1">_xlfn.NORM.INV(RAND(),Hitorical_Sim!$AB$4,Hitorical_Sim!$AB$5)</f>
        <v>-1.4384001627643016E-2</v>
      </c>
      <c r="K980">
        <f t="shared" ca="1" si="157"/>
        <v>-0.31746228732039589</v>
      </c>
      <c r="L980">
        <f t="shared" ca="1" si="157"/>
        <v>1.5224126924098422</v>
      </c>
      <c r="M980">
        <f t="shared" ca="1" si="157"/>
        <v>0.38780150407490538</v>
      </c>
      <c r="O980">
        <v>978</v>
      </c>
      <c r="P980" s="6">
        <f t="shared" ca="1" si="154"/>
        <v>1926.7157630923023</v>
      </c>
      <c r="Q980" s="6">
        <f t="shared" ca="1" si="155"/>
        <v>401.47038784072112</v>
      </c>
      <c r="R980" s="6">
        <f t="shared" ca="1" si="156"/>
        <v>152.56350103649226</v>
      </c>
      <c r="S980" s="6"/>
      <c r="T980" s="4">
        <f t="shared" ca="1" si="158"/>
        <v>5.5691767526456059E-3</v>
      </c>
      <c r="U980" s="4">
        <f t="shared" ca="1" si="159"/>
        <v>7.5232912344146516E-2</v>
      </c>
      <c r="V980" s="4">
        <f t="shared" ca="1" si="160"/>
        <v>-2.9504335284733306E-2</v>
      </c>
      <c r="W980" s="4"/>
      <c r="X980">
        <v>978</v>
      </c>
      <c r="Y980" s="4">
        <f t="shared" ca="1" si="161"/>
        <v>1.7736043367375973E-2</v>
      </c>
      <c r="Z980" s="4">
        <f ca="1"/>
        <v>4.1407704294170795E-2</v>
      </c>
      <c r="AA980" s="4"/>
    </row>
    <row r="981" spans="1:27" x14ac:dyDescent="0.35">
      <c r="A981">
        <v>979</v>
      </c>
      <c r="B981">
        <f ca="1">_xlfn.NORM.INV(RAND(),Hitorical_Sim!$AB$4,Hitorical_Sim!$AB$5)</f>
        <v>-2.6739369901161492E-2</v>
      </c>
      <c r="C981">
        <f ca="1">_xlfn.NORM.INV(RAND(),Hitorical_Sim!$AB$4,Hitorical_Sim!$AB$5)</f>
        <v>-2.0093814558865514E-2</v>
      </c>
      <c r="D981">
        <f ca="1">_xlfn.NORM.INV(RAND(),Hitorical_Sim!$AB$4,Hitorical_Sim!$AB$5)</f>
        <v>3.0448313019746577E-2</v>
      </c>
      <c r="K981">
        <f t="shared" ca="1" si="157"/>
        <v>0.85492703835549511</v>
      </c>
      <c r="L981">
        <f t="shared" ca="1" si="157"/>
        <v>-0.66906124297301794</v>
      </c>
      <c r="M981">
        <f t="shared" ca="1" si="157"/>
        <v>-0.59624553238709199</v>
      </c>
      <c r="O981">
        <v>979</v>
      </c>
      <c r="P981" s="6">
        <f t="shared" ca="1" si="154"/>
        <v>1968.1355722048443</v>
      </c>
      <c r="Q981" s="6">
        <f t="shared" ca="1" si="155"/>
        <v>377.13810601686856</v>
      </c>
      <c r="R981" s="6">
        <f t="shared" ca="1" si="156"/>
        <v>148.05182496435032</v>
      </c>
      <c r="S981" s="6"/>
      <c r="T981" s="4">
        <f t="shared" ca="1" si="158"/>
        <v>2.1269808307479827E-2</v>
      </c>
      <c r="U981" s="4">
        <f t="shared" ca="1" si="159"/>
        <v>-6.2522327522350832E-2</v>
      </c>
      <c r="V981" s="4">
        <f t="shared" ca="1" si="160"/>
        <v>-3.0018528468824249E-2</v>
      </c>
      <c r="W981" s="4"/>
      <c r="X981">
        <v>979</v>
      </c>
      <c r="Y981" s="4">
        <f t="shared" ca="1" si="161"/>
        <v>2.0093063106626586E-3</v>
      </c>
      <c r="Z981" s="4">
        <f ca="1"/>
        <v>4.1962575707417661E-2</v>
      </c>
      <c r="AA981" s="4"/>
    </row>
    <row r="982" spans="1:27" x14ac:dyDescent="0.35">
      <c r="A982">
        <v>980</v>
      </c>
      <c r="B982">
        <f ca="1">_xlfn.NORM.INV(RAND(),Hitorical_Sim!$AB$4,Hitorical_Sim!$AB$5)</f>
        <v>1.8719914420418076E-2</v>
      </c>
      <c r="C982">
        <f ca="1">_xlfn.NORM.INV(RAND(),Hitorical_Sim!$AB$4,Hitorical_Sim!$AB$5)</f>
        <v>-7.8616920061562647E-3</v>
      </c>
      <c r="D982">
        <f ca="1">_xlfn.NORM.INV(RAND(),Hitorical_Sim!$AB$4,Hitorical_Sim!$AB$5)</f>
        <v>4.148141262392528E-3</v>
      </c>
      <c r="K982">
        <f t="shared" ca="1" si="157"/>
        <v>0.15507447103515212</v>
      </c>
      <c r="L982">
        <f t="shared" ca="1" si="157"/>
        <v>0.5127311192555426</v>
      </c>
      <c r="M982">
        <f t="shared" ca="1" si="157"/>
        <v>6.8229273251472322E-2</v>
      </c>
      <c r="O982">
        <v>980</v>
      </c>
      <c r="P982" s="6">
        <f t="shared" ca="1" si="154"/>
        <v>1943.304292156545</v>
      </c>
      <c r="Q982" s="6">
        <f t="shared" ca="1" si="155"/>
        <v>390.07060330190819</v>
      </c>
      <c r="R982" s="6">
        <f t="shared" ca="1" si="156"/>
        <v>151.0834453411191</v>
      </c>
      <c r="S982" s="6"/>
      <c r="T982" s="4">
        <f t="shared" ca="1" si="158"/>
        <v>-1.2696916991989564E-2</v>
      </c>
      <c r="U982" s="4">
        <f t="shared" ca="1" si="159"/>
        <v>3.371630752330073E-2</v>
      </c>
      <c r="V982" s="4">
        <f t="shared" ca="1" si="160"/>
        <v>2.0269921183435395E-2</v>
      </c>
      <c r="W982" s="4"/>
      <c r="X982">
        <v>980</v>
      </c>
      <c r="Y982" s="4">
        <f t="shared" ca="1" si="161"/>
        <v>-1.8027859384903387E-3</v>
      </c>
      <c r="Z982" s="4">
        <f ca="1"/>
        <v>4.2542102708374066E-2</v>
      </c>
      <c r="AA982" s="4"/>
    </row>
    <row r="983" spans="1:27" x14ac:dyDescent="0.35">
      <c r="A983">
        <v>981</v>
      </c>
      <c r="B983">
        <f ca="1">_xlfn.NORM.INV(RAND(),Hitorical_Sim!$AB$4,Hitorical_Sim!$AB$5)</f>
        <v>-5.8881838739772031E-3</v>
      </c>
      <c r="C983">
        <f ca="1">_xlfn.NORM.INV(RAND(),Hitorical_Sim!$AB$4,Hitorical_Sim!$AB$5)</f>
        <v>-3.0713623825285308E-2</v>
      </c>
      <c r="D983">
        <f ca="1">_xlfn.NORM.INV(RAND(),Hitorical_Sim!$AB$4,Hitorical_Sim!$AB$5)</f>
        <v>-1.3383018347342733E-2</v>
      </c>
      <c r="K983">
        <f t="shared" ca="1" si="157"/>
        <v>-0.32872718836714504</v>
      </c>
      <c r="L983">
        <f t="shared" ca="1" si="157"/>
        <v>0.57458479597030987</v>
      </c>
      <c r="M983">
        <f t="shared" ca="1" si="157"/>
        <v>0.23786753180935169</v>
      </c>
      <c r="O983">
        <v>981</v>
      </c>
      <c r="P983" s="6">
        <f t="shared" ca="1" si="154"/>
        <v>1926.3220386522214</v>
      </c>
      <c r="Q983" s="6">
        <f t="shared" ca="1" si="155"/>
        <v>390.75955824420612</v>
      </c>
      <c r="R983" s="6">
        <f t="shared" ca="1" si="156"/>
        <v>151.86730518132137</v>
      </c>
      <c r="S983" s="6"/>
      <c r="T983" s="4">
        <f t="shared" ca="1" si="158"/>
        <v>-8.7772622361560557E-3</v>
      </c>
      <c r="U983" s="4">
        <f t="shared" ca="1" si="159"/>
        <v>1.7646734335202859E-3</v>
      </c>
      <c r="V983" s="4">
        <f t="shared" ca="1" si="160"/>
        <v>5.1748450076430962E-3</v>
      </c>
      <c r="W983" s="4"/>
      <c r="X983">
        <v>981</v>
      </c>
      <c r="Y983" s="4">
        <f t="shared" ca="1" si="161"/>
        <v>-5.9829368947869905E-3</v>
      </c>
      <c r="Z983" s="4">
        <f ca="1"/>
        <v>4.4063756495264027E-2</v>
      </c>
      <c r="AA983" s="4"/>
    </row>
    <row r="984" spans="1:27" x14ac:dyDescent="0.35">
      <c r="A984">
        <v>982</v>
      </c>
      <c r="B984">
        <f ca="1">_xlfn.NORM.INV(RAND(),Hitorical_Sim!$AB$4,Hitorical_Sim!$AB$5)</f>
        <v>-3.4623357515005657E-2</v>
      </c>
      <c r="C984">
        <f ca="1">_xlfn.NORM.INV(RAND(),Hitorical_Sim!$AB$4,Hitorical_Sim!$AB$5)</f>
        <v>1.9678982348192774E-2</v>
      </c>
      <c r="D984">
        <f ca="1">_xlfn.NORM.INV(RAND(),Hitorical_Sim!$AB$4,Hitorical_Sim!$AB$5)</f>
        <v>4.9079792649231431E-3</v>
      </c>
      <c r="K984">
        <f t="shared" ref="K984:M1002" ca="1" si="162">_xlfn.NORM.S.INV(RAND())</f>
        <v>-0.28052550849975222</v>
      </c>
      <c r="L984">
        <f t="shared" ca="1" si="162"/>
        <v>-0.61659466809730323</v>
      </c>
      <c r="M984">
        <f t="shared" ca="1" si="162"/>
        <v>-0.65145538600677289</v>
      </c>
      <c r="O984">
        <v>982</v>
      </c>
      <c r="P984" s="6">
        <f t="shared" ca="1" si="154"/>
        <v>1928.0073210863134</v>
      </c>
      <c r="Q984" s="6">
        <f t="shared" ca="1" si="155"/>
        <v>377.70305214497927</v>
      </c>
      <c r="R984" s="6">
        <f t="shared" ca="1" si="156"/>
        <v>147.80268796070916</v>
      </c>
      <c r="S984" s="6"/>
      <c r="T984" s="4">
        <f t="shared" ca="1" si="158"/>
        <v>8.7448808038822752E-4</v>
      </c>
      <c r="U984" s="4">
        <f t="shared" ca="1" si="159"/>
        <v>-3.3984119723204781E-2</v>
      </c>
      <c r="V984" s="4">
        <f t="shared" ca="1" si="160"/>
        <v>-2.7128952516765479E-2</v>
      </c>
      <c r="W984" s="4"/>
      <c r="X984">
        <v>982</v>
      </c>
      <c r="Y984" s="4">
        <f t="shared" ca="1" si="161"/>
        <v>-7.4680710069424325E-3</v>
      </c>
      <c r="Z984" s="4">
        <f ca="1"/>
        <v>4.4757268974855116E-2</v>
      </c>
      <c r="AA984" s="4"/>
    </row>
    <row r="985" spans="1:27" x14ac:dyDescent="0.35">
      <c r="A985">
        <v>983</v>
      </c>
      <c r="B985">
        <f ca="1">_xlfn.NORM.INV(RAND(),Hitorical_Sim!$AB$4,Hitorical_Sim!$AB$5)</f>
        <v>-2.4999798560455581E-2</v>
      </c>
      <c r="C985">
        <f ca="1">_xlfn.NORM.INV(RAND(),Hitorical_Sim!$AB$4,Hitorical_Sim!$AB$5)</f>
        <v>1.1900100183173515E-2</v>
      </c>
      <c r="D985">
        <f ca="1">_xlfn.NORM.INV(RAND(),Hitorical_Sim!$AB$4,Hitorical_Sim!$AB$5)</f>
        <v>1.7619106618057831E-3</v>
      </c>
      <c r="K985">
        <f t="shared" ca="1" si="162"/>
        <v>1.4517227937611881</v>
      </c>
      <c r="L985">
        <f t="shared" ca="1" si="162"/>
        <v>0.24318731039174876</v>
      </c>
      <c r="M985">
        <f t="shared" ca="1" si="162"/>
        <v>-0.11546023025023033</v>
      </c>
      <c r="O985">
        <v>983</v>
      </c>
      <c r="P985" s="6">
        <f t="shared" ca="1" si="154"/>
        <v>1989.5608115230791</v>
      </c>
      <c r="Q985" s="6">
        <f t="shared" ca="1" si="155"/>
        <v>387.08245181097465</v>
      </c>
      <c r="R985" s="6">
        <f t="shared" ca="1" si="156"/>
        <v>150.23921967906824</v>
      </c>
      <c r="S985" s="6"/>
      <c r="T985" s="4">
        <f t="shared" ca="1" si="158"/>
        <v>3.142692322689504E-2</v>
      </c>
      <c r="U985" s="4">
        <f t="shared" ca="1" si="159"/>
        <v>2.4529413555409867E-2</v>
      </c>
      <c r="V985" s="4">
        <f t="shared" ca="1" si="160"/>
        <v>1.6350626795318856E-2</v>
      </c>
      <c r="W985" s="4"/>
      <c r="X985">
        <v>983</v>
      </c>
      <c r="Y985" s="4">
        <f t="shared" ca="1" si="161"/>
        <v>2.9304272580412554E-2</v>
      </c>
      <c r="Z985" s="4">
        <f ca="1"/>
        <v>4.52733821570604E-2</v>
      </c>
      <c r="AA985" s="4"/>
    </row>
    <row r="986" spans="1:27" x14ac:dyDescent="0.35">
      <c r="A986">
        <v>984</v>
      </c>
      <c r="B986">
        <f ca="1">_xlfn.NORM.INV(RAND(),Hitorical_Sim!$AB$4,Hitorical_Sim!$AB$5)</f>
        <v>7.1045664520420415E-3</v>
      </c>
      <c r="C986">
        <f ca="1">_xlfn.NORM.INV(RAND(),Hitorical_Sim!$AB$4,Hitorical_Sim!$AB$5)</f>
        <v>-2.8863803641188217E-2</v>
      </c>
      <c r="D986">
        <f ca="1">_xlfn.NORM.INV(RAND(),Hitorical_Sim!$AB$4,Hitorical_Sim!$AB$5)</f>
        <v>-2.2206280889091119E-3</v>
      </c>
      <c r="K986">
        <f t="shared" ca="1" si="162"/>
        <v>0.83155094202075519</v>
      </c>
      <c r="L986">
        <f t="shared" ca="1" si="162"/>
        <v>-0.94448531282504922</v>
      </c>
      <c r="M986">
        <f t="shared" ca="1" si="162"/>
        <v>-0.22381537581964925</v>
      </c>
      <c r="O986">
        <v>984</v>
      </c>
      <c r="P986" s="6">
        <f t="shared" ca="1" si="154"/>
        <v>1967.3010716465776</v>
      </c>
      <c r="Q986" s="6">
        <f t="shared" ca="1" si="155"/>
        <v>374.18624467586608</v>
      </c>
      <c r="R986" s="6">
        <f t="shared" ca="1" si="156"/>
        <v>149.74343986396585</v>
      </c>
      <c r="S986" s="6"/>
      <c r="T986" s="4">
        <f t="shared" ca="1" si="158"/>
        <v>-1.1251327622425339E-2</v>
      </c>
      <c r="U986" s="4">
        <f t="shared" ca="1" si="159"/>
        <v>-3.3884070231990776E-2</v>
      </c>
      <c r="V986" s="4">
        <f t="shared" ca="1" si="160"/>
        <v>-3.3053928333686435E-3</v>
      </c>
      <c r="W986" s="4"/>
      <c r="X986">
        <v>984</v>
      </c>
      <c r="Y986" s="4">
        <f t="shared" ca="1" si="161"/>
        <v>-1.5374855543316584E-2</v>
      </c>
      <c r="Z986" s="4">
        <f ca="1"/>
        <v>4.5796069595402687E-2</v>
      </c>
      <c r="AA986" s="4"/>
    </row>
    <row r="987" spans="1:27" x14ac:dyDescent="0.35">
      <c r="A987">
        <v>985</v>
      </c>
      <c r="B987">
        <f ca="1">_xlfn.NORM.INV(RAND(),Hitorical_Sim!$AB$4,Hitorical_Sim!$AB$5)</f>
        <v>2.6126664360719091E-2</v>
      </c>
      <c r="C987">
        <f ca="1">_xlfn.NORM.INV(RAND(),Hitorical_Sim!$AB$4,Hitorical_Sim!$AB$5)</f>
        <v>-3.1047415820170746E-3</v>
      </c>
      <c r="D987">
        <f ca="1">_xlfn.NORM.INV(RAND(),Hitorical_Sim!$AB$4,Hitorical_Sim!$AB$5)</f>
        <v>-1.5264527517754962E-2</v>
      </c>
      <c r="K987">
        <f t="shared" ca="1" si="162"/>
        <v>-0.10573275227957739</v>
      </c>
      <c r="L987">
        <f t="shared" ca="1" si="162"/>
        <v>0.12787731800590119</v>
      </c>
      <c r="M987">
        <f t="shared" ca="1" si="162"/>
        <v>-0.74016374977279875</v>
      </c>
      <c r="O987">
        <v>985</v>
      </c>
      <c r="P987" s="6">
        <f t="shared" ca="1" si="154"/>
        <v>1934.1310028814585</v>
      </c>
      <c r="Q987" s="6">
        <f t="shared" ca="1" si="155"/>
        <v>385.81113120814467</v>
      </c>
      <c r="R987" s="6">
        <f t="shared" ca="1" si="156"/>
        <v>147.40326506090369</v>
      </c>
      <c r="S987" s="6"/>
      <c r="T987" s="4">
        <f t="shared" ca="1" si="158"/>
        <v>-1.7004457538882349E-2</v>
      </c>
      <c r="U987" s="4">
        <f t="shared" ca="1" si="159"/>
        <v>3.0594298451388457E-2</v>
      </c>
      <c r="V987" s="4">
        <f t="shared" ca="1" si="160"/>
        <v>-1.5751298250002283E-2</v>
      </c>
      <c r="W987" s="4"/>
      <c r="X987">
        <v>985</v>
      </c>
      <c r="Y987" s="4">
        <f t="shared" ca="1" si="161"/>
        <v>-7.4432456241342246E-3</v>
      </c>
      <c r="Z987" s="4">
        <f ca="1"/>
        <v>4.5898888174193367E-2</v>
      </c>
      <c r="AA987" s="4"/>
    </row>
    <row r="988" spans="1:27" x14ac:dyDescent="0.35">
      <c r="A988">
        <v>986</v>
      </c>
      <c r="B988">
        <f ca="1">_xlfn.NORM.INV(RAND(),Hitorical_Sim!$AB$4,Hitorical_Sim!$AB$5)</f>
        <v>-1.9794536861022994E-2</v>
      </c>
      <c r="C988">
        <f ca="1">_xlfn.NORM.INV(RAND(),Hitorical_Sim!$AB$4,Hitorical_Sim!$AB$5)</f>
        <v>-1.586424724867308E-2</v>
      </c>
      <c r="D988">
        <f ca="1">_xlfn.NORM.INV(RAND(),Hitorical_Sim!$AB$4,Hitorical_Sim!$AB$5)</f>
        <v>-4.9612886226619215E-3</v>
      </c>
      <c r="K988">
        <f t="shared" ca="1" si="162"/>
        <v>-0.52755137435406252</v>
      </c>
      <c r="L988">
        <f t="shared" ca="1" si="162"/>
        <v>0.16744771408790615</v>
      </c>
      <c r="M988">
        <f t="shared" ca="1" si="162"/>
        <v>0.91816516760132538</v>
      </c>
      <c r="O988">
        <v>986</v>
      </c>
      <c r="P988" s="6">
        <f t="shared" ca="1" si="154"/>
        <v>1919.3860753712408</v>
      </c>
      <c r="Q988" s="6">
        <f t="shared" ca="1" si="155"/>
        <v>386.24693313561471</v>
      </c>
      <c r="R988" s="6">
        <f t="shared" ca="1" si="156"/>
        <v>155.05187630257103</v>
      </c>
      <c r="S988" s="6"/>
      <c r="T988" s="4">
        <f t="shared" ca="1" si="158"/>
        <v>-7.6527489934942079E-3</v>
      </c>
      <c r="U988" s="4">
        <f t="shared" ca="1" si="159"/>
        <v>1.1289357468887392E-3</v>
      </c>
      <c r="V988" s="4">
        <f t="shared" ca="1" si="160"/>
        <v>5.0587616213802922E-2</v>
      </c>
      <c r="W988" s="4"/>
      <c r="X988">
        <v>986</v>
      </c>
      <c r="Y988" s="4">
        <f t="shared" ca="1" si="161"/>
        <v>-3.0178828599053704E-3</v>
      </c>
      <c r="Z988" s="4">
        <f ca="1"/>
        <v>4.6061244567352437E-2</v>
      </c>
      <c r="AA988" s="4"/>
    </row>
    <row r="989" spans="1:27" x14ac:dyDescent="0.35">
      <c r="A989">
        <v>987</v>
      </c>
      <c r="B989">
        <f ca="1">_xlfn.NORM.INV(RAND(),Hitorical_Sim!$AB$4,Hitorical_Sim!$AB$5)</f>
        <v>-8.4249812057306823E-3</v>
      </c>
      <c r="C989">
        <f ca="1">_xlfn.NORM.INV(RAND(),Hitorical_Sim!$AB$4,Hitorical_Sim!$AB$5)</f>
        <v>-2.0369361640371994E-2</v>
      </c>
      <c r="D989">
        <f ca="1">_xlfn.NORM.INV(RAND(),Hitorical_Sim!$AB$4,Hitorical_Sim!$AB$5)</f>
        <v>-1.57063215107997E-2</v>
      </c>
      <c r="K989">
        <f t="shared" ca="1" si="162"/>
        <v>1.4987622041136623</v>
      </c>
      <c r="L989">
        <f t="shared" ca="1" si="162"/>
        <v>1.0945886788505514</v>
      </c>
      <c r="M989">
        <f t="shared" ca="1" si="162"/>
        <v>8.8001367969109665E-2</v>
      </c>
      <c r="O989">
        <v>987</v>
      </c>
      <c r="P989" s="6">
        <f t="shared" ca="1" si="154"/>
        <v>1991.2594311365319</v>
      </c>
      <c r="Q989" s="6">
        <f t="shared" ca="1" si="155"/>
        <v>396.59993035650155</v>
      </c>
      <c r="R989" s="6">
        <f t="shared" ca="1" si="156"/>
        <v>151.17459899515529</v>
      </c>
      <c r="S989" s="6"/>
      <c r="T989" s="4">
        <f t="shared" ca="1" si="158"/>
        <v>3.6761936023261735E-2</v>
      </c>
      <c r="U989" s="4">
        <f t="shared" ca="1" si="159"/>
        <v>2.6451152405858398E-2</v>
      </c>
      <c r="V989" s="4">
        <f t="shared" ca="1" si="160"/>
        <v>-2.5324293178753347E-2</v>
      </c>
      <c r="W989" s="4"/>
      <c r="X989">
        <v>987</v>
      </c>
      <c r="Y989" s="4">
        <f t="shared" ca="1" si="161"/>
        <v>3.1631578073042774E-2</v>
      </c>
      <c r="Z989" s="4">
        <f ca="1"/>
        <v>4.8129990365551586E-2</v>
      </c>
      <c r="AA989" s="4"/>
    </row>
    <row r="990" spans="1:27" x14ac:dyDescent="0.35">
      <c r="A990">
        <v>988</v>
      </c>
      <c r="B990">
        <f ca="1">_xlfn.NORM.INV(RAND(),Hitorical_Sim!$AB$4,Hitorical_Sim!$AB$5)</f>
        <v>2.0401270409187242E-2</v>
      </c>
      <c r="C990">
        <f ca="1">_xlfn.NORM.INV(RAND(),Hitorical_Sim!$AB$4,Hitorical_Sim!$AB$5)</f>
        <v>-1.8508771321828609E-2</v>
      </c>
      <c r="D990">
        <f ca="1">_xlfn.NORM.INV(RAND(),Hitorical_Sim!$AB$4,Hitorical_Sim!$AB$5)</f>
        <v>1.0670731645558507E-2</v>
      </c>
      <c r="K990">
        <f t="shared" ca="1" si="162"/>
        <v>2.0138309553962439</v>
      </c>
      <c r="L990">
        <f t="shared" ca="1" si="162"/>
        <v>4.8010293865195092E-2</v>
      </c>
      <c r="M990">
        <f t="shared" ca="1" si="162"/>
        <v>0.1623110668423646</v>
      </c>
      <c r="O990">
        <v>988</v>
      </c>
      <c r="P990" s="6">
        <f t="shared" ca="1" si="154"/>
        <v>2009.9540013381061</v>
      </c>
      <c r="Q990" s="6">
        <f t="shared" ca="1" si="155"/>
        <v>384.93302633345326</v>
      </c>
      <c r="R990" s="6">
        <f t="shared" ca="1" si="156"/>
        <v>151.5176748837425</v>
      </c>
      <c r="S990" s="6"/>
      <c r="T990" s="4">
        <f t="shared" ca="1" si="158"/>
        <v>9.3445183822683693E-3</v>
      </c>
      <c r="U990" s="4">
        <f t="shared" ca="1" si="159"/>
        <v>-2.98586789043583E-2</v>
      </c>
      <c r="V990" s="4">
        <f t="shared" ca="1" si="160"/>
        <v>2.2668304750520659E-3</v>
      </c>
      <c r="W990" s="4"/>
      <c r="X990">
        <v>988</v>
      </c>
      <c r="Y990" s="4">
        <f t="shared" ca="1" si="161"/>
        <v>1.1705355841821036E-3</v>
      </c>
      <c r="Z990" s="4">
        <f ca="1"/>
        <v>4.8150698685535669E-2</v>
      </c>
      <c r="AA990" s="4"/>
    </row>
    <row r="991" spans="1:27" x14ac:dyDescent="0.35">
      <c r="A991">
        <v>989</v>
      </c>
      <c r="B991">
        <f ca="1">_xlfn.NORM.INV(RAND(),Hitorical_Sim!$AB$4,Hitorical_Sim!$AB$5)</f>
        <v>3.4965780634412659E-3</v>
      </c>
      <c r="C991">
        <f ca="1">_xlfn.NORM.INV(RAND(),Hitorical_Sim!$AB$4,Hitorical_Sim!$AB$5)</f>
        <v>1.8248714770529542E-2</v>
      </c>
      <c r="D991">
        <f ca="1">_xlfn.NORM.INV(RAND(),Hitorical_Sim!$AB$4,Hitorical_Sim!$AB$5)</f>
        <v>2.4582315968157353E-2</v>
      </c>
      <c r="K991">
        <f t="shared" ca="1" si="162"/>
        <v>-0.93333822618443529</v>
      </c>
      <c r="L991">
        <f t="shared" ca="1" si="162"/>
        <v>-0.54231750524095046</v>
      </c>
      <c r="M991">
        <f t="shared" ca="1" si="162"/>
        <v>1.3544686589375259</v>
      </c>
      <c r="O991">
        <v>989</v>
      </c>
      <c r="P991" s="6">
        <f t="shared" ca="1" si="154"/>
        <v>1905.3076398420008</v>
      </c>
      <c r="Q991" s="6">
        <f t="shared" ca="1" si="155"/>
        <v>378.50429629066576</v>
      </c>
      <c r="R991" s="6">
        <f t="shared" ca="1" si="156"/>
        <v>157.12933589591981</v>
      </c>
      <c r="S991" s="6"/>
      <c r="T991" s="4">
        <f t="shared" ca="1" si="158"/>
        <v>-5.3468350631557068E-2</v>
      </c>
      <c r="U991" s="4">
        <f t="shared" ca="1" si="159"/>
        <v>-1.6841937932889493E-2</v>
      </c>
      <c r="V991" s="4">
        <f t="shared" ca="1" si="160"/>
        <v>3.6366977686655914E-2</v>
      </c>
      <c r="W991" s="4"/>
      <c r="X991">
        <v>989</v>
      </c>
      <c r="Y991" s="4">
        <f t="shared" ca="1" si="161"/>
        <v>-4.1712926786813771E-2</v>
      </c>
      <c r="Z991" s="4">
        <f ca="1"/>
        <v>4.8440614716825862E-2</v>
      </c>
      <c r="AA991" s="4"/>
    </row>
    <row r="992" spans="1:27" x14ac:dyDescent="0.35">
      <c r="A992">
        <v>990</v>
      </c>
      <c r="B992">
        <f ca="1">_xlfn.NORM.INV(RAND(),Hitorical_Sim!$AB$4,Hitorical_Sim!$AB$5)</f>
        <v>5.9768647049956844E-3</v>
      </c>
      <c r="C992">
        <f ca="1">_xlfn.NORM.INV(RAND(),Hitorical_Sim!$AB$4,Hitorical_Sim!$AB$5)</f>
        <v>-1.5150996217366932E-2</v>
      </c>
      <c r="D992">
        <f ca="1">_xlfn.NORM.INV(RAND(),Hitorical_Sim!$AB$4,Hitorical_Sim!$AB$5)</f>
        <v>1.211639901801983E-2</v>
      </c>
      <c r="K992">
        <f t="shared" ca="1" si="162"/>
        <v>-0.71234609167157281</v>
      </c>
      <c r="L992">
        <f t="shared" ca="1" si="162"/>
        <v>1.6214609897536654</v>
      </c>
      <c r="M992">
        <f t="shared" ca="1" si="162"/>
        <v>-0.37262978926292234</v>
      </c>
      <c r="O992">
        <v>990</v>
      </c>
      <c r="P992" s="6">
        <f t="shared" ca="1" si="154"/>
        <v>1912.9619233676035</v>
      </c>
      <c r="Q992" s="6">
        <f t="shared" ca="1" si="155"/>
        <v>402.60647885480478</v>
      </c>
      <c r="R992" s="6">
        <f t="shared" ca="1" si="156"/>
        <v>149.06520368476828</v>
      </c>
      <c r="S992" s="6"/>
      <c r="T992" s="4">
        <f t="shared" ca="1" si="158"/>
        <v>4.009299842302424E-3</v>
      </c>
      <c r="U992" s="4">
        <f t="shared" ca="1" si="159"/>
        <v>6.1732181964663881E-2</v>
      </c>
      <c r="V992" s="4">
        <f t="shared" ca="1" si="160"/>
        <v>-5.268544288509662E-2</v>
      </c>
      <c r="W992" s="4"/>
      <c r="X992">
        <v>990</v>
      </c>
      <c r="Y992" s="4">
        <f t="shared" ca="1" si="161"/>
        <v>1.2723116095576349E-2</v>
      </c>
      <c r="Z992" s="4">
        <f ca="1"/>
        <v>4.8743625684920147E-2</v>
      </c>
      <c r="AA992" s="4"/>
    </row>
    <row r="993" spans="1:27" x14ac:dyDescent="0.35">
      <c r="A993">
        <v>991</v>
      </c>
      <c r="B993">
        <f ca="1">_xlfn.NORM.INV(RAND(),Hitorical_Sim!$AB$4,Hitorical_Sim!$AB$5)</f>
        <v>-3.799864508282038E-2</v>
      </c>
      <c r="C993">
        <f ca="1">_xlfn.NORM.INV(RAND(),Hitorical_Sim!$AB$4,Hitorical_Sim!$AB$5)</f>
        <v>2.7882001233117945E-2</v>
      </c>
      <c r="D993">
        <f ca="1">_xlfn.NORM.INV(RAND(),Hitorical_Sim!$AB$4,Hitorical_Sim!$AB$5)</f>
        <v>6.3759571251246734E-3</v>
      </c>
      <c r="K993">
        <f t="shared" ca="1" si="162"/>
        <v>-0.85772308646125306</v>
      </c>
      <c r="L993">
        <f t="shared" ca="1" si="162"/>
        <v>-1.1084572625096178</v>
      </c>
      <c r="M993">
        <f t="shared" ca="1" si="162"/>
        <v>1.6401174241776297</v>
      </c>
      <c r="O993">
        <v>991</v>
      </c>
      <c r="P993" s="6">
        <f t="shared" ca="1" si="154"/>
        <v>1907.9231927616379</v>
      </c>
      <c r="Q993" s="6">
        <f t="shared" ca="1" si="155"/>
        <v>372.43985655448517</v>
      </c>
      <c r="R993" s="6">
        <f t="shared" ca="1" si="156"/>
        <v>158.50450691576839</v>
      </c>
      <c r="S993" s="6"/>
      <c r="T993" s="4">
        <f t="shared" ca="1" si="158"/>
        <v>-2.6374692636435657E-3</v>
      </c>
      <c r="U993" s="4">
        <f t="shared" ca="1" si="159"/>
        <v>-7.7884039742151925E-2</v>
      </c>
      <c r="V993" s="4">
        <f t="shared" ca="1" si="160"/>
        <v>6.1399208867537816E-2</v>
      </c>
      <c r="W993" s="4"/>
      <c r="X993">
        <v>991</v>
      </c>
      <c r="Y993" s="4">
        <f t="shared" ca="1" si="161"/>
        <v>-1.4485101345502294E-2</v>
      </c>
      <c r="Z993" s="4">
        <f ca="1"/>
        <v>4.9190371015367343E-2</v>
      </c>
      <c r="AA993" s="4"/>
    </row>
    <row r="994" spans="1:27" x14ac:dyDescent="0.35">
      <c r="A994">
        <v>992</v>
      </c>
      <c r="B994">
        <f ca="1">_xlfn.NORM.INV(RAND(),Hitorical_Sim!$AB$4,Hitorical_Sim!$AB$5)</f>
        <v>2.9973973393672818E-2</v>
      </c>
      <c r="C994">
        <f ca="1">_xlfn.NORM.INV(RAND(),Hitorical_Sim!$AB$4,Hitorical_Sim!$AB$5)</f>
        <v>-9.6957919501931625E-3</v>
      </c>
      <c r="D994">
        <f ca="1">_xlfn.NORM.INV(RAND(),Hitorical_Sim!$AB$4,Hitorical_Sim!$AB$5)</f>
        <v>-2.5313902301581932E-2</v>
      </c>
      <c r="K994">
        <f t="shared" ca="1" si="162"/>
        <v>0.88049441402494744</v>
      </c>
      <c r="L994">
        <f t="shared" ca="1" si="162"/>
        <v>0.85436530124681853</v>
      </c>
      <c r="M994">
        <f t="shared" ca="1" si="162"/>
        <v>1.4025221547224567</v>
      </c>
      <c r="O994">
        <v>992</v>
      </c>
      <c r="P994" s="6">
        <f t="shared" ca="1" si="154"/>
        <v>1969.0487043078374</v>
      </c>
      <c r="Q994" s="6">
        <f t="shared" ca="1" si="155"/>
        <v>393.89111529422735</v>
      </c>
      <c r="R994" s="6">
        <f t="shared" ca="1" si="156"/>
        <v>157.35983760722743</v>
      </c>
      <c r="S994" s="6"/>
      <c r="T994" s="4">
        <f t="shared" ca="1" si="158"/>
        <v>3.1535218056283378E-2</v>
      </c>
      <c r="U994" s="4">
        <f t="shared" ca="1" si="159"/>
        <v>5.5998948113430487E-2</v>
      </c>
      <c r="V994" s="4">
        <f t="shared" ca="1" si="160"/>
        <v>-7.2478856151438767E-3</v>
      </c>
      <c r="W994" s="4"/>
      <c r="X994">
        <v>992</v>
      </c>
      <c r="Y994" s="4">
        <f t="shared" ca="1" si="161"/>
        <v>3.4498017620482969E-2</v>
      </c>
      <c r="Z994" s="4">
        <f ca="1"/>
        <v>4.9618375311443835E-2</v>
      </c>
      <c r="AA994" s="4"/>
    </row>
    <row r="995" spans="1:27" x14ac:dyDescent="0.35">
      <c r="A995">
        <v>993</v>
      </c>
      <c r="B995">
        <f ca="1">_xlfn.NORM.INV(RAND(),Hitorical_Sim!$AB$4,Hitorical_Sim!$AB$5)</f>
        <v>9.3589931722910585E-4</v>
      </c>
      <c r="C995">
        <f ca="1">_xlfn.NORM.INV(RAND(),Hitorical_Sim!$AB$4,Hitorical_Sim!$AB$5)</f>
        <v>-9.8482696813311844E-4</v>
      </c>
      <c r="D995">
        <f ca="1">_xlfn.NORM.INV(RAND(),Hitorical_Sim!$AB$4,Hitorical_Sim!$AB$5)</f>
        <v>1.1875823763903394E-2</v>
      </c>
      <c r="K995">
        <f t="shared" ca="1" si="162"/>
        <v>1.0476042083446022</v>
      </c>
      <c r="L995">
        <f t="shared" ca="1" si="162"/>
        <v>0.93838973913969104</v>
      </c>
      <c r="M995">
        <f t="shared" ca="1" si="162"/>
        <v>0.6088724191498327</v>
      </c>
      <c r="O995">
        <v>993</v>
      </c>
      <c r="P995" s="6">
        <f t="shared" ca="1" si="154"/>
        <v>1975.0274294232838</v>
      </c>
      <c r="Q995" s="6">
        <f t="shared" ca="1" si="155"/>
        <v>394.8364841214958</v>
      </c>
      <c r="R995" s="6">
        <f t="shared" ca="1" si="156"/>
        <v>153.59583690842922</v>
      </c>
      <c r="S995" s="6"/>
      <c r="T995" s="4">
        <f t="shared" ca="1" si="158"/>
        <v>3.0317516661390546E-3</v>
      </c>
      <c r="U995" s="4">
        <f t="shared" ca="1" si="159"/>
        <v>2.3972009618731418E-3</v>
      </c>
      <c r="V995" s="4">
        <f t="shared" ca="1" si="160"/>
        <v>-2.4210425212211579E-2</v>
      </c>
      <c r="W995" s="4"/>
      <c r="X995">
        <v>993</v>
      </c>
      <c r="Y995" s="4">
        <f t="shared" ca="1" si="161"/>
        <v>1.556897264418758E-3</v>
      </c>
      <c r="Z995" s="4">
        <f ca="1"/>
        <v>5.1331578289187399E-2</v>
      </c>
      <c r="AA995" s="4"/>
    </row>
    <row r="996" spans="1:27" x14ac:dyDescent="0.35">
      <c r="A996">
        <v>994</v>
      </c>
      <c r="B996">
        <f ca="1">_xlfn.NORM.INV(RAND(),Hitorical_Sim!$AB$4,Hitorical_Sim!$AB$5)</f>
        <v>-1.1123237443720091E-2</v>
      </c>
      <c r="C996">
        <f ca="1">_xlfn.NORM.INV(RAND(),Hitorical_Sim!$AB$4,Hitorical_Sim!$AB$5)</f>
        <v>-1.1357147401508078E-2</v>
      </c>
      <c r="D996">
        <f ca="1">_xlfn.NORM.INV(RAND(),Hitorical_Sim!$AB$4,Hitorical_Sim!$AB$5)</f>
        <v>-2.654865717141794E-3</v>
      </c>
      <c r="K996">
        <f t="shared" ca="1" si="162"/>
        <v>0.51910041917386907</v>
      </c>
      <c r="L996">
        <f t="shared" ca="1" si="162"/>
        <v>0.33783244583214994</v>
      </c>
      <c r="M996">
        <f t="shared" ca="1" si="162"/>
        <v>-3.2506111197686059E-2</v>
      </c>
      <c r="O996">
        <v>994</v>
      </c>
      <c r="P996" s="6">
        <f t="shared" ca="1" si="154"/>
        <v>1956.1808492439111</v>
      </c>
      <c r="Q996" s="6">
        <f t="shared" ca="1" si="155"/>
        <v>388.12906711843874</v>
      </c>
      <c r="R996" s="6">
        <f t="shared" ca="1" si="156"/>
        <v>150.61988597793945</v>
      </c>
      <c r="S996" s="6"/>
      <c r="T996" s="4">
        <f t="shared" ca="1" si="158"/>
        <v>-9.5882605199920021E-3</v>
      </c>
      <c r="U996" s="4">
        <f t="shared" ca="1" si="159"/>
        <v>-1.7133783423963406E-2</v>
      </c>
      <c r="V996" s="4">
        <f t="shared" ca="1" si="160"/>
        <v>-1.9565365230662355E-2</v>
      </c>
      <c r="W996" s="4"/>
      <c r="X996">
        <v>994</v>
      </c>
      <c r="Y996" s="4">
        <f t="shared" ca="1" si="161"/>
        <v>-1.1587874026576885E-2</v>
      </c>
      <c r="Z996" s="4">
        <f ca="1"/>
        <v>5.1803858030341779E-2</v>
      </c>
      <c r="AA996" s="4"/>
    </row>
    <row r="997" spans="1:27" x14ac:dyDescent="0.35">
      <c r="A997">
        <v>995</v>
      </c>
      <c r="B997">
        <f ca="1">_xlfn.NORM.INV(RAND(),Hitorical_Sim!$AB$4,Hitorical_Sim!$AB$5)</f>
        <v>-2.5708443658754741E-3</v>
      </c>
      <c r="C997">
        <f ca="1">_xlfn.NORM.INV(RAND(),Hitorical_Sim!$AB$4,Hitorical_Sim!$AB$5)</f>
        <v>-5.678930723464014E-3</v>
      </c>
      <c r="D997">
        <f ca="1">_xlfn.NORM.INV(RAND(),Hitorical_Sim!$AB$4,Hitorical_Sim!$AB$5)</f>
        <v>-4.4525917843132208E-2</v>
      </c>
      <c r="K997">
        <f t="shared" ca="1" si="162"/>
        <v>-0.23939146438859624</v>
      </c>
      <c r="L997">
        <f t="shared" ca="1" si="162"/>
        <v>0.19021266626713179</v>
      </c>
      <c r="M997">
        <f t="shared" ca="1" si="162"/>
        <v>0.69313903821035894</v>
      </c>
      <c r="O997">
        <v>995</v>
      </c>
      <c r="P997" s="6">
        <f t="shared" ca="1" si="154"/>
        <v>1929.4466626540514</v>
      </c>
      <c r="Q997" s="6">
        <f t="shared" ca="1" si="155"/>
        <v>386.49787415291348</v>
      </c>
      <c r="R997" s="6">
        <f t="shared" ca="1" si="156"/>
        <v>153.99117336628092</v>
      </c>
      <c r="S997" s="6"/>
      <c r="T997" s="4">
        <f t="shared" ca="1" si="158"/>
        <v>-1.3760767530745227E-2</v>
      </c>
      <c r="U997" s="4">
        <f t="shared" ca="1" si="159"/>
        <v>-4.2115637597708597E-3</v>
      </c>
      <c r="V997" s="4">
        <f t="shared" ca="1" si="160"/>
        <v>2.2135933312788316E-2</v>
      </c>
      <c r="W997" s="4"/>
      <c r="X997">
        <v>995</v>
      </c>
      <c r="Y997" s="4">
        <f t="shared" ca="1" si="161"/>
        <v>-1.0078519424882639E-2</v>
      </c>
      <c r="Z997" s="4">
        <f ca="1"/>
        <v>5.2586514940183945E-2</v>
      </c>
      <c r="AA997" s="4"/>
    </row>
    <row r="998" spans="1:27" x14ac:dyDescent="0.35">
      <c r="A998">
        <v>996</v>
      </c>
      <c r="B998">
        <f ca="1">_xlfn.NORM.INV(RAND(),Hitorical_Sim!$AB$4,Hitorical_Sim!$AB$5)</f>
        <v>2.3231015186344784E-3</v>
      </c>
      <c r="C998">
        <f ca="1">_xlfn.NORM.INV(RAND(),Hitorical_Sim!$AB$4,Hitorical_Sim!$AB$5)</f>
        <v>-3.1522748222910777E-3</v>
      </c>
      <c r="D998">
        <f ca="1">_xlfn.NORM.INV(RAND(),Hitorical_Sim!$AB$4,Hitorical_Sim!$AB$5)</f>
        <v>-1.264840272410366E-2</v>
      </c>
      <c r="K998">
        <f t="shared" ca="1" si="162"/>
        <v>-0.62104734879763679</v>
      </c>
      <c r="L998">
        <f t="shared" ca="1" si="162"/>
        <v>0.51788524448210504</v>
      </c>
      <c r="M998">
        <f t="shared" ca="1" si="162"/>
        <v>2.2082879262948762</v>
      </c>
      <c r="O998">
        <v>996</v>
      </c>
      <c r="P998" s="6">
        <f t="shared" ca="1" si="154"/>
        <v>1916.1331155972684</v>
      </c>
      <c r="Q998" s="6">
        <f t="shared" ca="1" si="155"/>
        <v>390.12796591761122</v>
      </c>
      <c r="R998" s="6">
        <f t="shared" ca="1" si="156"/>
        <v>161.27567521266849</v>
      </c>
      <c r="S998" s="6"/>
      <c r="T998" s="4">
        <f t="shared" ca="1" si="158"/>
        <v>-6.9241056046990797E-3</v>
      </c>
      <c r="U998" s="4">
        <f t="shared" ca="1" si="159"/>
        <v>9.3484352811482301E-3</v>
      </c>
      <c r="V998" s="4">
        <f t="shared" ca="1" si="160"/>
        <v>4.6219884158178667E-2</v>
      </c>
      <c r="W998" s="4"/>
      <c r="X998">
        <v>996</v>
      </c>
      <c r="Y998" s="4">
        <f t="shared" ca="1" si="161"/>
        <v>-1.0465238064864516E-3</v>
      </c>
      <c r="Z998" s="4">
        <f ca="1"/>
        <v>5.2859829264504332E-2</v>
      </c>
      <c r="AA998" s="4"/>
    </row>
    <row r="999" spans="1:27" x14ac:dyDescent="0.35">
      <c r="A999">
        <v>997</v>
      </c>
      <c r="B999">
        <f ca="1">_xlfn.NORM.INV(RAND(),Hitorical_Sim!$AB$4,Hitorical_Sim!$AB$5)</f>
        <v>3.5575597128807909E-2</v>
      </c>
      <c r="C999">
        <f ca="1">_xlfn.NORM.INV(RAND(),Hitorical_Sim!$AB$4,Hitorical_Sim!$AB$5)</f>
        <v>9.8985376433376286E-3</v>
      </c>
      <c r="D999">
        <f ca="1">_xlfn.NORM.INV(RAND(),Hitorical_Sim!$AB$4,Hitorical_Sim!$AB$5)</f>
        <v>-4.497515893897279E-2</v>
      </c>
      <c r="K999">
        <f t="shared" ca="1" si="162"/>
        <v>-0.12853719378257183</v>
      </c>
      <c r="L999">
        <f t="shared" ca="1" si="162"/>
        <v>2.0267980504122471</v>
      </c>
      <c r="M999">
        <f t="shared" ca="1" si="162"/>
        <v>-0.76859653680951756</v>
      </c>
      <c r="O999">
        <v>997</v>
      </c>
      <c r="P999" s="6">
        <f t="shared" ca="1" si="154"/>
        <v>1933.330971152679</v>
      </c>
      <c r="Q999" s="6">
        <f t="shared" ca="1" si="155"/>
        <v>407.28932028660165</v>
      </c>
      <c r="R999" s="6">
        <f t="shared" ca="1" si="156"/>
        <v>147.27547068293285</v>
      </c>
      <c r="S999" s="6"/>
      <c r="T999" s="4">
        <f t="shared" ca="1" si="158"/>
        <v>8.9352541491439265E-3</v>
      </c>
      <c r="U999" s="4">
        <f t="shared" ca="1" si="159"/>
        <v>4.3048990513570487E-2</v>
      </c>
      <c r="V999" s="4">
        <f t="shared" ca="1" si="160"/>
        <v>-9.0810385777276889E-2</v>
      </c>
      <c r="W999" s="4"/>
      <c r="X999">
        <v>997</v>
      </c>
      <c r="Y999" s="4">
        <f t="shared" ca="1" si="161"/>
        <v>1.0806844657367844E-2</v>
      </c>
      <c r="Z999" s="4">
        <f ca="1"/>
        <v>5.5374012124605049E-2</v>
      </c>
      <c r="AA999" s="4"/>
    </row>
    <row r="1000" spans="1:27" x14ac:dyDescent="0.35">
      <c r="A1000">
        <v>998</v>
      </c>
      <c r="B1000">
        <f ca="1">_xlfn.NORM.INV(RAND(),Hitorical_Sim!$AB$4,Hitorical_Sim!$AB$5)</f>
        <v>1.7795686387601789E-2</v>
      </c>
      <c r="C1000">
        <f ca="1">_xlfn.NORM.INV(RAND(),Hitorical_Sim!$AB$4,Hitorical_Sim!$AB$5)</f>
        <v>-1.4596673774798233E-2</v>
      </c>
      <c r="D1000">
        <f ca="1">_xlfn.NORM.INV(RAND(),Hitorical_Sim!$AB$4,Hitorical_Sim!$AB$5)</f>
        <v>-1.1828919274486229E-2</v>
      </c>
      <c r="K1000">
        <f t="shared" ca="1" si="162"/>
        <v>0.24983883209037108</v>
      </c>
      <c r="L1000">
        <f t="shared" ca="1" si="162"/>
        <v>-0.66824268184643987</v>
      </c>
      <c r="M1000">
        <f t="shared" ca="1" si="162"/>
        <v>-0.253953771819656</v>
      </c>
      <c r="O1000">
        <v>998</v>
      </c>
      <c r="P1000" s="6">
        <f t="shared" ca="1" si="154"/>
        <v>1946.6481742126325</v>
      </c>
      <c r="Q1000" s="6">
        <f t="shared" ca="1" si="155"/>
        <v>377.14691357321993</v>
      </c>
      <c r="R1000" s="6">
        <f t="shared" ca="1" si="156"/>
        <v>149.60583244260161</v>
      </c>
      <c r="S1000" s="6"/>
      <c r="T1000" s="4">
        <f t="shared" ca="1" si="158"/>
        <v>6.8646015126620098E-3</v>
      </c>
      <c r="U1000" s="4">
        <f t="shared" ca="1" si="159"/>
        <v>-7.6888990842100088E-2</v>
      </c>
      <c r="V1000" s="4">
        <f t="shared" ca="1" si="160"/>
        <v>1.569926834764605E-2</v>
      </c>
      <c r="W1000" s="4"/>
      <c r="X1000">
        <v>998</v>
      </c>
      <c r="Y1000" s="4">
        <f t="shared" ca="1" si="161"/>
        <v>-9.4127143091283349E-3</v>
      </c>
      <c r="Z1000" s="4">
        <f ca="1"/>
        <v>5.5979925944958348E-2</v>
      </c>
      <c r="AA1000" s="4"/>
    </row>
    <row r="1001" spans="1:27" x14ac:dyDescent="0.35">
      <c r="A1001">
        <v>999</v>
      </c>
      <c r="B1001">
        <f ca="1">_xlfn.NORM.INV(RAND(),Hitorical_Sim!$AB$4,Hitorical_Sim!$AB$5)</f>
        <v>6.1791669846187718E-3</v>
      </c>
      <c r="C1001">
        <f ca="1">_xlfn.NORM.INV(RAND(),Hitorical_Sim!$AB$4,Hitorical_Sim!$AB$5)</f>
        <v>-3.4172721697268177E-2</v>
      </c>
      <c r="D1001">
        <f ca="1">_xlfn.NORM.INV(RAND(),Hitorical_Sim!$AB$4,Hitorical_Sim!$AB$5)</f>
        <v>1.1379619703514634E-2</v>
      </c>
      <c r="K1001">
        <f t="shared" ca="1" si="162"/>
        <v>1.2235700613212857</v>
      </c>
      <c r="L1001">
        <f t="shared" ca="1" si="162"/>
        <v>1.3702719151265788</v>
      </c>
      <c r="M1001">
        <f t="shared" ca="1" si="162"/>
        <v>0.80120158502332472</v>
      </c>
      <c r="O1001">
        <v>999</v>
      </c>
      <c r="P1001" s="6">
        <f t="shared" ca="1" si="154"/>
        <v>1981.3426229021859</v>
      </c>
      <c r="Q1001" s="6">
        <f t="shared" ca="1" si="155"/>
        <v>399.73156322809666</v>
      </c>
      <c r="R1001" s="6">
        <f t="shared" ca="1" si="156"/>
        <v>154.49963780399236</v>
      </c>
      <c r="S1001" s="6"/>
      <c r="T1001" s="4">
        <f t="shared" ca="1" si="158"/>
        <v>1.7665698701929293E-2</v>
      </c>
      <c r="U1001" s="4">
        <f t="shared" ca="1" si="159"/>
        <v>5.8158427181463891E-2</v>
      </c>
      <c r="V1001" s="4">
        <f t="shared" ca="1" si="160"/>
        <v>3.2187700328130162E-2</v>
      </c>
      <c r="W1001" s="4"/>
      <c r="X1001">
        <v>999</v>
      </c>
      <c r="Y1001" s="4">
        <f t="shared" ca="1" si="161"/>
        <v>2.6465450444611207E-2</v>
      </c>
      <c r="Z1001" s="4">
        <f ca="1"/>
        <v>6.0276921267145407E-2</v>
      </c>
      <c r="AA1001" s="4"/>
    </row>
    <row r="1002" spans="1:27" x14ac:dyDescent="0.35">
      <c r="A1002">
        <v>1000</v>
      </c>
      <c r="B1002">
        <f ca="1">_xlfn.NORM.INV(RAND(),Hitorical_Sim!$AB$4,Hitorical_Sim!$AB$5)</f>
        <v>-1.0982292943465944E-2</v>
      </c>
      <c r="C1002">
        <f ca="1">_xlfn.NORM.INV(RAND(),Hitorical_Sim!$AB$4,Hitorical_Sim!$AB$5)</f>
        <v>1.206561620227016E-2</v>
      </c>
      <c r="D1002">
        <f ca="1">_xlfn.NORM.INV(RAND(),Hitorical_Sim!$AB$4,Hitorical_Sim!$AB$5)</f>
        <v>-1.3797032763357534E-2</v>
      </c>
      <c r="K1002">
        <f t="shared" ca="1" si="162"/>
        <v>0.66839348098443063</v>
      </c>
      <c r="L1002">
        <f t="shared" ca="1" si="162"/>
        <v>0.28854065245101679</v>
      </c>
      <c r="M1002">
        <f t="shared" ca="1" si="162"/>
        <v>0.83422030471512565</v>
      </c>
      <c r="O1002">
        <v>1000</v>
      </c>
      <c r="P1002" s="6">
        <f t="shared" ca="1" si="154"/>
        <v>1961.4863774475768</v>
      </c>
      <c r="Q1002" s="6">
        <f t="shared" ca="1" si="155"/>
        <v>387.58363051421549</v>
      </c>
      <c r="R1002" s="6">
        <f t="shared" ca="1" si="156"/>
        <v>154.65533470712901</v>
      </c>
      <c r="S1002" s="6"/>
      <c r="T1002" s="4">
        <f t="shared" ca="1" si="158"/>
        <v>-1.0072165603998214E-2</v>
      </c>
      <c r="U1002" s="4">
        <f t="shared" ca="1" si="159"/>
        <v>-3.0861583705923481E-2</v>
      </c>
      <c r="V1002" s="4">
        <f t="shared" ca="1" si="160"/>
        <v>1.0072418698967762E-3</v>
      </c>
      <c r="W1002" s="4"/>
      <c r="X1002">
        <v>1000</v>
      </c>
      <c r="Y1002" s="4">
        <f t="shared" ca="1" si="161"/>
        <v>-1.3672748880286011E-2</v>
      </c>
      <c r="Z1002" s="4">
        <f ca="1"/>
        <v>6.2759246335689148E-2</v>
      </c>
      <c r="AA1002" s="4"/>
    </row>
  </sheetData>
  <mergeCells count="7">
    <mergeCell ref="X1:Y1"/>
    <mergeCell ref="AB1:AC1"/>
    <mergeCell ref="K1:M1"/>
    <mergeCell ref="F2:I2"/>
    <mergeCell ref="F8:I8"/>
    <mergeCell ref="O1:R1"/>
    <mergeCell ref="T1:V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48B1-5814-4E51-906F-1D9EB53D92F5}">
  <dimension ref="A1:W1488"/>
  <sheetViews>
    <sheetView showGridLines="0" zoomScaleNormal="100" workbookViewId="0">
      <selection activeCell="M4" sqref="M4"/>
    </sheetView>
  </sheetViews>
  <sheetFormatPr defaultRowHeight="14.5" x14ac:dyDescent="0.35"/>
  <cols>
    <col min="1" max="1" width="10.08984375" bestFit="1" customWidth="1"/>
    <col min="2" max="2" width="14.1796875" bestFit="1" customWidth="1"/>
    <col min="3" max="3" width="12.08984375" bestFit="1" customWidth="1"/>
    <col min="4" max="4" width="13.08984375" bestFit="1" customWidth="1"/>
    <col min="5" max="5" width="13.90625" bestFit="1" customWidth="1"/>
    <col min="6" max="6" width="1.7265625" customWidth="1"/>
    <col min="7" max="7" width="8.81640625" bestFit="1" customWidth="1"/>
    <col min="8" max="8" width="15.26953125" bestFit="1" customWidth="1"/>
    <col min="9" max="9" width="15" bestFit="1" customWidth="1"/>
    <col min="10" max="10" width="17.54296875" bestFit="1" customWidth="1"/>
    <col min="11" max="11" width="12.453125" bestFit="1" customWidth="1"/>
    <col min="12" max="12" width="1.7265625" customWidth="1"/>
    <col min="13" max="13" width="10.26953125" bestFit="1" customWidth="1"/>
    <col min="14" max="14" width="9.6328125" bestFit="1" customWidth="1"/>
    <col min="15" max="15" width="9.54296875" bestFit="1" customWidth="1"/>
    <col min="16" max="16" width="1.7265625" customWidth="1"/>
    <col min="17" max="17" width="12.54296875" bestFit="1" customWidth="1"/>
    <col min="18" max="18" width="6.81640625" bestFit="1" customWidth="1"/>
    <col min="19" max="19" width="26.1796875" bestFit="1" customWidth="1"/>
    <col min="20" max="20" width="18.6328125" bestFit="1" customWidth="1"/>
    <col min="21" max="21" width="1.7265625" customWidth="1"/>
    <col min="22" max="22" width="26" bestFit="1" customWidth="1"/>
    <col min="23" max="23" width="13.453125" bestFit="1" customWidth="1"/>
  </cols>
  <sheetData>
    <row r="1" spans="1:23" x14ac:dyDescent="0.35">
      <c r="A1" s="31" t="s">
        <v>57</v>
      </c>
      <c r="B1" s="31"/>
      <c r="C1" s="31"/>
      <c r="D1" s="31"/>
      <c r="E1" s="31"/>
      <c r="F1" s="10"/>
      <c r="G1" s="31" t="s">
        <v>52</v>
      </c>
      <c r="H1" s="31"/>
      <c r="I1" s="31"/>
      <c r="J1" s="31"/>
      <c r="K1" s="31"/>
      <c r="M1" s="31" t="s">
        <v>62</v>
      </c>
      <c r="N1" s="31"/>
      <c r="O1" s="31"/>
      <c r="Q1" s="30" t="s">
        <v>94</v>
      </c>
      <c r="R1" s="30"/>
      <c r="S1" s="30"/>
      <c r="T1" s="30"/>
      <c r="V1" s="38" t="s">
        <v>71</v>
      </c>
      <c r="W1" s="39"/>
    </row>
    <row r="2" spans="1:23" x14ac:dyDescent="0.35">
      <c r="A2" s="16" t="s">
        <v>0</v>
      </c>
      <c r="B2" s="16" t="s">
        <v>30</v>
      </c>
      <c r="C2" s="16" t="s">
        <v>49</v>
      </c>
      <c r="D2" s="16" t="s">
        <v>50</v>
      </c>
      <c r="E2" s="16" t="s">
        <v>51</v>
      </c>
      <c r="G2" s="16" t="s">
        <v>40</v>
      </c>
      <c r="H2" s="16" t="s">
        <v>53</v>
      </c>
      <c r="I2" s="16" t="s">
        <v>54</v>
      </c>
      <c r="J2" s="16" t="s">
        <v>55</v>
      </c>
      <c r="K2" s="16" t="s">
        <v>56</v>
      </c>
      <c r="M2" s="16" t="s">
        <v>63</v>
      </c>
      <c r="N2" s="16" t="s">
        <v>64</v>
      </c>
      <c r="O2" s="16" t="s">
        <v>65</v>
      </c>
      <c r="Q2" s="33" t="s">
        <v>66</v>
      </c>
      <c r="R2" s="33" t="s">
        <v>44</v>
      </c>
      <c r="S2" s="33" t="s">
        <v>67</v>
      </c>
      <c r="T2" s="33" t="s">
        <v>68</v>
      </c>
      <c r="V2" s="33" t="s">
        <v>72</v>
      </c>
      <c r="W2">
        <f>T6</f>
        <v>2.8810000000000002</v>
      </c>
    </row>
    <row r="3" spans="1:23" x14ac:dyDescent="0.35">
      <c r="A3" s="3">
        <v>43832</v>
      </c>
      <c r="B3" s="4">
        <v>5.0252493431288655E-3</v>
      </c>
      <c r="C3">
        <f ca="1">IF(B3&lt;Monte_Carlo!$AC$2,1,0)</f>
        <v>0</v>
      </c>
      <c r="D3">
        <f ca="1">SUM(C3:C1488)</f>
        <v>9</v>
      </c>
      <c r="E3" s="19" t="str">
        <f ca="1">IF(D3&lt;20,"Green","Red")</f>
        <v>Green</v>
      </c>
      <c r="G3">
        <v>1</v>
      </c>
      <c r="H3" s="6"/>
      <c r="Q3" s="33" t="s">
        <v>14</v>
      </c>
      <c r="R3" s="34">
        <v>0.75</v>
      </c>
      <c r="S3" s="35">
        <v>2.69</v>
      </c>
      <c r="T3" s="35">
        <f>R3*S3</f>
        <v>2.0175000000000001</v>
      </c>
      <c r="V3" s="33" t="s">
        <v>93</v>
      </c>
      <c r="W3" s="14">
        <f>10000000*J4</f>
        <v>-677619.41967174294</v>
      </c>
    </row>
    <row r="4" spans="1:23" x14ac:dyDescent="0.35">
      <c r="A4" s="3">
        <v>43833</v>
      </c>
      <c r="B4" s="4">
        <v>1.2725340798683144E-2</v>
      </c>
      <c r="C4">
        <f ca="1">IF(B4&lt;Monte_Carlo!$AC$2,1,0)</f>
        <v>0</v>
      </c>
      <c r="D4" s="13"/>
      <c r="F4" s="13"/>
      <c r="G4">
        <v>2</v>
      </c>
      <c r="H4" s="4">
        <v>-1.5699475347303316E-2</v>
      </c>
      <c r="I4" s="14">
        <f>H4*10000000</f>
        <v>-156994.75347303317</v>
      </c>
      <c r="J4" cm="1">
        <f t="array" ref="J4">AVERAGE(SMALL(H4:H1002,_xlfn.SEQUENCE(5)))</f>
        <v>-6.7761941967174291E-2</v>
      </c>
      <c r="K4">
        <f>J4*10000000</f>
        <v>-677619.41967174294</v>
      </c>
      <c r="M4" cm="1">
        <f t="array" aca="1" ref="M4" ca="1">AVERAGE(SMALL(Monte_Carlo!T4:T1002,_xlfn.SEQUENCE(5)))</f>
        <v>-7.6367955388249115E-2</v>
      </c>
      <c r="N4" cm="1">
        <f t="array" aca="1" ref="N4" ca="1">AVERAGE(SMALL(Monte_Carlo!U4:U1002,_xlfn.SEQUENCE(5)))</f>
        <v>-0.11528979593639099</v>
      </c>
      <c r="O4" cm="1">
        <f t="array" aca="1" ref="O4" ca="1">AVERAGE(SMALL(Monte_Carlo!V4:V1002,_xlfn.SEQUENCE(5)))</f>
        <v>-0.12314737907330287</v>
      </c>
      <c r="Q4" s="33" t="s">
        <v>15</v>
      </c>
      <c r="R4" s="34">
        <v>0.2</v>
      </c>
      <c r="S4" s="35">
        <v>3.85</v>
      </c>
      <c r="T4" s="35">
        <f>R4*S4</f>
        <v>0.77</v>
      </c>
      <c r="V4" s="33" t="s">
        <v>73</v>
      </c>
      <c r="W4" s="37">
        <f>W3*W2</f>
        <v>-1952221.5480742916</v>
      </c>
    </row>
    <row r="5" spans="1:23" x14ac:dyDescent="0.35">
      <c r="A5" s="3">
        <v>43836</v>
      </c>
      <c r="B5" s="4">
        <v>-3.0033705023934237E-3</v>
      </c>
      <c r="C5">
        <f ca="1">IF(B5&lt;Monte_Carlo!$AC$2,1,0)</f>
        <v>0</v>
      </c>
      <c r="D5" s="13"/>
      <c r="F5" s="13"/>
      <c r="G5">
        <v>3</v>
      </c>
      <c r="H5" s="4">
        <v>-1.5722560198625952E-2</v>
      </c>
      <c r="I5" s="14">
        <f t="shared" ref="I5:I68" si="0">H5*10000000</f>
        <v>-157225.60198625951</v>
      </c>
      <c r="Q5" s="40" t="s">
        <v>69</v>
      </c>
      <c r="R5" s="41">
        <v>0.05</v>
      </c>
      <c r="S5" s="42">
        <v>1.87</v>
      </c>
      <c r="T5" s="42">
        <f>R5*S5</f>
        <v>9.3500000000000014E-2</v>
      </c>
    </row>
    <row r="6" spans="1:23" x14ac:dyDescent="0.35">
      <c r="A6" s="3">
        <v>43837</v>
      </c>
      <c r="B6" s="4">
        <v>4.7791591077118098E-3</v>
      </c>
      <c r="C6">
        <f ca="1">IF(B6&lt;Monte_Carlo!$AC$2,1,0)</f>
        <v>0</v>
      </c>
      <c r="D6" s="13"/>
      <c r="F6" s="13"/>
      <c r="G6">
        <v>4</v>
      </c>
      <c r="H6" s="4">
        <v>1.887490894515742E-2</v>
      </c>
      <c r="I6" s="14">
        <f t="shared" si="0"/>
        <v>188749.0894515742</v>
      </c>
      <c r="Q6" s="33" t="s">
        <v>70</v>
      </c>
      <c r="R6" s="36">
        <f>SUM(R3:R5)</f>
        <v>1</v>
      </c>
      <c r="S6" s="35"/>
      <c r="T6" s="33">
        <f>SUM(T3:T5)</f>
        <v>2.8810000000000002</v>
      </c>
    </row>
    <row r="7" spans="1:23" x14ac:dyDescent="0.35">
      <c r="A7" s="3">
        <v>43838</v>
      </c>
      <c r="B7" s="4">
        <v>-3.0943556968961207E-3</v>
      </c>
      <c r="C7">
        <f ca="1">IF(B7&lt;Monte_Carlo!$AC$2,1,0)</f>
        <v>0</v>
      </c>
      <c r="D7" s="13"/>
      <c r="F7" s="13"/>
      <c r="G7">
        <v>5</v>
      </c>
      <c r="H7" s="4">
        <v>1.0779502040877987E-2</v>
      </c>
      <c r="I7" s="14">
        <f t="shared" si="0"/>
        <v>107795.02040877986</v>
      </c>
    </row>
    <row r="8" spans="1:23" x14ac:dyDescent="0.35">
      <c r="A8" s="3">
        <v>43839</v>
      </c>
      <c r="B8" s="4">
        <v>-1.6889188225310413E-4</v>
      </c>
      <c r="C8">
        <f ca="1">IF(B8&lt;Monte_Carlo!$AC$2,1,0)</f>
        <v>0</v>
      </c>
      <c r="D8" s="13"/>
      <c r="F8" s="13"/>
      <c r="G8">
        <v>6</v>
      </c>
      <c r="H8" s="4">
        <v>-9.6475853448520612E-4</v>
      </c>
      <c r="I8" s="14">
        <f t="shared" si="0"/>
        <v>-9647.5853448520611</v>
      </c>
      <c r="Q8" s="5"/>
    </row>
    <row r="9" spans="1:23" x14ac:dyDescent="0.35">
      <c r="A9" s="3">
        <v>43840</v>
      </c>
      <c r="B9" s="4">
        <v>-3.8668416519563788E-3</v>
      </c>
      <c r="C9">
        <f ca="1">IF(B9&lt;Monte_Carlo!$AC$2,1,0)</f>
        <v>0</v>
      </c>
      <c r="D9" s="13"/>
      <c r="F9" s="13"/>
      <c r="G9">
        <v>7</v>
      </c>
      <c r="H9" s="4">
        <v>1.8331093665087232E-3</v>
      </c>
      <c r="I9" s="14">
        <f t="shared" si="0"/>
        <v>18331.093665087232</v>
      </c>
      <c r="P9" s="11"/>
      <c r="Q9" s="13"/>
    </row>
    <row r="10" spans="1:23" x14ac:dyDescent="0.35">
      <c r="A10" s="3">
        <v>43843</v>
      </c>
      <c r="B10" s="4">
        <v>2.9210598810750126E-3</v>
      </c>
      <c r="C10">
        <f ca="1">IF(B10&lt;Monte_Carlo!$AC$2,1,0)</f>
        <v>0</v>
      </c>
      <c r="D10" s="13"/>
      <c r="F10" s="13"/>
      <c r="G10">
        <v>8</v>
      </c>
      <c r="H10" s="4">
        <v>-1.9878394036031972E-3</v>
      </c>
      <c r="I10" s="14">
        <f t="shared" si="0"/>
        <v>-19878.394036031972</v>
      </c>
    </row>
    <row r="11" spans="1:23" x14ac:dyDescent="0.35">
      <c r="A11" s="3">
        <v>43844</v>
      </c>
      <c r="B11" s="4">
        <v>6.3914486707517225E-3</v>
      </c>
      <c r="C11">
        <f ca="1">IF(B11&lt;Monte_Carlo!$AC$2,1,0)</f>
        <v>0</v>
      </c>
      <c r="D11" s="13"/>
      <c r="F11" s="13"/>
      <c r="G11">
        <v>9</v>
      </c>
      <c r="H11" s="4">
        <v>-1.5413422352794992E-2</v>
      </c>
      <c r="I11" s="14">
        <f t="shared" si="0"/>
        <v>-154134.22352794991</v>
      </c>
    </row>
    <row r="12" spans="1:23" x14ac:dyDescent="0.35">
      <c r="A12" s="3">
        <v>43845</v>
      </c>
      <c r="B12" s="4">
        <v>4.6836583114951581E-3</v>
      </c>
      <c r="C12">
        <f ca="1">IF(B12&lt;Monte_Carlo!$AC$2,1,0)</f>
        <v>0</v>
      </c>
      <c r="D12" s="13"/>
      <c r="F12" s="13"/>
      <c r="G12">
        <v>10</v>
      </c>
      <c r="H12" s="4">
        <v>-6.7717690203151683E-3</v>
      </c>
      <c r="I12" s="14">
        <f t="shared" si="0"/>
        <v>-67717.69020315168</v>
      </c>
    </row>
    <row r="13" spans="1:23" x14ac:dyDescent="0.35">
      <c r="A13" s="3">
        <v>43846</v>
      </c>
      <c r="B13" s="4">
        <v>2.6799449468942929E-2</v>
      </c>
      <c r="C13">
        <f ca="1">IF(B13&lt;Monte_Carlo!$AC$2,1,0)</f>
        <v>0</v>
      </c>
      <c r="D13" s="13"/>
      <c r="F13" s="13"/>
      <c r="G13">
        <v>11</v>
      </c>
      <c r="H13" s="4">
        <v>3.0486793243666866E-2</v>
      </c>
      <c r="I13" s="14">
        <f t="shared" si="0"/>
        <v>304867.93243666866</v>
      </c>
    </row>
    <row r="14" spans="1:23" x14ac:dyDescent="0.35">
      <c r="A14" s="3">
        <v>43847</v>
      </c>
      <c r="B14" s="4">
        <v>-4.0895043129266584E-3</v>
      </c>
      <c r="C14">
        <f ca="1">IF(B14&lt;Monte_Carlo!$AC$2,1,0)</f>
        <v>0</v>
      </c>
      <c r="D14" s="13"/>
      <c r="F14" s="13"/>
      <c r="G14">
        <v>12</v>
      </c>
      <c r="H14" s="4">
        <v>2.897354274732936E-3</v>
      </c>
      <c r="I14" s="14">
        <f t="shared" si="0"/>
        <v>28973.54274732936</v>
      </c>
    </row>
    <row r="15" spans="1:23" x14ac:dyDescent="0.35">
      <c r="A15" s="3">
        <v>43850</v>
      </c>
      <c r="B15" s="4">
        <v>-3.5228170309546544E-2</v>
      </c>
      <c r="C15">
        <f ca="1">IF(B15&lt;Monte_Carlo!$AC$2,1,0)</f>
        <v>0</v>
      </c>
      <c r="D15" s="13"/>
      <c r="F15" s="13"/>
      <c r="G15">
        <v>13</v>
      </c>
      <c r="H15" s="4">
        <v>-2.0213201178457076E-2</v>
      </c>
      <c r="I15" s="14">
        <f t="shared" si="0"/>
        <v>-202132.01178457076</v>
      </c>
    </row>
    <row r="16" spans="1:23" ht="15" thickBot="1" x14ac:dyDescent="0.4">
      <c r="A16" s="3">
        <v>43851</v>
      </c>
      <c r="B16" s="4">
        <v>-1.2542135906976176E-2</v>
      </c>
      <c r="C16">
        <f ca="1">IF(B16&lt;Monte_Carlo!$AC$2,1,0)</f>
        <v>0</v>
      </c>
      <c r="D16" s="13"/>
      <c r="F16" s="13"/>
      <c r="G16">
        <v>14</v>
      </c>
      <c r="H16" s="4">
        <v>1.4454008965284837E-2</v>
      </c>
      <c r="I16" s="14">
        <f t="shared" si="0"/>
        <v>144540.08965284837</v>
      </c>
    </row>
    <row r="17" spans="1:17" ht="15" thickBot="1" x14ac:dyDescent="0.4">
      <c r="A17" s="3">
        <v>43852</v>
      </c>
      <c r="B17" s="4">
        <v>-1.5046111351747845E-2</v>
      </c>
      <c r="C17">
        <f ca="1">IF(B17&lt;Monte_Carlo!$AC$2,1,0)</f>
        <v>0</v>
      </c>
      <c r="D17" s="13"/>
      <c r="F17" s="13"/>
      <c r="G17">
        <v>15</v>
      </c>
      <c r="H17" s="4">
        <v>-2.162626358465879E-2</v>
      </c>
      <c r="I17" s="14">
        <f t="shared" si="0"/>
        <v>-216262.63584658789</v>
      </c>
      <c r="Q17" s="15"/>
    </row>
    <row r="18" spans="1:17" ht="15" thickBot="1" x14ac:dyDescent="0.4">
      <c r="A18" s="3">
        <v>43853</v>
      </c>
      <c r="B18" s="4">
        <v>1.7272693657802589E-2</v>
      </c>
      <c r="C18">
        <f ca="1">IF(B18&lt;Monte_Carlo!$AC$2,1,0)</f>
        <v>0</v>
      </c>
      <c r="D18" s="13"/>
      <c r="F18" s="13"/>
      <c r="G18">
        <v>16</v>
      </c>
      <c r="H18" s="4">
        <v>1.4026064204020704E-2</v>
      </c>
      <c r="I18" s="14">
        <f t="shared" si="0"/>
        <v>140260.64204020705</v>
      </c>
      <c r="Q18" s="15"/>
    </row>
    <row r="19" spans="1:17" ht="15" thickBot="1" x14ac:dyDescent="0.4">
      <c r="A19" s="3">
        <v>43854</v>
      </c>
      <c r="B19" s="4">
        <v>1.8805575491012985E-2</v>
      </c>
      <c r="C19">
        <f ca="1">IF(B19&lt;Monte_Carlo!$AC$2,1,0)</f>
        <v>0</v>
      </c>
      <c r="D19" s="13"/>
      <c r="F19" s="13"/>
      <c r="G19">
        <v>17</v>
      </c>
      <c r="H19" s="4">
        <v>1.5993788712624843E-2</v>
      </c>
      <c r="I19" s="14">
        <f t="shared" si="0"/>
        <v>159937.88712624842</v>
      </c>
      <c r="Q19" s="15"/>
    </row>
    <row r="20" spans="1:17" x14ac:dyDescent="0.35">
      <c r="A20" s="3">
        <v>43857</v>
      </c>
      <c r="B20" s="4">
        <v>-1.1658762295070055E-2</v>
      </c>
      <c r="C20">
        <f ca="1">IF(B20&lt;Monte_Carlo!$AC$2,1,0)</f>
        <v>0</v>
      </c>
      <c r="D20" s="13"/>
      <c r="F20" s="13"/>
      <c r="G20">
        <v>18</v>
      </c>
      <c r="H20" s="4">
        <v>-1.2650298134431243E-2</v>
      </c>
      <c r="I20" s="14">
        <f t="shared" si="0"/>
        <v>-126502.98134431243</v>
      </c>
    </row>
    <row r="21" spans="1:17" x14ac:dyDescent="0.35">
      <c r="A21" s="3">
        <v>43858</v>
      </c>
      <c r="B21" s="4">
        <v>-1.7553831039953799E-3</v>
      </c>
      <c r="C21">
        <f ca="1">IF(B21&lt;Monte_Carlo!$AC$2,1,0)</f>
        <v>0</v>
      </c>
      <c r="D21" s="13"/>
      <c r="F21" s="13"/>
      <c r="G21">
        <v>19</v>
      </c>
      <c r="H21" s="4">
        <v>3.55057357027174E-3</v>
      </c>
      <c r="I21" s="14">
        <f t="shared" si="0"/>
        <v>35505.7357027174</v>
      </c>
    </row>
    <row r="22" spans="1:17" ht="15" thickBot="1" x14ac:dyDescent="0.4">
      <c r="A22" s="3">
        <v>43859</v>
      </c>
      <c r="B22" s="4">
        <v>-1.1367376981432665E-2</v>
      </c>
      <c r="C22">
        <f ca="1">IF(B22&lt;Monte_Carlo!$AC$2,1,0)</f>
        <v>0</v>
      </c>
      <c r="D22" s="13"/>
      <c r="F22" s="13"/>
      <c r="G22">
        <v>20</v>
      </c>
      <c r="H22" s="4">
        <v>-5.3753633971153035E-3</v>
      </c>
      <c r="I22" s="14">
        <f t="shared" si="0"/>
        <v>-53753.633971153038</v>
      </c>
    </row>
    <row r="23" spans="1:17" ht="15" thickBot="1" x14ac:dyDescent="0.4">
      <c r="A23" s="3">
        <v>43860</v>
      </c>
      <c r="B23" s="4">
        <v>-5.6685841099435742E-3</v>
      </c>
      <c r="C23">
        <f ca="1">IF(B23&lt;Monte_Carlo!$AC$2,1,0)</f>
        <v>0</v>
      </c>
      <c r="D23" s="13"/>
      <c r="F23" s="13"/>
      <c r="G23">
        <v>21</v>
      </c>
      <c r="H23" s="4">
        <v>8.5117608252126657E-3</v>
      </c>
      <c r="I23" s="14">
        <f t="shared" si="0"/>
        <v>85117.608252126651</v>
      </c>
      <c r="Q23" s="15"/>
    </row>
    <row r="24" spans="1:17" x14ac:dyDescent="0.35">
      <c r="A24" s="3">
        <v>43861</v>
      </c>
      <c r="B24" s="4">
        <v>-3.1975009897353664E-3</v>
      </c>
      <c r="C24">
        <f ca="1">IF(B24&lt;Monte_Carlo!$AC$2,1,0)</f>
        <v>0</v>
      </c>
      <c r="D24" s="13"/>
      <c r="F24" s="13"/>
      <c r="G24">
        <v>22</v>
      </c>
      <c r="H24" s="4">
        <v>-1.3966981756373506E-3</v>
      </c>
      <c r="I24" s="14">
        <f t="shared" si="0"/>
        <v>-13966.981756373507</v>
      </c>
    </row>
    <row r="25" spans="1:17" x14ac:dyDescent="0.35">
      <c r="A25" s="3">
        <v>43864</v>
      </c>
      <c r="B25" s="4">
        <v>-2.9129414367285691E-2</v>
      </c>
      <c r="C25">
        <f ca="1">IF(B25&lt;Monte_Carlo!$AC$2,1,0)</f>
        <v>0</v>
      </c>
      <c r="D25" s="13"/>
      <c r="F25" s="13"/>
      <c r="G25">
        <v>23</v>
      </c>
      <c r="H25" s="4">
        <v>-5.3564572642423071E-3</v>
      </c>
      <c r="I25" s="14">
        <f t="shared" si="0"/>
        <v>-53564.572642423074</v>
      </c>
    </row>
    <row r="26" spans="1:17" x14ac:dyDescent="0.35">
      <c r="A26" s="3">
        <v>43865</v>
      </c>
      <c r="B26" s="4">
        <v>1.610723055313236E-2</v>
      </c>
      <c r="C26">
        <f ca="1">IF(B26&lt;Monte_Carlo!$AC$2,1,0)</f>
        <v>0</v>
      </c>
      <c r="D26" s="13"/>
      <c r="F26" s="13"/>
      <c r="G26">
        <v>24</v>
      </c>
      <c r="H26" s="4">
        <v>-2.0651876137479392E-2</v>
      </c>
      <c r="I26" s="14">
        <f t="shared" si="0"/>
        <v>-206518.76137479392</v>
      </c>
    </row>
    <row r="27" spans="1:17" x14ac:dyDescent="0.35">
      <c r="A27" s="3">
        <v>43866</v>
      </c>
      <c r="B27" s="4">
        <v>2.2910795470268475E-2</v>
      </c>
      <c r="C27">
        <f ca="1">IF(B27&lt;Monte_Carlo!$AC$2,1,0)</f>
        <v>0</v>
      </c>
      <c r="D27" s="13"/>
      <c r="F27" s="13"/>
      <c r="G27">
        <v>25</v>
      </c>
      <c r="H27" s="4">
        <v>2.2916103335436128E-3</v>
      </c>
      <c r="I27" s="14">
        <f t="shared" si="0"/>
        <v>22916.103335436128</v>
      </c>
    </row>
    <row r="28" spans="1:17" x14ac:dyDescent="0.35">
      <c r="A28" s="3">
        <v>43867</v>
      </c>
      <c r="B28" s="4">
        <v>2.622167854171268E-2</v>
      </c>
      <c r="C28">
        <f ca="1">IF(B28&lt;Monte_Carlo!$AC$2,1,0)</f>
        <v>0</v>
      </c>
      <c r="D28" s="13"/>
      <c r="F28" s="13"/>
      <c r="G28">
        <v>26</v>
      </c>
      <c r="H28" s="4">
        <v>1.2632092743850829E-2</v>
      </c>
      <c r="I28" s="14">
        <f t="shared" si="0"/>
        <v>126320.9274385083</v>
      </c>
    </row>
    <row r="29" spans="1:17" x14ac:dyDescent="0.35">
      <c r="A29" s="3">
        <v>43868</v>
      </c>
      <c r="B29" s="4">
        <v>1.4270648888507346E-2</v>
      </c>
      <c r="C29">
        <f ca="1">IF(B29&lt;Monte_Carlo!$AC$2,1,0)</f>
        <v>0</v>
      </c>
      <c r="D29" s="13"/>
      <c r="F29" s="13"/>
      <c r="G29">
        <v>27</v>
      </c>
      <c r="H29" s="4">
        <v>-1.7315289393955279E-2</v>
      </c>
      <c r="I29" s="14">
        <f t="shared" si="0"/>
        <v>-173152.8939395528</v>
      </c>
    </row>
    <row r="30" spans="1:17" x14ac:dyDescent="0.35">
      <c r="A30" s="3">
        <v>43871</v>
      </c>
      <c r="B30" s="4">
        <v>-6.3210638484950546E-3</v>
      </c>
      <c r="C30">
        <f ca="1">IF(B30&lt;Monte_Carlo!$AC$2,1,0)</f>
        <v>0</v>
      </c>
      <c r="D30" s="13"/>
      <c r="F30" s="13"/>
      <c r="G30">
        <v>28</v>
      </c>
      <c r="H30" s="4">
        <v>5.7788299926641133E-3</v>
      </c>
      <c r="I30" s="14">
        <f t="shared" si="0"/>
        <v>57788.299926641135</v>
      </c>
    </row>
    <row r="31" spans="1:17" x14ac:dyDescent="0.35">
      <c r="A31" s="3">
        <v>43872</v>
      </c>
      <c r="B31" s="4">
        <v>-3.1267972662170601E-2</v>
      </c>
      <c r="C31">
        <f ca="1">IF(B31&lt;Monte_Carlo!$AC$2,1,0)</f>
        <v>0</v>
      </c>
      <c r="D31" s="13"/>
      <c r="F31" s="13"/>
      <c r="G31">
        <v>29</v>
      </c>
      <c r="H31" s="4">
        <v>-3.6067634673230334E-3</v>
      </c>
      <c r="I31" s="14">
        <f t="shared" si="0"/>
        <v>-36067.634673230335</v>
      </c>
    </row>
    <row r="32" spans="1:17" x14ac:dyDescent="0.35">
      <c r="A32" s="3">
        <v>43873</v>
      </c>
      <c r="B32" s="4">
        <v>-8.3409069305139562E-3</v>
      </c>
      <c r="C32">
        <f ca="1">IF(B32&lt;Monte_Carlo!$AC$2,1,0)</f>
        <v>0</v>
      </c>
      <c r="D32" s="13"/>
      <c r="F32" s="13"/>
      <c r="G32">
        <v>30</v>
      </c>
      <c r="H32" s="4">
        <v>3.013661714621017E-2</v>
      </c>
      <c r="I32" s="14">
        <f t="shared" si="0"/>
        <v>301366.17146210169</v>
      </c>
    </row>
    <row r="33" spans="1:9" x14ac:dyDescent="0.35">
      <c r="A33" s="3">
        <v>43874</v>
      </c>
      <c r="B33" s="4">
        <v>-1.053696217232979E-2</v>
      </c>
      <c r="C33">
        <f ca="1">IF(B33&lt;Monte_Carlo!$AC$2,1,0)</f>
        <v>0</v>
      </c>
      <c r="D33" s="13"/>
      <c r="F33" s="13"/>
      <c r="G33">
        <v>31</v>
      </c>
      <c r="H33" s="4">
        <v>-4.1831612745946156E-2</v>
      </c>
      <c r="I33" s="14">
        <f t="shared" si="0"/>
        <v>-418316.12745946157</v>
      </c>
    </row>
    <row r="34" spans="1:9" x14ac:dyDescent="0.35">
      <c r="A34" s="3">
        <v>43875</v>
      </c>
      <c r="B34" s="4">
        <v>-7.7663285001549698E-3</v>
      </c>
      <c r="C34">
        <f ca="1">IF(B34&lt;Monte_Carlo!$AC$2,1,0)</f>
        <v>0</v>
      </c>
      <c r="D34" s="13"/>
      <c r="F34" s="13"/>
      <c r="G34">
        <v>32</v>
      </c>
      <c r="H34" s="4">
        <v>1.5861253113002526E-2</v>
      </c>
      <c r="I34" s="14">
        <f t="shared" si="0"/>
        <v>158612.53113002525</v>
      </c>
    </row>
    <row r="35" spans="1:9" x14ac:dyDescent="0.35">
      <c r="A35" s="3">
        <v>43878</v>
      </c>
      <c r="B35" s="4">
        <v>-1.4456860197706058E-2</v>
      </c>
      <c r="C35">
        <f ca="1">IF(B35&lt;Monte_Carlo!$AC$2,1,0)</f>
        <v>0</v>
      </c>
      <c r="D35" s="13"/>
      <c r="F35" s="13"/>
      <c r="G35">
        <v>33</v>
      </c>
      <c r="H35" s="4">
        <v>3.398724108402177E-2</v>
      </c>
      <c r="I35" s="14">
        <f t="shared" si="0"/>
        <v>339872.41084021772</v>
      </c>
    </row>
    <row r="36" spans="1:9" x14ac:dyDescent="0.35">
      <c r="A36" s="3">
        <v>43879</v>
      </c>
      <c r="B36" s="4">
        <v>-5.7087058038315843E-3</v>
      </c>
      <c r="C36">
        <f ca="1">IF(B36&lt;Monte_Carlo!$AC$2,1,0)</f>
        <v>0</v>
      </c>
      <c r="D36" s="13"/>
      <c r="F36" s="13"/>
      <c r="G36">
        <v>34</v>
      </c>
      <c r="H36" s="4">
        <v>-2.4528576598626149E-2</v>
      </c>
      <c r="I36" s="14">
        <f t="shared" si="0"/>
        <v>-245285.76598626148</v>
      </c>
    </row>
    <row r="37" spans="1:9" x14ac:dyDescent="0.35">
      <c r="A37" s="3">
        <v>43880</v>
      </c>
      <c r="B37" s="4">
        <v>1.8437311862649072E-2</v>
      </c>
      <c r="C37">
        <f ca="1">IF(B37&lt;Monte_Carlo!$AC$2,1,0)</f>
        <v>0</v>
      </c>
      <c r="D37" s="13"/>
      <c r="F37" s="13"/>
      <c r="G37">
        <v>35</v>
      </c>
      <c r="H37" s="4">
        <v>-1.4810901985064844E-2</v>
      </c>
      <c r="I37" s="14">
        <f t="shared" si="0"/>
        <v>-148109.01985064844</v>
      </c>
    </row>
    <row r="38" spans="1:9" x14ac:dyDescent="0.35">
      <c r="A38" s="3">
        <v>43881</v>
      </c>
      <c r="B38" s="4">
        <v>-1.0826894172093404E-2</v>
      </c>
      <c r="C38">
        <f ca="1">IF(B38&lt;Monte_Carlo!$AC$2,1,0)</f>
        <v>0</v>
      </c>
      <c r="D38" s="13"/>
      <c r="F38" s="13"/>
      <c r="G38">
        <v>36</v>
      </c>
      <c r="H38" s="4">
        <v>3.6911836509698925E-2</v>
      </c>
      <c r="I38" s="14">
        <f t="shared" si="0"/>
        <v>369118.36509698926</v>
      </c>
    </row>
    <row r="39" spans="1:9" x14ac:dyDescent="0.35">
      <c r="A39" s="3">
        <v>43885</v>
      </c>
      <c r="B39" s="4">
        <v>-3.4440928502007695E-2</v>
      </c>
      <c r="C39">
        <f ca="1">IF(B39&lt;Monte_Carlo!$AC$2,1,0)</f>
        <v>0</v>
      </c>
      <c r="D39" s="13"/>
      <c r="F39" s="13"/>
      <c r="G39">
        <v>37</v>
      </c>
      <c r="H39" s="4">
        <v>-2.840252761106286E-2</v>
      </c>
      <c r="I39" s="14">
        <f t="shared" si="0"/>
        <v>-284025.27611062862</v>
      </c>
    </row>
    <row r="40" spans="1:9" x14ac:dyDescent="0.35">
      <c r="A40" s="3">
        <v>43886</v>
      </c>
      <c r="B40" s="4">
        <v>-1.3871269218767242E-2</v>
      </c>
      <c r="C40">
        <f ca="1">IF(B40&lt;Monte_Carlo!$AC$2,1,0)</f>
        <v>0</v>
      </c>
      <c r="D40" s="13"/>
      <c r="F40" s="13"/>
      <c r="G40">
        <v>38</v>
      </c>
      <c r="H40" s="4">
        <v>-2.1493134423204384E-3</v>
      </c>
      <c r="I40" s="14">
        <f t="shared" si="0"/>
        <v>-21493.134423204385</v>
      </c>
    </row>
    <row r="41" spans="1:9" x14ac:dyDescent="0.35">
      <c r="A41" s="3">
        <v>43887</v>
      </c>
      <c r="B41" s="4">
        <v>-4.2916370527391889E-2</v>
      </c>
      <c r="C41">
        <f ca="1">IF(B41&lt;Monte_Carlo!$AC$2,1,0)</f>
        <v>0</v>
      </c>
      <c r="D41" s="13"/>
      <c r="F41" s="13"/>
      <c r="G41">
        <v>39</v>
      </c>
      <c r="H41" s="4">
        <v>-4.6217963865516354E-3</v>
      </c>
      <c r="I41" s="14">
        <f t="shared" si="0"/>
        <v>-46217.963865516351</v>
      </c>
    </row>
    <row r="42" spans="1:9" x14ac:dyDescent="0.35">
      <c r="A42" s="3">
        <v>43888</v>
      </c>
      <c r="B42" s="4">
        <v>-4.231061321125466E-3</v>
      </c>
      <c r="C42">
        <f ca="1">IF(B42&lt;Monte_Carlo!$AC$2,1,0)</f>
        <v>0</v>
      </c>
      <c r="D42" s="13"/>
      <c r="F42" s="13"/>
      <c r="G42">
        <v>40</v>
      </c>
      <c r="H42" s="4">
        <v>-3.1809553116553418E-3</v>
      </c>
      <c r="I42" s="14">
        <f t="shared" si="0"/>
        <v>-31809.553116553419</v>
      </c>
    </row>
    <row r="43" spans="1:9" x14ac:dyDescent="0.35">
      <c r="A43" s="3">
        <v>43889</v>
      </c>
      <c r="B43" s="4">
        <v>-2.8084746341661398E-2</v>
      </c>
      <c r="C43">
        <f ca="1">IF(B43&lt;Monte_Carlo!$AC$2,1,0)</f>
        <v>0</v>
      </c>
      <c r="D43" s="13"/>
      <c r="F43" s="13"/>
      <c r="G43">
        <v>41</v>
      </c>
      <c r="H43" s="4">
        <v>1.9987746213342799E-2</v>
      </c>
      <c r="I43" s="14">
        <f t="shared" si="0"/>
        <v>199877.46213342799</v>
      </c>
    </row>
    <row r="44" spans="1:9" x14ac:dyDescent="0.35">
      <c r="A44" s="3">
        <v>43892</v>
      </c>
      <c r="B44" s="4">
        <v>-2.2401437124766534E-2</v>
      </c>
      <c r="C44">
        <f ca="1">IF(B44&lt;Monte_Carlo!$AC$2,1,0)</f>
        <v>0</v>
      </c>
      <c r="D44" s="13"/>
      <c r="F44" s="13"/>
      <c r="G44">
        <v>42</v>
      </c>
      <c r="H44" s="4">
        <v>-1.9691434619341079E-2</v>
      </c>
      <c r="I44" s="14">
        <f t="shared" si="0"/>
        <v>-196914.34619341081</v>
      </c>
    </row>
    <row r="45" spans="1:9" x14ac:dyDescent="0.35">
      <c r="A45" s="3">
        <v>43893</v>
      </c>
      <c r="B45" s="4">
        <v>1.0382624637431698E-2</v>
      </c>
      <c r="C45">
        <f ca="1">IF(B45&lt;Monte_Carlo!$AC$2,1,0)</f>
        <v>0</v>
      </c>
      <c r="D45" s="13"/>
      <c r="F45" s="13"/>
      <c r="G45">
        <v>43</v>
      </c>
      <c r="H45" s="4">
        <v>-9.8047374774598937E-3</v>
      </c>
      <c r="I45" s="14">
        <f t="shared" si="0"/>
        <v>-98047.374774598939</v>
      </c>
    </row>
    <row r="46" spans="1:9" x14ac:dyDescent="0.35">
      <c r="A46" s="3">
        <v>43894</v>
      </c>
      <c r="B46" s="4">
        <v>-3.5179912350784201E-3</v>
      </c>
      <c r="C46">
        <f ca="1">IF(B46&lt;Monte_Carlo!$AC$2,1,0)</f>
        <v>0</v>
      </c>
      <c r="D46" s="13"/>
      <c r="F46" s="13"/>
      <c r="G46">
        <v>44</v>
      </c>
      <c r="H46" s="4">
        <v>3.3984160652894981E-2</v>
      </c>
      <c r="I46" s="14">
        <f t="shared" si="0"/>
        <v>339841.60652894981</v>
      </c>
    </row>
    <row r="47" spans="1:9" x14ac:dyDescent="0.35">
      <c r="A47" s="3">
        <v>43895</v>
      </c>
      <c r="B47" s="4">
        <v>2.7517597105713453E-2</v>
      </c>
      <c r="C47">
        <f ca="1">IF(B47&lt;Monte_Carlo!$AC$2,1,0)</f>
        <v>0</v>
      </c>
      <c r="D47" s="13"/>
      <c r="F47" s="13"/>
      <c r="G47">
        <v>45</v>
      </c>
      <c r="H47" s="4">
        <v>5.01433308421781E-3</v>
      </c>
      <c r="I47" s="14">
        <f t="shared" si="0"/>
        <v>50143.330842178097</v>
      </c>
    </row>
    <row r="48" spans="1:9" x14ac:dyDescent="0.35">
      <c r="A48" s="3">
        <v>43896</v>
      </c>
      <c r="B48" s="4">
        <v>-4.1547967605472958E-3</v>
      </c>
      <c r="C48">
        <f ca="1">IF(B48&lt;Monte_Carlo!$AC$2,1,0)</f>
        <v>0</v>
      </c>
      <c r="D48" s="13"/>
      <c r="F48" s="13"/>
      <c r="G48">
        <v>46</v>
      </c>
      <c r="H48" s="4">
        <v>-1.9212466761784064E-2</v>
      </c>
      <c r="I48" s="14">
        <f t="shared" si="0"/>
        <v>-192124.66761784063</v>
      </c>
    </row>
    <row r="49" spans="1:9" x14ac:dyDescent="0.35">
      <c r="A49" s="3">
        <v>43899</v>
      </c>
      <c r="B49" s="4">
        <v>-4.6017761567026902E-2</v>
      </c>
      <c r="C49">
        <f ca="1">IF(B49&lt;Monte_Carlo!$AC$2,1,0)</f>
        <v>0</v>
      </c>
      <c r="D49" s="13"/>
      <c r="F49" s="13"/>
      <c r="G49">
        <v>47</v>
      </c>
      <c r="H49" s="4">
        <v>1.9240547643795115E-2</v>
      </c>
      <c r="I49" s="14">
        <f t="shared" si="0"/>
        <v>192405.47643795115</v>
      </c>
    </row>
    <row r="50" spans="1:9" x14ac:dyDescent="0.35">
      <c r="A50" s="3">
        <v>43901</v>
      </c>
      <c r="B50" s="4">
        <v>-1.0143535560713027E-2</v>
      </c>
      <c r="C50">
        <f ca="1">IF(B50&lt;Monte_Carlo!$AC$2,1,0)</f>
        <v>0</v>
      </c>
      <c r="D50" s="13"/>
      <c r="F50" s="13"/>
      <c r="G50">
        <v>48</v>
      </c>
      <c r="H50" s="4">
        <v>-1.7027012713043153E-2</v>
      </c>
      <c r="I50" s="14">
        <f t="shared" si="0"/>
        <v>-170270.12713043153</v>
      </c>
    </row>
    <row r="51" spans="1:9" x14ac:dyDescent="0.35">
      <c r="A51" s="3">
        <v>43902</v>
      </c>
      <c r="B51" s="4">
        <v>-8.2003862742272865E-2</v>
      </c>
      <c r="C51">
        <f ca="1">IF(B51&lt;Monte_Carlo!$AC$2,1,0)</f>
        <v>1</v>
      </c>
      <c r="D51" s="13"/>
      <c r="F51" s="13"/>
      <c r="G51">
        <v>49</v>
      </c>
      <c r="H51" s="4">
        <v>4.8918910728193658E-3</v>
      </c>
      <c r="I51" s="14">
        <f t="shared" si="0"/>
        <v>48918.910728193659</v>
      </c>
    </row>
    <row r="52" spans="1:9" x14ac:dyDescent="0.35">
      <c r="A52" s="3">
        <v>43903</v>
      </c>
      <c r="B52" s="4">
        <v>1.8134497367458993E-2</v>
      </c>
      <c r="C52">
        <f ca="1">IF(B52&lt;Monte_Carlo!$AC$2,1,0)</f>
        <v>0</v>
      </c>
      <c r="D52" s="13"/>
      <c r="F52" s="13"/>
      <c r="G52">
        <v>50</v>
      </c>
      <c r="H52" s="4">
        <v>6.3951949252955944E-3</v>
      </c>
      <c r="I52" s="14">
        <f t="shared" si="0"/>
        <v>63951.949252955943</v>
      </c>
    </row>
    <row r="53" spans="1:9" x14ac:dyDescent="0.35">
      <c r="A53" s="3">
        <v>43906</v>
      </c>
      <c r="B53" s="4">
        <v>-4.1651501971511934E-2</v>
      </c>
      <c r="C53">
        <f ca="1">IF(B53&lt;Monte_Carlo!$AC$2,1,0)</f>
        <v>0</v>
      </c>
      <c r="D53" s="13"/>
      <c r="F53" s="13"/>
      <c r="G53">
        <v>51</v>
      </c>
      <c r="H53" s="4">
        <v>-2.5911117983313435E-2</v>
      </c>
      <c r="I53" s="14">
        <f t="shared" si="0"/>
        <v>-259111.17983313435</v>
      </c>
    </row>
    <row r="54" spans="1:9" x14ac:dyDescent="0.35">
      <c r="A54" s="3">
        <v>43907</v>
      </c>
      <c r="B54" s="4">
        <v>-1.8258949933873905E-2</v>
      </c>
      <c r="C54">
        <f ca="1">IF(B54&lt;Monte_Carlo!$AC$2,1,0)</f>
        <v>0</v>
      </c>
      <c r="D54" s="13"/>
      <c r="F54" s="13"/>
      <c r="G54">
        <v>52</v>
      </c>
      <c r="H54" s="4">
        <v>5.566866702881668E-3</v>
      </c>
      <c r="I54" s="14">
        <f t="shared" si="0"/>
        <v>55668.667028816679</v>
      </c>
    </row>
    <row r="55" spans="1:9" x14ac:dyDescent="0.35">
      <c r="A55" s="3">
        <v>43908</v>
      </c>
      <c r="B55" s="4">
        <v>-7.0628316492548276E-2</v>
      </c>
      <c r="C55">
        <f ca="1">IF(B55&lt;Monte_Carlo!$AC$2,1,0)</f>
        <v>1</v>
      </c>
      <c r="D55" s="13"/>
      <c r="F55" s="13"/>
      <c r="G55">
        <v>53</v>
      </c>
      <c r="H55" s="4">
        <v>-1.1304650080131696E-2</v>
      </c>
      <c r="I55" s="14">
        <f t="shared" si="0"/>
        <v>-113046.50080131696</v>
      </c>
    </row>
    <row r="56" spans="1:9" x14ac:dyDescent="0.35">
      <c r="A56" s="3">
        <v>43909</v>
      </c>
      <c r="B56" s="4">
        <v>8.6590313296716279E-4</v>
      </c>
      <c r="C56">
        <f ca="1">IF(B56&lt;Monte_Carlo!$AC$2,1,0)</f>
        <v>0</v>
      </c>
      <c r="D56" s="13"/>
      <c r="F56" s="13"/>
      <c r="G56">
        <v>54</v>
      </c>
      <c r="H56" s="4">
        <v>4.7649972272705135E-2</v>
      </c>
      <c r="I56" s="14">
        <f t="shared" si="0"/>
        <v>476499.72272705135</v>
      </c>
    </row>
    <row r="57" spans="1:9" x14ac:dyDescent="0.35">
      <c r="A57" s="3">
        <v>43910</v>
      </c>
      <c r="B57" s="4">
        <v>-3.3202946214371698E-2</v>
      </c>
      <c r="C57">
        <f ca="1">IF(B57&lt;Monte_Carlo!$AC$2,1,0)</f>
        <v>0</v>
      </c>
      <c r="D57" s="13"/>
      <c r="F57" s="13"/>
      <c r="G57">
        <v>55</v>
      </c>
      <c r="H57" s="4">
        <v>3.1003971130366633E-3</v>
      </c>
      <c r="I57" s="14">
        <f t="shared" si="0"/>
        <v>31003.971130366634</v>
      </c>
    </row>
    <row r="58" spans="1:9" x14ac:dyDescent="0.35">
      <c r="A58" s="3">
        <v>43913</v>
      </c>
      <c r="B58" s="4">
        <v>-0.16214026246101892</v>
      </c>
      <c r="C58">
        <f ca="1">IF(B58&lt;Monte_Carlo!$AC$2,1,0)</f>
        <v>1</v>
      </c>
      <c r="D58" s="13"/>
      <c r="F58" s="13"/>
      <c r="G58">
        <v>56</v>
      </c>
      <c r="H58" s="4">
        <v>-6.7483611780074476E-2</v>
      </c>
      <c r="I58" s="14">
        <f t="shared" si="0"/>
        <v>-674836.11780074472</v>
      </c>
    </row>
    <row r="59" spans="1:9" x14ac:dyDescent="0.35">
      <c r="A59" s="3">
        <v>43914</v>
      </c>
      <c r="B59" s="4">
        <v>1.0865137587583409E-2</v>
      </c>
      <c r="C59">
        <f ca="1">IF(B59&lt;Monte_Carlo!$AC$2,1,0)</f>
        <v>0</v>
      </c>
      <c r="D59" s="13"/>
      <c r="F59" s="13"/>
      <c r="G59">
        <v>57</v>
      </c>
      <c r="H59" s="4">
        <v>5.2217807192587389E-2</v>
      </c>
      <c r="I59" s="14">
        <f t="shared" si="0"/>
        <v>522178.07192587387</v>
      </c>
    </row>
    <row r="60" spans="1:9" x14ac:dyDescent="0.35">
      <c r="A60" s="3">
        <v>43915</v>
      </c>
      <c r="B60" s="4">
        <v>0.12208716653679395</v>
      </c>
      <c r="C60">
        <f ca="1">IF(B60&lt;Monte_Carlo!$AC$2,1,0)</f>
        <v>0</v>
      </c>
      <c r="D60" s="13"/>
      <c r="F60" s="13"/>
      <c r="G60">
        <v>58</v>
      </c>
      <c r="H60" s="4">
        <v>-5.75256196450069E-3</v>
      </c>
      <c r="I60" s="14">
        <f t="shared" si="0"/>
        <v>-57525.619645006904</v>
      </c>
    </row>
    <row r="61" spans="1:9" x14ac:dyDescent="0.35">
      <c r="A61" s="3">
        <v>43916</v>
      </c>
      <c r="B61" s="4">
        <v>9.7096009954086654E-2</v>
      </c>
      <c r="C61">
        <f ca="1">IF(B61&lt;Monte_Carlo!$AC$2,1,0)</f>
        <v>0</v>
      </c>
      <c r="D61" s="13"/>
      <c r="F61" s="13"/>
      <c r="G61">
        <v>59</v>
      </c>
      <c r="H61" s="4">
        <v>-1.7629653710219521E-2</v>
      </c>
      <c r="I61" s="14">
        <f t="shared" si="0"/>
        <v>-176296.5371021952</v>
      </c>
    </row>
    <row r="62" spans="1:9" x14ac:dyDescent="0.35">
      <c r="A62" s="3">
        <v>43917</v>
      </c>
      <c r="B62" s="4">
        <v>-4.0871471806022859E-2</v>
      </c>
      <c r="C62">
        <f ca="1">IF(B62&lt;Monte_Carlo!$AC$2,1,0)</f>
        <v>0</v>
      </c>
      <c r="D62" s="13"/>
      <c r="F62" s="13"/>
      <c r="G62">
        <v>60</v>
      </c>
      <c r="H62" s="4">
        <v>5.858860916110353E-3</v>
      </c>
      <c r="I62" s="14">
        <f t="shared" si="0"/>
        <v>58588.60916110353</v>
      </c>
    </row>
    <row r="63" spans="1:9" x14ac:dyDescent="0.35">
      <c r="A63" s="3">
        <v>43920</v>
      </c>
      <c r="B63" s="4">
        <v>1.8479230826253534E-2</v>
      </c>
      <c r="C63">
        <f ca="1">IF(B63&lt;Monte_Carlo!$AC$2,1,0)</f>
        <v>0</v>
      </c>
      <c r="D63" s="13"/>
      <c r="F63" s="13"/>
      <c r="G63">
        <v>61</v>
      </c>
      <c r="H63" s="4">
        <v>2.4767603350609849E-2</v>
      </c>
      <c r="I63" s="14">
        <f t="shared" si="0"/>
        <v>247676.03350609849</v>
      </c>
    </row>
    <row r="64" spans="1:9" x14ac:dyDescent="0.35">
      <c r="A64" s="3">
        <v>43921</v>
      </c>
      <c r="B64" s="4">
        <v>4.2028555073274049E-2</v>
      </c>
      <c r="C64">
        <f ca="1">IF(B64&lt;Monte_Carlo!$AC$2,1,0)</f>
        <v>0</v>
      </c>
      <c r="D64" s="13"/>
      <c r="F64" s="13"/>
      <c r="G64">
        <v>62</v>
      </c>
      <c r="H64" s="4">
        <v>1.0568903925024985E-2</v>
      </c>
      <c r="I64" s="14">
        <f t="shared" si="0"/>
        <v>105689.03925024984</v>
      </c>
    </row>
    <row r="65" spans="1:9" x14ac:dyDescent="0.35">
      <c r="A65" s="3">
        <v>43922</v>
      </c>
      <c r="B65" s="4">
        <v>1.3645864683783242E-2</v>
      </c>
      <c r="C65">
        <f ca="1">IF(B65&lt;Monte_Carlo!$AC$2,1,0)</f>
        <v>0</v>
      </c>
      <c r="D65" s="13"/>
      <c r="F65" s="13"/>
      <c r="G65">
        <v>63</v>
      </c>
      <c r="H65" s="4">
        <v>-3.3435645606846504E-2</v>
      </c>
      <c r="I65" s="14">
        <f t="shared" si="0"/>
        <v>-334356.45606846502</v>
      </c>
    </row>
    <row r="66" spans="1:9" x14ac:dyDescent="0.35">
      <c r="A66" s="3">
        <v>43924</v>
      </c>
      <c r="B66" s="4">
        <v>-3.4485991506501681E-2</v>
      </c>
      <c r="C66">
        <f ca="1">IF(B66&lt;Monte_Carlo!$AC$2,1,0)</f>
        <v>0</v>
      </c>
      <c r="D66" s="13"/>
      <c r="F66" s="13"/>
      <c r="G66">
        <v>64</v>
      </c>
      <c r="H66" s="4">
        <v>4.0348444720008571E-2</v>
      </c>
      <c r="I66" s="14">
        <f t="shared" si="0"/>
        <v>403484.44720008573</v>
      </c>
    </row>
    <row r="67" spans="1:9" x14ac:dyDescent="0.35">
      <c r="A67" s="3">
        <v>43928</v>
      </c>
      <c r="B67" s="4">
        <v>8.0037445172918956E-2</v>
      </c>
      <c r="C67">
        <f ca="1">IF(B67&lt;Monte_Carlo!$AC$2,1,0)</f>
        <v>0</v>
      </c>
      <c r="D67" s="13"/>
      <c r="F67" s="13"/>
      <c r="G67">
        <v>65</v>
      </c>
      <c r="H67" s="4">
        <v>-3.1083900967995928E-2</v>
      </c>
      <c r="I67" s="14">
        <f t="shared" si="0"/>
        <v>-310839.00967995927</v>
      </c>
    </row>
    <row r="68" spans="1:9" x14ac:dyDescent="0.35">
      <c r="A68" s="3">
        <v>43929</v>
      </c>
      <c r="B68" s="4">
        <v>-4.3450500836128862E-3</v>
      </c>
      <c r="C68">
        <f ca="1">IF(B68&lt;Monte_Carlo!$AC$2,1,0)</f>
        <v>0</v>
      </c>
      <c r="D68" s="13"/>
      <c r="F68" s="13"/>
      <c r="G68">
        <v>66</v>
      </c>
      <c r="H68" s="4">
        <v>-1.9383971134346784E-2</v>
      </c>
      <c r="I68" s="14">
        <f t="shared" si="0"/>
        <v>-193839.71134346785</v>
      </c>
    </row>
    <row r="69" spans="1:9" x14ac:dyDescent="0.35">
      <c r="A69" s="3">
        <v>43930</v>
      </c>
      <c r="B69" s="4">
        <v>2.2482844945094844E-2</v>
      </c>
      <c r="C69">
        <f ca="1">IF(B69&lt;Monte_Carlo!$AC$2,1,0)</f>
        <v>0</v>
      </c>
      <c r="D69" s="13"/>
      <c r="F69" s="13"/>
      <c r="G69">
        <v>67</v>
      </c>
      <c r="H69" s="4">
        <v>2.5400970701429999E-2</v>
      </c>
      <c r="I69" s="14">
        <f t="shared" ref="I69:I132" si="1">H69*10000000</f>
        <v>254009.70701429999</v>
      </c>
    </row>
    <row r="70" spans="1:9" x14ac:dyDescent="0.35">
      <c r="A70" s="3">
        <v>43934</v>
      </c>
      <c r="B70" s="4">
        <v>-6.1718973586674516E-3</v>
      </c>
      <c r="C70">
        <f ca="1">IF(B70&lt;Monte_Carlo!$AC$2,1,0)</f>
        <v>0</v>
      </c>
      <c r="D70" s="13"/>
      <c r="F70" s="13"/>
      <c r="G70">
        <v>68</v>
      </c>
      <c r="H70" s="4">
        <v>-2.308330063044866E-2</v>
      </c>
      <c r="I70" s="14">
        <f t="shared" si="1"/>
        <v>-230833.0063044866</v>
      </c>
    </row>
    <row r="71" spans="1:9" x14ac:dyDescent="0.35">
      <c r="A71" s="3">
        <v>43936</v>
      </c>
      <c r="B71" s="4">
        <v>1.4567956718402672E-2</v>
      </c>
      <c r="C71">
        <f ca="1">IF(B71&lt;Monte_Carlo!$AC$2,1,0)</f>
        <v>0</v>
      </c>
      <c r="D71" s="13"/>
      <c r="F71" s="13"/>
      <c r="G71">
        <v>69</v>
      </c>
      <c r="H71" s="4">
        <v>3.1333913920761319E-2</v>
      </c>
      <c r="I71" s="14">
        <f t="shared" si="1"/>
        <v>313339.13920761319</v>
      </c>
    </row>
    <row r="72" spans="1:9" x14ac:dyDescent="0.35">
      <c r="A72" s="3">
        <v>43937</v>
      </c>
      <c r="B72" s="4">
        <v>1.3492839674027609E-2</v>
      </c>
      <c r="C72">
        <f ca="1">IF(B72&lt;Monte_Carlo!$AC$2,1,0)</f>
        <v>0</v>
      </c>
      <c r="D72" s="13"/>
      <c r="F72" s="13"/>
      <c r="G72">
        <v>70</v>
      </c>
      <c r="H72" s="4">
        <v>1.2391227085897389E-2</v>
      </c>
      <c r="I72" s="14">
        <f t="shared" si="1"/>
        <v>123912.27085897389</v>
      </c>
    </row>
    <row r="73" spans="1:9" x14ac:dyDescent="0.35">
      <c r="A73" s="3">
        <v>43938</v>
      </c>
      <c r="B73" s="4">
        <v>3.6114010789205342E-2</v>
      </c>
      <c r="C73">
        <f ca="1">IF(B73&lt;Monte_Carlo!$AC$2,1,0)</f>
        <v>0</v>
      </c>
      <c r="D73" s="13"/>
      <c r="F73" s="13"/>
      <c r="G73">
        <v>71</v>
      </c>
      <c r="H73" s="4">
        <v>-4.1927790479574206E-2</v>
      </c>
      <c r="I73" s="14">
        <f t="shared" si="1"/>
        <v>-419277.90479574207</v>
      </c>
    </row>
    <row r="74" spans="1:9" x14ac:dyDescent="0.35">
      <c r="A74" s="3">
        <v>43941</v>
      </c>
      <c r="B74" s="4">
        <v>-1.1937077658419294E-4</v>
      </c>
      <c r="C74">
        <f ca="1">IF(B74&lt;Monte_Carlo!$AC$2,1,0)</f>
        <v>0</v>
      </c>
      <c r="D74" s="13"/>
      <c r="F74" s="13"/>
      <c r="G74">
        <v>72</v>
      </c>
      <c r="H74" s="4">
        <v>1.6755296755017822E-2</v>
      </c>
      <c r="I74" s="14">
        <f t="shared" si="1"/>
        <v>167552.96755017823</v>
      </c>
    </row>
    <row r="75" spans="1:9" x14ac:dyDescent="0.35">
      <c r="A75" s="3">
        <v>43942</v>
      </c>
      <c r="B75" s="4">
        <v>-1.5391001422466509E-2</v>
      </c>
      <c r="C75">
        <f ca="1">IF(B75&lt;Monte_Carlo!$AC$2,1,0)</f>
        <v>0</v>
      </c>
      <c r="D75" s="13"/>
      <c r="F75" s="13"/>
      <c r="G75">
        <v>73</v>
      </c>
      <c r="H75" s="4">
        <v>-3.4557190354609479E-3</v>
      </c>
      <c r="I75" s="14">
        <f t="shared" si="1"/>
        <v>-34557.190354609476</v>
      </c>
    </row>
    <row r="76" spans="1:9" x14ac:dyDescent="0.35">
      <c r="A76" s="3">
        <v>43943</v>
      </c>
      <c r="B76" s="4">
        <v>-1.2895353348422406E-2</v>
      </c>
      <c r="C76">
        <f ca="1">IF(B76&lt;Monte_Carlo!$AC$2,1,0)</f>
        <v>0</v>
      </c>
      <c r="D76" s="13"/>
      <c r="F76" s="13"/>
      <c r="G76">
        <v>74</v>
      </c>
      <c r="H76" s="4">
        <v>-1.8227162013995827E-2</v>
      </c>
      <c r="I76" s="14">
        <f t="shared" si="1"/>
        <v>-182271.62013995828</v>
      </c>
    </row>
    <row r="77" spans="1:9" x14ac:dyDescent="0.35">
      <c r="A77" s="3">
        <v>43944</v>
      </c>
      <c r="B77" s="4">
        <v>2.7641717370534977E-2</v>
      </c>
      <c r="C77">
        <f ca="1">IF(B77&lt;Monte_Carlo!$AC$2,1,0)</f>
        <v>0</v>
      </c>
      <c r="D77" s="13"/>
      <c r="F77" s="13"/>
      <c r="G77">
        <v>75</v>
      </c>
      <c r="H77" s="4">
        <v>2.3472140406263688E-2</v>
      </c>
      <c r="I77" s="14">
        <f t="shared" si="1"/>
        <v>234721.4040626369</v>
      </c>
    </row>
    <row r="78" spans="1:9" x14ac:dyDescent="0.35">
      <c r="A78" s="3">
        <v>43945</v>
      </c>
      <c r="B78" s="4">
        <v>-4.6910163059339254E-2</v>
      </c>
      <c r="C78">
        <f ca="1">IF(B78&lt;Monte_Carlo!$AC$2,1,0)</f>
        <v>0</v>
      </c>
      <c r="D78" s="13"/>
      <c r="F78" s="13"/>
      <c r="G78">
        <v>76</v>
      </c>
      <c r="H78" s="4">
        <v>-9.8387985561594147E-3</v>
      </c>
      <c r="I78" s="14">
        <f t="shared" si="1"/>
        <v>-98387.985561594149</v>
      </c>
    </row>
    <row r="79" spans="1:9" x14ac:dyDescent="0.35">
      <c r="A79" s="3">
        <v>43948</v>
      </c>
      <c r="B79" s="4">
        <v>4.4197641271676941E-2</v>
      </c>
      <c r="C79">
        <f ca="1">IF(B79&lt;Monte_Carlo!$AC$2,1,0)</f>
        <v>0</v>
      </c>
      <c r="D79" s="13"/>
      <c r="F79" s="13"/>
      <c r="G79">
        <v>77</v>
      </c>
      <c r="H79" s="4">
        <v>1.331810281698829E-2</v>
      </c>
      <c r="I79" s="14">
        <f t="shared" si="1"/>
        <v>133181.02816988289</v>
      </c>
    </row>
    <row r="80" spans="1:9" x14ac:dyDescent="0.35">
      <c r="A80" s="3">
        <v>43949</v>
      </c>
      <c r="B80" s="4">
        <v>-7.7797088316233377E-3</v>
      </c>
      <c r="C80">
        <f ca="1">IF(B80&lt;Monte_Carlo!$AC$2,1,0)</f>
        <v>0</v>
      </c>
      <c r="D80" s="13"/>
      <c r="F80" s="13"/>
      <c r="G80">
        <v>78</v>
      </c>
      <c r="H80" s="4">
        <v>-2.1556783146857727E-2</v>
      </c>
      <c r="I80" s="14">
        <f t="shared" si="1"/>
        <v>-215567.83146857726</v>
      </c>
    </row>
    <row r="81" spans="1:9" x14ac:dyDescent="0.35">
      <c r="A81" s="3">
        <v>43950</v>
      </c>
      <c r="B81" s="4">
        <v>2.9167446477406562E-2</v>
      </c>
      <c r="C81">
        <f ca="1">IF(B81&lt;Monte_Carlo!$AC$2,1,0)</f>
        <v>0</v>
      </c>
      <c r="D81" s="13"/>
      <c r="F81" s="13"/>
      <c r="G81">
        <v>79</v>
      </c>
      <c r="H81" s="4">
        <v>5.8863077493794833E-3</v>
      </c>
      <c r="I81" s="14">
        <f t="shared" si="1"/>
        <v>58863.07749379483</v>
      </c>
    </row>
    <row r="82" spans="1:9" x14ac:dyDescent="0.35">
      <c r="A82" s="3">
        <v>43951</v>
      </c>
      <c r="B82" s="4">
        <v>3.9634115524977399E-2</v>
      </c>
      <c r="C82">
        <f ca="1">IF(B82&lt;Monte_Carlo!$AC$2,1,0)</f>
        <v>0</v>
      </c>
      <c r="D82" s="13"/>
      <c r="F82" s="13"/>
      <c r="G82">
        <v>80</v>
      </c>
      <c r="H82" s="4">
        <v>1.1920767503977126E-2</v>
      </c>
      <c r="I82" s="14">
        <f t="shared" si="1"/>
        <v>119207.67503977126</v>
      </c>
    </row>
    <row r="83" spans="1:9" x14ac:dyDescent="0.35">
      <c r="A83" s="3">
        <v>43955</v>
      </c>
      <c r="B83" s="4">
        <v>-6.2005218767029038E-2</v>
      </c>
      <c r="C83">
        <f ca="1">IF(B83&lt;Monte_Carlo!$AC$2,1,0)</f>
        <v>1</v>
      </c>
      <c r="D83" s="13"/>
      <c r="F83" s="13"/>
      <c r="G83">
        <v>81</v>
      </c>
      <c r="H83" s="4">
        <v>-9.1659137185597997E-3</v>
      </c>
      <c r="I83" s="14">
        <f t="shared" si="1"/>
        <v>-91659.137185597996</v>
      </c>
    </row>
    <row r="84" spans="1:9" x14ac:dyDescent="0.35">
      <c r="A84" s="3">
        <v>43956</v>
      </c>
      <c r="B84" s="4">
        <v>3.3117500396893499E-3</v>
      </c>
      <c r="C84">
        <f ca="1">IF(B84&lt;Monte_Carlo!$AC$2,1,0)</f>
        <v>0</v>
      </c>
      <c r="D84" s="13"/>
      <c r="F84" s="13"/>
      <c r="G84">
        <v>82</v>
      </c>
      <c r="H84" s="4">
        <v>3.137536030109014E-3</v>
      </c>
      <c r="I84" s="14">
        <f t="shared" si="1"/>
        <v>31375.360301090139</v>
      </c>
    </row>
    <row r="85" spans="1:9" x14ac:dyDescent="0.35">
      <c r="A85" s="3">
        <v>43957</v>
      </c>
      <c r="B85" s="4">
        <v>-7.1737013674207458E-5</v>
      </c>
      <c r="C85">
        <f ca="1">IF(B85&lt;Monte_Carlo!$AC$2,1,0)</f>
        <v>0</v>
      </c>
      <c r="D85" s="13"/>
      <c r="F85" s="13"/>
      <c r="G85">
        <v>83</v>
      </c>
      <c r="H85" s="4">
        <v>-2.3545875311937473E-2</v>
      </c>
      <c r="I85" s="14">
        <f t="shared" si="1"/>
        <v>-235458.75311937474</v>
      </c>
    </row>
    <row r="86" spans="1:9" x14ac:dyDescent="0.35">
      <c r="A86" s="3">
        <v>43958</v>
      </c>
      <c r="B86" s="4">
        <v>-8.1480049762905141E-3</v>
      </c>
      <c r="C86">
        <f ca="1">IF(B86&lt;Monte_Carlo!$AC$2,1,0)</f>
        <v>0</v>
      </c>
      <c r="D86" s="13"/>
      <c r="F86" s="13"/>
      <c r="G86">
        <v>84</v>
      </c>
      <c r="H86" s="4">
        <v>2.7480430667761371E-2</v>
      </c>
      <c r="I86" s="14">
        <f t="shared" si="1"/>
        <v>274804.3066776137</v>
      </c>
    </row>
    <row r="87" spans="1:9" x14ac:dyDescent="0.35">
      <c r="A87" s="3">
        <v>43959</v>
      </c>
      <c r="B87" s="4">
        <v>1.6604108723226024E-2</v>
      </c>
      <c r="C87">
        <f ca="1">IF(B87&lt;Monte_Carlo!$AC$2,1,0)</f>
        <v>0</v>
      </c>
      <c r="D87" s="13"/>
      <c r="F87" s="13"/>
      <c r="G87">
        <v>85</v>
      </c>
      <c r="H87" s="4">
        <v>-2.9581243048045946E-2</v>
      </c>
      <c r="I87" s="14">
        <f t="shared" si="1"/>
        <v>-295812.43048045947</v>
      </c>
    </row>
    <row r="88" spans="1:9" x14ac:dyDescent="0.35">
      <c r="A88" s="3">
        <v>43962</v>
      </c>
      <c r="B88" s="4">
        <v>3.9327297039321418E-2</v>
      </c>
      <c r="C88">
        <f ca="1">IF(B88&lt;Monte_Carlo!$AC$2,1,0)</f>
        <v>0</v>
      </c>
      <c r="D88" s="13"/>
      <c r="F88" s="13"/>
      <c r="G88">
        <v>86</v>
      </c>
      <c r="H88" s="4">
        <v>2.7146621763773325E-2</v>
      </c>
      <c r="I88" s="14">
        <f t="shared" si="1"/>
        <v>271466.21763773327</v>
      </c>
    </row>
    <row r="89" spans="1:9" x14ac:dyDescent="0.35">
      <c r="A89" s="3">
        <v>43963</v>
      </c>
      <c r="B89" s="4">
        <v>2.9178440219779649E-2</v>
      </c>
      <c r="C89">
        <f ca="1">IF(B89&lt;Monte_Carlo!$AC$2,1,0)</f>
        <v>0</v>
      </c>
      <c r="D89" s="13"/>
      <c r="F89" s="13"/>
      <c r="G89">
        <v>87</v>
      </c>
      <c r="H89" s="4">
        <v>-3.7272399162318704E-4</v>
      </c>
      <c r="I89" s="14">
        <f t="shared" si="1"/>
        <v>-3727.2399162318702</v>
      </c>
    </row>
    <row r="90" spans="1:9" x14ac:dyDescent="0.35">
      <c r="A90" s="3">
        <v>43964</v>
      </c>
      <c r="B90" s="4">
        <v>-1.0813542431304822E-2</v>
      </c>
      <c r="C90">
        <f ca="1">IF(B90&lt;Monte_Carlo!$AC$2,1,0)</f>
        <v>0</v>
      </c>
      <c r="D90" s="13"/>
      <c r="F90" s="13"/>
      <c r="G90">
        <v>88</v>
      </c>
      <c r="H90" s="4">
        <v>2.5941186194366885E-2</v>
      </c>
      <c r="I90" s="14">
        <f t="shared" si="1"/>
        <v>259411.86194366886</v>
      </c>
    </row>
    <row r="91" spans="1:9" x14ac:dyDescent="0.35">
      <c r="A91" s="3">
        <v>43965</v>
      </c>
      <c r="B91" s="4">
        <v>-5.0184290865570046E-2</v>
      </c>
      <c r="C91">
        <f ca="1">IF(B91&lt;Monte_Carlo!$AC$2,1,0)</f>
        <v>1</v>
      </c>
      <c r="D91" s="13"/>
      <c r="F91" s="13"/>
      <c r="G91">
        <v>89</v>
      </c>
      <c r="H91" s="4">
        <v>-2.4746623967431044E-2</v>
      </c>
      <c r="I91" s="14">
        <f t="shared" si="1"/>
        <v>-247466.23967431043</v>
      </c>
    </row>
    <row r="92" spans="1:9" x14ac:dyDescent="0.35">
      <c r="A92" s="3">
        <v>43966</v>
      </c>
      <c r="B92" s="4">
        <v>3.4586958104637138E-3</v>
      </c>
      <c r="C92">
        <f ca="1">IF(B92&lt;Monte_Carlo!$AC$2,1,0)</f>
        <v>0</v>
      </c>
      <c r="D92" s="13"/>
      <c r="F92" s="13"/>
      <c r="G92">
        <v>90</v>
      </c>
      <c r="H92" s="4">
        <v>5.8599831113228312E-3</v>
      </c>
      <c r="I92" s="14">
        <f t="shared" si="1"/>
        <v>58599.831113228312</v>
      </c>
    </row>
    <row r="93" spans="1:9" x14ac:dyDescent="0.35">
      <c r="A93" s="3">
        <v>43969</v>
      </c>
      <c r="B93" s="4">
        <v>-5.4378700838251928E-2</v>
      </c>
      <c r="C93">
        <f ca="1">IF(B93&lt;Monte_Carlo!$AC$2,1,0)</f>
        <v>1</v>
      </c>
      <c r="D93" s="13"/>
      <c r="F93" s="13"/>
      <c r="G93">
        <v>91</v>
      </c>
      <c r="H93" s="4">
        <v>-1.7078435313555431E-2</v>
      </c>
      <c r="I93" s="14">
        <f t="shared" si="1"/>
        <v>-170784.35313555432</v>
      </c>
    </row>
    <row r="94" spans="1:9" x14ac:dyDescent="0.35">
      <c r="A94" s="3">
        <v>43970</v>
      </c>
      <c r="B94" s="4">
        <v>2.719184501956317E-2</v>
      </c>
      <c r="C94">
        <f ca="1">IF(B94&lt;Monte_Carlo!$AC$2,1,0)</f>
        <v>0</v>
      </c>
      <c r="D94" s="13"/>
      <c r="F94" s="13"/>
      <c r="G94">
        <v>92</v>
      </c>
      <c r="H94" s="4">
        <v>7.3635798974783376E-3</v>
      </c>
      <c r="I94" s="14">
        <f t="shared" si="1"/>
        <v>73635.798974783378</v>
      </c>
    </row>
    <row r="95" spans="1:9" x14ac:dyDescent="0.35">
      <c r="A95" s="3">
        <v>43971</v>
      </c>
      <c r="B95" s="4">
        <v>8.4799998723904969E-3</v>
      </c>
      <c r="C95">
        <f ca="1">IF(B95&lt;Monte_Carlo!$AC$2,1,0)</f>
        <v>0</v>
      </c>
      <c r="D95" s="13"/>
      <c r="F95" s="13"/>
      <c r="G95">
        <v>93</v>
      </c>
      <c r="H95" s="4">
        <v>1.0552065919695352E-2</v>
      </c>
      <c r="I95" s="14">
        <f t="shared" si="1"/>
        <v>105520.65919695352</v>
      </c>
    </row>
    <row r="96" spans="1:9" x14ac:dyDescent="0.35">
      <c r="A96" s="3">
        <v>43972</v>
      </c>
      <c r="B96" s="4">
        <v>8.8099235810458806E-3</v>
      </c>
      <c r="C96">
        <f ca="1">IF(B96&lt;Monte_Carlo!$AC$2,1,0)</f>
        <v>0</v>
      </c>
      <c r="D96" s="13"/>
      <c r="F96" s="13"/>
      <c r="G96">
        <v>94</v>
      </c>
      <c r="H96" s="4">
        <v>-2.9073317454031211E-3</v>
      </c>
      <c r="I96" s="14">
        <f t="shared" si="1"/>
        <v>-29073.31745403121</v>
      </c>
    </row>
    <row r="97" spans="1:9" x14ac:dyDescent="0.35">
      <c r="A97" s="3">
        <v>43973</v>
      </c>
      <c r="B97" s="4">
        <v>-8.3510785080424532E-3</v>
      </c>
      <c r="C97">
        <f ca="1">IF(B97&lt;Monte_Carlo!$AC$2,1,0)</f>
        <v>0</v>
      </c>
      <c r="D97" s="13"/>
      <c r="F97" s="13"/>
      <c r="G97">
        <v>95</v>
      </c>
      <c r="H97" s="4">
        <v>-2.3349371900907516E-2</v>
      </c>
      <c r="I97" s="14">
        <f t="shared" si="1"/>
        <v>-233493.71900907517</v>
      </c>
    </row>
    <row r="98" spans="1:9" x14ac:dyDescent="0.35">
      <c r="A98" s="3">
        <v>43977</v>
      </c>
      <c r="B98" s="4">
        <v>-6.6336419571394432E-3</v>
      </c>
      <c r="C98">
        <f ca="1">IF(B98&lt;Monte_Carlo!$AC$2,1,0)</f>
        <v>0</v>
      </c>
      <c r="D98" s="13"/>
      <c r="F98" s="13"/>
      <c r="G98">
        <v>96</v>
      </c>
      <c r="H98" s="4">
        <v>3.480816572075366E-2</v>
      </c>
      <c r="I98" s="14">
        <f t="shared" si="1"/>
        <v>348081.65720753663</v>
      </c>
    </row>
    <row r="99" spans="1:9" x14ac:dyDescent="0.35">
      <c r="A99" s="3">
        <v>43978</v>
      </c>
      <c r="B99" s="4">
        <v>8.0210562842533556E-3</v>
      </c>
      <c r="C99">
        <f ca="1">IF(B99&lt;Monte_Carlo!$AC$2,1,0)</f>
        <v>0</v>
      </c>
      <c r="D99" s="13"/>
      <c r="F99" s="13"/>
      <c r="G99">
        <v>97</v>
      </c>
      <c r="H99" s="4">
        <v>-6.5207019206243774E-3</v>
      </c>
      <c r="I99" s="14">
        <f t="shared" si="1"/>
        <v>-65207.019206243771</v>
      </c>
    </row>
    <row r="100" spans="1:9" x14ac:dyDescent="0.35">
      <c r="A100" s="3">
        <v>43979</v>
      </c>
      <c r="B100" s="4">
        <v>2.3679821047041572E-2</v>
      </c>
      <c r="C100">
        <f ca="1">IF(B100&lt;Monte_Carlo!$AC$2,1,0)</f>
        <v>0</v>
      </c>
      <c r="D100" s="13"/>
      <c r="F100" s="13"/>
      <c r="G100">
        <v>98</v>
      </c>
      <c r="H100" s="4">
        <v>-6.4467540668804307E-3</v>
      </c>
      <c r="I100" s="14">
        <f t="shared" si="1"/>
        <v>-64467.540668804308</v>
      </c>
    </row>
    <row r="101" spans="1:9" x14ac:dyDescent="0.35">
      <c r="A101" s="3">
        <v>43980</v>
      </c>
      <c r="B101" s="4">
        <v>3.6618050412848907E-2</v>
      </c>
      <c r="C101">
        <f ca="1">IF(B101&lt;Monte_Carlo!$AC$2,1,0)</f>
        <v>0</v>
      </c>
      <c r="D101" s="13"/>
      <c r="F101" s="13"/>
      <c r="G101">
        <v>99</v>
      </c>
      <c r="H101" s="4">
        <v>-2.0705632260466064E-2</v>
      </c>
      <c r="I101" s="14">
        <f t="shared" si="1"/>
        <v>-207056.32260466064</v>
      </c>
    </row>
    <row r="102" spans="1:9" x14ac:dyDescent="0.35">
      <c r="A102" s="3">
        <v>43983</v>
      </c>
      <c r="B102" s="4">
        <v>8.7848680525019133E-4</v>
      </c>
      <c r="C102">
        <f ca="1">IF(B102&lt;Monte_Carlo!$AC$2,1,0)</f>
        <v>0</v>
      </c>
      <c r="D102" s="13"/>
      <c r="F102" s="13"/>
      <c r="G102">
        <v>100</v>
      </c>
      <c r="H102" s="4">
        <v>4.9664990833648483E-2</v>
      </c>
      <c r="I102" s="14">
        <f t="shared" si="1"/>
        <v>496649.9083364848</v>
      </c>
    </row>
    <row r="103" spans="1:9" x14ac:dyDescent="0.35">
      <c r="A103" s="3">
        <v>43984</v>
      </c>
      <c r="B103" s="4">
        <v>-6.0586576829593005E-3</v>
      </c>
      <c r="C103">
        <f ca="1">IF(B103&lt;Monte_Carlo!$AC$2,1,0)</f>
        <v>0</v>
      </c>
      <c r="D103" s="13"/>
      <c r="F103" s="13"/>
      <c r="G103">
        <v>101</v>
      </c>
      <c r="H103" s="4">
        <v>-2.4545616200217439E-2</v>
      </c>
      <c r="I103" s="14">
        <f t="shared" si="1"/>
        <v>-245456.16200217439</v>
      </c>
    </row>
    <row r="104" spans="1:9" x14ac:dyDescent="0.35">
      <c r="A104" s="3">
        <v>43985</v>
      </c>
      <c r="B104" s="4">
        <v>-1.7203385630245156E-2</v>
      </c>
      <c r="C104">
        <f ca="1">IF(B104&lt;Monte_Carlo!$AC$2,1,0)</f>
        <v>0</v>
      </c>
      <c r="D104" s="13"/>
      <c r="F104" s="13"/>
      <c r="G104">
        <v>102</v>
      </c>
      <c r="H104" s="4">
        <v>1.8375565856583748E-2</v>
      </c>
      <c r="I104" s="14">
        <f t="shared" si="1"/>
        <v>183755.65856583748</v>
      </c>
    </row>
    <row r="105" spans="1:9" x14ac:dyDescent="0.35">
      <c r="A105" s="3">
        <v>43986</v>
      </c>
      <c r="B105" s="4">
        <v>2.8021495668687467E-3</v>
      </c>
      <c r="C105">
        <f ca="1">IF(B105&lt;Monte_Carlo!$AC$2,1,0)</f>
        <v>0</v>
      </c>
      <c r="D105" s="13"/>
      <c r="F105" s="13"/>
      <c r="G105">
        <v>103</v>
      </c>
      <c r="H105" s="4">
        <v>-2.5535072328530025E-3</v>
      </c>
      <c r="I105" s="14">
        <f t="shared" si="1"/>
        <v>-25535.072328530026</v>
      </c>
    </row>
    <row r="106" spans="1:9" x14ac:dyDescent="0.35">
      <c r="A106" s="3">
        <v>43987</v>
      </c>
      <c r="B106" s="4">
        <v>1.8873983798880088E-2</v>
      </c>
      <c r="C106">
        <f ca="1">IF(B106&lt;Monte_Carlo!$AC$2,1,0)</f>
        <v>0</v>
      </c>
      <c r="D106" s="13"/>
      <c r="F106" s="13"/>
      <c r="G106">
        <v>104</v>
      </c>
      <c r="H106" s="4">
        <v>-7.1552817706837205E-2</v>
      </c>
      <c r="I106" s="14">
        <f t="shared" si="1"/>
        <v>-715528.17706837202</v>
      </c>
    </row>
    <row r="107" spans="1:9" x14ac:dyDescent="0.35">
      <c r="A107" s="3">
        <v>43990</v>
      </c>
      <c r="B107" s="4">
        <v>1.4608493643643399E-2</v>
      </c>
      <c r="C107">
        <f ca="1">IF(B107&lt;Monte_Carlo!$AC$2,1,0)</f>
        <v>0</v>
      </c>
      <c r="D107" s="13"/>
      <c r="F107" s="13"/>
      <c r="G107">
        <v>105</v>
      </c>
      <c r="H107" s="4">
        <v>4.6850557812459448E-2</v>
      </c>
      <c r="I107" s="14">
        <f t="shared" si="1"/>
        <v>468505.57812459447</v>
      </c>
    </row>
    <row r="108" spans="1:9" x14ac:dyDescent="0.35">
      <c r="A108" s="3">
        <v>43991</v>
      </c>
      <c r="B108" s="4">
        <v>2.2980688554198214E-2</v>
      </c>
      <c r="C108">
        <f ca="1">IF(B108&lt;Monte_Carlo!$AC$2,1,0)</f>
        <v>0</v>
      </c>
      <c r="D108" s="13"/>
      <c r="F108" s="13"/>
      <c r="G108">
        <v>106</v>
      </c>
      <c r="H108" s="4">
        <v>4.344637073681829E-3</v>
      </c>
      <c r="I108" s="14">
        <f t="shared" si="1"/>
        <v>43446.370736818288</v>
      </c>
    </row>
    <row r="109" spans="1:9" x14ac:dyDescent="0.35">
      <c r="A109" s="3">
        <v>43992</v>
      </c>
      <c r="B109" s="4">
        <v>-3.1369546601377734E-3</v>
      </c>
      <c r="C109">
        <f ca="1">IF(B109&lt;Monte_Carlo!$AC$2,1,0)</f>
        <v>0</v>
      </c>
      <c r="D109" s="13"/>
      <c r="F109" s="13"/>
      <c r="G109">
        <v>107</v>
      </c>
      <c r="H109" s="4">
        <v>8.9125601634514849E-3</v>
      </c>
      <c r="I109" s="14">
        <f t="shared" si="1"/>
        <v>89125.601634514853</v>
      </c>
    </row>
    <row r="110" spans="1:9" x14ac:dyDescent="0.35">
      <c r="A110" s="3">
        <v>43993</v>
      </c>
      <c r="B110" s="4">
        <v>-1.7590632727409863E-2</v>
      </c>
      <c r="C110">
        <f ca="1">IF(B110&lt;Monte_Carlo!$AC$2,1,0)</f>
        <v>0</v>
      </c>
      <c r="D110" s="13"/>
      <c r="F110" s="13"/>
      <c r="G110">
        <v>108</v>
      </c>
      <c r="H110" s="4">
        <v>-2.9103886183015716E-2</v>
      </c>
      <c r="I110" s="14">
        <f t="shared" si="1"/>
        <v>-291038.86183015717</v>
      </c>
    </row>
    <row r="111" spans="1:9" x14ac:dyDescent="0.35">
      <c r="A111" s="3">
        <v>43994</v>
      </c>
      <c r="B111" s="4">
        <v>-5.4626077594790087E-3</v>
      </c>
      <c r="C111">
        <f ca="1">IF(B111&lt;Monte_Carlo!$AC$2,1,0)</f>
        <v>0</v>
      </c>
      <c r="D111" s="13"/>
      <c r="F111" s="13"/>
      <c r="G111">
        <v>109</v>
      </c>
      <c r="H111" s="4">
        <v>6.653263687027923E-2</v>
      </c>
      <c r="I111" s="14">
        <f t="shared" si="1"/>
        <v>665326.36870279233</v>
      </c>
    </row>
    <row r="112" spans="1:9" x14ac:dyDescent="0.35">
      <c r="A112" s="3">
        <v>43997</v>
      </c>
      <c r="B112" s="4">
        <v>6.6690314358654728E-3</v>
      </c>
      <c r="C112">
        <f ca="1">IF(B112&lt;Monte_Carlo!$AC$2,1,0)</f>
        <v>0</v>
      </c>
      <c r="D112" s="13"/>
      <c r="F112" s="13"/>
      <c r="G112">
        <v>110</v>
      </c>
      <c r="H112" s="4">
        <v>-7.8339224488697359E-2</v>
      </c>
      <c r="I112" s="14">
        <f t="shared" si="1"/>
        <v>-783392.24488697364</v>
      </c>
    </row>
    <row r="113" spans="1:9" x14ac:dyDescent="0.35">
      <c r="A113" s="3">
        <v>43998</v>
      </c>
      <c r="B113" s="4">
        <v>3.0520858023308423E-2</v>
      </c>
      <c r="C113">
        <f ca="1">IF(B113&lt;Monte_Carlo!$AC$2,1,0)</f>
        <v>0</v>
      </c>
      <c r="D113" s="13"/>
      <c r="F113" s="13"/>
      <c r="G113">
        <v>111</v>
      </c>
      <c r="H113" s="4">
        <v>3.4050893981788517E-2</v>
      </c>
      <c r="I113" s="14">
        <f t="shared" si="1"/>
        <v>340508.93981788517</v>
      </c>
    </row>
    <row r="114" spans="1:9" x14ac:dyDescent="0.35">
      <c r="A114" s="3">
        <v>43999</v>
      </c>
      <c r="B114" s="4">
        <v>-3.2616111209679294E-3</v>
      </c>
      <c r="C114">
        <f ca="1">IF(B114&lt;Monte_Carlo!$AC$2,1,0)</f>
        <v>0</v>
      </c>
      <c r="D114" s="13"/>
      <c r="F114" s="13"/>
      <c r="G114">
        <v>112</v>
      </c>
      <c r="H114" s="4">
        <v>-5.5716701704434848E-3</v>
      </c>
      <c r="I114" s="14">
        <f t="shared" si="1"/>
        <v>-55716.701704434847</v>
      </c>
    </row>
    <row r="115" spans="1:9" x14ac:dyDescent="0.35">
      <c r="A115" s="3">
        <v>44000</v>
      </c>
      <c r="B115" s="4">
        <v>-3.2972824841324855E-2</v>
      </c>
      <c r="C115">
        <f ca="1">IF(B115&lt;Monte_Carlo!$AC$2,1,0)</f>
        <v>0</v>
      </c>
      <c r="D115" s="13"/>
      <c r="F115" s="13"/>
      <c r="G115">
        <v>113</v>
      </c>
      <c r="H115" s="4">
        <v>-4.818245124589688E-3</v>
      </c>
      <c r="I115" s="14">
        <f t="shared" si="1"/>
        <v>-48182.451245896882</v>
      </c>
    </row>
    <row r="116" spans="1:9" x14ac:dyDescent="0.35">
      <c r="A116" s="3">
        <v>44001</v>
      </c>
      <c r="B116" s="4">
        <v>-7.8597424417021083E-3</v>
      </c>
      <c r="C116">
        <f ca="1">IF(B116&lt;Monte_Carlo!$AC$2,1,0)</f>
        <v>0</v>
      </c>
      <c r="D116" s="13"/>
      <c r="F116" s="13"/>
      <c r="G116">
        <v>114</v>
      </c>
      <c r="H116" s="4">
        <v>-1.2448549341749458E-2</v>
      </c>
      <c r="I116" s="14">
        <f t="shared" si="1"/>
        <v>-124485.49341749458</v>
      </c>
    </row>
    <row r="117" spans="1:9" x14ac:dyDescent="0.35">
      <c r="A117" s="3">
        <v>44004</v>
      </c>
      <c r="B117" s="4">
        <v>2.5123500398673768E-3</v>
      </c>
      <c r="C117">
        <f ca="1">IF(B117&lt;Monte_Carlo!$AC$2,1,0)</f>
        <v>0</v>
      </c>
      <c r="D117" s="13"/>
      <c r="F117" s="13"/>
      <c r="G117">
        <v>115</v>
      </c>
      <c r="H117" s="4">
        <v>1.5278859914300386E-2</v>
      </c>
      <c r="I117" s="14">
        <f t="shared" si="1"/>
        <v>152788.59914300387</v>
      </c>
    </row>
    <row r="118" spans="1:9" x14ac:dyDescent="0.35">
      <c r="A118" s="3">
        <v>44005</v>
      </c>
      <c r="B118" s="4">
        <v>1.0554582275520211E-2</v>
      </c>
      <c r="C118">
        <f ca="1">IF(B118&lt;Monte_Carlo!$AC$2,1,0)</f>
        <v>0</v>
      </c>
      <c r="D118" s="13"/>
      <c r="F118" s="13"/>
      <c r="G118">
        <v>116</v>
      </c>
      <c r="H118" s="4">
        <v>3.2546149457223755E-2</v>
      </c>
      <c r="I118" s="14">
        <f t="shared" si="1"/>
        <v>325461.49457223754</v>
      </c>
    </row>
    <row r="119" spans="1:9" x14ac:dyDescent="0.35">
      <c r="A119" s="3">
        <v>44006</v>
      </c>
      <c r="B119" s="4">
        <v>-1.6657737672568641E-3</v>
      </c>
      <c r="C119">
        <f ca="1">IF(B119&lt;Monte_Carlo!$AC$2,1,0)</f>
        <v>0</v>
      </c>
      <c r="D119" s="13"/>
      <c r="F119" s="13"/>
      <c r="G119">
        <v>117</v>
      </c>
      <c r="H119" s="4">
        <v>-4.9601216233829591E-2</v>
      </c>
      <c r="I119" s="14">
        <f t="shared" si="1"/>
        <v>-496012.16233829589</v>
      </c>
    </row>
    <row r="120" spans="1:9" x14ac:dyDescent="0.35">
      <c r="A120" s="3">
        <v>44007</v>
      </c>
      <c r="B120" s="4">
        <v>-1.0869399248308719E-2</v>
      </c>
      <c r="C120">
        <f ca="1">IF(B120&lt;Monte_Carlo!$AC$2,1,0)</f>
        <v>0</v>
      </c>
      <c r="D120" s="13"/>
      <c r="F120" s="13"/>
      <c r="G120">
        <v>118</v>
      </c>
      <c r="H120" s="4">
        <v>2.2745385316233806E-2</v>
      </c>
      <c r="I120" s="14">
        <f t="shared" si="1"/>
        <v>227453.85316233805</v>
      </c>
    </row>
    <row r="121" spans="1:9" x14ac:dyDescent="0.35">
      <c r="A121" s="3">
        <v>44008</v>
      </c>
      <c r="B121" s="4">
        <v>-7.185953473430387E-3</v>
      </c>
      <c r="C121">
        <f ca="1">IF(B121&lt;Monte_Carlo!$AC$2,1,0)</f>
        <v>0</v>
      </c>
      <c r="D121" s="13"/>
      <c r="F121" s="13"/>
      <c r="G121">
        <v>119</v>
      </c>
      <c r="H121" s="4">
        <v>-3.1292272277699359E-2</v>
      </c>
      <c r="I121" s="14">
        <f t="shared" si="1"/>
        <v>-312922.72277699359</v>
      </c>
    </row>
    <row r="122" spans="1:9" x14ac:dyDescent="0.35">
      <c r="A122" s="3">
        <v>44011</v>
      </c>
      <c r="B122" s="4">
        <v>-2.1519512126146265E-2</v>
      </c>
      <c r="C122">
        <f ca="1">IF(B122&lt;Monte_Carlo!$AC$2,1,0)</f>
        <v>0</v>
      </c>
      <c r="D122" s="13"/>
      <c r="F122" s="13"/>
      <c r="G122">
        <v>120</v>
      </c>
      <c r="H122" s="4">
        <v>8.9791995513445085E-3</v>
      </c>
      <c r="I122" s="14">
        <f t="shared" si="1"/>
        <v>89791.995513445087</v>
      </c>
    </row>
    <row r="123" spans="1:9" x14ac:dyDescent="0.35">
      <c r="A123" s="3">
        <v>44012</v>
      </c>
      <c r="B123" s="4">
        <v>1.7424039254635652E-2</v>
      </c>
      <c r="C123">
        <f ca="1">IF(B123&lt;Monte_Carlo!$AC$2,1,0)</f>
        <v>0</v>
      </c>
      <c r="D123" s="13"/>
      <c r="F123" s="13"/>
      <c r="G123">
        <v>121</v>
      </c>
      <c r="H123" s="4">
        <v>6.3471101600606587E-4</v>
      </c>
      <c r="I123" s="14">
        <f t="shared" si="1"/>
        <v>6347.1101600606589</v>
      </c>
    </row>
    <row r="124" spans="1:9" x14ac:dyDescent="0.35">
      <c r="A124" s="3">
        <v>44013</v>
      </c>
      <c r="B124" s="4">
        <v>5.3405353209657509E-3</v>
      </c>
      <c r="C124">
        <f ca="1">IF(B124&lt;Monte_Carlo!$AC$2,1,0)</f>
        <v>0</v>
      </c>
      <c r="D124" s="13"/>
      <c r="F124" s="13"/>
      <c r="G124">
        <v>122</v>
      </c>
      <c r="H124" s="4">
        <v>5.5666459488490985E-2</v>
      </c>
      <c r="I124" s="14">
        <f t="shared" si="1"/>
        <v>556664.59488490981</v>
      </c>
    </row>
    <row r="125" spans="1:9" x14ac:dyDescent="0.35">
      <c r="A125" s="3">
        <v>44014</v>
      </c>
      <c r="B125" s="4">
        <v>1.4091591138096162E-2</v>
      </c>
      <c r="C125">
        <f ca="1">IF(B125&lt;Monte_Carlo!$AC$2,1,0)</f>
        <v>0</v>
      </c>
      <c r="D125" s="13"/>
      <c r="F125" s="13"/>
      <c r="G125">
        <v>123</v>
      </c>
      <c r="H125" s="4">
        <v>-3.689230089000433E-2</v>
      </c>
      <c r="I125" s="14">
        <f t="shared" si="1"/>
        <v>-368923.00890004332</v>
      </c>
    </row>
    <row r="126" spans="1:9" x14ac:dyDescent="0.35">
      <c r="A126" s="3">
        <v>44015</v>
      </c>
      <c r="B126" s="4">
        <v>-4.7823665494601611E-3</v>
      </c>
      <c r="C126">
        <f ca="1">IF(B126&lt;Monte_Carlo!$AC$2,1,0)</f>
        <v>0</v>
      </c>
      <c r="D126" s="13"/>
      <c r="F126" s="13"/>
      <c r="G126">
        <v>124</v>
      </c>
      <c r="H126" s="4">
        <v>-1.9406678562402843E-2</v>
      </c>
      <c r="I126" s="14">
        <f t="shared" si="1"/>
        <v>-194066.78562402845</v>
      </c>
    </row>
    <row r="127" spans="1:9" x14ac:dyDescent="0.35">
      <c r="A127" s="3">
        <v>44018</v>
      </c>
      <c r="B127" s="4">
        <v>2.5909700562714274E-3</v>
      </c>
      <c r="C127">
        <f ca="1">IF(B127&lt;Monte_Carlo!$AC$2,1,0)</f>
        <v>0</v>
      </c>
      <c r="D127" s="13"/>
      <c r="F127" s="13"/>
      <c r="G127">
        <v>125</v>
      </c>
      <c r="H127" s="4">
        <v>2.9993098717521545E-2</v>
      </c>
      <c r="I127" s="14">
        <f t="shared" si="1"/>
        <v>299930.98717521544</v>
      </c>
    </row>
    <row r="128" spans="1:9" x14ac:dyDescent="0.35">
      <c r="A128" s="3">
        <v>44019</v>
      </c>
      <c r="B128" s="4">
        <v>-9.6735707195730221E-3</v>
      </c>
      <c r="C128">
        <f ca="1">IF(B128&lt;Monte_Carlo!$AC$2,1,0)</f>
        <v>0</v>
      </c>
      <c r="D128" s="13"/>
      <c r="F128" s="13"/>
      <c r="G128">
        <v>126</v>
      </c>
      <c r="H128" s="4">
        <v>-7.146316713628518E-3</v>
      </c>
      <c r="I128" s="14">
        <f t="shared" si="1"/>
        <v>-71463.167136285178</v>
      </c>
    </row>
    <row r="129" spans="1:9" x14ac:dyDescent="0.35">
      <c r="A129" s="3">
        <v>44020</v>
      </c>
      <c r="B129" s="4">
        <v>2.101832311112364E-2</v>
      </c>
      <c r="C129">
        <f ca="1">IF(B129&lt;Monte_Carlo!$AC$2,1,0)</f>
        <v>0</v>
      </c>
      <c r="D129" s="13"/>
      <c r="F129" s="13"/>
      <c r="G129">
        <v>127</v>
      </c>
      <c r="H129" s="4">
        <v>-1.8737880290649014E-2</v>
      </c>
      <c r="I129" s="14">
        <f t="shared" si="1"/>
        <v>-187378.80290649013</v>
      </c>
    </row>
    <row r="130" spans="1:9" x14ac:dyDescent="0.35">
      <c r="A130" s="3">
        <v>44021</v>
      </c>
      <c r="B130" s="4">
        <v>-1.2610408484745615E-2</v>
      </c>
      <c r="C130">
        <f ca="1">IF(B130&lt;Monte_Carlo!$AC$2,1,0)</f>
        <v>0</v>
      </c>
      <c r="D130" s="13"/>
      <c r="F130" s="13"/>
      <c r="G130">
        <v>128</v>
      </c>
      <c r="H130" s="4">
        <v>2.4480075675541609E-2</v>
      </c>
      <c r="I130" s="14">
        <f t="shared" si="1"/>
        <v>244800.75675541608</v>
      </c>
    </row>
    <row r="131" spans="1:9" x14ac:dyDescent="0.35">
      <c r="A131" s="3">
        <v>44022</v>
      </c>
      <c r="B131" s="4">
        <v>-1.2713919506185832E-2</v>
      </c>
      <c r="C131">
        <f ca="1">IF(B131&lt;Monte_Carlo!$AC$2,1,0)</f>
        <v>0</v>
      </c>
      <c r="D131" s="13"/>
      <c r="F131" s="13"/>
      <c r="G131">
        <v>129</v>
      </c>
      <c r="H131" s="4">
        <v>-4.1858727632210664E-2</v>
      </c>
      <c r="I131" s="14">
        <f t="shared" si="1"/>
        <v>-418587.27632210666</v>
      </c>
    </row>
    <row r="132" spans="1:9" x14ac:dyDescent="0.35">
      <c r="A132" s="3">
        <v>44025</v>
      </c>
      <c r="B132" s="4">
        <v>5.1059945675711888E-3</v>
      </c>
      <c r="C132">
        <f ca="1">IF(B132&lt;Monte_Carlo!$AC$2,1,0)</f>
        <v>0</v>
      </c>
      <c r="D132" s="13"/>
      <c r="F132" s="13"/>
      <c r="G132">
        <v>130</v>
      </c>
      <c r="H132" s="4">
        <v>2.6884422979421715E-2</v>
      </c>
      <c r="I132" s="14">
        <f t="shared" si="1"/>
        <v>268844.22979421716</v>
      </c>
    </row>
    <row r="133" spans="1:9" x14ac:dyDescent="0.35">
      <c r="A133" s="3">
        <v>44026</v>
      </c>
      <c r="B133" s="4">
        <v>-9.5578121967689524E-3</v>
      </c>
      <c r="C133">
        <f ca="1">IF(B133&lt;Monte_Carlo!$AC$2,1,0)</f>
        <v>0</v>
      </c>
      <c r="D133" s="13"/>
      <c r="F133" s="13"/>
      <c r="G133">
        <v>131</v>
      </c>
      <c r="H133" s="4">
        <v>-4.9038575548776492E-3</v>
      </c>
      <c r="I133" s="14">
        <f t="shared" ref="I133:I196" si="2">H133*10000000</f>
        <v>-49038.575548776491</v>
      </c>
    </row>
    <row r="134" spans="1:9" x14ac:dyDescent="0.35">
      <c r="A134" s="3">
        <v>44027</v>
      </c>
      <c r="B134" s="4">
        <v>-1.0546439712039127E-2</v>
      </c>
      <c r="C134">
        <f ca="1">IF(B134&lt;Monte_Carlo!$AC$2,1,0)</f>
        <v>0</v>
      </c>
      <c r="D134" s="13"/>
      <c r="F134" s="13"/>
      <c r="G134">
        <v>132</v>
      </c>
      <c r="H134" s="4">
        <v>1.3199950272485862E-2</v>
      </c>
      <c r="I134" s="14">
        <f t="shared" si="2"/>
        <v>131999.50272485861</v>
      </c>
    </row>
    <row r="135" spans="1:9" x14ac:dyDescent="0.35">
      <c r="A135" s="3">
        <v>44028</v>
      </c>
      <c r="B135" s="4">
        <v>-5.0645007897316277E-3</v>
      </c>
      <c r="C135">
        <f ca="1">IF(B135&lt;Monte_Carlo!$AC$2,1,0)</f>
        <v>0</v>
      </c>
      <c r="D135" s="13"/>
      <c r="F135" s="13"/>
      <c r="G135">
        <v>133</v>
      </c>
      <c r="H135" s="4">
        <v>1.8546976286341339E-3</v>
      </c>
      <c r="I135" s="14">
        <f t="shared" si="2"/>
        <v>18546.976286341338</v>
      </c>
    </row>
    <row r="136" spans="1:9" x14ac:dyDescent="0.35">
      <c r="A136" s="3">
        <v>44029</v>
      </c>
      <c r="B136" s="4">
        <v>2.4293705027747612E-2</v>
      </c>
      <c r="C136">
        <f ca="1">IF(B136&lt;Monte_Carlo!$AC$2,1,0)</f>
        <v>0</v>
      </c>
      <c r="D136" s="13"/>
      <c r="F136" s="13"/>
      <c r="G136">
        <v>134</v>
      </c>
      <c r="H136" s="4">
        <v>-7.8304658870598422E-3</v>
      </c>
      <c r="I136" s="14">
        <f t="shared" si="2"/>
        <v>-78304.658870598418</v>
      </c>
    </row>
    <row r="137" spans="1:9" x14ac:dyDescent="0.35">
      <c r="A137" s="3">
        <v>44032</v>
      </c>
      <c r="B137" s="4">
        <v>4.2296391907521547E-2</v>
      </c>
      <c r="C137">
        <f ca="1">IF(B137&lt;Monte_Carlo!$AC$2,1,0)</f>
        <v>0</v>
      </c>
      <c r="D137" s="13"/>
      <c r="F137" s="13"/>
      <c r="G137">
        <v>135</v>
      </c>
      <c r="H137" s="4">
        <v>-1.4783328093437619E-2</v>
      </c>
      <c r="I137" s="14">
        <f t="shared" si="2"/>
        <v>-147833.28093437618</v>
      </c>
    </row>
    <row r="138" spans="1:9" x14ac:dyDescent="0.35">
      <c r="A138" s="3">
        <v>44033</v>
      </c>
      <c r="B138" s="4">
        <v>4.0469314874972528E-3</v>
      </c>
      <c r="C138">
        <f ca="1">IF(B138&lt;Monte_Carlo!$AC$2,1,0)</f>
        <v>0</v>
      </c>
      <c r="D138" s="13"/>
      <c r="F138" s="13"/>
      <c r="G138">
        <v>136</v>
      </c>
      <c r="H138" s="4">
        <v>1.2379661402064163E-2</v>
      </c>
      <c r="I138" s="14">
        <f t="shared" si="2"/>
        <v>123796.61402064163</v>
      </c>
    </row>
    <row r="139" spans="1:9" x14ac:dyDescent="0.35">
      <c r="A139" s="3">
        <v>44034</v>
      </c>
      <c r="B139" s="4">
        <v>-3.0491281223844296E-2</v>
      </c>
      <c r="C139">
        <f ca="1">IF(B139&lt;Monte_Carlo!$AC$2,1,0)</f>
        <v>0</v>
      </c>
      <c r="D139" s="13"/>
      <c r="F139" s="13"/>
      <c r="G139">
        <v>137</v>
      </c>
      <c r="H139" s="4">
        <v>1.2482895040648413E-2</v>
      </c>
      <c r="I139" s="14">
        <f t="shared" si="2"/>
        <v>124828.95040648413</v>
      </c>
    </row>
    <row r="140" spans="1:9" x14ac:dyDescent="0.35">
      <c r="A140" s="3">
        <v>44035</v>
      </c>
      <c r="B140" s="4">
        <v>-2.9099522563760605E-3</v>
      </c>
      <c r="C140">
        <f ca="1">IF(B140&lt;Monte_Carlo!$AC$2,1,0)</f>
        <v>0</v>
      </c>
      <c r="D140" s="13"/>
      <c r="F140" s="13"/>
      <c r="G140">
        <v>138</v>
      </c>
      <c r="H140" s="4">
        <v>-1.9107303924228373E-2</v>
      </c>
      <c r="I140" s="14">
        <f t="shared" si="2"/>
        <v>-191073.03924228373</v>
      </c>
    </row>
    <row r="141" spans="1:9" x14ac:dyDescent="0.35">
      <c r="A141" s="3">
        <v>44036</v>
      </c>
      <c r="B141" s="4">
        <v>4.1312619484470603E-3</v>
      </c>
      <c r="C141">
        <f ca="1">IF(B141&lt;Monte_Carlo!$AC$2,1,0)</f>
        <v>0</v>
      </c>
      <c r="D141" s="13"/>
      <c r="F141" s="13"/>
      <c r="G141">
        <v>139</v>
      </c>
      <c r="H141" s="4">
        <v>-1.2139533711254662E-2</v>
      </c>
      <c r="I141" s="14">
        <f t="shared" si="2"/>
        <v>-121395.33711254662</v>
      </c>
    </row>
    <row r="142" spans="1:9" x14ac:dyDescent="0.35">
      <c r="A142" s="3">
        <v>44039</v>
      </c>
      <c r="B142" s="4">
        <v>-1.2212601564891479E-3</v>
      </c>
      <c r="C142">
        <f ca="1">IF(B142&lt;Monte_Carlo!$AC$2,1,0)</f>
        <v>0</v>
      </c>
      <c r="D142" s="13"/>
      <c r="F142" s="13"/>
      <c r="G142">
        <v>140</v>
      </c>
      <c r="H142" s="4">
        <v>4.117121464800514E-2</v>
      </c>
      <c r="I142" s="14">
        <f t="shared" si="2"/>
        <v>411712.14648005139</v>
      </c>
    </row>
    <row r="143" spans="1:9" x14ac:dyDescent="0.35">
      <c r="A143" s="3">
        <v>44040</v>
      </c>
      <c r="B143" s="4">
        <v>4.4781753280319107E-3</v>
      </c>
      <c r="C143">
        <f ca="1">IF(B143&lt;Monte_Carlo!$AC$2,1,0)</f>
        <v>0</v>
      </c>
      <c r="D143" s="13"/>
      <c r="F143" s="13"/>
      <c r="G143">
        <v>141</v>
      </c>
      <c r="H143" s="4">
        <v>-4.5699566219847838E-2</v>
      </c>
      <c r="I143" s="14">
        <f t="shared" si="2"/>
        <v>-456995.66219847836</v>
      </c>
    </row>
    <row r="144" spans="1:9" x14ac:dyDescent="0.35">
      <c r="A144" s="3">
        <v>44041</v>
      </c>
      <c r="B144" s="4">
        <v>-9.8204387374819287E-3</v>
      </c>
      <c r="C144">
        <f ca="1">IF(B144&lt;Monte_Carlo!$AC$2,1,0)</f>
        <v>0</v>
      </c>
      <c r="D144" s="13"/>
      <c r="F144" s="13"/>
      <c r="G144">
        <v>142</v>
      </c>
      <c r="H144" s="4">
        <v>1.5708550669534301E-2</v>
      </c>
      <c r="I144" s="14">
        <f t="shared" si="2"/>
        <v>157085.50669534301</v>
      </c>
    </row>
    <row r="145" spans="1:9" x14ac:dyDescent="0.35">
      <c r="A145" s="3">
        <v>44042</v>
      </c>
      <c r="B145" s="4">
        <v>7.4446531412122787E-3</v>
      </c>
      <c r="C145">
        <f ca="1">IF(B145&lt;Monte_Carlo!$AC$2,1,0)</f>
        <v>0</v>
      </c>
      <c r="D145" s="13"/>
      <c r="F145" s="13"/>
      <c r="G145">
        <v>143</v>
      </c>
      <c r="H145" s="4">
        <v>4.0744524739249499E-2</v>
      </c>
      <c r="I145" s="14">
        <f t="shared" si="2"/>
        <v>407445.24739249499</v>
      </c>
    </row>
    <row r="146" spans="1:9" x14ac:dyDescent="0.35">
      <c r="A146" s="3">
        <v>44043</v>
      </c>
      <c r="B146" s="4">
        <v>-1.2682843792169845E-2</v>
      </c>
      <c r="C146">
        <f ca="1">IF(B146&lt;Monte_Carlo!$AC$2,1,0)</f>
        <v>0</v>
      </c>
      <c r="D146" s="13"/>
      <c r="F146" s="13"/>
      <c r="G146">
        <v>144</v>
      </c>
      <c r="H146" s="4">
        <v>-4.2750528555022267E-2</v>
      </c>
      <c r="I146" s="14">
        <f t="shared" si="2"/>
        <v>-427505.28555022267</v>
      </c>
    </row>
    <row r="147" spans="1:9" x14ac:dyDescent="0.35">
      <c r="A147" s="3">
        <v>44046</v>
      </c>
      <c r="B147" s="4">
        <v>8.3052406563044294E-3</v>
      </c>
      <c r="C147">
        <f ca="1">IF(B147&lt;Monte_Carlo!$AC$2,1,0)</f>
        <v>0</v>
      </c>
      <c r="D147" s="13"/>
      <c r="F147" s="13"/>
      <c r="G147">
        <v>145</v>
      </c>
      <c r="H147" s="4">
        <v>4.9030636856362386E-2</v>
      </c>
      <c r="I147" s="14">
        <f t="shared" si="2"/>
        <v>490306.36856362387</v>
      </c>
    </row>
    <row r="148" spans="1:9" x14ac:dyDescent="0.35">
      <c r="A148" s="3">
        <v>44047</v>
      </c>
      <c r="B148" s="4">
        <v>1.5987873265792842E-2</v>
      </c>
      <c r="C148">
        <f ca="1">IF(B148&lt;Monte_Carlo!$AC$2,1,0)</f>
        <v>0</v>
      </c>
      <c r="D148" s="13"/>
      <c r="F148" s="13"/>
      <c r="G148">
        <v>146</v>
      </c>
      <c r="H148" s="4">
        <v>-1.1998694460345882E-2</v>
      </c>
      <c r="I148" s="14">
        <f t="shared" si="2"/>
        <v>-119986.94460345882</v>
      </c>
    </row>
    <row r="149" spans="1:9" x14ac:dyDescent="0.35">
      <c r="A149" s="3">
        <v>44048</v>
      </c>
      <c r="B149" s="4">
        <v>2.7621224362917472E-3</v>
      </c>
      <c r="C149">
        <f ca="1">IF(B149&lt;Monte_Carlo!$AC$2,1,0)</f>
        <v>0</v>
      </c>
      <c r="D149" s="13"/>
      <c r="F149" s="13"/>
      <c r="G149">
        <v>147</v>
      </c>
      <c r="H149" s="4">
        <v>-4.6846231098176573E-2</v>
      </c>
      <c r="I149" s="14">
        <f t="shared" si="2"/>
        <v>-468462.31098176574</v>
      </c>
    </row>
    <row r="150" spans="1:9" x14ac:dyDescent="0.35">
      <c r="A150" s="3">
        <v>44049</v>
      </c>
      <c r="B150" s="4">
        <v>1.0035600167958588E-2</v>
      </c>
      <c r="C150">
        <f ca="1">IF(B150&lt;Monte_Carlo!$AC$2,1,0)</f>
        <v>0</v>
      </c>
      <c r="D150" s="13"/>
      <c r="F150" s="13"/>
      <c r="G150">
        <v>148</v>
      </c>
      <c r="H150" s="4">
        <v>1.7329733281048247E-2</v>
      </c>
      <c r="I150" s="14">
        <f t="shared" si="2"/>
        <v>173297.33281048248</v>
      </c>
    </row>
    <row r="151" spans="1:9" x14ac:dyDescent="0.35">
      <c r="A151" s="3">
        <v>44050</v>
      </c>
      <c r="B151" s="4">
        <v>-1.0137825023407146E-2</v>
      </c>
      <c r="C151">
        <f ca="1">IF(B151&lt;Monte_Carlo!$AC$2,1,0)</f>
        <v>0</v>
      </c>
      <c r="D151" s="13"/>
      <c r="F151" s="13"/>
      <c r="G151">
        <v>149</v>
      </c>
      <c r="H151" s="4">
        <v>2.3062426662360178E-3</v>
      </c>
      <c r="I151" s="14">
        <f t="shared" si="2"/>
        <v>23062.426662360176</v>
      </c>
    </row>
    <row r="152" spans="1:9" x14ac:dyDescent="0.35">
      <c r="A152" s="3">
        <v>44053</v>
      </c>
      <c r="B152" s="4">
        <v>2.6933942679639302E-2</v>
      </c>
      <c r="C152">
        <f ca="1">IF(B152&lt;Monte_Carlo!$AC$2,1,0)</f>
        <v>0</v>
      </c>
      <c r="D152" s="13"/>
      <c r="F152" s="13"/>
      <c r="G152">
        <v>150</v>
      </c>
      <c r="H152" s="4">
        <v>5.3774198399752695E-3</v>
      </c>
      <c r="I152" s="14">
        <f t="shared" si="2"/>
        <v>53774.198399752699</v>
      </c>
    </row>
    <row r="153" spans="1:9" x14ac:dyDescent="0.35">
      <c r="A153" s="3">
        <v>44054</v>
      </c>
      <c r="B153" s="4">
        <v>-2.2300547884855606E-2</v>
      </c>
      <c r="C153">
        <f ca="1">IF(B153&lt;Monte_Carlo!$AC$2,1,0)</f>
        <v>0</v>
      </c>
      <c r="D153" s="13"/>
      <c r="F153" s="13"/>
      <c r="G153">
        <v>151</v>
      </c>
      <c r="H153" s="4">
        <v>-9.2740328391640314E-3</v>
      </c>
      <c r="I153" s="14">
        <f t="shared" si="2"/>
        <v>-92740.328391640316</v>
      </c>
    </row>
    <row r="154" spans="1:9" x14ac:dyDescent="0.35">
      <c r="A154" s="3">
        <v>44055</v>
      </c>
      <c r="B154" s="4">
        <v>1.0166051276041466E-2</v>
      </c>
      <c r="C154">
        <f ca="1">IF(B154&lt;Monte_Carlo!$AC$2,1,0)</f>
        <v>0</v>
      </c>
      <c r="D154" s="13"/>
      <c r="F154" s="13"/>
      <c r="G154">
        <v>152</v>
      </c>
      <c r="H154" s="4">
        <v>-1.376006711829713E-2</v>
      </c>
      <c r="I154" s="14">
        <f t="shared" si="2"/>
        <v>-137600.6711829713</v>
      </c>
    </row>
    <row r="155" spans="1:9" x14ac:dyDescent="0.35">
      <c r="A155" s="3">
        <v>44056</v>
      </c>
      <c r="B155" s="4">
        <v>-8.4022978505504473E-3</v>
      </c>
      <c r="C155">
        <f ca="1">IF(B155&lt;Monte_Carlo!$AC$2,1,0)</f>
        <v>0</v>
      </c>
      <c r="D155" s="13"/>
      <c r="F155" s="13"/>
      <c r="G155">
        <v>153</v>
      </c>
      <c r="H155" s="4">
        <v>4.1238139349030256E-2</v>
      </c>
      <c r="I155" s="14">
        <f t="shared" si="2"/>
        <v>412381.39349030255</v>
      </c>
    </row>
    <row r="156" spans="1:9" x14ac:dyDescent="0.35">
      <c r="A156" s="3">
        <v>44057</v>
      </c>
      <c r="B156" s="4">
        <v>-3.1026071521958493E-2</v>
      </c>
      <c r="C156">
        <f ca="1">IF(B156&lt;Monte_Carlo!$AC$2,1,0)</f>
        <v>0</v>
      </c>
      <c r="D156" s="13"/>
      <c r="F156" s="13"/>
      <c r="G156">
        <v>154</v>
      </c>
      <c r="H156" s="4">
        <v>5.3834955899696056E-3</v>
      </c>
      <c r="I156" s="14">
        <f t="shared" si="2"/>
        <v>53834.955899696055</v>
      </c>
    </row>
    <row r="157" spans="1:9" x14ac:dyDescent="0.35">
      <c r="A157" s="3">
        <v>44060</v>
      </c>
      <c r="B157" s="4">
        <v>-8.7295117489310653E-3</v>
      </c>
      <c r="C157">
        <f ca="1">IF(B157&lt;Monte_Carlo!$AC$2,1,0)</f>
        <v>0</v>
      </c>
      <c r="D157" s="13"/>
      <c r="F157" s="13"/>
      <c r="G157">
        <v>155</v>
      </c>
      <c r="H157" s="4">
        <v>-2.0979553725978293E-2</v>
      </c>
      <c r="I157" s="14">
        <f t="shared" si="2"/>
        <v>-209795.53725978293</v>
      </c>
    </row>
    <row r="158" spans="1:9" x14ac:dyDescent="0.35">
      <c r="A158" s="3">
        <v>44061</v>
      </c>
      <c r="B158" s="4">
        <v>2.2810960949073446E-2</v>
      </c>
      <c r="C158">
        <f ca="1">IF(B158&lt;Monte_Carlo!$AC$2,1,0)</f>
        <v>0</v>
      </c>
      <c r="D158" s="13"/>
      <c r="F158" s="13"/>
      <c r="G158">
        <v>156</v>
      </c>
      <c r="H158" s="4">
        <v>1.3659068954938462E-3</v>
      </c>
      <c r="I158" s="14">
        <f t="shared" si="2"/>
        <v>13659.068954938462</v>
      </c>
    </row>
    <row r="159" spans="1:9" x14ac:dyDescent="0.35">
      <c r="A159" s="3">
        <v>44062</v>
      </c>
      <c r="B159" s="4">
        <v>-7.3785598306086667E-3</v>
      </c>
      <c r="C159">
        <f ca="1">IF(B159&lt;Monte_Carlo!$AC$2,1,0)</f>
        <v>0</v>
      </c>
      <c r="D159" s="13"/>
      <c r="F159" s="13"/>
      <c r="G159">
        <v>157</v>
      </c>
      <c r="H159" s="4">
        <v>-1.6059929236293034E-2</v>
      </c>
      <c r="I159" s="14">
        <f t="shared" si="2"/>
        <v>-160599.29236293034</v>
      </c>
    </row>
    <row r="160" spans="1:9" x14ac:dyDescent="0.35">
      <c r="A160" s="3">
        <v>44063</v>
      </c>
      <c r="B160" s="4">
        <v>-1.113833480927527E-2</v>
      </c>
      <c r="C160">
        <f ca="1">IF(B160&lt;Monte_Carlo!$AC$2,1,0)</f>
        <v>0</v>
      </c>
      <c r="D160" s="13"/>
      <c r="F160" s="13"/>
      <c r="G160">
        <v>158</v>
      </c>
      <c r="H160" s="4">
        <v>-4.0835164941091101E-3</v>
      </c>
      <c r="I160" s="14">
        <f t="shared" si="2"/>
        <v>-40835.164941091098</v>
      </c>
    </row>
    <row r="161" spans="1:9" x14ac:dyDescent="0.35">
      <c r="A161" s="3">
        <v>44064</v>
      </c>
      <c r="B161" s="4">
        <v>-6.3820662270675204E-4</v>
      </c>
      <c r="C161">
        <f ca="1">IF(B161&lt;Monte_Carlo!$AC$2,1,0)</f>
        <v>0</v>
      </c>
      <c r="D161" s="13"/>
      <c r="F161" s="13"/>
      <c r="G161">
        <v>159</v>
      </c>
      <c r="H161" s="4">
        <v>2.5411339795482067E-2</v>
      </c>
      <c r="I161" s="14">
        <f t="shared" si="2"/>
        <v>254113.39795482068</v>
      </c>
    </row>
    <row r="162" spans="1:9" x14ac:dyDescent="0.35">
      <c r="A162" s="3">
        <v>44067</v>
      </c>
      <c r="B162" s="4">
        <v>-1.6293695594118017E-3</v>
      </c>
      <c r="C162">
        <f ca="1">IF(B162&lt;Monte_Carlo!$AC$2,1,0)</f>
        <v>0</v>
      </c>
      <c r="D162" s="13"/>
      <c r="F162" s="13"/>
      <c r="G162">
        <v>160</v>
      </c>
      <c r="H162" s="4">
        <v>-1.7990740554755049E-2</v>
      </c>
      <c r="I162" s="14">
        <f t="shared" si="2"/>
        <v>-179907.4055475505</v>
      </c>
    </row>
    <row r="163" spans="1:9" x14ac:dyDescent="0.35">
      <c r="A163" s="3">
        <v>44068</v>
      </c>
      <c r="B163" s="4">
        <v>-8.6068383029339994E-3</v>
      </c>
      <c r="C163">
        <f ca="1">IF(B163&lt;Monte_Carlo!$AC$2,1,0)</f>
        <v>0</v>
      </c>
      <c r="D163" s="13"/>
      <c r="F163" s="13"/>
      <c r="G163">
        <v>161</v>
      </c>
      <c r="H163" s="4">
        <v>-1.650232964240728E-2</v>
      </c>
      <c r="I163" s="14">
        <f t="shared" si="2"/>
        <v>-165023.29642407279</v>
      </c>
    </row>
    <row r="164" spans="1:9" x14ac:dyDescent="0.35">
      <c r="A164" s="3">
        <v>44069</v>
      </c>
      <c r="B164" s="4">
        <v>5.5246754654719498E-3</v>
      </c>
      <c r="C164">
        <f ca="1">IF(B164&lt;Monte_Carlo!$AC$2,1,0)</f>
        <v>0</v>
      </c>
      <c r="D164" s="13"/>
      <c r="F164" s="13"/>
      <c r="G164">
        <v>162</v>
      </c>
      <c r="H164" s="4">
        <v>3.3349715203385831E-2</v>
      </c>
      <c r="I164" s="14">
        <f t="shared" si="2"/>
        <v>333497.15203385829</v>
      </c>
    </row>
    <row r="165" spans="1:9" x14ac:dyDescent="0.35">
      <c r="A165" s="3">
        <v>44070</v>
      </c>
      <c r="B165" s="4">
        <v>1.2177053329185257E-2</v>
      </c>
      <c r="C165">
        <f ca="1">IF(B165&lt;Monte_Carlo!$AC$2,1,0)</f>
        <v>0</v>
      </c>
      <c r="D165" s="13"/>
      <c r="F165" s="13"/>
      <c r="G165">
        <v>163</v>
      </c>
      <c r="H165" s="4">
        <v>6.4127233536678072E-3</v>
      </c>
      <c r="I165" s="14">
        <f t="shared" si="2"/>
        <v>64127.233536678075</v>
      </c>
    </row>
    <row r="166" spans="1:9" x14ac:dyDescent="0.35">
      <c r="A166" s="3">
        <v>44071</v>
      </c>
      <c r="B166" s="4">
        <v>5.0634718357506984E-4</v>
      </c>
      <c r="C166">
        <f ca="1">IF(B166&lt;Monte_Carlo!$AC$2,1,0)</f>
        <v>0</v>
      </c>
      <c r="D166" s="13"/>
      <c r="F166" s="13"/>
      <c r="G166">
        <v>164</v>
      </c>
      <c r="H166" s="4">
        <v>-3.2917265325113722E-2</v>
      </c>
      <c r="I166" s="14">
        <f t="shared" si="2"/>
        <v>-329172.65325113724</v>
      </c>
    </row>
    <row r="167" spans="1:9" x14ac:dyDescent="0.35">
      <c r="A167" s="3">
        <v>44074</v>
      </c>
      <c r="B167" s="4">
        <v>-2.8387415047626013E-2</v>
      </c>
      <c r="C167">
        <f ca="1">IF(B167&lt;Monte_Carlo!$AC$2,1,0)</f>
        <v>0</v>
      </c>
      <c r="D167" s="13"/>
      <c r="F167" s="13"/>
      <c r="G167">
        <v>165</v>
      </c>
      <c r="H167" s="4">
        <v>-9.189232211329619E-3</v>
      </c>
      <c r="I167" s="14">
        <f t="shared" si="2"/>
        <v>-91892.322113296192</v>
      </c>
    </row>
    <row r="168" spans="1:9" x14ac:dyDescent="0.35">
      <c r="A168" s="3">
        <v>44075</v>
      </c>
      <c r="B168" s="4">
        <v>1.3846328527514253E-3</v>
      </c>
      <c r="C168">
        <f ca="1">IF(B168&lt;Monte_Carlo!$AC$2,1,0)</f>
        <v>0</v>
      </c>
      <c r="D168" s="13"/>
      <c r="F168" s="13"/>
      <c r="G168">
        <v>166</v>
      </c>
      <c r="H168" s="4">
        <v>2.811194551136879E-2</v>
      </c>
      <c r="I168" s="14">
        <f t="shared" si="2"/>
        <v>281119.4551136879</v>
      </c>
    </row>
    <row r="169" spans="1:9" x14ac:dyDescent="0.35">
      <c r="A169" s="3">
        <v>44076</v>
      </c>
      <c r="B169" s="4">
        <v>3.7512436311428108E-3</v>
      </c>
      <c r="C169">
        <f ca="1">IF(B169&lt;Monte_Carlo!$AC$2,1,0)</f>
        <v>0</v>
      </c>
      <c r="D169" s="13"/>
      <c r="F169" s="13"/>
      <c r="G169">
        <v>167</v>
      </c>
      <c r="H169" s="4">
        <v>8.7207784271145124E-3</v>
      </c>
      <c r="I169" s="14">
        <f t="shared" si="2"/>
        <v>87207.784271145123</v>
      </c>
    </row>
    <row r="170" spans="1:9" x14ac:dyDescent="0.35">
      <c r="A170" s="3">
        <v>44077</v>
      </c>
      <c r="B170" s="4">
        <v>1.4665959425497945E-2</v>
      </c>
      <c r="C170">
        <f ca="1">IF(B170&lt;Monte_Carlo!$AC$2,1,0)</f>
        <v>0</v>
      </c>
      <c r="D170" s="13"/>
      <c r="F170" s="13"/>
      <c r="G170">
        <v>168</v>
      </c>
      <c r="H170" s="4">
        <v>-2.0824549693588653E-2</v>
      </c>
      <c r="I170" s="14">
        <f t="shared" si="2"/>
        <v>-208245.49693588653</v>
      </c>
    </row>
    <row r="171" spans="1:9" x14ac:dyDescent="0.35">
      <c r="A171" s="3">
        <v>44078</v>
      </c>
      <c r="B171" s="4">
        <v>-4.7903790112598377E-3</v>
      </c>
      <c r="C171">
        <f ca="1">IF(B171&lt;Monte_Carlo!$AC$2,1,0)</f>
        <v>0</v>
      </c>
      <c r="D171" s="13"/>
      <c r="F171" s="13"/>
      <c r="G171">
        <v>169</v>
      </c>
      <c r="H171" s="4">
        <v>3.0365677278854182E-3</v>
      </c>
      <c r="I171" s="14">
        <f t="shared" si="2"/>
        <v>30365.677278854182</v>
      </c>
    </row>
    <row r="172" spans="1:9" x14ac:dyDescent="0.35">
      <c r="A172" s="3">
        <v>44081</v>
      </c>
      <c r="B172" s="4">
        <v>-2.7611929639356826E-3</v>
      </c>
      <c r="C172">
        <f ca="1">IF(B172&lt;Monte_Carlo!$AC$2,1,0)</f>
        <v>0</v>
      </c>
      <c r="D172" s="13"/>
      <c r="F172" s="13"/>
      <c r="G172">
        <v>170</v>
      </c>
      <c r="H172" s="4">
        <v>-2.0060411847324478E-2</v>
      </c>
      <c r="I172" s="14">
        <f t="shared" si="2"/>
        <v>-200604.11847324477</v>
      </c>
    </row>
    <row r="173" spans="1:9" x14ac:dyDescent="0.35">
      <c r="A173" s="3">
        <v>44082</v>
      </c>
      <c r="B173" s="4">
        <v>-2.0868740290577024E-2</v>
      </c>
      <c r="C173">
        <f ca="1">IF(B173&lt;Monte_Carlo!$AC$2,1,0)</f>
        <v>0</v>
      </c>
      <c r="D173" s="13"/>
      <c r="F173" s="13"/>
      <c r="G173">
        <v>171</v>
      </c>
      <c r="H173" s="4">
        <v>1.1856141214329975E-3</v>
      </c>
      <c r="I173" s="14">
        <f t="shared" si="2"/>
        <v>11856.141214329975</v>
      </c>
    </row>
    <row r="174" spans="1:9" x14ac:dyDescent="0.35">
      <c r="A174" s="3">
        <v>44083</v>
      </c>
      <c r="B174" s="4">
        <v>-3.6168565062574397E-2</v>
      </c>
      <c r="C174">
        <f ca="1">IF(B174&lt;Monte_Carlo!$AC$2,1,0)</f>
        <v>0</v>
      </c>
      <c r="D174" s="13"/>
      <c r="F174" s="13"/>
      <c r="G174">
        <v>172</v>
      </c>
      <c r="H174" s="4">
        <v>-5.0452055300719209E-3</v>
      </c>
      <c r="I174" s="14">
        <f t="shared" si="2"/>
        <v>-50452.055300719207</v>
      </c>
    </row>
    <row r="175" spans="1:9" x14ac:dyDescent="0.35">
      <c r="A175" s="3">
        <v>44084</v>
      </c>
      <c r="B175" s="4">
        <v>2.6398569260395469E-2</v>
      </c>
      <c r="C175">
        <f ca="1">IF(B175&lt;Monte_Carlo!$AC$2,1,0)</f>
        <v>0</v>
      </c>
      <c r="D175" s="13"/>
      <c r="F175" s="13"/>
      <c r="G175">
        <v>173</v>
      </c>
      <c r="H175" s="4">
        <v>6.3919413164518407E-2</v>
      </c>
      <c r="I175" s="14">
        <f t="shared" si="2"/>
        <v>639194.13164518413</v>
      </c>
    </row>
    <row r="176" spans="1:9" x14ac:dyDescent="0.35">
      <c r="A176" s="3">
        <v>44085</v>
      </c>
      <c r="B176" s="4">
        <v>2.3468916073781584E-2</v>
      </c>
      <c r="C176">
        <f ca="1">IF(B176&lt;Monte_Carlo!$AC$2,1,0)</f>
        <v>0</v>
      </c>
      <c r="D176" s="13"/>
      <c r="F176" s="13"/>
      <c r="G176">
        <v>174</v>
      </c>
      <c r="H176" s="4">
        <v>-1.6629786424604109E-2</v>
      </c>
      <c r="I176" s="14">
        <f t="shared" si="2"/>
        <v>-166297.86424604111</v>
      </c>
    </row>
    <row r="177" spans="1:9" x14ac:dyDescent="0.35">
      <c r="A177" s="3">
        <v>44088</v>
      </c>
      <c r="B177" s="4">
        <v>4.5698333957307066E-3</v>
      </c>
      <c r="C177">
        <f ca="1">IF(B177&lt;Monte_Carlo!$AC$2,1,0)</f>
        <v>0</v>
      </c>
      <c r="D177" s="13"/>
      <c r="F177" s="13"/>
      <c r="G177">
        <v>175</v>
      </c>
      <c r="H177" s="4">
        <v>1.0297480361250134E-4</v>
      </c>
      <c r="I177" s="14">
        <f t="shared" si="2"/>
        <v>1029.7480361250134</v>
      </c>
    </row>
    <row r="178" spans="1:9" x14ac:dyDescent="0.35">
      <c r="A178" s="3">
        <v>44089</v>
      </c>
      <c r="B178" s="4">
        <v>-1.5977418113628876E-3</v>
      </c>
      <c r="C178">
        <f ca="1">IF(B178&lt;Monte_Carlo!$AC$2,1,0)</f>
        <v>0</v>
      </c>
      <c r="D178" s="13"/>
      <c r="F178" s="13"/>
      <c r="G178">
        <v>176</v>
      </c>
      <c r="H178" s="4">
        <v>-1.5083059769052946E-2</v>
      </c>
      <c r="I178" s="14">
        <f t="shared" si="2"/>
        <v>-150830.59769052945</v>
      </c>
    </row>
    <row r="179" spans="1:9" x14ac:dyDescent="0.35">
      <c r="A179" s="3">
        <v>44090</v>
      </c>
      <c r="B179" s="4">
        <v>5.9395775380177498E-3</v>
      </c>
      <c r="C179">
        <f ca="1">IF(B179&lt;Monte_Carlo!$AC$2,1,0)</f>
        <v>0</v>
      </c>
      <c r="D179" s="13"/>
      <c r="F179" s="13"/>
      <c r="G179">
        <v>177</v>
      </c>
      <c r="H179" s="4">
        <v>-1.1825510365654037E-2</v>
      </c>
      <c r="I179" s="14">
        <f t="shared" si="2"/>
        <v>-118255.10365654038</v>
      </c>
    </row>
    <row r="180" spans="1:9" x14ac:dyDescent="0.35">
      <c r="A180" s="3">
        <v>44091</v>
      </c>
      <c r="B180" s="4">
        <v>-2.0985315632175965E-2</v>
      </c>
      <c r="C180">
        <f ca="1">IF(B180&lt;Monte_Carlo!$AC$2,1,0)</f>
        <v>0</v>
      </c>
      <c r="D180" s="13"/>
      <c r="F180" s="13"/>
      <c r="G180">
        <v>178</v>
      </c>
      <c r="H180" s="4">
        <v>1.049912912081522E-2</v>
      </c>
      <c r="I180" s="14">
        <f t="shared" si="2"/>
        <v>104991.29120815219</v>
      </c>
    </row>
    <row r="181" spans="1:9" x14ac:dyDescent="0.35">
      <c r="A181" s="3">
        <v>44092</v>
      </c>
      <c r="B181" s="4">
        <v>4.3003712361535645E-3</v>
      </c>
      <c r="C181">
        <f ca="1">IF(B181&lt;Monte_Carlo!$AC$2,1,0)</f>
        <v>0</v>
      </c>
      <c r="D181" s="13"/>
      <c r="F181" s="13"/>
      <c r="G181">
        <v>179</v>
      </c>
      <c r="H181" s="4">
        <v>-1.084866082489153E-2</v>
      </c>
      <c r="I181" s="14">
        <f t="shared" si="2"/>
        <v>-108486.60824891529</v>
      </c>
    </row>
    <row r="182" spans="1:9" x14ac:dyDescent="0.35">
      <c r="A182" s="3">
        <v>44095</v>
      </c>
      <c r="B182" s="4">
        <v>-2.0579277065400504E-2</v>
      </c>
      <c r="C182">
        <f ca="1">IF(B182&lt;Monte_Carlo!$AC$2,1,0)</f>
        <v>0</v>
      </c>
      <c r="D182" s="13"/>
      <c r="F182" s="13"/>
      <c r="G182">
        <v>180</v>
      </c>
      <c r="H182" s="4">
        <v>1.0333920184875459E-2</v>
      </c>
      <c r="I182" s="14">
        <f t="shared" si="2"/>
        <v>103339.20184875459</v>
      </c>
    </row>
    <row r="183" spans="1:9" x14ac:dyDescent="0.35">
      <c r="A183" s="3">
        <v>44096</v>
      </c>
      <c r="B183" s="4">
        <v>-1.6634850840094702E-2</v>
      </c>
      <c r="C183">
        <f ca="1">IF(B183&lt;Monte_Carlo!$AC$2,1,0)</f>
        <v>0</v>
      </c>
      <c r="D183" s="13"/>
      <c r="F183" s="13"/>
      <c r="G183">
        <v>181</v>
      </c>
      <c r="H183" s="4">
        <v>-7.3288381601424313E-3</v>
      </c>
      <c r="I183" s="14">
        <f t="shared" si="2"/>
        <v>-73288.381601424306</v>
      </c>
    </row>
    <row r="184" spans="1:9" x14ac:dyDescent="0.35">
      <c r="A184" s="3">
        <v>44097</v>
      </c>
      <c r="B184" s="4">
        <v>-8.9179561171532089E-4</v>
      </c>
      <c r="C184">
        <f ca="1">IF(B184&lt;Monte_Carlo!$AC$2,1,0)</f>
        <v>0</v>
      </c>
      <c r="D184" s="13"/>
      <c r="F184" s="13"/>
      <c r="G184">
        <v>182</v>
      </c>
      <c r="H184" s="4">
        <v>4.1629441151156011E-3</v>
      </c>
      <c r="I184" s="14">
        <f t="shared" si="2"/>
        <v>41629.44115115601</v>
      </c>
    </row>
    <row r="185" spans="1:9" x14ac:dyDescent="0.35">
      <c r="A185" s="3">
        <v>44098</v>
      </c>
      <c r="B185" s="4">
        <v>-6.2299786450188349E-3</v>
      </c>
      <c r="C185">
        <f ca="1">IF(B185&lt;Monte_Carlo!$AC$2,1,0)</f>
        <v>0</v>
      </c>
      <c r="D185" s="13"/>
      <c r="F185" s="13"/>
      <c r="G185">
        <v>183</v>
      </c>
      <c r="H185" s="4">
        <v>-1.1009836185013572E-2</v>
      </c>
      <c r="I185" s="14">
        <f t="shared" si="2"/>
        <v>-110098.36185013573</v>
      </c>
    </row>
    <row r="186" spans="1:9" x14ac:dyDescent="0.35">
      <c r="A186" s="3">
        <v>44099</v>
      </c>
      <c r="B186" s="4">
        <v>1.6852569995467231E-2</v>
      </c>
      <c r="C186">
        <f ca="1">IF(B186&lt;Monte_Carlo!$AC$2,1,0)</f>
        <v>0</v>
      </c>
      <c r="D186" s="13"/>
      <c r="F186" s="13"/>
      <c r="G186">
        <v>184</v>
      </c>
      <c r="H186" s="4">
        <v>3.7066216189584E-2</v>
      </c>
      <c r="I186" s="14">
        <f t="shared" si="2"/>
        <v>370662.16189584002</v>
      </c>
    </row>
    <row r="187" spans="1:9" x14ac:dyDescent="0.35">
      <c r="A187" s="3">
        <v>44102</v>
      </c>
      <c r="B187" s="4">
        <v>2.5677106247117571E-3</v>
      </c>
      <c r="C187">
        <f ca="1">IF(B187&lt;Monte_Carlo!$AC$2,1,0)</f>
        <v>0</v>
      </c>
      <c r="D187" s="13"/>
      <c r="F187" s="13"/>
      <c r="G187">
        <v>185</v>
      </c>
      <c r="H187" s="4">
        <v>-3.0955408242590299E-2</v>
      </c>
      <c r="I187" s="14">
        <f t="shared" si="2"/>
        <v>-309554.08242590301</v>
      </c>
    </row>
    <row r="188" spans="1:9" x14ac:dyDescent="0.35">
      <c r="A188" s="3">
        <v>44103</v>
      </c>
      <c r="B188" s="4">
        <v>-1.5320528483257797E-2</v>
      </c>
      <c r="C188">
        <f ca="1">IF(B188&lt;Monte_Carlo!$AC$2,1,0)</f>
        <v>0</v>
      </c>
      <c r="D188" s="13"/>
      <c r="F188" s="13"/>
      <c r="G188">
        <v>186</v>
      </c>
      <c r="H188" s="4">
        <v>2.0048317455476382E-2</v>
      </c>
      <c r="I188" s="14">
        <f t="shared" si="2"/>
        <v>200483.17455476383</v>
      </c>
    </row>
    <row r="189" spans="1:9" x14ac:dyDescent="0.35">
      <c r="A189" s="3">
        <v>44104</v>
      </c>
      <c r="B189" s="4">
        <v>2.5351016217813344E-2</v>
      </c>
      <c r="C189">
        <f ca="1">IF(B189&lt;Monte_Carlo!$AC$2,1,0)</f>
        <v>0</v>
      </c>
      <c r="D189" s="13"/>
      <c r="F189" s="13"/>
      <c r="G189">
        <v>187</v>
      </c>
      <c r="H189" s="4">
        <v>-4.5102822980862024E-3</v>
      </c>
      <c r="I189" s="14">
        <f t="shared" si="2"/>
        <v>-45102.822980862024</v>
      </c>
    </row>
    <row r="190" spans="1:9" x14ac:dyDescent="0.35">
      <c r="A190" s="3">
        <v>44105</v>
      </c>
      <c r="B190" s="4">
        <v>3.0244435563566347E-3</v>
      </c>
      <c r="C190">
        <f ca="1">IF(B190&lt;Monte_Carlo!$AC$2,1,0)</f>
        <v>0</v>
      </c>
      <c r="D190" s="13"/>
      <c r="F190" s="13"/>
      <c r="G190">
        <v>188</v>
      </c>
      <c r="H190" s="4">
        <v>7.9869218222948044E-3</v>
      </c>
      <c r="I190" s="14">
        <f t="shared" si="2"/>
        <v>79869.218222948039</v>
      </c>
    </row>
    <row r="191" spans="1:9" x14ac:dyDescent="0.35">
      <c r="A191" s="3">
        <v>44109</v>
      </c>
      <c r="B191" s="4">
        <v>-1.9499605803674228E-2</v>
      </c>
      <c r="C191">
        <f ca="1">IF(B191&lt;Monte_Carlo!$AC$2,1,0)</f>
        <v>0</v>
      </c>
      <c r="D191" s="13"/>
      <c r="F191" s="13"/>
      <c r="G191">
        <v>189</v>
      </c>
      <c r="H191" s="4">
        <v>-1.8250166176003967E-2</v>
      </c>
      <c r="I191" s="14">
        <f t="shared" si="2"/>
        <v>-182501.66176003966</v>
      </c>
    </row>
    <row r="192" spans="1:9" x14ac:dyDescent="0.35">
      <c r="A192" s="3">
        <v>44110</v>
      </c>
      <c r="B192" s="4">
        <v>-1.3253681812991332E-2</v>
      </c>
      <c r="C192">
        <f ca="1">IF(B192&lt;Monte_Carlo!$AC$2,1,0)</f>
        <v>0</v>
      </c>
      <c r="D192" s="13"/>
      <c r="F192" s="13"/>
      <c r="G192">
        <v>190</v>
      </c>
      <c r="H192" s="4">
        <v>-2.5405297687662864E-2</v>
      </c>
      <c r="I192" s="14">
        <f t="shared" si="2"/>
        <v>-254052.97687662864</v>
      </c>
    </row>
    <row r="193" spans="1:9" x14ac:dyDescent="0.35">
      <c r="A193" s="3">
        <v>44111</v>
      </c>
      <c r="B193" s="4">
        <v>2.1198397317378565E-2</v>
      </c>
      <c r="C193">
        <f ca="1">IF(B193&lt;Monte_Carlo!$AC$2,1,0)</f>
        <v>0</v>
      </c>
      <c r="D193" s="13"/>
      <c r="F193" s="13"/>
      <c r="G193">
        <v>191</v>
      </c>
      <c r="H193" s="4">
        <v>1.9778903925149929E-2</v>
      </c>
      <c r="I193" s="14">
        <f t="shared" si="2"/>
        <v>197789.03925149929</v>
      </c>
    </row>
    <row r="194" spans="1:9" x14ac:dyDescent="0.35">
      <c r="A194" s="3">
        <v>44112</v>
      </c>
      <c r="B194" s="4">
        <v>-1.7631033809049984E-2</v>
      </c>
      <c r="C194">
        <f ca="1">IF(B194&lt;Monte_Carlo!$AC$2,1,0)</f>
        <v>0</v>
      </c>
      <c r="D194" s="13"/>
      <c r="F194" s="13"/>
      <c r="G194">
        <v>192</v>
      </c>
      <c r="H194" s="4">
        <v>1.2670768547616796E-2</v>
      </c>
      <c r="I194" s="14">
        <f t="shared" si="2"/>
        <v>126707.68547616796</v>
      </c>
    </row>
    <row r="195" spans="1:9" x14ac:dyDescent="0.35">
      <c r="A195" s="3">
        <v>44113</v>
      </c>
      <c r="B195" s="4">
        <v>-3.105900930103649E-3</v>
      </c>
      <c r="C195">
        <f ca="1">IF(B195&lt;Monte_Carlo!$AC$2,1,0)</f>
        <v>0</v>
      </c>
      <c r="D195" s="13"/>
      <c r="F195" s="13"/>
      <c r="G195">
        <v>193</v>
      </c>
      <c r="H195" s="4">
        <v>5.6155669567877504E-3</v>
      </c>
      <c r="I195" s="14">
        <f t="shared" si="2"/>
        <v>56155.669567877507</v>
      </c>
    </row>
    <row r="196" spans="1:9" x14ac:dyDescent="0.35">
      <c r="A196" s="3">
        <v>44116</v>
      </c>
      <c r="B196" s="4">
        <v>-2.4252758655071857E-2</v>
      </c>
      <c r="C196">
        <f ca="1">IF(B196&lt;Monte_Carlo!$AC$2,1,0)</f>
        <v>0</v>
      </c>
      <c r="D196" s="13"/>
      <c r="F196" s="13"/>
      <c r="G196">
        <v>194</v>
      </c>
      <c r="H196" s="4">
        <v>-1.2454166659850678E-2</v>
      </c>
      <c r="I196" s="14">
        <f t="shared" si="2"/>
        <v>-124541.66659850678</v>
      </c>
    </row>
    <row r="197" spans="1:9" x14ac:dyDescent="0.35">
      <c r="A197" s="3">
        <v>44117</v>
      </c>
      <c r="B197" s="4">
        <v>-4.3272885039555052E-3</v>
      </c>
      <c r="C197">
        <f ca="1">IF(B197&lt;Monte_Carlo!$AC$2,1,0)</f>
        <v>0</v>
      </c>
      <c r="D197" s="13"/>
      <c r="F197" s="13"/>
      <c r="G197">
        <v>195</v>
      </c>
      <c r="H197" s="4">
        <v>2.974085852378111E-4</v>
      </c>
      <c r="I197" s="14">
        <f t="shared" ref="I197:I260" si="3">H197*10000000</f>
        <v>2974.0858523781112</v>
      </c>
    </row>
    <row r="198" spans="1:9" x14ac:dyDescent="0.35">
      <c r="A198" s="3">
        <v>44118</v>
      </c>
      <c r="B198" s="4">
        <v>2.6848213205945503E-2</v>
      </c>
      <c r="C198">
        <f ca="1">IF(B198&lt;Monte_Carlo!$AC$2,1,0)</f>
        <v>0</v>
      </c>
      <c r="D198" s="13"/>
      <c r="F198" s="13"/>
      <c r="G198">
        <v>196</v>
      </c>
      <c r="H198" s="4">
        <v>-5.1874207760891494E-3</v>
      </c>
      <c r="I198" s="14">
        <f t="shared" si="3"/>
        <v>-51874.207760891491</v>
      </c>
    </row>
    <row r="199" spans="1:9" x14ac:dyDescent="0.35">
      <c r="A199" s="3">
        <v>44119</v>
      </c>
      <c r="B199" s="4">
        <v>-1.6160268562618603E-3</v>
      </c>
      <c r="C199">
        <f ca="1">IF(B199&lt;Monte_Carlo!$AC$2,1,0)</f>
        <v>0</v>
      </c>
      <c r="D199" s="13"/>
      <c r="F199" s="13"/>
      <c r="G199">
        <v>197</v>
      </c>
      <c r="H199" s="4">
        <v>2.3914544818025452E-2</v>
      </c>
      <c r="I199" s="14">
        <f t="shared" si="3"/>
        <v>239145.44818025452</v>
      </c>
    </row>
    <row r="200" spans="1:9" x14ac:dyDescent="0.35">
      <c r="A200" s="3">
        <v>44120</v>
      </c>
      <c r="B200" s="4">
        <v>-7.6257107096210659E-3</v>
      </c>
      <c r="C200">
        <f ca="1">IF(B200&lt;Monte_Carlo!$AC$2,1,0)</f>
        <v>0</v>
      </c>
      <c r="D200" s="13"/>
      <c r="F200" s="13"/>
      <c r="G200">
        <v>198</v>
      </c>
      <c r="H200" s="4">
        <v>5.7154377186657357E-3</v>
      </c>
      <c r="I200" s="14">
        <f t="shared" si="3"/>
        <v>57154.377186657359</v>
      </c>
    </row>
    <row r="201" spans="1:9" x14ac:dyDescent="0.35">
      <c r="A201" s="3">
        <v>44123</v>
      </c>
      <c r="B201" s="4">
        <v>2.2253303088231743E-2</v>
      </c>
      <c r="C201">
        <f ca="1">IF(B201&lt;Monte_Carlo!$AC$2,1,0)</f>
        <v>0</v>
      </c>
      <c r="D201" s="13"/>
      <c r="F201" s="13"/>
      <c r="G201">
        <v>199</v>
      </c>
      <c r="H201" s="4">
        <v>-4.1329738765401719E-2</v>
      </c>
      <c r="I201" s="14">
        <f t="shared" si="3"/>
        <v>-413297.38765401719</v>
      </c>
    </row>
    <row r="202" spans="1:9" x14ac:dyDescent="0.35">
      <c r="A202" s="3">
        <v>44124</v>
      </c>
      <c r="B202" s="4">
        <v>-1.0118165878458641E-2</v>
      </c>
      <c r="C202">
        <f ca="1">IF(B202&lt;Monte_Carlo!$AC$2,1,0)</f>
        <v>0</v>
      </c>
      <c r="D202" s="13"/>
      <c r="F202" s="13"/>
      <c r="G202">
        <v>200</v>
      </c>
      <c r="H202" s="4">
        <v>6.4674186781272396E-4</v>
      </c>
      <c r="I202" s="14">
        <f t="shared" si="3"/>
        <v>6467.4186781272392</v>
      </c>
    </row>
    <row r="203" spans="1:9" x14ac:dyDescent="0.35">
      <c r="A203" s="3">
        <v>44125</v>
      </c>
      <c r="B203" s="4">
        <v>-5.4193328128947938E-3</v>
      </c>
      <c r="C203">
        <f ca="1">IF(B203&lt;Monte_Carlo!$AC$2,1,0)</f>
        <v>0</v>
      </c>
      <c r="D203" s="13"/>
      <c r="F203" s="13"/>
      <c r="G203">
        <v>201</v>
      </c>
      <c r="H203" s="4">
        <v>1.291092521543347E-2</v>
      </c>
      <c r="I203" s="14">
        <f t="shared" si="3"/>
        <v>129109.2521543347</v>
      </c>
    </row>
    <row r="204" spans="1:9" x14ac:dyDescent="0.35">
      <c r="A204" s="3">
        <v>44126</v>
      </c>
      <c r="B204" s="4">
        <v>7.4704601017652594E-3</v>
      </c>
      <c r="C204">
        <f ca="1">IF(B204&lt;Monte_Carlo!$AC$2,1,0)</f>
        <v>0</v>
      </c>
      <c r="D204" s="13"/>
      <c r="F204" s="13"/>
      <c r="G204">
        <v>202</v>
      </c>
      <c r="H204" s="4">
        <v>1.6513330326430993E-2</v>
      </c>
      <c r="I204" s="14">
        <f t="shared" si="3"/>
        <v>165133.30326430994</v>
      </c>
    </row>
    <row r="205" spans="1:9" x14ac:dyDescent="0.35">
      <c r="A205" s="3">
        <v>44127</v>
      </c>
      <c r="B205" s="4">
        <v>1.6430731237443901E-3</v>
      </c>
      <c r="C205">
        <f ca="1">IF(B205&lt;Monte_Carlo!$AC$2,1,0)</f>
        <v>0</v>
      </c>
      <c r="D205" s="13"/>
      <c r="F205" s="13"/>
      <c r="G205">
        <v>203</v>
      </c>
      <c r="H205" s="4">
        <v>-2.6656499925121022E-2</v>
      </c>
      <c r="I205" s="14">
        <f t="shared" si="3"/>
        <v>-266564.99925121019</v>
      </c>
    </row>
    <row r="206" spans="1:9" x14ac:dyDescent="0.35">
      <c r="A206" s="3">
        <v>44130</v>
      </c>
      <c r="B206" s="4">
        <v>-4.5529248188911119E-3</v>
      </c>
      <c r="C206">
        <f ca="1">IF(B206&lt;Monte_Carlo!$AC$2,1,0)</f>
        <v>0</v>
      </c>
      <c r="D206" s="13"/>
      <c r="F206" s="13"/>
      <c r="G206">
        <v>204</v>
      </c>
      <c r="H206" s="4">
        <v>2.2211924671878408E-2</v>
      </c>
      <c r="I206" s="14">
        <f t="shared" si="3"/>
        <v>222119.24671878407</v>
      </c>
    </row>
    <row r="207" spans="1:9" x14ac:dyDescent="0.35">
      <c r="A207" s="3">
        <v>44131</v>
      </c>
      <c r="B207" s="4">
        <v>-2.8598691953995296E-3</v>
      </c>
      <c r="C207">
        <f ca="1">IF(B207&lt;Monte_Carlo!$AC$2,1,0)</f>
        <v>0</v>
      </c>
      <c r="D207" s="13"/>
      <c r="F207" s="13"/>
      <c r="G207">
        <v>205</v>
      </c>
      <c r="H207" s="4">
        <v>3.9975962441006121E-3</v>
      </c>
      <c r="I207" s="14">
        <f t="shared" si="3"/>
        <v>39975.962441006122</v>
      </c>
    </row>
    <row r="208" spans="1:9" x14ac:dyDescent="0.35">
      <c r="A208" s="3">
        <v>44132</v>
      </c>
      <c r="B208" s="4">
        <v>-1.3400299539345356E-2</v>
      </c>
      <c r="C208">
        <f ca="1">IF(B208&lt;Monte_Carlo!$AC$2,1,0)</f>
        <v>0</v>
      </c>
      <c r="D208" s="13"/>
      <c r="F208" s="13"/>
      <c r="G208">
        <v>206</v>
      </c>
      <c r="H208" s="4">
        <v>3.6896956320015151E-3</v>
      </c>
      <c r="I208" s="14">
        <f t="shared" si="3"/>
        <v>36896.956320015153</v>
      </c>
    </row>
    <row r="209" spans="1:9" x14ac:dyDescent="0.35">
      <c r="A209" s="3">
        <v>44133</v>
      </c>
      <c r="B209" s="4">
        <v>5.3619724284335781E-3</v>
      </c>
      <c r="C209">
        <f ca="1">IF(B209&lt;Monte_Carlo!$AC$2,1,0)</f>
        <v>0</v>
      </c>
      <c r="D209" s="13"/>
      <c r="F209" s="13"/>
      <c r="G209">
        <v>207</v>
      </c>
      <c r="H209" s="4">
        <v>-2.0938115135769736E-2</v>
      </c>
      <c r="I209" s="14">
        <f t="shared" si="3"/>
        <v>-209381.15135769735</v>
      </c>
    </row>
    <row r="210" spans="1:9" x14ac:dyDescent="0.35">
      <c r="A210" s="3">
        <v>44134</v>
      </c>
      <c r="B210" s="4">
        <v>-4.469250636712779E-3</v>
      </c>
      <c r="C210">
        <f ca="1">IF(B210&lt;Monte_Carlo!$AC$2,1,0)</f>
        <v>0</v>
      </c>
      <c r="D210" s="13"/>
      <c r="F210" s="13"/>
      <c r="G210">
        <v>208</v>
      </c>
      <c r="H210" s="4">
        <v>-8.5583583136339281E-3</v>
      </c>
      <c r="I210" s="14">
        <f t="shared" si="3"/>
        <v>-85583.583136339279</v>
      </c>
    </row>
    <row r="211" spans="1:9" x14ac:dyDescent="0.35">
      <c r="A211" s="3">
        <v>44137</v>
      </c>
      <c r="B211" s="4">
        <v>-8.235489637111377E-4</v>
      </c>
      <c r="C211">
        <f ca="1">IF(B211&lt;Monte_Carlo!$AC$2,1,0)</f>
        <v>0</v>
      </c>
      <c r="D211" s="13"/>
      <c r="F211" s="13"/>
      <c r="G211">
        <v>209</v>
      </c>
      <c r="H211" s="4">
        <v>-5.1965262985369746E-3</v>
      </c>
      <c r="I211" s="14">
        <f t="shared" si="3"/>
        <v>-51965.262985369744</v>
      </c>
    </row>
    <row r="212" spans="1:9" x14ac:dyDescent="0.35">
      <c r="A212" s="3">
        <v>44138</v>
      </c>
      <c r="B212" s="4">
        <v>1.5083000700087945E-3</v>
      </c>
      <c r="C212">
        <f ca="1">IF(B212&lt;Monte_Carlo!$AC$2,1,0)</f>
        <v>0</v>
      </c>
      <c r="D212" s="13"/>
      <c r="F212" s="13"/>
      <c r="G212">
        <v>210</v>
      </c>
      <c r="H212" s="4">
        <v>1.0738543109446493E-2</v>
      </c>
      <c r="I212" s="14">
        <f t="shared" si="3"/>
        <v>107385.43109446493</v>
      </c>
    </row>
    <row r="213" spans="1:9" x14ac:dyDescent="0.35">
      <c r="A213" s="3">
        <v>44139</v>
      </c>
      <c r="B213" s="4">
        <v>2.7139706426651555E-3</v>
      </c>
      <c r="C213">
        <f ca="1">IF(B213&lt;Monte_Carlo!$AC$2,1,0)</f>
        <v>0</v>
      </c>
      <c r="D213" s="13"/>
      <c r="F213" s="13"/>
      <c r="G213">
        <v>211</v>
      </c>
      <c r="H213" s="4">
        <v>8.1272502661013275E-3</v>
      </c>
      <c r="I213" s="14">
        <f t="shared" si="3"/>
        <v>81272.502661013277</v>
      </c>
    </row>
    <row r="214" spans="1:9" x14ac:dyDescent="0.35">
      <c r="A214" s="3">
        <v>44140</v>
      </c>
      <c r="B214" s="4">
        <v>6.9171243965965362E-3</v>
      </c>
      <c r="C214">
        <f ca="1">IF(B214&lt;Monte_Carlo!$AC$2,1,0)</f>
        <v>0</v>
      </c>
      <c r="D214" s="13"/>
      <c r="F214" s="13"/>
      <c r="G214">
        <v>212</v>
      </c>
      <c r="H214" s="4">
        <v>8.688909134080474E-3</v>
      </c>
      <c r="I214" s="14">
        <f t="shared" si="3"/>
        <v>86889.091340804735</v>
      </c>
    </row>
    <row r="215" spans="1:9" x14ac:dyDescent="0.35">
      <c r="A215" s="3">
        <v>44141</v>
      </c>
      <c r="B215" s="4">
        <v>1.103463196163363E-2</v>
      </c>
      <c r="C215">
        <f ca="1">IF(B215&lt;Monte_Carlo!$AC$2,1,0)</f>
        <v>0</v>
      </c>
      <c r="D215" s="13"/>
      <c r="F215" s="13"/>
      <c r="G215">
        <v>213</v>
      </c>
      <c r="H215" s="4">
        <v>-3.5571815303146598E-3</v>
      </c>
      <c r="I215" s="14">
        <f t="shared" si="3"/>
        <v>-35571.815303146599</v>
      </c>
    </row>
    <row r="216" spans="1:9" x14ac:dyDescent="0.35">
      <c r="A216" s="3">
        <v>44144</v>
      </c>
      <c r="B216" s="4">
        <v>7.0594150861076569E-3</v>
      </c>
      <c r="C216">
        <f ca="1">IF(B216&lt;Monte_Carlo!$AC$2,1,0)</f>
        <v>0</v>
      </c>
      <c r="D216" s="13"/>
      <c r="F216" s="13"/>
      <c r="G216">
        <v>214</v>
      </c>
      <c r="H216" s="4">
        <v>-1.0362091656766732E-2</v>
      </c>
      <c r="I216" s="14">
        <f t="shared" si="3"/>
        <v>-103620.91656766731</v>
      </c>
    </row>
    <row r="217" spans="1:9" x14ac:dyDescent="0.35">
      <c r="A217" s="3">
        <v>44145</v>
      </c>
      <c r="B217" s="4">
        <v>8.3284866570220394E-4</v>
      </c>
      <c r="C217">
        <f ca="1">IF(B217&lt;Monte_Carlo!$AC$2,1,0)</f>
        <v>0</v>
      </c>
      <c r="D217" s="13"/>
      <c r="F217" s="13"/>
      <c r="G217">
        <v>215</v>
      </c>
      <c r="H217" s="4">
        <v>-6.6828778665034639E-3</v>
      </c>
      <c r="I217" s="14">
        <f t="shared" si="3"/>
        <v>-66828.778665034639</v>
      </c>
    </row>
    <row r="218" spans="1:9" x14ac:dyDescent="0.35">
      <c r="A218" s="3">
        <v>44146</v>
      </c>
      <c r="B218" s="4">
        <v>-6.8651645054574305E-4</v>
      </c>
      <c r="C218">
        <f ca="1">IF(B218&lt;Monte_Carlo!$AC$2,1,0)</f>
        <v>0</v>
      </c>
      <c r="D218" s="13"/>
      <c r="F218" s="13"/>
      <c r="G218">
        <v>216</v>
      </c>
      <c r="H218" s="4">
        <v>-9.3155726579560831E-3</v>
      </c>
      <c r="I218" s="14">
        <f t="shared" si="3"/>
        <v>-93155.726579560825</v>
      </c>
    </row>
    <row r="219" spans="1:9" x14ac:dyDescent="0.35">
      <c r="A219" s="3">
        <v>44147</v>
      </c>
      <c r="B219" s="4">
        <v>-1.4413227032364045E-3</v>
      </c>
      <c r="C219">
        <f ca="1">IF(B219&lt;Monte_Carlo!$AC$2,1,0)</f>
        <v>0</v>
      </c>
      <c r="D219" s="13"/>
      <c r="F219" s="13"/>
      <c r="G219">
        <v>217</v>
      </c>
      <c r="H219" s="4">
        <v>1.880810146633773E-2</v>
      </c>
      <c r="I219" s="14">
        <f t="shared" si="3"/>
        <v>188081.01466337728</v>
      </c>
    </row>
    <row r="220" spans="1:9" x14ac:dyDescent="0.35">
      <c r="A220" s="3">
        <v>44148</v>
      </c>
      <c r="B220" s="4">
        <v>2.9627750089912551E-2</v>
      </c>
      <c r="C220">
        <f ca="1">IF(B220&lt;Monte_Carlo!$AC$2,1,0)</f>
        <v>0</v>
      </c>
      <c r="D220" s="13"/>
      <c r="F220" s="13"/>
      <c r="G220">
        <v>218</v>
      </c>
      <c r="H220" s="4">
        <v>-5.6853549231456347E-4</v>
      </c>
      <c r="I220" s="14">
        <f t="shared" si="3"/>
        <v>-5685.3549231456345</v>
      </c>
    </row>
    <row r="221" spans="1:9" x14ac:dyDescent="0.35">
      <c r="A221" s="3">
        <v>44149</v>
      </c>
      <c r="B221" s="4">
        <v>-6.0416087217648421E-4</v>
      </c>
      <c r="C221">
        <f ca="1">IF(B221&lt;Monte_Carlo!$AC$2,1,0)</f>
        <v>0</v>
      </c>
      <c r="D221" s="13"/>
      <c r="F221" s="13"/>
      <c r="G221">
        <v>219</v>
      </c>
      <c r="H221" s="4">
        <v>1.5955266667799648E-2</v>
      </c>
      <c r="I221" s="14">
        <f t="shared" si="3"/>
        <v>159552.66667799649</v>
      </c>
    </row>
    <row r="222" spans="1:9" x14ac:dyDescent="0.35">
      <c r="A222" s="3">
        <v>44152</v>
      </c>
      <c r="B222" s="4">
        <v>1.9158931424197358E-2</v>
      </c>
      <c r="C222">
        <f ca="1">IF(B222&lt;Monte_Carlo!$AC$2,1,0)</f>
        <v>0</v>
      </c>
      <c r="D222" s="13"/>
      <c r="F222" s="13"/>
      <c r="G222">
        <v>220</v>
      </c>
      <c r="H222" s="4">
        <v>1.3970036566739329E-2</v>
      </c>
      <c r="I222" s="14">
        <f t="shared" si="3"/>
        <v>139700.36566739329</v>
      </c>
    </row>
    <row r="223" spans="1:9" x14ac:dyDescent="0.35">
      <c r="A223" s="3">
        <v>44153</v>
      </c>
      <c r="B223" s="4">
        <v>-1.2755329914126472E-2</v>
      </c>
      <c r="C223">
        <f ca="1">IF(B223&lt;Monte_Carlo!$AC$2,1,0)</f>
        <v>0</v>
      </c>
      <c r="D223" s="13"/>
      <c r="F223" s="13"/>
      <c r="G223">
        <v>221</v>
      </c>
      <c r="H223" s="4">
        <v>-1.384254691584752E-2</v>
      </c>
      <c r="I223" s="14">
        <f t="shared" si="3"/>
        <v>-138425.4691584752</v>
      </c>
    </row>
    <row r="224" spans="1:9" x14ac:dyDescent="0.35">
      <c r="A224" s="3">
        <v>44154</v>
      </c>
      <c r="B224" s="4">
        <v>-9.2766314732822177E-3</v>
      </c>
      <c r="C224">
        <f ca="1">IF(B224&lt;Monte_Carlo!$AC$2,1,0)</f>
        <v>0</v>
      </c>
      <c r="D224" s="13"/>
      <c r="F224" s="13"/>
      <c r="G224">
        <v>222</v>
      </c>
      <c r="H224" s="4">
        <v>-3.5584533455572061E-2</v>
      </c>
      <c r="I224" s="14">
        <f t="shared" si="3"/>
        <v>-355845.33455572062</v>
      </c>
    </row>
    <row r="225" spans="1:9" x14ac:dyDescent="0.35">
      <c r="A225" s="3">
        <v>44155</v>
      </c>
      <c r="B225" s="4">
        <v>3.4269763175558625E-2</v>
      </c>
      <c r="C225">
        <f ca="1">IF(B225&lt;Monte_Carlo!$AC$2,1,0)</f>
        <v>0</v>
      </c>
      <c r="D225" s="13"/>
      <c r="F225" s="13"/>
      <c r="G225">
        <v>223</v>
      </c>
      <c r="H225" s="4">
        <v>4.8095913621086284E-2</v>
      </c>
      <c r="I225" s="14">
        <f t="shared" si="3"/>
        <v>480959.13621086284</v>
      </c>
    </row>
    <row r="226" spans="1:9" x14ac:dyDescent="0.35">
      <c r="A226" s="3">
        <v>44158</v>
      </c>
      <c r="B226" s="4">
        <v>6.2019696923430291E-3</v>
      </c>
      <c r="C226">
        <f ca="1">IF(B226&lt;Monte_Carlo!$AC$2,1,0)</f>
        <v>0</v>
      </c>
      <c r="D226" s="13"/>
      <c r="F226" s="13"/>
      <c r="G226">
        <v>224</v>
      </c>
      <c r="H226" s="4">
        <v>-3.3907649186437239E-2</v>
      </c>
      <c r="I226" s="14">
        <f t="shared" si="3"/>
        <v>-339076.49186437239</v>
      </c>
    </row>
    <row r="227" spans="1:9" x14ac:dyDescent="0.35">
      <c r="A227" s="3">
        <v>44159</v>
      </c>
      <c r="B227" s="4">
        <v>2.1277959272899626E-2</v>
      </c>
      <c r="C227">
        <f ca="1">IF(B227&lt;Monte_Carlo!$AC$2,1,0)</f>
        <v>0</v>
      </c>
      <c r="D227" s="13"/>
      <c r="F227" s="13"/>
      <c r="G227">
        <v>225</v>
      </c>
      <c r="H227" s="4">
        <v>1.0845709030864657E-2</v>
      </c>
      <c r="I227" s="14">
        <f t="shared" si="3"/>
        <v>108457.09030864657</v>
      </c>
    </row>
    <row r="228" spans="1:9" x14ac:dyDescent="0.35">
      <c r="A228" s="3">
        <v>44160</v>
      </c>
      <c r="B228" s="4">
        <v>1.0440472066149481E-2</v>
      </c>
      <c r="C228">
        <f ca="1">IF(B228&lt;Monte_Carlo!$AC$2,1,0)</f>
        <v>0</v>
      </c>
      <c r="D228" s="13"/>
      <c r="F228" s="13"/>
      <c r="G228">
        <v>226</v>
      </c>
      <c r="H228" s="4">
        <v>1.0075686767703158E-2</v>
      </c>
      <c r="I228" s="14">
        <f t="shared" si="3"/>
        <v>100756.86767703158</v>
      </c>
    </row>
    <row r="229" spans="1:9" x14ac:dyDescent="0.35">
      <c r="A229" s="3">
        <v>44161</v>
      </c>
      <c r="B229" s="4">
        <v>3.7187635803367446E-2</v>
      </c>
      <c r="C229">
        <f ca="1">IF(B229&lt;Monte_Carlo!$AC$2,1,0)</f>
        <v>0</v>
      </c>
      <c r="D229" s="13"/>
      <c r="F229" s="13"/>
      <c r="G229">
        <v>227</v>
      </c>
      <c r="H229" s="4">
        <v>4.3283764013333868E-3</v>
      </c>
      <c r="I229" s="14">
        <f t="shared" si="3"/>
        <v>43283.764013333865</v>
      </c>
    </row>
    <row r="230" spans="1:9" x14ac:dyDescent="0.35">
      <c r="A230" s="3">
        <v>44162</v>
      </c>
      <c r="B230" s="4">
        <v>1.1028762341775585E-3</v>
      </c>
      <c r="C230">
        <f ca="1">IF(B230&lt;Monte_Carlo!$AC$2,1,0)</f>
        <v>0</v>
      </c>
      <c r="D230" s="13"/>
      <c r="F230" s="13"/>
      <c r="G230">
        <v>228</v>
      </c>
      <c r="H230" s="4">
        <v>-2.3006598083476205E-2</v>
      </c>
      <c r="I230" s="14">
        <f t="shared" si="3"/>
        <v>-230065.98083476204</v>
      </c>
    </row>
    <row r="231" spans="1:9" x14ac:dyDescent="0.35">
      <c r="A231" s="3">
        <v>44166</v>
      </c>
      <c r="B231" s="4">
        <v>8.6736570900430143E-3</v>
      </c>
      <c r="C231">
        <f ca="1">IF(B231&lt;Monte_Carlo!$AC$2,1,0)</f>
        <v>0</v>
      </c>
      <c r="D231" s="13"/>
      <c r="F231" s="13"/>
      <c r="G231">
        <v>229</v>
      </c>
      <c r="H231" s="4">
        <v>-1.4532302056882999E-2</v>
      </c>
      <c r="I231" s="14">
        <f t="shared" si="3"/>
        <v>-145323.02056882999</v>
      </c>
    </row>
    <row r="232" spans="1:9" x14ac:dyDescent="0.35">
      <c r="A232" s="3">
        <v>44167</v>
      </c>
      <c r="B232" s="4">
        <v>2.4457108338471912E-2</v>
      </c>
      <c r="C232">
        <f ca="1">IF(B232&lt;Monte_Carlo!$AC$2,1,0)</f>
        <v>0</v>
      </c>
      <c r="D232" s="13"/>
      <c r="F232" s="13"/>
      <c r="G232">
        <v>230</v>
      </c>
      <c r="H232" s="4">
        <v>3.9186856735896038E-2</v>
      </c>
      <c r="I232" s="14">
        <f t="shared" si="3"/>
        <v>391868.5673589604</v>
      </c>
    </row>
    <row r="233" spans="1:9" x14ac:dyDescent="0.35">
      <c r="A233" s="3">
        <v>44168</v>
      </c>
      <c r="B233" s="4">
        <v>-1.7381031382215074E-2</v>
      </c>
      <c r="C233">
        <f ca="1">IF(B233&lt;Monte_Carlo!$AC$2,1,0)</f>
        <v>0</v>
      </c>
      <c r="D233" s="13"/>
      <c r="F233" s="13"/>
      <c r="G233">
        <v>231</v>
      </c>
      <c r="H233" s="4">
        <v>-3.701789121533957E-2</v>
      </c>
      <c r="I233" s="14">
        <f t="shared" si="3"/>
        <v>-370178.91215339571</v>
      </c>
    </row>
    <row r="234" spans="1:9" x14ac:dyDescent="0.35">
      <c r="A234" s="3">
        <v>44169</v>
      </c>
      <c r="B234" s="4">
        <v>-1.8775737727199902E-2</v>
      </c>
      <c r="C234">
        <f ca="1">IF(B234&lt;Monte_Carlo!$AC$2,1,0)</f>
        <v>0</v>
      </c>
      <c r="D234" s="13"/>
      <c r="F234" s="13"/>
      <c r="G234">
        <v>232</v>
      </c>
      <c r="H234" s="4">
        <v>3.346067928676013E-2</v>
      </c>
      <c r="I234" s="14">
        <f t="shared" si="3"/>
        <v>334606.79286760133</v>
      </c>
    </row>
    <row r="235" spans="1:9" x14ac:dyDescent="0.35">
      <c r="A235" s="3">
        <v>44172</v>
      </c>
      <c r="B235" s="4">
        <v>1.1437000593696881E-3</v>
      </c>
      <c r="C235">
        <f ca="1">IF(B235&lt;Monte_Carlo!$AC$2,1,0)</f>
        <v>0</v>
      </c>
      <c r="D235" s="13"/>
      <c r="F235" s="13"/>
      <c r="G235">
        <v>233</v>
      </c>
      <c r="H235" s="4">
        <v>-2.1693715426116384E-2</v>
      </c>
      <c r="I235" s="14">
        <f t="shared" si="3"/>
        <v>-216937.15426116384</v>
      </c>
    </row>
    <row r="236" spans="1:9" x14ac:dyDescent="0.35">
      <c r="A236" s="3">
        <v>44173</v>
      </c>
      <c r="B236" s="4">
        <v>1.2361735511372627E-2</v>
      </c>
      <c r="C236">
        <f ca="1">IF(B236&lt;Monte_Carlo!$AC$2,1,0)</f>
        <v>0</v>
      </c>
      <c r="D236" s="13"/>
      <c r="F236" s="13"/>
      <c r="G236">
        <v>234</v>
      </c>
      <c r="H236" s="4">
        <v>3.7817949092007939E-3</v>
      </c>
      <c r="I236" s="14">
        <f t="shared" si="3"/>
        <v>37817.949092007941</v>
      </c>
    </row>
    <row r="237" spans="1:9" x14ac:dyDescent="0.35">
      <c r="A237" s="3">
        <v>44174</v>
      </c>
      <c r="B237" s="4">
        <v>8.4416392130608718E-5</v>
      </c>
      <c r="C237">
        <f ca="1">IF(B237&lt;Monte_Carlo!$AC$2,1,0)</f>
        <v>0</v>
      </c>
      <c r="D237" s="13"/>
      <c r="F237" s="13"/>
      <c r="G237">
        <v>235</v>
      </c>
      <c r="H237" s="4">
        <v>-2.731244107864086E-3</v>
      </c>
      <c r="I237" s="14">
        <f t="shared" si="3"/>
        <v>-27312.441078640859</v>
      </c>
    </row>
    <row r="238" spans="1:9" x14ac:dyDescent="0.35">
      <c r="A238" s="3">
        <v>44175</v>
      </c>
      <c r="B238" s="4">
        <v>-2.4805821704569149E-3</v>
      </c>
      <c r="C238">
        <f ca="1">IF(B238&lt;Monte_Carlo!$AC$2,1,0)</f>
        <v>0</v>
      </c>
      <c r="D238" s="13"/>
      <c r="F238" s="13"/>
      <c r="G238">
        <v>236</v>
      </c>
      <c r="H238" s="4">
        <v>1.2345987838965117E-2</v>
      </c>
      <c r="I238" s="14">
        <f t="shared" si="3"/>
        <v>123459.87838965117</v>
      </c>
    </row>
    <row r="239" spans="1:9" x14ac:dyDescent="0.35">
      <c r="A239" s="3">
        <v>44176</v>
      </c>
      <c r="B239" s="4">
        <v>7.2661537796237709E-3</v>
      </c>
      <c r="C239">
        <f ca="1">IF(B239&lt;Monte_Carlo!$AC$2,1,0)</f>
        <v>0</v>
      </c>
      <c r="D239" s="13"/>
      <c r="F239" s="13"/>
      <c r="G239">
        <v>237</v>
      </c>
      <c r="H239" s="4">
        <v>-2.7828731563659073E-2</v>
      </c>
      <c r="I239" s="14">
        <f t="shared" si="3"/>
        <v>-278287.31563659071</v>
      </c>
    </row>
    <row r="240" spans="1:9" x14ac:dyDescent="0.35">
      <c r="A240" s="3">
        <v>44179</v>
      </c>
      <c r="B240" s="4">
        <v>1.2524108449446512E-2</v>
      </c>
      <c r="C240">
        <f ca="1">IF(B240&lt;Monte_Carlo!$AC$2,1,0)</f>
        <v>0</v>
      </c>
      <c r="D240" s="13"/>
      <c r="F240" s="13"/>
      <c r="G240">
        <v>238</v>
      </c>
      <c r="H240" s="4">
        <v>3.6796981692543779E-2</v>
      </c>
      <c r="I240" s="14">
        <f t="shared" si="3"/>
        <v>367969.81692543777</v>
      </c>
    </row>
    <row r="241" spans="1:9" x14ac:dyDescent="0.35">
      <c r="A241" s="3">
        <v>44180</v>
      </c>
      <c r="B241" s="4">
        <v>-2.1002139362720641E-2</v>
      </c>
      <c r="C241">
        <f ca="1">IF(B241&lt;Monte_Carlo!$AC$2,1,0)</f>
        <v>0</v>
      </c>
      <c r="D241" s="13"/>
      <c r="F241" s="13"/>
      <c r="G241">
        <v>239</v>
      </c>
      <c r="H241" s="4">
        <v>-8.4542872669864984E-3</v>
      </c>
      <c r="I241" s="14">
        <f t="shared" si="3"/>
        <v>-84542.872669864984</v>
      </c>
    </row>
    <row r="242" spans="1:9" x14ac:dyDescent="0.35">
      <c r="A242" s="3">
        <v>44181</v>
      </c>
      <c r="B242" s="4">
        <v>1.3152127848232862E-2</v>
      </c>
      <c r="C242">
        <f ca="1">IF(B242&lt;Monte_Carlo!$AC$2,1,0)</f>
        <v>0</v>
      </c>
      <c r="D242" s="13"/>
      <c r="F242" s="13"/>
      <c r="G242">
        <v>240</v>
      </c>
      <c r="H242" s="4">
        <v>-1.4459057965893704E-2</v>
      </c>
      <c r="I242" s="14">
        <f t="shared" si="3"/>
        <v>-144590.57965893706</v>
      </c>
    </row>
    <row r="243" spans="1:9" x14ac:dyDescent="0.35">
      <c r="A243" s="3">
        <v>44182</v>
      </c>
      <c r="B243" s="4">
        <v>5.1645499572133139E-3</v>
      </c>
      <c r="C243">
        <f ca="1">IF(B243&lt;Monte_Carlo!$AC$2,1,0)</f>
        <v>0</v>
      </c>
      <c r="D243" s="13"/>
      <c r="F243" s="13"/>
      <c r="G243">
        <v>241</v>
      </c>
      <c r="H243" s="4">
        <v>-1.8106035683183722E-3</v>
      </c>
      <c r="I243" s="14">
        <f t="shared" si="3"/>
        <v>-18106.035683183723</v>
      </c>
    </row>
    <row r="244" spans="1:9" x14ac:dyDescent="0.35">
      <c r="A244" s="3">
        <v>44183</v>
      </c>
      <c r="B244" s="4">
        <v>-1.1446407116458628E-2</v>
      </c>
      <c r="C244">
        <f ca="1">IF(B244&lt;Monte_Carlo!$AC$2,1,0)</f>
        <v>0</v>
      </c>
      <c r="D244" s="13"/>
      <c r="F244" s="13"/>
      <c r="G244">
        <v>242</v>
      </c>
      <c r="H244" s="4">
        <v>-1.1562837041888506E-3</v>
      </c>
      <c r="I244" s="14">
        <f t="shared" si="3"/>
        <v>-11562.837041888506</v>
      </c>
    </row>
    <row r="245" spans="1:9" x14ac:dyDescent="0.35">
      <c r="A245" s="3">
        <v>44186</v>
      </c>
      <c r="B245" s="4">
        <v>-3.2253628796257434E-2</v>
      </c>
      <c r="C245">
        <f ca="1">IF(B245&lt;Monte_Carlo!$AC$2,1,0)</f>
        <v>0</v>
      </c>
      <c r="D245" s="13"/>
      <c r="F245" s="13"/>
      <c r="G245">
        <v>243</v>
      </c>
      <c r="H245" s="4">
        <v>2.0312662169703722E-2</v>
      </c>
      <c r="I245" s="14">
        <f t="shared" si="3"/>
        <v>203126.62169703722</v>
      </c>
    </row>
    <row r="246" spans="1:9" x14ac:dyDescent="0.35">
      <c r="A246" s="3">
        <v>44187</v>
      </c>
      <c r="B246" s="4">
        <v>1.7040467303729118E-2</v>
      </c>
      <c r="C246">
        <f ca="1">IF(B246&lt;Monte_Carlo!$AC$2,1,0)</f>
        <v>0</v>
      </c>
      <c r="D246" s="13"/>
      <c r="F246" s="13"/>
      <c r="G246">
        <v>244</v>
      </c>
      <c r="H246" s="4">
        <v>-4.6827655329759993E-2</v>
      </c>
      <c r="I246" s="14">
        <f t="shared" si="3"/>
        <v>-468276.55329759995</v>
      </c>
    </row>
    <row r="247" spans="1:9" x14ac:dyDescent="0.35">
      <c r="A247" s="3">
        <v>44188</v>
      </c>
      <c r="B247" s="4">
        <v>8.9983704515527122E-3</v>
      </c>
      <c r="C247">
        <f ca="1">IF(B247&lt;Monte_Carlo!$AC$2,1,0)</f>
        <v>0</v>
      </c>
      <c r="D247" s="13"/>
      <c r="F247" s="13"/>
      <c r="G247">
        <v>245</v>
      </c>
      <c r="H247" s="4">
        <v>4.763759553640004E-2</v>
      </c>
      <c r="I247" s="14">
        <f t="shared" si="3"/>
        <v>476375.9553640004</v>
      </c>
    </row>
    <row r="248" spans="1:9" x14ac:dyDescent="0.35">
      <c r="A248" s="3">
        <v>44189</v>
      </c>
      <c r="B248" s="4">
        <v>1.5151850681932992E-2</v>
      </c>
      <c r="C248">
        <f ca="1">IF(B248&lt;Monte_Carlo!$AC$2,1,0)</f>
        <v>0</v>
      </c>
      <c r="D248" s="13"/>
      <c r="F248" s="13"/>
      <c r="G248">
        <v>246</v>
      </c>
      <c r="H248" s="4">
        <v>-5.5078048143343723E-3</v>
      </c>
      <c r="I248" s="14">
        <f t="shared" si="3"/>
        <v>-55078.048143343723</v>
      </c>
    </row>
    <row r="249" spans="1:9" x14ac:dyDescent="0.35">
      <c r="A249" s="3">
        <v>44193</v>
      </c>
      <c r="B249" s="4">
        <v>7.8139867421753578E-3</v>
      </c>
      <c r="C249">
        <f ca="1">IF(B249&lt;Monte_Carlo!$AC$2,1,0)</f>
        <v>0</v>
      </c>
      <c r="D249" s="13"/>
      <c r="F249" s="13"/>
      <c r="G249">
        <v>247</v>
      </c>
      <c r="H249" s="4">
        <v>-7.7727097182771132E-3</v>
      </c>
      <c r="I249" s="14">
        <f t="shared" si="3"/>
        <v>-77727.097182771133</v>
      </c>
    </row>
    <row r="250" spans="1:9" x14ac:dyDescent="0.35">
      <c r="A250" s="3">
        <v>44194</v>
      </c>
      <c r="B250" s="4">
        <v>3.4492747026675132E-3</v>
      </c>
      <c r="C250">
        <f ca="1">IF(B250&lt;Monte_Carlo!$AC$2,1,0)</f>
        <v>0</v>
      </c>
      <c r="D250" s="13"/>
      <c r="F250" s="13"/>
      <c r="G250">
        <v>248</v>
      </c>
      <c r="H250" s="4">
        <v>1.2011125294082664E-2</v>
      </c>
      <c r="I250" s="14">
        <f t="shared" si="3"/>
        <v>120111.25294082664</v>
      </c>
    </row>
    <row r="251" spans="1:9" x14ac:dyDescent="0.35">
      <c r="A251" s="3">
        <v>44195</v>
      </c>
      <c r="B251" s="4">
        <v>-1.6466670605272584E-3</v>
      </c>
      <c r="C251">
        <f ca="1">IF(B251&lt;Monte_Carlo!$AC$2,1,0)</f>
        <v>0</v>
      </c>
      <c r="D251" s="13"/>
      <c r="F251" s="13"/>
      <c r="G251">
        <v>249</v>
      </c>
      <c r="H251" s="4">
        <v>-1.5641631692070924E-2</v>
      </c>
      <c r="I251" s="14">
        <f t="shared" si="3"/>
        <v>-156416.31692070924</v>
      </c>
    </row>
    <row r="252" spans="1:9" x14ac:dyDescent="0.35">
      <c r="A252" s="3">
        <v>44196</v>
      </c>
      <c r="B252" s="4">
        <v>4.7100472012645269E-3</v>
      </c>
      <c r="C252">
        <f ca="1">IF(B252&lt;Monte_Carlo!$AC$2,1,0)</f>
        <v>0</v>
      </c>
      <c r="D252" s="13"/>
      <c r="F252" s="13"/>
      <c r="G252">
        <v>250</v>
      </c>
      <c r="H252" s="4">
        <v>1.9414126046381593E-2</v>
      </c>
      <c r="I252" s="14">
        <f t="shared" si="3"/>
        <v>194141.26046381594</v>
      </c>
    </row>
    <row r="253" spans="1:9" x14ac:dyDescent="0.35">
      <c r="A253" s="3">
        <v>44197</v>
      </c>
      <c r="B253" s="4">
        <v>9.1027231410690764E-4</v>
      </c>
      <c r="C253">
        <f ca="1">IF(B253&lt;Monte_Carlo!$AC$2,1,0)</f>
        <v>0</v>
      </c>
      <c r="D253" s="13"/>
      <c r="F253" s="13"/>
      <c r="G253">
        <v>251</v>
      </c>
      <c r="H253" s="4">
        <v>2.0541753697423976E-2</v>
      </c>
      <c r="I253" s="14">
        <f t="shared" si="3"/>
        <v>205417.53697423975</v>
      </c>
    </row>
    <row r="254" spans="1:9" x14ac:dyDescent="0.35">
      <c r="A254" s="3">
        <v>44200</v>
      </c>
      <c r="B254" s="4">
        <v>1.72934724920394E-2</v>
      </c>
      <c r="C254">
        <f ca="1">IF(B254&lt;Monte_Carlo!$AC$2,1,0)</f>
        <v>0</v>
      </c>
      <c r="D254" s="13"/>
      <c r="F254" s="13"/>
      <c r="G254">
        <v>252</v>
      </c>
      <c r="H254" s="4">
        <v>-2.4883306842498749E-2</v>
      </c>
      <c r="I254" s="14">
        <f t="shared" si="3"/>
        <v>-248833.06842498749</v>
      </c>
    </row>
    <row r="255" spans="1:9" x14ac:dyDescent="0.35">
      <c r="A255" s="3">
        <v>44201</v>
      </c>
      <c r="B255" s="4">
        <v>1.5508022764644329E-2</v>
      </c>
      <c r="C255">
        <f ca="1">IF(B255&lt;Monte_Carlo!$AC$2,1,0)</f>
        <v>0</v>
      </c>
      <c r="D255" s="13"/>
      <c r="F255" s="13"/>
      <c r="G255">
        <v>253</v>
      </c>
      <c r="H255" s="4">
        <v>8.5181137755178677E-3</v>
      </c>
      <c r="I255" s="14">
        <f t="shared" si="3"/>
        <v>85181.137755178672</v>
      </c>
    </row>
    <row r="256" spans="1:9" x14ac:dyDescent="0.35">
      <c r="A256" s="3">
        <v>44202</v>
      </c>
      <c r="B256" s="4">
        <v>1.0117935735996607E-2</v>
      </c>
      <c r="C256">
        <f ca="1">IF(B256&lt;Monte_Carlo!$AC$2,1,0)</f>
        <v>0</v>
      </c>
      <c r="D256" s="13"/>
      <c r="F256" s="13"/>
      <c r="G256">
        <v>254</v>
      </c>
      <c r="H256" s="4">
        <v>7.7658920482762614E-3</v>
      </c>
      <c r="I256" s="14">
        <f t="shared" si="3"/>
        <v>77658.920482762609</v>
      </c>
    </row>
    <row r="257" spans="1:9" x14ac:dyDescent="0.35">
      <c r="A257" s="3">
        <v>44203</v>
      </c>
      <c r="B257" s="4">
        <v>-1.6355027810726227E-2</v>
      </c>
      <c r="C257">
        <f ca="1">IF(B257&lt;Monte_Carlo!$AC$2,1,0)</f>
        <v>0</v>
      </c>
      <c r="D257" s="13"/>
      <c r="F257" s="13"/>
      <c r="G257">
        <v>255</v>
      </c>
      <c r="H257" s="4">
        <v>-1.7014441174909439E-2</v>
      </c>
      <c r="I257" s="14">
        <f t="shared" si="3"/>
        <v>-170144.4117490944</v>
      </c>
    </row>
    <row r="258" spans="1:9" x14ac:dyDescent="0.35">
      <c r="A258" s="3">
        <v>44204</v>
      </c>
      <c r="B258" s="4">
        <v>2.1132238861337065E-2</v>
      </c>
      <c r="C258">
        <f ca="1">IF(B258&lt;Monte_Carlo!$AC$2,1,0)</f>
        <v>0</v>
      </c>
      <c r="D258" s="13"/>
      <c r="F258" s="13"/>
      <c r="G258">
        <v>256</v>
      </c>
      <c r="H258" s="4">
        <v>1.7809271418019718E-2</v>
      </c>
      <c r="I258" s="14">
        <f t="shared" si="3"/>
        <v>178092.71418019719</v>
      </c>
    </row>
    <row r="259" spans="1:9" x14ac:dyDescent="0.35">
      <c r="A259" s="3">
        <v>44207</v>
      </c>
      <c r="B259" s="4">
        <v>7.6220991383343746E-3</v>
      </c>
      <c r="C259">
        <f ca="1">IF(B259&lt;Monte_Carlo!$AC$2,1,0)</f>
        <v>0</v>
      </c>
      <c r="D259" s="13"/>
      <c r="F259" s="13"/>
      <c r="G259">
        <v>257</v>
      </c>
      <c r="H259" s="4">
        <v>-1.7925335972544743E-2</v>
      </c>
      <c r="I259" s="14">
        <f t="shared" si="3"/>
        <v>-179253.35972544743</v>
      </c>
    </row>
    <row r="260" spans="1:9" x14ac:dyDescent="0.35">
      <c r="A260" s="3">
        <v>44208</v>
      </c>
      <c r="B260" s="4">
        <v>-1.9624143230877491E-2</v>
      </c>
      <c r="C260">
        <f ca="1">IF(B260&lt;Monte_Carlo!$AC$2,1,0)</f>
        <v>0</v>
      </c>
      <c r="D260" s="13"/>
      <c r="F260" s="13"/>
      <c r="G260">
        <v>258</v>
      </c>
      <c r="H260" s="4">
        <v>-2.5490519436430905E-2</v>
      </c>
      <c r="I260" s="14">
        <f t="shared" si="3"/>
        <v>-254905.19436430905</v>
      </c>
    </row>
    <row r="261" spans="1:9" x14ac:dyDescent="0.35">
      <c r="A261" s="3">
        <v>44209</v>
      </c>
      <c r="B261" s="4">
        <v>-1.381037006371125E-2</v>
      </c>
      <c r="C261">
        <f ca="1">IF(B261&lt;Monte_Carlo!$AC$2,1,0)</f>
        <v>0</v>
      </c>
      <c r="D261" s="13"/>
      <c r="F261" s="13"/>
      <c r="G261">
        <v>259</v>
      </c>
      <c r="H261" s="4">
        <v>-7.0505362490230596E-3</v>
      </c>
      <c r="I261" s="14">
        <f t="shared" ref="I261:I324" si="4">H261*10000000</f>
        <v>-70505.362490230589</v>
      </c>
    </row>
    <row r="262" spans="1:9" x14ac:dyDescent="0.35">
      <c r="A262" s="3">
        <v>44210</v>
      </c>
      <c r="B262" s="4">
        <v>2.6820916836411382E-3</v>
      </c>
      <c r="C262">
        <f ca="1">IF(B262&lt;Monte_Carlo!$AC$2,1,0)</f>
        <v>0</v>
      </c>
      <c r="D262" s="13"/>
      <c r="F262" s="13"/>
      <c r="G262">
        <v>260</v>
      </c>
      <c r="H262" s="4">
        <v>3.6245314199572623E-2</v>
      </c>
      <c r="I262" s="14">
        <f t="shared" si="4"/>
        <v>362453.14199572621</v>
      </c>
    </row>
    <row r="263" spans="1:9" x14ac:dyDescent="0.35">
      <c r="A263" s="3">
        <v>44211</v>
      </c>
      <c r="B263" s="4">
        <v>-6.7734874511062486E-3</v>
      </c>
      <c r="C263">
        <f ca="1">IF(B263&lt;Monte_Carlo!$AC$2,1,0)</f>
        <v>0</v>
      </c>
      <c r="D263" s="13"/>
      <c r="F263" s="13"/>
      <c r="G263">
        <v>261</v>
      </c>
      <c r="H263" s="4">
        <v>-4.4992643053630875E-3</v>
      </c>
      <c r="I263" s="14">
        <f t="shared" si="4"/>
        <v>-44992.643053630876</v>
      </c>
    </row>
    <row r="264" spans="1:9" x14ac:dyDescent="0.35">
      <c r="A264" s="3">
        <v>44214</v>
      </c>
      <c r="B264" s="4">
        <v>-1.7297081574468336E-2</v>
      </c>
      <c r="C264">
        <f ca="1">IF(B264&lt;Monte_Carlo!$AC$2,1,0)</f>
        <v>0</v>
      </c>
      <c r="D264" s="13"/>
      <c r="F264" s="13"/>
      <c r="G264">
        <v>262</v>
      </c>
      <c r="H264" s="4">
        <v>-1.5946344637733787E-2</v>
      </c>
      <c r="I264" s="14">
        <f t="shared" si="4"/>
        <v>-159463.44637733788</v>
      </c>
    </row>
    <row r="265" spans="1:9" x14ac:dyDescent="0.35">
      <c r="A265" s="3">
        <v>44215</v>
      </c>
      <c r="B265" s="4">
        <v>-3.3186766404969914E-3</v>
      </c>
      <c r="C265">
        <f ca="1">IF(B265&lt;Monte_Carlo!$AC$2,1,0)</f>
        <v>0</v>
      </c>
      <c r="D265" s="13"/>
      <c r="F265" s="13"/>
      <c r="G265">
        <v>263</v>
      </c>
      <c r="H265" s="4">
        <v>1.5980476361814988E-2</v>
      </c>
      <c r="I265" s="14">
        <f t="shared" si="4"/>
        <v>159804.76361814988</v>
      </c>
    </row>
    <row r="266" spans="1:9" x14ac:dyDescent="0.35">
      <c r="A266" s="3">
        <v>44216</v>
      </c>
      <c r="B266" s="4">
        <v>-5.0825861631937485E-3</v>
      </c>
      <c r="C266">
        <f ca="1">IF(B266&lt;Monte_Carlo!$AC$2,1,0)</f>
        <v>0</v>
      </c>
      <c r="D266" s="13"/>
      <c r="F266" s="13"/>
      <c r="G266">
        <v>264</v>
      </c>
      <c r="H266" s="4">
        <v>1.1266705886677487E-2</v>
      </c>
      <c r="I266" s="14">
        <f t="shared" si="4"/>
        <v>112667.05886677487</v>
      </c>
    </row>
    <row r="267" spans="1:9" x14ac:dyDescent="0.35">
      <c r="A267" s="3">
        <v>44217</v>
      </c>
      <c r="B267" s="4">
        <v>-1.9581324432105782E-2</v>
      </c>
      <c r="C267">
        <f ca="1">IF(B267&lt;Monte_Carlo!$AC$2,1,0)</f>
        <v>0</v>
      </c>
      <c r="D267" s="13"/>
      <c r="F267" s="13"/>
      <c r="G267">
        <v>265</v>
      </c>
      <c r="H267" s="4">
        <v>-2.0348078637241137E-2</v>
      </c>
      <c r="I267" s="14">
        <f t="shared" si="4"/>
        <v>-203480.78637241136</v>
      </c>
    </row>
    <row r="268" spans="1:9" x14ac:dyDescent="0.35">
      <c r="A268" s="3">
        <v>44218</v>
      </c>
      <c r="B268" s="4">
        <v>-1.7988489735330841E-2</v>
      </c>
      <c r="C268">
        <f ca="1">IF(B268&lt;Monte_Carlo!$AC$2,1,0)</f>
        <v>0</v>
      </c>
      <c r="D268" s="13"/>
      <c r="F268" s="13"/>
      <c r="G268">
        <v>266</v>
      </c>
      <c r="H268" s="4">
        <v>1.4291361882995126E-2</v>
      </c>
      <c r="I268" s="14">
        <f t="shared" si="4"/>
        <v>142913.61882995124</v>
      </c>
    </row>
    <row r="269" spans="1:9" x14ac:dyDescent="0.35">
      <c r="A269" s="3">
        <v>44221</v>
      </c>
      <c r="B269" s="4">
        <v>-5.7176738735524773E-3</v>
      </c>
      <c r="C269">
        <f ca="1">IF(B269&lt;Monte_Carlo!$AC$2,1,0)</f>
        <v>0</v>
      </c>
      <c r="D269" s="13"/>
      <c r="F269" s="13"/>
      <c r="G269">
        <v>267</v>
      </c>
      <c r="H269" s="4">
        <v>-3.0390596567183563E-2</v>
      </c>
      <c r="I269" s="14">
        <f t="shared" si="4"/>
        <v>-303905.96567183564</v>
      </c>
    </row>
    <row r="270" spans="1:9" x14ac:dyDescent="0.35">
      <c r="A270" s="3">
        <v>44223</v>
      </c>
      <c r="B270" s="4">
        <v>-3.2673294315498654E-2</v>
      </c>
      <c r="C270">
        <f ca="1">IF(B270&lt;Monte_Carlo!$AC$2,1,0)</f>
        <v>0</v>
      </c>
      <c r="D270" s="13"/>
      <c r="F270" s="13"/>
      <c r="G270">
        <v>268</v>
      </c>
      <c r="H270" s="4">
        <v>-3.0058814243369082E-3</v>
      </c>
      <c r="I270" s="14">
        <f t="shared" si="4"/>
        <v>-30058.814243369081</v>
      </c>
    </row>
    <row r="271" spans="1:9" x14ac:dyDescent="0.35">
      <c r="A271" s="3">
        <v>44224</v>
      </c>
      <c r="B271" s="4">
        <v>-2.9947285363383556E-3</v>
      </c>
      <c r="C271">
        <f ca="1">IF(B271&lt;Monte_Carlo!$AC$2,1,0)</f>
        <v>0</v>
      </c>
      <c r="D271" s="13"/>
      <c r="F271" s="13"/>
      <c r="G271">
        <v>269</v>
      </c>
      <c r="H271" s="4">
        <v>3.2616375558628737E-2</v>
      </c>
      <c r="I271" s="14">
        <f t="shared" si="4"/>
        <v>326163.75558628736</v>
      </c>
    </row>
    <row r="272" spans="1:9" x14ac:dyDescent="0.35">
      <c r="A272" s="3">
        <v>44225</v>
      </c>
      <c r="B272" s="4">
        <v>-3.429773341854854E-2</v>
      </c>
      <c r="C272">
        <f ca="1">IF(B272&lt;Monte_Carlo!$AC$2,1,0)</f>
        <v>0</v>
      </c>
      <c r="D272" s="13"/>
      <c r="F272" s="13"/>
      <c r="G272">
        <v>270</v>
      </c>
      <c r="H272" s="4">
        <v>-2.8503571621051899E-2</v>
      </c>
      <c r="I272" s="14">
        <f t="shared" si="4"/>
        <v>-285035.71621051896</v>
      </c>
    </row>
    <row r="273" spans="1:9" x14ac:dyDescent="0.35">
      <c r="A273" s="3">
        <v>44228</v>
      </c>
      <c r="B273" s="4">
        <v>4.2144941756191955E-2</v>
      </c>
      <c r="C273">
        <f ca="1">IF(B273&lt;Monte_Carlo!$AC$2,1,0)</f>
        <v>0</v>
      </c>
      <c r="D273" s="13"/>
      <c r="F273" s="13"/>
      <c r="G273">
        <v>271</v>
      </c>
      <c r="H273" s="4">
        <v>1.3620676771765917E-2</v>
      </c>
      <c r="I273" s="14">
        <f t="shared" si="4"/>
        <v>136206.76771765915</v>
      </c>
    </row>
    <row r="274" spans="1:9" x14ac:dyDescent="0.35">
      <c r="A274" s="3">
        <v>44229</v>
      </c>
      <c r="B274" s="4">
        <v>1.1425879668523044E-2</v>
      </c>
      <c r="C274">
        <f ca="1">IF(B274&lt;Monte_Carlo!$AC$2,1,0)</f>
        <v>0</v>
      </c>
      <c r="D274" s="13"/>
      <c r="F274" s="13"/>
      <c r="G274">
        <v>272</v>
      </c>
      <c r="H274" s="4">
        <v>-1.1385671223720514E-2</v>
      </c>
      <c r="I274" s="14">
        <f t="shared" si="4"/>
        <v>-113856.71223720514</v>
      </c>
    </row>
    <row r="275" spans="1:9" x14ac:dyDescent="0.35">
      <c r="A275" s="3">
        <v>44230</v>
      </c>
      <c r="B275" s="4">
        <v>2.373328346889856E-2</v>
      </c>
      <c r="C275">
        <f ca="1">IF(B275&lt;Monte_Carlo!$AC$2,1,0)</f>
        <v>0</v>
      </c>
      <c r="D275" s="13"/>
      <c r="F275" s="13"/>
      <c r="G275">
        <v>273</v>
      </c>
      <c r="H275" s="4">
        <v>3.2983569993189785E-2</v>
      </c>
      <c r="I275" s="14">
        <f t="shared" si="4"/>
        <v>329835.69993189786</v>
      </c>
    </row>
    <row r="276" spans="1:9" x14ac:dyDescent="0.35">
      <c r="A276" s="3">
        <v>44231</v>
      </c>
      <c r="B276" s="4">
        <v>2.2609551497048408E-2</v>
      </c>
      <c r="C276">
        <f ca="1">IF(B276&lt;Monte_Carlo!$AC$2,1,0)</f>
        <v>0</v>
      </c>
      <c r="D276" s="13"/>
      <c r="F276" s="13"/>
      <c r="G276">
        <v>274</v>
      </c>
      <c r="H276" s="4">
        <v>-1.8914754901554948E-2</v>
      </c>
      <c r="I276" s="14">
        <f t="shared" si="4"/>
        <v>-189147.54901554948</v>
      </c>
    </row>
    <row r="277" spans="1:9" x14ac:dyDescent="0.35">
      <c r="A277" s="3">
        <v>44232</v>
      </c>
      <c r="B277" s="4">
        <v>-5.1081922293698331E-3</v>
      </c>
      <c r="C277">
        <f ca="1">IF(B277&lt;Monte_Carlo!$AC$2,1,0)</f>
        <v>0</v>
      </c>
      <c r="D277" s="13"/>
      <c r="F277" s="13"/>
      <c r="G277">
        <v>275</v>
      </c>
      <c r="H277" s="4">
        <v>1.3959254763910687E-2</v>
      </c>
      <c r="I277" s="14">
        <f t="shared" si="4"/>
        <v>139592.54763910687</v>
      </c>
    </row>
    <row r="278" spans="1:9" x14ac:dyDescent="0.35">
      <c r="A278" s="3">
        <v>44235</v>
      </c>
      <c r="B278" s="4">
        <v>1.6499796782728079E-3</v>
      </c>
      <c r="C278">
        <f ca="1">IF(B278&lt;Monte_Carlo!$AC$2,1,0)</f>
        <v>0</v>
      </c>
      <c r="D278" s="13"/>
      <c r="F278" s="13"/>
      <c r="G278">
        <v>276</v>
      </c>
      <c r="H278" s="4">
        <v>-2.8851789724401625E-2</v>
      </c>
      <c r="I278" s="14">
        <f t="shared" si="4"/>
        <v>-288517.89724401623</v>
      </c>
    </row>
    <row r="279" spans="1:9" x14ac:dyDescent="0.35">
      <c r="A279" s="3">
        <v>44236</v>
      </c>
      <c r="B279" s="4">
        <v>1.443580441407224E-2</v>
      </c>
      <c r="C279">
        <f ca="1">IF(B279&lt;Monte_Carlo!$AC$2,1,0)</f>
        <v>0</v>
      </c>
      <c r="D279" s="13"/>
      <c r="F279" s="13"/>
      <c r="G279">
        <v>277</v>
      </c>
      <c r="H279" s="4">
        <v>1.2777078963967523E-2</v>
      </c>
      <c r="I279" s="14">
        <f t="shared" si="4"/>
        <v>127770.78963967523</v>
      </c>
    </row>
    <row r="280" spans="1:9" x14ac:dyDescent="0.35">
      <c r="A280" s="3">
        <v>44237</v>
      </c>
      <c r="B280" s="4">
        <v>-2.0535297689385583E-3</v>
      </c>
      <c r="C280">
        <f ca="1">IF(B280&lt;Monte_Carlo!$AC$2,1,0)</f>
        <v>0</v>
      </c>
      <c r="D280" s="13"/>
      <c r="F280" s="13"/>
      <c r="G280">
        <v>278</v>
      </c>
      <c r="H280" s="4">
        <v>2.4916579466115987E-2</v>
      </c>
      <c r="I280" s="14">
        <f t="shared" si="4"/>
        <v>249165.79466115986</v>
      </c>
    </row>
    <row r="281" spans="1:9" x14ac:dyDescent="0.35">
      <c r="A281" s="3">
        <v>44238</v>
      </c>
      <c r="B281" s="4">
        <v>-4.5781806979713143E-4</v>
      </c>
      <c r="C281">
        <f ca="1">IF(B281&lt;Monte_Carlo!$AC$2,1,0)</f>
        <v>0</v>
      </c>
      <c r="D281" s="13"/>
      <c r="F281" s="13"/>
      <c r="G281">
        <v>279</v>
      </c>
      <c r="H281" s="4">
        <v>-4.9123256728885123E-2</v>
      </c>
      <c r="I281" s="14">
        <f t="shared" si="4"/>
        <v>-491232.56728885125</v>
      </c>
    </row>
    <row r="282" spans="1:9" x14ac:dyDescent="0.35">
      <c r="A282" s="3">
        <v>44239</v>
      </c>
      <c r="B282" s="4">
        <v>6.8876228969140529E-3</v>
      </c>
      <c r="C282">
        <f ca="1">IF(B282&lt;Monte_Carlo!$AC$2,1,0)</f>
        <v>0</v>
      </c>
      <c r="D282" s="13"/>
      <c r="F282" s="13"/>
      <c r="G282">
        <v>280</v>
      </c>
      <c r="H282" s="4">
        <v>2.8119097014841481E-2</v>
      </c>
      <c r="I282" s="14">
        <f t="shared" si="4"/>
        <v>281190.97014841484</v>
      </c>
    </row>
    <row r="283" spans="1:9" x14ac:dyDescent="0.35">
      <c r="A283" s="3">
        <v>44242</v>
      </c>
      <c r="B283" s="4">
        <v>2.9304048280568784E-3</v>
      </c>
      <c r="C283">
        <f ca="1">IF(B283&lt;Monte_Carlo!$AC$2,1,0)</f>
        <v>0</v>
      </c>
      <c r="D283" s="13"/>
      <c r="F283" s="13"/>
      <c r="G283">
        <v>281</v>
      </c>
      <c r="H283" s="4">
        <v>-1.9994031001079063E-2</v>
      </c>
      <c r="I283" s="14">
        <f t="shared" si="4"/>
        <v>-199940.31001079062</v>
      </c>
    </row>
    <row r="284" spans="1:9" x14ac:dyDescent="0.35">
      <c r="A284" s="3">
        <v>44243</v>
      </c>
      <c r="B284" s="4">
        <v>7.262468266396936E-4</v>
      </c>
      <c r="C284">
        <f ca="1">IF(B284&lt;Monte_Carlo!$AC$2,1,0)</f>
        <v>0</v>
      </c>
      <c r="D284" s="13"/>
      <c r="F284" s="13"/>
      <c r="G284">
        <v>282</v>
      </c>
      <c r="H284" s="4">
        <v>1.7484882516062578E-2</v>
      </c>
      <c r="I284" s="14">
        <f t="shared" si="4"/>
        <v>174848.82516062577</v>
      </c>
    </row>
    <row r="285" spans="1:9" x14ac:dyDescent="0.35">
      <c r="A285" s="3">
        <v>44244</v>
      </c>
      <c r="B285" s="4">
        <v>-2.3884392998874348E-3</v>
      </c>
      <c r="C285">
        <f ca="1">IF(B285&lt;Monte_Carlo!$AC$2,1,0)</f>
        <v>0</v>
      </c>
      <c r="D285" s="13"/>
      <c r="F285" s="13"/>
      <c r="G285">
        <v>283</v>
      </c>
      <c r="H285" s="4">
        <v>-1.3095532289722801E-2</v>
      </c>
      <c r="I285" s="14">
        <f t="shared" si="4"/>
        <v>-130955.32289722802</v>
      </c>
    </row>
    <row r="286" spans="1:9" x14ac:dyDescent="0.35">
      <c r="A286" s="3">
        <v>44245</v>
      </c>
      <c r="B286" s="4">
        <v>4.5531374135540439E-2</v>
      </c>
      <c r="C286">
        <f ca="1">IF(B286&lt;Monte_Carlo!$AC$2,1,0)</f>
        <v>0</v>
      </c>
      <c r="D286" s="13"/>
      <c r="F286" s="13"/>
      <c r="G286">
        <v>284</v>
      </c>
      <c r="H286" s="4">
        <v>1.294706732127807E-2</v>
      </c>
      <c r="I286" s="14">
        <f t="shared" si="4"/>
        <v>129470.6732127807</v>
      </c>
    </row>
    <row r="287" spans="1:9" x14ac:dyDescent="0.35">
      <c r="A287" s="3">
        <v>44246</v>
      </c>
      <c r="B287" s="4">
        <v>4.0742258088833194E-2</v>
      </c>
      <c r="C287">
        <f ca="1">IF(B287&lt;Monte_Carlo!$AC$2,1,0)</f>
        <v>0</v>
      </c>
      <c r="D287" s="13"/>
      <c r="F287" s="13"/>
      <c r="G287">
        <v>285</v>
      </c>
      <c r="H287" s="4">
        <v>1.6938669697268028E-3</v>
      </c>
      <c r="I287" s="14">
        <f t="shared" si="4"/>
        <v>16938.669697268029</v>
      </c>
    </row>
    <row r="288" spans="1:9" x14ac:dyDescent="0.35">
      <c r="A288" s="3">
        <v>44249</v>
      </c>
      <c r="B288" s="4">
        <v>-4.3841731681526885E-2</v>
      </c>
      <c r="C288">
        <f ca="1">IF(B288&lt;Monte_Carlo!$AC$2,1,0)</f>
        <v>0</v>
      </c>
      <c r="D288" s="13"/>
      <c r="F288" s="13"/>
      <c r="G288">
        <v>286</v>
      </c>
      <c r="H288" s="4">
        <v>-1.5010213549989897E-2</v>
      </c>
      <c r="I288" s="14">
        <f t="shared" si="4"/>
        <v>-150102.13549989898</v>
      </c>
    </row>
    <row r="289" spans="1:9" x14ac:dyDescent="0.35">
      <c r="A289" s="3">
        <v>44250</v>
      </c>
      <c r="B289" s="4">
        <v>3.1730252555339532E-2</v>
      </c>
      <c r="C289">
        <f ca="1">IF(B289&lt;Monte_Carlo!$AC$2,1,0)</f>
        <v>0</v>
      </c>
      <c r="D289" s="13"/>
      <c r="F289" s="13"/>
      <c r="G289">
        <v>287</v>
      </c>
      <c r="H289" s="4">
        <v>3.2744623663862424E-2</v>
      </c>
      <c r="I289" s="14">
        <f t="shared" si="4"/>
        <v>327446.23663862422</v>
      </c>
    </row>
    <row r="290" spans="1:9" x14ac:dyDescent="0.35">
      <c r="A290" s="3">
        <v>44251</v>
      </c>
      <c r="B290" s="4">
        <v>-8.7038527971837441E-3</v>
      </c>
      <c r="C290">
        <f ca="1">IF(B290&lt;Monte_Carlo!$AC$2,1,0)</f>
        <v>0</v>
      </c>
      <c r="D290" s="13"/>
      <c r="F290" s="13"/>
      <c r="G290">
        <v>288</v>
      </c>
      <c r="H290" s="4">
        <v>-9.2916140845754891E-3</v>
      </c>
      <c r="I290" s="14">
        <f t="shared" si="4"/>
        <v>-92916.140845754897</v>
      </c>
    </row>
    <row r="291" spans="1:9" x14ac:dyDescent="0.35">
      <c r="A291" s="3">
        <v>44252</v>
      </c>
      <c r="B291" s="4">
        <v>1.0774008574393448E-3</v>
      </c>
      <c r="C291">
        <f ca="1">IF(B291&lt;Monte_Carlo!$AC$2,1,0)</f>
        <v>0</v>
      </c>
      <c r="D291" s="13"/>
      <c r="F291" s="13"/>
      <c r="G291">
        <v>289</v>
      </c>
      <c r="H291" s="4">
        <v>-3.4296310200056121E-2</v>
      </c>
      <c r="I291" s="14">
        <f t="shared" si="4"/>
        <v>-342963.10200056119</v>
      </c>
    </row>
    <row r="292" spans="1:9" x14ac:dyDescent="0.35">
      <c r="A292" s="3">
        <v>44253</v>
      </c>
      <c r="B292" s="4">
        <v>-4.1237669088568386E-2</v>
      </c>
      <c r="C292">
        <f ca="1">IF(B292&lt;Monte_Carlo!$AC$2,1,0)</f>
        <v>0</v>
      </c>
      <c r="D292" s="13"/>
      <c r="F292" s="13"/>
      <c r="G292">
        <v>290</v>
      </c>
      <c r="H292" s="4">
        <v>3.6538449152021521E-2</v>
      </c>
      <c r="I292" s="14">
        <f t="shared" si="4"/>
        <v>365384.49152021523</v>
      </c>
    </row>
    <row r="293" spans="1:9" x14ac:dyDescent="0.35">
      <c r="A293" s="3">
        <v>44256</v>
      </c>
      <c r="B293" s="4">
        <v>1.0224046578695968E-2</v>
      </c>
      <c r="C293">
        <f ca="1">IF(B293&lt;Monte_Carlo!$AC$2,1,0)</f>
        <v>0</v>
      </c>
      <c r="D293" s="13"/>
      <c r="F293" s="13"/>
      <c r="G293">
        <v>291</v>
      </c>
      <c r="H293" s="4">
        <v>-2.0051704937047343E-2</v>
      </c>
      <c r="I293" s="14">
        <f t="shared" si="4"/>
        <v>-200517.04937047343</v>
      </c>
    </row>
    <row r="294" spans="1:9" x14ac:dyDescent="0.35">
      <c r="A294" s="3">
        <v>44257</v>
      </c>
      <c r="B294" s="4">
        <v>5.972914568213669E-3</v>
      </c>
      <c r="C294">
        <f ca="1">IF(B294&lt;Monte_Carlo!$AC$2,1,0)</f>
        <v>0</v>
      </c>
      <c r="D294" s="13"/>
      <c r="F294" s="13"/>
      <c r="G294">
        <v>292</v>
      </c>
      <c r="H294" s="4">
        <v>2.0340256462644618E-2</v>
      </c>
      <c r="I294" s="14">
        <f t="shared" si="4"/>
        <v>203402.56462644617</v>
      </c>
    </row>
    <row r="295" spans="1:9" x14ac:dyDescent="0.35">
      <c r="A295" s="3">
        <v>44258</v>
      </c>
      <c r="B295" s="4">
        <v>2.9685429860399189E-2</v>
      </c>
      <c r="C295">
        <f ca="1">IF(B295&lt;Monte_Carlo!$AC$2,1,0)</f>
        <v>0</v>
      </c>
      <c r="D295" s="13"/>
      <c r="F295" s="13"/>
      <c r="G295">
        <v>293</v>
      </c>
      <c r="H295" s="4">
        <v>-2.9069469194676918E-3</v>
      </c>
      <c r="I295" s="14">
        <f t="shared" si="4"/>
        <v>-29069.469194676916</v>
      </c>
    </row>
    <row r="296" spans="1:9" x14ac:dyDescent="0.35">
      <c r="A296" s="3">
        <v>44259</v>
      </c>
      <c r="B296" s="4">
        <v>-1.2131380509305352E-2</v>
      </c>
      <c r="C296">
        <f ca="1">IF(B296&lt;Monte_Carlo!$AC$2,1,0)</f>
        <v>0</v>
      </c>
      <c r="D296" s="13"/>
      <c r="F296" s="13"/>
      <c r="G296">
        <v>294</v>
      </c>
      <c r="H296" s="4">
        <v>-5.9388342737379555E-3</v>
      </c>
      <c r="I296" s="14">
        <f t="shared" si="4"/>
        <v>-59388.342737379557</v>
      </c>
    </row>
    <row r="297" spans="1:9" x14ac:dyDescent="0.35">
      <c r="A297" s="3">
        <v>44260</v>
      </c>
      <c r="B297" s="4">
        <v>8.1224767359827747E-3</v>
      </c>
      <c r="C297">
        <f ca="1">IF(B297&lt;Monte_Carlo!$AC$2,1,0)</f>
        <v>0</v>
      </c>
      <c r="D297" s="13"/>
      <c r="F297" s="13"/>
      <c r="G297">
        <v>295</v>
      </c>
      <c r="H297" s="4">
        <v>-3.0522409928187104E-3</v>
      </c>
      <c r="I297" s="14">
        <f t="shared" si="4"/>
        <v>-30522.409928187102</v>
      </c>
    </row>
    <row r="298" spans="1:9" x14ac:dyDescent="0.35">
      <c r="A298" s="3">
        <v>44263</v>
      </c>
      <c r="B298" s="4">
        <v>1.7023378217551821E-3</v>
      </c>
      <c r="C298">
        <f ca="1">IF(B298&lt;Monte_Carlo!$AC$2,1,0)</f>
        <v>0</v>
      </c>
      <c r="D298" s="13"/>
      <c r="F298" s="13"/>
      <c r="G298">
        <v>296</v>
      </c>
      <c r="H298" s="4">
        <v>2.0839229702477993E-2</v>
      </c>
      <c r="I298" s="14">
        <f t="shared" si="4"/>
        <v>208392.29702477992</v>
      </c>
    </row>
    <row r="299" spans="1:9" x14ac:dyDescent="0.35">
      <c r="A299" s="3">
        <v>44264</v>
      </c>
      <c r="B299" s="4">
        <v>-9.8423421529035601E-3</v>
      </c>
      <c r="C299">
        <f ca="1">IF(B299&lt;Monte_Carlo!$AC$2,1,0)</f>
        <v>0</v>
      </c>
      <c r="D299" s="13"/>
      <c r="F299" s="13"/>
      <c r="G299">
        <v>297</v>
      </c>
      <c r="H299" s="4">
        <v>-1.4979169099362505E-2</v>
      </c>
      <c r="I299" s="14">
        <f t="shared" si="4"/>
        <v>-149791.69099362506</v>
      </c>
    </row>
    <row r="300" spans="1:9" x14ac:dyDescent="0.35">
      <c r="A300" s="3">
        <v>44265</v>
      </c>
      <c r="B300" s="4">
        <v>2.8520055037927925E-3</v>
      </c>
      <c r="C300">
        <f ca="1">IF(B300&lt;Monte_Carlo!$AC$2,1,0)</f>
        <v>0</v>
      </c>
      <c r="D300" s="13"/>
      <c r="F300" s="13"/>
      <c r="G300">
        <v>298</v>
      </c>
      <c r="H300" s="4">
        <v>-1.1003625819601197E-2</v>
      </c>
      <c r="I300" s="14">
        <f t="shared" si="4"/>
        <v>-110036.25819601197</v>
      </c>
    </row>
    <row r="301" spans="1:9" x14ac:dyDescent="0.35">
      <c r="A301" s="3">
        <v>44267</v>
      </c>
      <c r="B301" s="4">
        <v>9.1717998380546201E-3</v>
      </c>
      <c r="C301">
        <f ca="1">IF(B301&lt;Monte_Carlo!$AC$2,1,0)</f>
        <v>0</v>
      </c>
      <c r="D301" s="13"/>
      <c r="F301" s="13"/>
      <c r="G301">
        <v>299</v>
      </c>
      <c r="H301" s="4">
        <v>-2.4205075018951545E-3</v>
      </c>
      <c r="I301" s="14">
        <f t="shared" si="4"/>
        <v>-24205.075018951546</v>
      </c>
    </row>
    <row r="302" spans="1:9" x14ac:dyDescent="0.35">
      <c r="A302" s="3">
        <v>44270</v>
      </c>
      <c r="B302" s="4">
        <v>-2.2876459543235343E-3</v>
      </c>
      <c r="C302">
        <f ca="1">IF(B302&lt;Monte_Carlo!$AC$2,1,0)</f>
        <v>0</v>
      </c>
      <c r="D302" s="13"/>
      <c r="F302" s="13"/>
      <c r="G302">
        <v>300</v>
      </c>
      <c r="H302" s="4">
        <v>2.4314837382929735E-2</v>
      </c>
      <c r="I302" s="14">
        <f t="shared" si="4"/>
        <v>243148.37382929734</v>
      </c>
    </row>
    <row r="303" spans="1:9" x14ac:dyDescent="0.35">
      <c r="A303" s="3">
        <v>44271</v>
      </c>
      <c r="B303" s="4">
        <v>3.1966831276912598E-2</v>
      </c>
      <c r="C303">
        <f ca="1">IF(B303&lt;Monte_Carlo!$AC$2,1,0)</f>
        <v>0</v>
      </c>
      <c r="D303" s="13"/>
      <c r="F303" s="13"/>
      <c r="G303">
        <v>301</v>
      </c>
      <c r="H303" s="4">
        <v>-7.1647280772975169E-4</v>
      </c>
      <c r="I303" s="14">
        <f t="shared" si="4"/>
        <v>-7164.7280772975173</v>
      </c>
    </row>
    <row r="304" spans="1:9" x14ac:dyDescent="0.35">
      <c r="A304" s="3">
        <v>44272</v>
      </c>
      <c r="B304" s="4">
        <v>-8.8389596620881521E-3</v>
      </c>
      <c r="C304">
        <f ca="1">IF(B304&lt;Monte_Carlo!$AC$2,1,0)</f>
        <v>0</v>
      </c>
      <c r="D304" s="13"/>
      <c r="F304" s="13"/>
      <c r="G304">
        <v>302</v>
      </c>
      <c r="H304" s="4">
        <v>1.3859255828827183E-3</v>
      </c>
      <c r="I304" s="14">
        <f t="shared" si="4"/>
        <v>13859.255828827183</v>
      </c>
    </row>
    <row r="305" spans="1:9" x14ac:dyDescent="0.35">
      <c r="A305" s="3">
        <v>44273</v>
      </c>
      <c r="B305" s="4">
        <v>-1.9112986359985994E-2</v>
      </c>
      <c r="C305">
        <f ca="1">IF(B305&lt;Monte_Carlo!$AC$2,1,0)</f>
        <v>0</v>
      </c>
      <c r="D305" s="13"/>
      <c r="F305" s="13"/>
      <c r="G305">
        <v>303</v>
      </c>
      <c r="H305" s="4">
        <v>-3.0170602777465777E-2</v>
      </c>
      <c r="I305" s="14">
        <f t="shared" si="4"/>
        <v>-301706.02777465776</v>
      </c>
    </row>
    <row r="306" spans="1:9" x14ac:dyDescent="0.35">
      <c r="A306" s="3">
        <v>44274</v>
      </c>
      <c r="B306" s="4">
        <v>-6.8719734684327977E-3</v>
      </c>
      <c r="C306">
        <f ca="1">IF(B306&lt;Monte_Carlo!$AC$2,1,0)</f>
        <v>0</v>
      </c>
      <c r="D306" s="13"/>
      <c r="F306" s="13"/>
      <c r="G306">
        <v>304</v>
      </c>
      <c r="H306" s="4">
        <v>-1.5213832923721242E-2</v>
      </c>
      <c r="I306" s="14">
        <f t="shared" si="4"/>
        <v>-152138.32923721243</v>
      </c>
    </row>
    <row r="307" spans="1:9" x14ac:dyDescent="0.35">
      <c r="A307" s="3">
        <v>44277</v>
      </c>
      <c r="B307" s="4">
        <v>6.234161308137445E-4</v>
      </c>
      <c r="C307">
        <f ca="1">IF(B307&lt;Monte_Carlo!$AC$2,1,0)</f>
        <v>0</v>
      </c>
      <c r="D307" s="13"/>
      <c r="F307" s="13"/>
      <c r="G307">
        <v>305</v>
      </c>
      <c r="H307" s="4">
        <v>3.9517562970127859E-2</v>
      </c>
      <c r="I307" s="14">
        <f t="shared" si="4"/>
        <v>395175.62970127858</v>
      </c>
    </row>
    <row r="308" spans="1:9" x14ac:dyDescent="0.35">
      <c r="A308" s="3">
        <v>44278</v>
      </c>
      <c r="B308" s="4">
        <v>-3.2831172727309068E-3</v>
      </c>
      <c r="C308">
        <f ca="1">IF(B308&lt;Monte_Carlo!$AC$2,1,0)</f>
        <v>0</v>
      </c>
      <c r="D308" s="13"/>
      <c r="F308" s="13"/>
      <c r="G308">
        <v>306</v>
      </c>
      <c r="H308" s="4">
        <v>-2.2723286497002223E-2</v>
      </c>
      <c r="I308" s="14">
        <f t="shared" si="4"/>
        <v>-227232.86497002223</v>
      </c>
    </row>
    <row r="309" spans="1:9" x14ac:dyDescent="0.35">
      <c r="A309" s="3">
        <v>44279</v>
      </c>
      <c r="B309" s="4">
        <v>-2.3772772465029263E-2</v>
      </c>
      <c r="C309">
        <f ca="1">IF(B309&lt;Monte_Carlo!$AC$2,1,0)</f>
        <v>0</v>
      </c>
      <c r="D309" s="13"/>
      <c r="F309" s="13"/>
      <c r="G309">
        <v>307</v>
      </c>
      <c r="H309" s="4">
        <v>-1.176269472567603E-2</v>
      </c>
      <c r="I309" s="14">
        <f t="shared" si="4"/>
        <v>-117626.94725676031</v>
      </c>
    </row>
    <row r="310" spans="1:9" x14ac:dyDescent="0.35">
      <c r="A310" s="3">
        <v>44280</v>
      </c>
      <c r="B310" s="4">
        <v>-1.7275732283787981E-2</v>
      </c>
      <c r="C310">
        <f ca="1">IF(B310&lt;Monte_Carlo!$AC$2,1,0)</f>
        <v>0</v>
      </c>
      <c r="D310" s="13"/>
      <c r="F310" s="13"/>
      <c r="G310">
        <v>308</v>
      </c>
      <c r="H310" s="4">
        <v>1.4158549600438716E-2</v>
      </c>
      <c r="I310" s="14">
        <f t="shared" si="4"/>
        <v>141585.49600438715</v>
      </c>
    </row>
    <row r="311" spans="1:9" x14ac:dyDescent="0.35">
      <c r="A311" s="3">
        <v>44281</v>
      </c>
      <c r="B311" s="4">
        <v>5.1027311490785647E-3</v>
      </c>
      <c r="C311">
        <f ca="1">IF(B311&lt;Monte_Carlo!$AC$2,1,0)</f>
        <v>0</v>
      </c>
      <c r="D311" s="13"/>
      <c r="F311" s="13"/>
      <c r="G311">
        <v>309</v>
      </c>
      <c r="H311" s="4">
        <v>-4.3035490570469846E-3</v>
      </c>
      <c r="I311" s="14">
        <f t="shared" si="4"/>
        <v>-43035.490570469847</v>
      </c>
    </row>
    <row r="312" spans="1:9" x14ac:dyDescent="0.35">
      <c r="A312" s="3">
        <v>44285</v>
      </c>
      <c r="B312" s="4">
        <v>-2.6131281744523234E-3</v>
      </c>
      <c r="C312">
        <f ca="1">IF(B312&lt;Monte_Carlo!$AC$2,1,0)</f>
        <v>0</v>
      </c>
      <c r="D312" s="13"/>
      <c r="F312" s="13"/>
      <c r="G312">
        <v>310</v>
      </c>
      <c r="H312" s="4">
        <v>1.3939477860662384E-2</v>
      </c>
      <c r="I312" s="14">
        <f t="shared" si="4"/>
        <v>139394.77860662385</v>
      </c>
    </row>
    <row r="313" spans="1:9" x14ac:dyDescent="0.35">
      <c r="A313" s="3">
        <v>44286</v>
      </c>
      <c r="B313" s="4">
        <v>1.7289347066757547E-2</v>
      </c>
      <c r="C313">
        <f ca="1">IF(B313&lt;Monte_Carlo!$AC$2,1,0)</f>
        <v>0</v>
      </c>
      <c r="D313" s="13"/>
      <c r="F313" s="13"/>
      <c r="G313">
        <v>311</v>
      </c>
      <c r="H313" s="4">
        <v>-1.8773857704105529E-2</v>
      </c>
      <c r="I313" s="14">
        <f t="shared" si="4"/>
        <v>-187738.57704105528</v>
      </c>
    </row>
    <row r="314" spans="1:9" x14ac:dyDescent="0.35">
      <c r="A314" s="3">
        <v>44287</v>
      </c>
      <c r="B314" s="4">
        <v>1.1335502231221414E-2</v>
      </c>
      <c r="C314">
        <f ca="1">IF(B314&lt;Monte_Carlo!$AC$2,1,0)</f>
        <v>0</v>
      </c>
      <c r="D314" s="13"/>
      <c r="F314" s="13"/>
      <c r="G314">
        <v>312</v>
      </c>
      <c r="H314" s="4">
        <v>1.5653319532067202E-2</v>
      </c>
      <c r="I314" s="14">
        <f t="shared" si="4"/>
        <v>156533.19532067201</v>
      </c>
    </row>
    <row r="315" spans="1:9" x14ac:dyDescent="0.35">
      <c r="A315" s="3">
        <v>44291</v>
      </c>
      <c r="B315" s="4">
        <v>-2.0025525661250137E-2</v>
      </c>
      <c r="C315">
        <f ca="1">IF(B315&lt;Monte_Carlo!$AC$2,1,0)</f>
        <v>0</v>
      </c>
      <c r="D315" s="13"/>
      <c r="F315" s="13"/>
      <c r="G315">
        <v>313</v>
      </c>
      <c r="H315" s="4">
        <v>7.7266000649944093E-3</v>
      </c>
      <c r="I315" s="14">
        <f t="shared" si="4"/>
        <v>77266.000649944093</v>
      </c>
    </row>
    <row r="316" spans="1:9" x14ac:dyDescent="0.35">
      <c r="A316" s="3">
        <v>44292</v>
      </c>
      <c r="B316" s="4">
        <v>7.9900872755338404E-3</v>
      </c>
      <c r="C316">
        <f ca="1">IF(B316&lt;Monte_Carlo!$AC$2,1,0)</f>
        <v>0</v>
      </c>
      <c r="D316" s="13"/>
      <c r="F316" s="13"/>
      <c r="G316">
        <v>314</v>
      </c>
      <c r="H316" s="4">
        <v>-2.7907707584743338E-3</v>
      </c>
      <c r="I316" s="14">
        <f t="shared" si="4"/>
        <v>-27907.707584743337</v>
      </c>
    </row>
    <row r="317" spans="1:9" x14ac:dyDescent="0.35">
      <c r="A317" s="3">
        <v>44293</v>
      </c>
      <c r="B317" s="4">
        <v>1.4458719228473599E-2</v>
      </c>
      <c r="C317">
        <f ca="1">IF(B317&lt;Monte_Carlo!$AC$2,1,0)</f>
        <v>0</v>
      </c>
      <c r="D317" s="13"/>
      <c r="F317" s="13"/>
      <c r="G317">
        <v>315</v>
      </c>
      <c r="H317" s="4">
        <v>-9.8671822448326129E-3</v>
      </c>
      <c r="I317" s="14">
        <f t="shared" si="4"/>
        <v>-98671.822448326129</v>
      </c>
    </row>
    <row r="318" spans="1:9" x14ac:dyDescent="0.35">
      <c r="A318" s="3">
        <v>44294</v>
      </c>
      <c r="B318" s="4">
        <v>-5.7165643459692586E-4</v>
      </c>
      <c r="C318">
        <f ca="1">IF(B318&lt;Monte_Carlo!$AC$2,1,0)</f>
        <v>0</v>
      </c>
      <c r="D318" s="13"/>
      <c r="F318" s="13"/>
      <c r="G318">
        <v>316</v>
      </c>
      <c r="H318" s="4">
        <v>2.3745864689865164E-3</v>
      </c>
      <c r="I318" s="14">
        <f t="shared" si="4"/>
        <v>23745.864689865164</v>
      </c>
    </row>
    <row r="319" spans="1:9" x14ac:dyDescent="0.35">
      <c r="A319" s="3">
        <v>44295</v>
      </c>
      <c r="B319" s="4">
        <v>-6.3447606371208227E-3</v>
      </c>
      <c r="C319">
        <f ca="1">IF(B319&lt;Monte_Carlo!$AC$2,1,0)</f>
        <v>0</v>
      </c>
      <c r="D319" s="13"/>
      <c r="F319" s="13"/>
      <c r="G319">
        <v>317</v>
      </c>
      <c r="H319" s="4">
        <v>7.0012230740347332E-3</v>
      </c>
      <c r="I319" s="14">
        <f t="shared" si="4"/>
        <v>70012.230740347339</v>
      </c>
    </row>
    <row r="320" spans="1:9" x14ac:dyDescent="0.35">
      <c r="A320" s="3">
        <v>44298</v>
      </c>
      <c r="B320" s="4">
        <v>-5.7082132205617232E-2</v>
      </c>
      <c r="C320">
        <f ca="1">IF(B320&lt;Monte_Carlo!$AC$2,1,0)</f>
        <v>1</v>
      </c>
      <c r="D320" s="13"/>
      <c r="F320" s="13"/>
      <c r="G320">
        <v>318</v>
      </c>
      <c r="H320" s="4">
        <v>-2.199834153430686E-2</v>
      </c>
      <c r="I320" s="14">
        <f t="shared" si="4"/>
        <v>-219983.4153430686</v>
      </c>
    </row>
    <row r="321" spans="1:9" x14ac:dyDescent="0.35">
      <c r="A321" s="3">
        <v>44299</v>
      </c>
      <c r="B321" s="4">
        <v>1.7848823352962957E-2</v>
      </c>
      <c r="C321">
        <f ca="1">IF(B321&lt;Monte_Carlo!$AC$2,1,0)</f>
        <v>0</v>
      </c>
      <c r="D321" s="13"/>
      <c r="F321" s="13"/>
      <c r="G321">
        <v>319</v>
      </c>
      <c r="H321" s="4">
        <v>1.1402215521299162E-2</v>
      </c>
      <c r="I321" s="14">
        <f t="shared" si="4"/>
        <v>114022.15521299162</v>
      </c>
    </row>
    <row r="322" spans="1:9" x14ac:dyDescent="0.35">
      <c r="A322" s="3">
        <v>44301</v>
      </c>
      <c r="B322" s="4">
        <v>6.4041658596265157E-3</v>
      </c>
      <c r="C322">
        <f ca="1">IF(B322&lt;Monte_Carlo!$AC$2,1,0)</f>
        <v>0</v>
      </c>
      <c r="D322" s="13"/>
      <c r="F322" s="13"/>
      <c r="G322">
        <v>320</v>
      </c>
      <c r="H322" s="4">
        <v>3.4706813622530183E-2</v>
      </c>
      <c r="I322" s="14">
        <f t="shared" si="4"/>
        <v>347068.13622530183</v>
      </c>
    </row>
    <row r="323" spans="1:9" x14ac:dyDescent="0.35">
      <c r="A323" s="3">
        <v>44302</v>
      </c>
      <c r="B323" s="4">
        <v>2.5849534235660738E-2</v>
      </c>
      <c r="C323">
        <f ca="1">IF(B323&lt;Monte_Carlo!$AC$2,1,0)</f>
        <v>0</v>
      </c>
      <c r="D323" s="13"/>
      <c r="F323" s="13"/>
      <c r="G323">
        <v>321</v>
      </c>
      <c r="H323" s="4">
        <v>-5.834775665565331E-2</v>
      </c>
      <c r="I323" s="14">
        <f t="shared" si="4"/>
        <v>-583477.5665565331</v>
      </c>
    </row>
    <row r="324" spans="1:9" x14ac:dyDescent="0.35">
      <c r="A324" s="3">
        <v>44305</v>
      </c>
      <c r="B324" s="4">
        <v>-3.847316305043405E-2</v>
      </c>
      <c r="C324">
        <f ca="1">IF(B324&lt;Monte_Carlo!$AC$2,1,0)</f>
        <v>0</v>
      </c>
      <c r="D324" s="13"/>
      <c r="F324" s="13"/>
      <c r="G324">
        <v>322</v>
      </c>
      <c r="H324" s="4">
        <v>2.6989830838376867E-2</v>
      </c>
      <c r="I324" s="14">
        <f t="shared" si="4"/>
        <v>269898.30838376866</v>
      </c>
    </row>
    <row r="325" spans="1:9" x14ac:dyDescent="0.35">
      <c r="A325" s="3">
        <v>44306</v>
      </c>
      <c r="B325" s="4">
        <v>2.2607442142350647E-2</v>
      </c>
      <c r="C325">
        <f ca="1">IF(B325&lt;Monte_Carlo!$AC$2,1,0)</f>
        <v>0</v>
      </c>
      <c r="D325" s="13"/>
      <c r="F325" s="13"/>
      <c r="G325">
        <v>323</v>
      </c>
      <c r="H325" s="4">
        <v>3.1483095408797353E-2</v>
      </c>
      <c r="I325" s="14">
        <f t="shared" ref="I325:I388" si="5">H325*10000000</f>
        <v>314830.95408797351</v>
      </c>
    </row>
    <row r="326" spans="1:9" x14ac:dyDescent="0.35">
      <c r="A326" s="3">
        <v>44308</v>
      </c>
      <c r="B326" s="4">
        <v>-9.595735010785535E-3</v>
      </c>
      <c r="C326">
        <f ca="1">IF(B326&lt;Monte_Carlo!$AC$2,1,0)</f>
        <v>0</v>
      </c>
      <c r="D326" s="13"/>
      <c r="F326" s="13"/>
      <c r="G326">
        <v>324</v>
      </c>
      <c r="H326" s="4">
        <v>-3.2060948576549828E-2</v>
      </c>
      <c r="I326" s="14">
        <f t="shared" si="5"/>
        <v>-320609.48576549825</v>
      </c>
    </row>
    <row r="327" spans="1:9" x14ac:dyDescent="0.35">
      <c r="A327" s="3">
        <v>44309</v>
      </c>
      <c r="B327" s="4">
        <v>-6.0808997213357223E-4</v>
      </c>
      <c r="C327">
        <f ca="1">IF(B327&lt;Monte_Carlo!$AC$2,1,0)</f>
        <v>0</v>
      </c>
      <c r="D327" s="13"/>
      <c r="F327" s="13"/>
      <c r="G327">
        <v>325</v>
      </c>
      <c r="H327" s="4">
        <v>1.4987405860475455E-2</v>
      </c>
      <c r="I327" s="14">
        <f t="shared" si="5"/>
        <v>149874.05860475457</v>
      </c>
    </row>
    <row r="328" spans="1:9" x14ac:dyDescent="0.35">
      <c r="A328" s="3">
        <v>44312</v>
      </c>
      <c r="B328" s="4">
        <v>3.6609200600572343E-2</v>
      </c>
      <c r="C328">
        <f ca="1">IF(B328&lt;Monte_Carlo!$AC$2,1,0)</f>
        <v>0</v>
      </c>
      <c r="D328" s="13"/>
      <c r="F328" s="13"/>
      <c r="G328">
        <v>326</v>
      </c>
      <c r="H328" s="4">
        <v>4.1944307462799041E-3</v>
      </c>
      <c r="I328" s="14">
        <f t="shared" si="5"/>
        <v>41944.307462799043</v>
      </c>
    </row>
    <row r="329" spans="1:9" x14ac:dyDescent="0.35">
      <c r="A329" s="3">
        <v>44313</v>
      </c>
      <c r="B329" s="4">
        <v>-1.6668969857939705E-3</v>
      </c>
      <c r="C329">
        <f ca="1">IF(B329&lt;Monte_Carlo!$AC$2,1,0)</f>
        <v>0</v>
      </c>
      <c r="D329" s="13"/>
      <c r="F329" s="13"/>
      <c r="G329">
        <v>327</v>
      </c>
      <c r="H329" s="4">
        <v>-9.8982118493872832E-3</v>
      </c>
      <c r="I329" s="14">
        <f t="shared" si="5"/>
        <v>-98982.118493872826</v>
      </c>
    </row>
    <row r="330" spans="1:9" x14ac:dyDescent="0.35">
      <c r="A330" s="3">
        <v>44314</v>
      </c>
      <c r="B330" s="4">
        <v>-8.7894967382873522E-3</v>
      </c>
      <c r="C330">
        <f ca="1">IF(B330&lt;Monte_Carlo!$AC$2,1,0)</f>
        <v>0</v>
      </c>
      <c r="D330" s="13"/>
      <c r="F330" s="13"/>
      <c r="G330">
        <v>328</v>
      </c>
      <c r="H330" s="4">
        <v>-1.0874684722087854E-2</v>
      </c>
      <c r="I330" s="14">
        <f t="shared" si="5"/>
        <v>-108746.84722087854</v>
      </c>
    </row>
    <row r="331" spans="1:9" x14ac:dyDescent="0.35">
      <c r="A331" s="3">
        <v>44315</v>
      </c>
      <c r="B331" s="4">
        <v>-7.9172229994106096E-3</v>
      </c>
      <c r="C331">
        <f ca="1">IF(B331&lt;Monte_Carlo!$AC$2,1,0)</f>
        <v>0</v>
      </c>
      <c r="D331" s="13"/>
      <c r="F331" s="13"/>
      <c r="G331">
        <v>329</v>
      </c>
      <c r="H331" s="4">
        <v>1.6472632870723345E-2</v>
      </c>
      <c r="I331" s="14">
        <f t="shared" si="5"/>
        <v>164726.32870723345</v>
      </c>
    </row>
    <row r="332" spans="1:9" x14ac:dyDescent="0.35">
      <c r="A332" s="3">
        <v>44316</v>
      </c>
      <c r="B332" s="4">
        <v>3.236518128534781E-4</v>
      </c>
      <c r="C332">
        <f ca="1">IF(B332&lt;Monte_Carlo!$AC$2,1,0)</f>
        <v>0</v>
      </c>
      <c r="D332" s="13"/>
      <c r="F332" s="13"/>
      <c r="G332">
        <v>330</v>
      </c>
      <c r="H332" s="4">
        <v>-6.6576952099679332E-4</v>
      </c>
      <c r="I332" s="14">
        <f t="shared" si="5"/>
        <v>-6657.6952099679329</v>
      </c>
    </row>
    <row r="333" spans="1:9" x14ac:dyDescent="0.35">
      <c r="A333" s="3">
        <v>44319</v>
      </c>
      <c r="B333" s="4">
        <v>1.1823830198271473E-2</v>
      </c>
      <c r="C333">
        <f ca="1">IF(B333&lt;Monte_Carlo!$AC$2,1,0)</f>
        <v>0</v>
      </c>
      <c r="D333" s="13"/>
      <c r="F333" s="13"/>
      <c r="G333">
        <v>331</v>
      </c>
      <c r="H333" s="4">
        <v>6.2738537657912978E-3</v>
      </c>
      <c r="I333" s="14">
        <f t="shared" si="5"/>
        <v>62738.537657912981</v>
      </c>
    </row>
    <row r="334" spans="1:9" x14ac:dyDescent="0.35">
      <c r="A334" s="3">
        <v>44320</v>
      </c>
      <c r="B334" s="4">
        <v>1.0605168830026034E-2</v>
      </c>
      <c r="C334">
        <f ca="1">IF(B334&lt;Monte_Carlo!$AC$2,1,0)</f>
        <v>0</v>
      </c>
      <c r="D334" s="13"/>
      <c r="F334" s="13"/>
      <c r="G334">
        <v>332</v>
      </c>
      <c r="H334" s="4">
        <v>-3.1192769711592946E-2</v>
      </c>
      <c r="I334" s="14">
        <f t="shared" si="5"/>
        <v>-311927.69711592945</v>
      </c>
    </row>
    <row r="335" spans="1:9" x14ac:dyDescent="0.35">
      <c r="A335" s="3">
        <v>44321</v>
      </c>
      <c r="B335" s="4">
        <v>1.1224526908005623E-3</v>
      </c>
      <c r="C335">
        <f ca="1">IF(B335&lt;Monte_Carlo!$AC$2,1,0)</f>
        <v>0</v>
      </c>
      <c r="D335" s="13"/>
      <c r="F335" s="13"/>
      <c r="G335">
        <v>333</v>
      </c>
      <c r="H335" s="4">
        <v>-1.348035916757836E-2</v>
      </c>
      <c r="I335" s="14">
        <f t="shared" si="5"/>
        <v>-134803.59167578359</v>
      </c>
    </row>
    <row r="336" spans="1:9" x14ac:dyDescent="0.35">
      <c r="A336" s="3">
        <v>44322</v>
      </c>
      <c r="B336" s="4">
        <v>-8.0231296564280152E-4</v>
      </c>
      <c r="C336">
        <f ca="1">IF(B336&lt;Monte_Carlo!$AC$2,1,0)</f>
        <v>0</v>
      </c>
      <c r="D336" s="13"/>
      <c r="F336" s="13"/>
      <c r="G336">
        <v>334</v>
      </c>
      <c r="H336" s="4">
        <v>3.0643754708285866E-2</v>
      </c>
      <c r="I336" s="14">
        <f t="shared" si="5"/>
        <v>306437.54708285868</v>
      </c>
    </row>
    <row r="337" spans="1:9" x14ac:dyDescent="0.35">
      <c r="A337" s="3">
        <v>44323</v>
      </c>
      <c r="B337" s="4">
        <v>-2.9592610324022618E-3</v>
      </c>
      <c r="C337">
        <f ca="1">IF(B337&lt;Monte_Carlo!$AC$2,1,0)</f>
        <v>0</v>
      </c>
      <c r="D337" s="13"/>
      <c r="F337" s="13"/>
      <c r="G337">
        <v>335</v>
      </c>
      <c r="H337" s="4">
        <v>-3.6239141112719255E-3</v>
      </c>
      <c r="I337" s="14">
        <f t="shared" si="5"/>
        <v>-36239.141112719255</v>
      </c>
    </row>
    <row r="338" spans="1:9" x14ac:dyDescent="0.35">
      <c r="A338" s="3">
        <v>44326</v>
      </c>
      <c r="B338" s="4">
        <v>2.1167030894339096E-2</v>
      </c>
      <c r="C338">
        <f ca="1">IF(B338&lt;Monte_Carlo!$AC$2,1,0)</f>
        <v>0</v>
      </c>
      <c r="D338" s="13"/>
      <c r="F338" s="13"/>
      <c r="G338">
        <v>336</v>
      </c>
      <c r="H338" s="4">
        <v>2.2374387892628359E-2</v>
      </c>
      <c r="I338" s="14">
        <f t="shared" si="5"/>
        <v>223743.87892628359</v>
      </c>
    </row>
    <row r="339" spans="1:9" x14ac:dyDescent="0.35">
      <c r="A339" s="3">
        <v>44327</v>
      </c>
      <c r="B339" s="4">
        <v>-3.2712039142143825E-3</v>
      </c>
      <c r="C339">
        <f ca="1">IF(B339&lt;Monte_Carlo!$AC$2,1,0)</f>
        <v>0</v>
      </c>
      <c r="D339" s="13"/>
      <c r="F339" s="13"/>
      <c r="G339">
        <v>337</v>
      </c>
      <c r="H339" s="4">
        <v>-3.9083323446934715E-2</v>
      </c>
      <c r="I339" s="14">
        <f t="shared" si="5"/>
        <v>-390833.23446934717</v>
      </c>
    </row>
    <row r="340" spans="1:9" x14ac:dyDescent="0.35">
      <c r="A340" s="3">
        <v>44328</v>
      </c>
      <c r="B340" s="4">
        <v>-3.3348245465490778E-3</v>
      </c>
      <c r="C340">
        <f ca="1">IF(B340&lt;Monte_Carlo!$AC$2,1,0)</f>
        <v>0</v>
      </c>
      <c r="D340" s="13"/>
      <c r="F340" s="13"/>
      <c r="G340">
        <v>338</v>
      </c>
      <c r="H340" s="4">
        <v>2.6478777144439063E-2</v>
      </c>
      <c r="I340" s="14">
        <f t="shared" si="5"/>
        <v>264787.77144439064</v>
      </c>
    </row>
    <row r="341" spans="1:9" x14ac:dyDescent="0.35">
      <c r="A341" s="3">
        <v>44330</v>
      </c>
      <c r="B341" s="4">
        <v>-6.1300819616117302E-3</v>
      </c>
      <c r="C341">
        <f ca="1">IF(B341&lt;Monte_Carlo!$AC$2,1,0)</f>
        <v>0</v>
      </c>
      <c r="D341" s="13"/>
      <c r="F341" s="13"/>
      <c r="G341">
        <v>339</v>
      </c>
      <c r="H341" s="4">
        <v>-2.3173983337528327E-2</v>
      </c>
      <c r="I341" s="14">
        <f t="shared" si="5"/>
        <v>-231739.83337528326</v>
      </c>
    </row>
    <row r="342" spans="1:9" x14ac:dyDescent="0.35">
      <c r="A342" s="3">
        <v>44333</v>
      </c>
      <c r="B342" s="4">
        <v>-3.9994092044937906E-3</v>
      </c>
      <c r="C342">
        <f ca="1">IF(B342&lt;Monte_Carlo!$AC$2,1,0)</f>
        <v>0</v>
      </c>
      <c r="D342" s="13"/>
      <c r="F342" s="13"/>
      <c r="G342">
        <v>340</v>
      </c>
      <c r="H342" s="4">
        <v>2.7867303346962302E-2</v>
      </c>
      <c r="I342" s="14">
        <f t="shared" si="5"/>
        <v>278673.03346962301</v>
      </c>
    </row>
    <row r="343" spans="1:9" x14ac:dyDescent="0.35">
      <c r="A343" s="3">
        <v>44334</v>
      </c>
      <c r="B343" s="4">
        <v>8.3257340460846235E-3</v>
      </c>
      <c r="C343">
        <f ca="1">IF(B343&lt;Monte_Carlo!$AC$2,1,0)</f>
        <v>0</v>
      </c>
      <c r="D343" s="13"/>
      <c r="F343" s="13"/>
      <c r="G343">
        <v>341</v>
      </c>
      <c r="H343" s="4">
        <v>-1.6082683255413604E-2</v>
      </c>
      <c r="I343" s="14">
        <f t="shared" si="5"/>
        <v>-160826.83255413602</v>
      </c>
    </row>
    <row r="344" spans="1:9" x14ac:dyDescent="0.35">
      <c r="A344" s="3">
        <v>44335</v>
      </c>
      <c r="B344" s="4">
        <v>1.2952472019839305E-2</v>
      </c>
      <c r="C344">
        <f ca="1">IF(B344&lt;Monte_Carlo!$AC$2,1,0)</f>
        <v>0</v>
      </c>
      <c r="D344" s="13"/>
      <c r="F344" s="13"/>
      <c r="G344">
        <v>342</v>
      </c>
      <c r="H344" s="4">
        <v>1.3309771177841578E-2</v>
      </c>
      <c r="I344" s="14">
        <f t="shared" si="5"/>
        <v>133097.71177841577</v>
      </c>
    </row>
    <row r="345" spans="1:9" x14ac:dyDescent="0.35">
      <c r="A345" s="3">
        <v>44336</v>
      </c>
      <c r="B345" s="4">
        <v>1.0128425313938526E-2</v>
      </c>
      <c r="C345">
        <f ca="1">IF(B345&lt;Monte_Carlo!$AC$2,1,0)</f>
        <v>0</v>
      </c>
      <c r="D345" s="13"/>
      <c r="F345" s="13"/>
      <c r="G345">
        <v>343</v>
      </c>
      <c r="H345" s="4">
        <v>-2.8581010680019989E-2</v>
      </c>
      <c r="I345" s="14">
        <f t="shared" si="5"/>
        <v>-285810.10680019989</v>
      </c>
    </row>
    <row r="346" spans="1:9" x14ac:dyDescent="0.35">
      <c r="A346" s="3">
        <v>44337</v>
      </c>
      <c r="B346" s="4">
        <v>-2.6039896469528096E-3</v>
      </c>
      <c r="C346">
        <f ca="1">IF(B346&lt;Monte_Carlo!$AC$2,1,0)</f>
        <v>0</v>
      </c>
      <c r="D346" s="13"/>
      <c r="F346" s="13"/>
      <c r="G346">
        <v>344</v>
      </c>
      <c r="H346" s="4">
        <v>1.9025854107683898E-2</v>
      </c>
      <c r="I346" s="14">
        <f t="shared" si="5"/>
        <v>190258.54107683897</v>
      </c>
    </row>
    <row r="347" spans="1:9" x14ac:dyDescent="0.35">
      <c r="A347" s="3">
        <v>44340</v>
      </c>
      <c r="B347" s="4">
        <v>-1.804003919970713E-2</v>
      </c>
      <c r="C347">
        <f ca="1">IF(B347&lt;Monte_Carlo!$AC$2,1,0)</f>
        <v>0</v>
      </c>
      <c r="D347" s="13"/>
      <c r="F347" s="13"/>
      <c r="G347">
        <v>345</v>
      </c>
      <c r="H347" s="4">
        <v>1.0925730070266542E-2</v>
      </c>
      <c r="I347" s="14">
        <f t="shared" si="5"/>
        <v>109257.30070266542</v>
      </c>
    </row>
    <row r="348" spans="1:9" x14ac:dyDescent="0.35">
      <c r="A348" s="3">
        <v>44341</v>
      </c>
      <c r="B348" s="4">
        <v>-5.2538434135645214E-3</v>
      </c>
      <c r="C348">
        <f ca="1">IF(B348&lt;Monte_Carlo!$AC$2,1,0)</f>
        <v>0</v>
      </c>
      <c r="D348" s="13"/>
      <c r="F348" s="13"/>
      <c r="G348">
        <v>346</v>
      </c>
      <c r="H348" s="4">
        <v>2.4289671849005042E-2</v>
      </c>
      <c r="I348" s="14">
        <f t="shared" si="5"/>
        <v>242896.71849005041</v>
      </c>
    </row>
    <row r="349" spans="1:9" x14ac:dyDescent="0.35">
      <c r="A349" s="3">
        <v>44342</v>
      </c>
      <c r="B349" s="4">
        <v>-2.55864303857575E-3</v>
      </c>
      <c r="C349">
        <f ca="1">IF(B349&lt;Monte_Carlo!$AC$2,1,0)</f>
        <v>0</v>
      </c>
      <c r="D349" s="13"/>
      <c r="F349" s="13"/>
      <c r="G349">
        <v>347</v>
      </c>
      <c r="H349" s="4">
        <v>-6.1427084060507051E-2</v>
      </c>
      <c r="I349" s="14">
        <f t="shared" si="5"/>
        <v>-614270.84060507047</v>
      </c>
    </row>
    <row r="350" spans="1:9" x14ac:dyDescent="0.35">
      <c r="A350" s="3">
        <v>44343</v>
      </c>
      <c r="B350" s="4">
        <v>-1.994838620738983E-2</v>
      </c>
      <c r="C350">
        <f ca="1">IF(B350&lt;Monte_Carlo!$AC$2,1,0)</f>
        <v>0</v>
      </c>
      <c r="D350" s="13"/>
      <c r="F350" s="13"/>
      <c r="G350">
        <v>348</v>
      </c>
      <c r="H350" s="4">
        <v>5.4426745402982105E-2</v>
      </c>
      <c r="I350" s="14">
        <f t="shared" si="5"/>
        <v>544267.45402982109</v>
      </c>
    </row>
    <row r="351" spans="1:9" x14ac:dyDescent="0.35">
      <c r="A351" s="3">
        <v>44344</v>
      </c>
      <c r="B351" s="4">
        <v>2.2863904183819613E-2</v>
      </c>
      <c r="C351">
        <f ca="1">IF(B351&lt;Monte_Carlo!$AC$2,1,0)</f>
        <v>0</v>
      </c>
      <c r="D351" s="13"/>
      <c r="F351" s="13"/>
      <c r="G351">
        <v>349</v>
      </c>
      <c r="H351" s="4">
        <v>-2.9053397812119304E-2</v>
      </c>
      <c r="I351" s="14">
        <f t="shared" si="5"/>
        <v>-290533.97812119307</v>
      </c>
    </row>
    <row r="352" spans="1:9" x14ac:dyDescent="0.35">
      <c r="A352" s="3">
        <v>44347</v>
      </c>
      <c r="B352" s="4">
        <v>-2.2607429300896581E-3</v>
      </c>
      <c r="C352">
        <f ca="1">IF(B352&lt;Monte_Carlo!$AC$2,1,0)</f>
        <v>0</v>
      </c>
      <c r="D352" s="13"/>
      <c r="F352" s="13"/>
      <c r="G352">
        <v>350</v>
      </c>
      <c r="H352" s="4">
        <v>2.4827717345539936E-2</v>
      </c>
      <c r="I352" s="14">
        <f t="shared" si="5"/>
        <v>248277.17345539937</v>
      </c>
    </row>
    <row r="353" spans="1:9" x14ac:dyDescent="0.35">
      <c r="A353" s="3">
        <v>44348</v>
      </c>
      <c r="B353" s="4">
        <v>-2.9765585602372965E-3</v>
      </c>
      <c r="C353">
        <f ca="1">IF(B353&lt;Monte_Carlo!$AC$2,1,0)</f>
        <v>0</v>
      </c>
      <c r="D353" s="13"/>
      <c r="F353" s="13"/>
      <c r="G353">
        <v>351</v>
      </c>
      <c r="H353" s="4">
        <v>-3.6591704830578602E-2</v>
      </c>
      <c r="I353" s="14">
        <f t="shared" si="5"/>
        <v>-365917.04830578604</v>
      </c>
    </row>
    <row r="354" spans="1:9" x14ac:dyDescent="0.35">
      <c r="A354" s="3">
        <v>44349</v>
      </c>
      <c r="B354" s="4">
        <v>1.4712350976191875E-3</v>
      </c>
      <c r="C354">
        <f ca="1">IF(B354&lt;Monte_Carlo!$AC$2,1,0)</f>
        <v>0</v>
      </c>
      <c r="D354" s="13"/>
      <c r="F354" s="13"/>
      <c r="G354">
        <v>352</v>
      </c>
      <c r="H354" s="4">
        <v>2.8562808658090705E-2</v>
      </c>
      <c r="I354" s="14">
        <f t="shared" si="5"/>
        <v>285628.08658090705</v>
      </c>
    </row>
    <row r="355" spans="1:9" x14ac:dyDescent="0.35">
      <c r="A355" s="3">
        <v>44350</v>
      </c>
      <c r="B355" s="4">
        <v>8.0316800632012422E-3</v>
      </c>
      <c r="C355">
        <f ca="1">IF(B355&lt;Monte_Carlo!$AC$2,1,0)</f>
        <v>0</v>
      </c>
      <c r="D355" s="13"/>
      <c r="F355" s="13"/>
      <c r="G355">
        <v>353</v>
      </c>
      <c r="H355" s="4">
        <v>-2.2406301020049257E-2</v>
      </c>
      <c r="I355" s="14">
        <f t="shared" si="5"/>
        <v>-224063.01020049257</v>
      </c>
    </row>
    <row r="356" spans="1:9" x14ac:dyDescent="0.35">
      <c r="A356" s="3">
        <v>44351</v>
      </c>
      <c r="B356" s="4">
        <v>-1.2015094636128041E-2</v>
      </c>
      <c r="C356">
        <f ca="1">IF(B356&lt;Monte_Carlo!$AC$2,1,0)</f>
        <v>0</v>
      </c>
      <c r="D356" s="13"/>
      <c r="F356" s="13"/>
      <c r="G356">
        <v>354</v>
      </c>
      <c r="H356" s="4">
        <v>1.9686027504035815E-2</v>
      </c>
      <c r="I356" s="14">
        <f t="shared" si="5"/>
        <v>196860.27504035816</v>
      </c>
    </row>
    <row r="357" spans="1:9" x14ac:dyDescent="0.35">
      <c r="A357" s="3">
        <v>44354</v>
      </c>
      <c r="B357" s="4">
        <v>-4.0599233997386914E-4</v>
      </c>
      <c r="C357">
        <f ca="1">IF(B357&lt;Monte_Carlo!$AC$2,1,0)</f>
        <v>0</v>
      </c>
      <c r="D357" s="13"/>
      <c r="F357" s="13"/>
      <c r="G357">
        <v>355</v>
      </c>
      <c r="H357" s="4">
        <v>-5.5225503663628144E-3</v>
      </c>
      <c r="I357" s="14">
        <f t="shared" si="5"/>
        <v>-55225.503663628144</v>
      </c>
    </row>
    <row r="358" spans="1:9" x14ac:dyDescent="0.35">
      <c r="A358" s="3">
        <v>44355</v>
      </c>
      <c r="B358" s="4">
        <v>9.5366296016084068E-3</v>
      </c>
      <c r="C358">
        <f ca="1">IF(B358&lt;Monte_Carlo!$AC$2,1,0)</f>
        <v>0</v>
      </c>
      <c r="D358" s="13"/>
      <c r="F358" s="13"/>
      <c r="G358">
        <v>356</v>
      </c>
      <c r="H358" s="4">
        <v>-4.4010980798115081E-3</v>
      </c>
      <c r="I358" s="14">
        <f t="shared" si="5"/>
        <v>-44010.980798115081</v>
      </c>
    </row>
    <row r="359" spans="1:9" x14ac:dyDescent="0.35">
      <c r="A359" s="3">
        <v>44356</v>
      </c>
      <c r="B359" s="4">
        <v>-2.3084058775539726E-3</v>
      </c>
      <c r="C359">
        <f ca="1">IF(B359&lt;Monte_Carlo!$AC$2,1,0)</f>
        <v>0</v>
      </c>
      <c r="D359" s="13"/>
      <c r="F359" s="13"/>
      <c r="G359">
        <v>357</v>
      </c>
      <c r="H359" s="4">
        <v>-2.079801176042103E-2</v>
      </c>
      <c r="I359" s="14">
        <f t="shared" si="5"/>
        <v>-207980.1176042103</v>
      </c>
    </row>
    <row r="360" spans="1:9" x14ac:dyDescent="0.35">
      <c r="A360" s="3">
        <v>44357</v>
      </c>
      <c r="B360" s="4">
        <v>1.4897098992431178E-2</v>
      </c>
      <c r="C360">
        <f ca="1">IF(B360&lt;Monte_Carlo!$AC$2,1,0)</f>
        <v>0</v>
      </c>
      <c r="D360" s="13"/>
      <c r="F360" s="13"/>
      <c r="G360">
        <v>358</v>
      </c>
      <c r="H360" s="4">
        <v>8.2221594020298674E-3</v>
      </c>
      <c r="I360" s="14">
        <f t="shared" si="5"/>
        <v>82221.594020298668</v>
      </c>
    </row>
    <row r="361" spans="1:9" x14ac:dyDescent="0.35">
      <c r="A361" s="3">
        <v>44358</v>
      </c>
      <c r="B361" s="4">
        <v>7.4051824854497487E-3</v>
      </c>
      <c r="C361">
        <f ca="1">IF(B361&lt;Monte_Carlo!$AC$2,1,0)</f>
        <v>0</v>
      </c>
      <c r="D361" s="13"/>
      <c r="F361" s="13"/>
      <c r="G361">
        <v>359</v>
      </c>
      <c r="H361" s="4">
        <v>-1.7387944266151405E-2</v>
      </c>
      <c r="I361" s="14">
        <f t="shared" si="5"/>
        <v>-173879.44266151404</v>
      </c>
    </row>
    <row r="362" spans="1:9" x14ac:dyDescent="0.35">
      <c r="A362" s="3">
        <v>44361</v>
      </c>
      <c r="B362" s="4">
        <v>-9.2864184948604593E-3</v>
      </c>
      <c r="C362">
        <f ca="1">IF(B362&lt;Monte_Carlo!$AC$2,1,0)</f>
        <v>0</v>
      </c>
      <c r="D362" s="13"/>
      <c r="F362" s="13"/>
      <c r="G362">
        <v>360</v>
      </c>
      <c r="H362" s="4">
        <v>4.2038040127363088E-3</v>
      </c>
      <c r="I362" s="14">
        <f t="shared" si="5"/>
        <v>42038.040127363085</v>
      </c>
    </row>
    <row r="363" spans="1:9" x14ac:dyDescent="0.35">
      <c r="A363" s="3">
        <v>44362</v>
      </c>
      <c r="B363" s="4">
        <v>1.4643747522347024E-4</v>
      </c>
      <c r="C363">
        <f ca="1">IF(B363&lt;Monte_Carlo!$AC$2,1,0)</f>
        <v>0</v>
      </c>
      <c r="D363" s="13"/>
      <c r="F363" s="13"/>
      <c r="G363">
        <v>361</v>
      </c>
      <c r="H363" s="4">
        <v>-5.153495949670437E-3</v>
      </c>
      <c r="I363" s="14">
        <f t="shared" si="5"/>
        <v>-51534.959496704367</v>
      </c>
    </row>
    <row r="364" spans="1:9" x14ac:dyDescent="0.35">
      <c r="A364" s="3">
        <v>44363</v>
      </c>
      <c r="B364" s="4">
        <v>1.535387584740946E-2</v>
      </c>
      <c r="C364">
        <f ca="1">IF(B364&lt;Monte_Carlo!$AC$2,1,0)</f>
        <v>0</v>
      </c>
      <c r="D364" s="13"/>
      <c r="F364" s="13"/>
      <c r="G364">
        <v>362</v>
      </c>
      <c r="H364" s="4">
        <v>2.5665556949290857E-2</v>
      </c>
      <c r="I364" s="14">
        <f t="shared" si="5"/>
        <v>256655.56949290857</v>
      </c>
    </row>
    <row r="365" spans="1:9" x14ac:dyDescent="0.35">
      <c r="A365" s="3">
        <v>44364</v>
      </c>
      <c r="B365" s="4">
        <v>-2.4757002099640201E-3</v>
      </c>
      <c r="C365">
        <f ca="1">IF(B365&lt;Monte_Carlo!$AC$2,1,0)</f>
        <v>0</v>
      </c>
      <c r="D365" s="13"/>
      <c r="F365" s="13"/>
      <c r="G365">
        <v>363</v>
      </c>
      <c r="H365" s="4">
        <v>-1.4603907484082312E-2</v>
      </c>
      <c r="I365" s="14">
        <f t="shared" si="5"/>
        <v>-146039.07484082313</v>
      </c>
    </row>
    <row r="366" spans="1:9" x14ac:dyDescent="0.35">
      <c r="A366" s="3">
        <v>44365</v>
      </c>
      <c r="B366" s="4">
        <v>1.1515360895956978E-2</v>
      </c>
      <c r="C366">
        <f ca="1">IF(B366&lt;Monte_Carlo!$AC$2,1,0)</f>
        <v>0</v>
      </c>
      <c r="D366" s="13"/>
      <c r="F366" s="13"/>
      <c r="G366">
        <v>364</v>
      </c>
      <c r="H366" s="4">
        <v>5.3915082063569052E-3</v>
      </c>
      <c r="I366" s="14">
        <f t="shared" si="5"/>
        <v>53915.082063569054</v>
      </c>
    </row>
    <row r="367" spans="1:9" x14ac:dyDescent="0.35">
      <c r="A367" s="3">
        <v>44368</v>
      </c>
      <c r="B367" s="4">
        <v>-6.9500429231952945E-3</v>
      </c>
      <c r="C367">
        <f ca="1">IF(B367&lt;Monte_Carlo!$AC$2,1,0)</f>
        <v>0</v>
      </c>
      <c r="D367" s="13"/>
      <c r="F367" s="13"/>
      <c r="G367">
        <v>365</v>
      </c>
      <c r="H367" s="4">
        <v>-1.2031300482405E-2</v>
      </c>
      <c r="I367" s="14">
        <f t="shared" si="5"/>
        <v>-120313.00482404999</v>
      </c>
    </row>
    <row r="368" spans="1:9" x14ac:dyDescent="0.35">
      <c r="A368" s="3">
        <v>44369</v>
      </c>
      <c r="B368" s="4">
        <v>-7.4770835966095914E-4</v>
      </c>
      <c r="C368">
        <f ca="1">IF(B368&lt;Monte_Carlo!$AC$2,1,0)</f>
        <v>0</v>
      </c>
      <c r="D368" s="13"/>
      <c r="F368" s="13"/>
      <c r="G368">
        <v>366</v>
      </c>
      <c r="H368" s="4">
        <v>4.6270228925026372E-2</v>
      </c>
      <c r="I368" s="14">
        <f t="shared" si="5"/>
        <v>462702.28925026371</v>
      </c>
    </row>
    <row r="369" spans="1:9" x14ac:dyDescent="0.35">
      <c r="A369" s="3">
        <v>44370</v>
      </c>
      <c r="B369" s="4">
        <v>2.8338195993405603E-3</v>
      </c>
      <c r="C369">
        <f ca="1">IF(B369&lt;Monte_Carlo!$AC$2,1,0)</f>
        <v>0</v>
      </c>
      <c r="D369" s="13"/>
      <c r="F369" s="13"/>
      <c r="G369">
        <v>367</v>
      </c>
      <c r="H369" s="4">
        <v>-3.3099877441198827E-2</v>
      </c>
      <c r="I369" s="14">
        <f t="shared" si="5"/>
        <v>-330998.77441198827</v>
      </c>
    </row>
    <row r="370" spans="1:9" x14ac:dyDescent="0.35">
      <c r="A370" s="3">
        <v>44371</v>
      </c>
      <c r="B370" s="4">
        <v>-4.5543535693226651E-3</v>
      </c>
      <c r="C370">
        <f ca="1">IF(B370&lt;Monte_Carlo!$AC$2,1,0)</f>
        <v>0</v>
      </c>
      <c r="D370" s="13"/>
      <c r="F370" s="13"/>
      <c r="G370">
        <v>368</v>
      </c>
      <c r="H370" s="4">
        <v>1.8763202322478217E-2</v>
      </c>
      <c r="I370" s="14">
        <f t="shared" si="5"/>
        <v>187632.02322478217</v>
      </c>
    </row>
    <row r="371" spans="1:9" x14ac:dyDescent="0.35">
      <c r="A371" s="3">
        <v>44372</v>
      </c>
      <c r="B371" s="4">
        <v>1.1109261890828897E-2</v>
      </c>
      <c r="C371">
        <f ca="1">IF(B371&lt;Monte_Carlo!$AC$2,1,0)</f>
        <v>0</v>
      </c>
      <c r="D371" s="13"/>
      <c r="F371" s="13"/>
      <c r="G371">
        <v>369</v>
      </c>
      <c r="H371" s="4">
        <v>-1.8104682139060781E-2</v>
      </c>
      <c r="I371" s="14">
        <f t="shared" si="5"/>
        <v>-181046.8213906078</v>
      </c>
    </row>
    <row r="372" spans="1:9" x14ac:dyDescent="0.35">
      <c r="A372" s="3">
        <v>44375</v>
      </c>
      <c r="B372" s="4">
        <v>2.3785431203062837E-2</v>
      </c>
      <c r="C372">
        <f ca="1">IF(B372&lt;Monte_Carlo!$AC$2,1,0)</f>
        <v>0</v>
      </c>
      <c r="D372" s="13"/>
      <c r="F372" s="13"/>
      <c r="G372">
        <v>370</v>
      </c>
      <c r="H372" s="4">
        <v>-8.5691241702156775E-3</v>
      </c>
      <c r="I372" s="14">
        <f t="shared" si="5"/>
        <v>-85691.241702156782</v>
      </c>
    </row>
    <row r="373" spans="1:9" x14ac:dyDescent="0.35">
      <c r="A373" s="3">
        <v>44376</v>
      </c>
      <c r="B373" s="4">
        <v>3.3457332071068317E-5</v>
      </c>
      <c r="C373">
        <f ca="1">IF(B373&lt;Monte_Carlo!$AC$2,1,0)</f>
        <v>0</v>
      </c>
      <c r="D373" s="13"/>
      <c r="F373" s="13"/>
      <c r="G373">
        <v>371</v>
      </c>
      <c r="H373" s="4">
        <v>4.9553935741894997E-2</v>
      </c>
      <c r="I373" s="14">
        <f t="shared" si="5"/>
        <v>495539.35741894995</v>
      </c>
    </row>
    <row r="374" spans="1:9" x14ac:dyDescent="0.35">
      <c r="A374" s="3">
        <v>44377</v>
      </c>
      <c r="B374" s="4">
        <v>-3.9849727304240232E-3</v>
      </c>
      <c r="C374">
        <f ca="1">IF(B374&lt;Monte_Carlo!$AC$2,1,0)</f>
        <v>0</v>
      </c>
      <c r="D374" s="13"/>
      <c r="F374" s="13"/>
      <c r="G374">
        <v>372</v>
      </c>
      <c r="H374" s="4">
        <v>-4.8965584652046978E-2</v>
      </c>
      <c r="I374" s="14">
        <f t="shared" si="5"/>
        <v>-489655.84652046976</v>
      </c>
    </row>
    <row r="375" spans="1:9" x14ac:dyDescent="0.35">
      <c r="A375" s="3">
        <v>44378</v>
      </c>
      <c r="B375" s="4">
        <v>-5.7649183698243699E-3</v>
      </c>
      <c r="C375">
        <f ca="1">IF(B375&lt;Monte_Carlo!$AC$2,1,0)</f>
        <v>0</v>
      </c>
      <c r="D375" s="13"/>
      <c r="F375" s="13"/>
      <c r="G375">
        <v>373</v>
      </c>
      <c r="H375" s="4">
        <v>2.0556971006792133E-2</v>
      </c>
      <c r="I375" s="14">
        <f t="shared" si="5"/>
        <v>205569.71006792132</v>
      </c>
    </row>
    <row r="376" spans="1:9" x14ac:dyDescent="0.35">
      <c r="A376" s="3">
        <v>44379</v>
      </c>
      <c r="B376" s="4">
        <v>-8.1674803696575957E-3</v>
      </c>
      <c r="C376">
        <f ca="1">IF(B376&lt;Monte_Carlo!$AC$2,1,0)</f>
        <v>0</v>
      </c>
      <c r="D376" s="13"/>
      <c r="F376" s="13"/>
      <c r="G376">
        <v>374</v>
      </c>
      <c r="H376" s="4">
        <v>-1.8256089448353535E-2</v>
      </c>
      <c r="I376" s="14">
        <f t="shared" si="5"/>
        <v>-182560.89448353535</v>
      </c>
    </row>
    <row r="377" spans="1:9" x14ac:dyDescent="0.35">
      <c r="A377" s="3">
        <v>44382</v>
      </c>
      <c r="B377" s="4">
        <v>4.6391186006477757E-3</v>
      </c>
      <c r="C377">
        <f ca="1">IF(B377&lt;Monte_Carlo!$AC$2,1,0)</f>
        <v>0</v>
      </c>
      <c r="D377" s="13"/>
      <c r="F377" s="13"/>
      <c r="G377">
        <v>375</v>
      </c>
      <c r="H377" s="4">
        <v>3.2559438715943238E-2</v>
      </c>
      <c r="I377" s="14">
        <f t="shared" si="5"/>
        <v>325594.3871594324</v>
      </c>
    </row>
    <row r="378" spans="1:9" x14ac:dyDescent="0.35">
      <c r="A378" s="3">
        <v>44383</v>
      </c>
      <c r="B378" s="4">
        <v>4.5074060401557228E-3</v>
      </c>
      <c r="C378">
        <f ca="1">IF(B378&lt;Monte_Carlo!$AC$2,1,0)</f>
        <v>0</v>
      </c>
      <c r="D378" s="13"/>
      <c r="F378" s="13"/>
      <c r="G378">
        <v>376</v>
      </c>
      <c r="H378" s="4">
        <v>-1.0381560966718755E-2</v>
      </c>
      <c r="I378" s="14">
        <f t="shared" si="5"/>
        <v>-103815.60966718756</v>
      </c>
    </row>
    <row r="379" spans="1:9" x14ac:dyDescent="0.35">
      <c r="A379" s="3">
        <v>44384</v>
      </c>
      <c r="B379" s="4">
        <v>5.2514461878111329E-3</v>
      </c>
      <c r="C379">
        <f ca="1">IF(B379&lt;Monte_Carlo!$AC$2,1,0)</f>
        <v>0</v>
      </c>
      <c r="D379" s="13"/>
      <c r="F379" s="13"/>
      <c r="G379">
        <v>377</v>
      </c>
      <c r="H379" s="4">
        <v>-1.7398816707778667E-2</v>
      </c>
      <c r="I379" s="14">
        <f t="shared" si="5"/>
        <v>-173988.16707778667</v>
      </c>
    </row>
    <row r="380" spans="1:9" x14ac:dyDescent="0.35">
      <c r="A380" s="3">
        <v>44385</v>
      </c>
      <c r="B380" s="4">
        <v>-1.2222993948649971E-2</v>
      </c>
      <c r="C380">
        <f ca="1">IF(B380&lt;Monte_Carlo!$AC$2,1,0)</f>
        <v>0</v>
      </c>
      <c r="D380" s="13"/>
      <c r="F380" s="13"/>
      <c r="G380">
        <v>378</v>
      </c>
      <c r="H380" s="4">
        <v>7.7274015587600244E-3</v>
      </c>
      <c r="I380" s="14">
        <f t="shared" si="5"/>
        <v>77274.015587600239</v>
      </c>
    </row>
    <row r="381" spans="1:9" x14ac:dyDescent="0.35">
      <c r="A381" s="3">
        <v>44386</v>
      </c>
      <c r="B381" s="4">
        <v>-2.2228574987440959E-3</v>
      </c>
      <c r="C381">
        <f ca="1">IF(B381&lt;Monte_Carlo!$AC$2,1,0)</f>
        <v>0</v>
      </c>
      <c r="D381" s="13"/>
      <c r="F381" s="13"/>
      <c r="G381">
        <v>379</v>
      </c>
      <c r="H381" s="4">
        <v>1.9821409904970801E-2</v>
      </c>
      <c r="I381" s="14">
        <f t="shared" si="5"/>
        <v>198214.09904970802</v>
      </c>
    </row>
    <row r="382" spans="1:9" x14ac:dyDescent="0.35">
      <c r="A382" s="3">
        <v>44389</v>
      </c>
      <c r="B382" s="4">
        <v>4.7153522570406023E-3</v>
      </c>
      <c r="C382">
        <f ca="1">IF(B382&lt;Monte_Carlo!$AC$2,1,0)</f>
        <v>0</v>
      </c>
      <c r="D382" s="13"/>
      <c r="F382" s="13"/>
      <c r="G382">
        <v>380</v>
      </c>
      <c r="H382" s="4">
        <v>-2.5266297727018758E-2</v>
      </c>
      <c r="I382" s="14">
        <f t="shared" si="5"/>
        <v>-252662.97727018758</v>
      </c>
    </row>
    <row r="383" spans="1:9" x14ac:dyDescent="0.35">
      <c r="A383" s="3">
        <v>44390</v>
      </c>
      <c r="B383" s="4">
        <v>-2.2122450682569419E-2</v>
      </c>
      <c r="C383">
        <f ca="1">IF(B383&lt;Monte_Carlo!$AC$2,1,0)</f>
        <v>0</v>
      </c>
      <c r="D383" s="13"/>
      <c r="F383" s="13"/>
      <c r="G383">
        <v>381</v>
      </c>
      <c r="H383" s="4">
        <v>1.4920416473899301E-2</v>
      </c>
      <c r="I383" s="14">
        <f t="shared" si="5"/>
        <v>149204.16473899301</v>
      </c>
    </row>
    <row r="384" spans="1:9" x14ac:dyDescent="0.35">
      <c r="A384" s="3">
        <v>44391</v>
      </c>
      <c r="B384" s="4">
        <v>-8.0656006114329208E-3</v>
      </c>
      <c r="C384">
        <f ca="1">IF(B384&lt;Monte_Carlo!$AC$2,1,0)</f>
        <v>0</v>
      </c>
      <c r="D384" s="13"/>
      <c r="F384" s="13"/>
      <c r="G384">
        <v>382</v>
      </c>
      <c r="H384" s="4">
        <v>5.2769409745502126E-4</v>
      </c>
      <c r="I384" s="14">
        <f t="shared" si="5"/>
        <v>5276.9409745502126</v>
      </c>
    </row>
    <row r="385" spans="1:9" x14ac:dyDescent="0.35">
      <c r="A385" s="3">
        <v>44392</v>
      </c>
      <c r="B385" s="4">
        <v>5.0056659450721987E-3</v>
      </c>
      <c r="C385">
        <f ca="1">IF(B385&lt;Monte_Carlo!$AC$2,1,0)</f>
        <v>0</v>
      </c>
      <c r="D385" s="13"/>
      <c r="F385" s="13"/>
      <c r="G385">
        <v>383</v>
      </c>
      <c r="H385" s="4">
        <v>-3.1021002999451913E-2</v>
      </c>
      <c r="I385" s="14">
        <f t="shared" si="5"/>
        <v>-310210.02999451914</v>
      </c>
    </row>
    <row r="386" spans="1:9" x14ac:dyDescent="0.35">
      <c r="A386" s="3">
        <v>44393</v>
      </c>
      <c r="B386" s="4">
        <v>-1.3128803485603992E-2</v>
      </c>
      <c r="C386">
        <f ca="1">IF(B386&lt;Monte_Carlo!$AC$2,1,0)</f>
        <v>0</v>
      </c>
      <c r="D386" s="13"/>
      <c r="F386" s="13"/>
      <c r="G386">
        <v>384</v>
      </c>
      <c r="H386" s="4">
        <v>-4.0137078726187846E-3</v>
      </c>
      <c r="I386" s="14">
        <f t="shared" si="5"/>
        <v>-40137.078726187843</v>
      </c>
    </row>
    <row r="387" spans="1:9" x14ac:dyDescent="0.35">
      <c r="A387" s="3">
        <v>44396</v>
      </c>
      <c r="B387" s="4">
        <v>-1.7780905328293743E-2</v>
      </c>
      <c r="C387">
        <f ca="1">IF(B387&lt;Monte_Carlo!$AC$2,1,0)</f>
        <v>0</v>
      </c>
      <c r="D387" s="13"/>
      <c r="F387" s="13"/>
      <c r="G387">
        <v>385</v>
      </c>
      <c r="H387" s="4">
        <v>3.3755321945356152E-2</v>
      </c>
      <c r="I387" s="14">
        <f t="shared" si="5"/>
        <v>337553.21945356153</v>
      </c>
    </row>
    <row r="388" spans="1:9" x14ac:dyDescent="0.35">
      <c r="A388" s="3">
        <v>44397</v>
      </c>
      <c r="B388" s="4">
        <v>-1.5109410189154014E-2</v>
      </c>
      <c r="C388">
        <f ca="1">IF(B388&lt;Monte_Carlo!$AC$2,1,0)</f>
        <v>0</v>
      </c>
      <c r="D388" s="13"/>
      <c r="F388" s="13"/>
      <c r="G388">
        <v>386</v>
      </c>
      <c r="H388" s="4">
        <v>-1.7857220663358804E-3</v>
      </c>
      <c r="I388" s="14">
        <f t="shared" si="5"/>
        <v>-17857.220663358803</v>
      </c>
    </row>
    <row r="389" spans="1:9" x14ac:dyDescent="0.35">
      <c r="A389" s="3">
        <v>44399</v>
      </c>
      <c r="B389" s="4">
        <v>3.1095943170276825E-2</v>
      </c>
      <c r="C389">
        <f ca="1">IF(B389&lt;Monte_Carlo!$AC$2,1,0)</f>
        <v>0</v>
      </c>
      <c r="D389" s="13"/>
      <c r="F389" s="13"/>
      <c r="G389">
        <v>387</v>
      </c>
      <c r="H389" s="4">
        <v>-8.241262888231982E-3</v>
      </c>
      <c r="I389" s="14">
        <f t="shared" ref="I389:I452" si="6">H389*10000000</f>
        <v>-82412.628882319827</v>
      </c>
    </row>
    <row r="390" spans="1:9" x14ac:dyDescent="0.35">
      <c r="A390" s="3">
        <v>44400</v>
      </c>
      <c r="B390" s="4">
        <v>-3.0828073265249802E-2</v>
      </c>
      <c r="C390">
        <f ca="1">IF(B390&lt;Monte_Carlo!$AC$2,1,0)</f>
        <v>0</v>
      </c>
      <c r="D390" s="13"/>
      <c r="F390" s="13"/>
      <c r="G390">
        <v>388</v>
      </c>
      <c r="H390" s="4">
        <v>-3.0489081569416855E-2</v>
      </c>
      <c r="I390" s="14">
        <f t="shared" si="6"/>
        <v>-304890.81569416856</v>
      </c>
    </row>
    <row r="391" spans="1:9" x14ac:dyDescent="0.35">
      <c r="A391" s="3">
        <v>44403</v>
      </c>
      <c r="B391" s="4">
        <v>-1.1348518104523263E-2</v>
      </c>
      <c r="C391">
        <f ca="1">IF(B391&lt;Monte_Carlo!$AC$2,1,0)</f>
        <v>0</v>
      </c>
      <c r="D391" s="13"/>
      <c r="F391" s="13"/>
      <c r="G391">
        <v>389</v>
      </c>
      <c r="H391" s="4">
        <v>1.9583099931467077E-2</v>
      </c>
      <c r="I391" s="14">
        <f t="shared" si="6"/>
        <v>195830.99931467077</v>
      </c>
    </row>
    <row r="392" spans="1:9" x14ac:dyDescent="0.35">
      <c r="A392" s="3">
        <v>44404</v>
      </c>
      <c r="B392" s="4">
        <v>8.1634327581232499E-3</v>
      </c>
      <c r="C392">
        <f ca="1">IF(B392&lt;Monte_Carlo!$AC$2,1,0)</f>
        <v>0</v>
      </c>
      <c r="D392" s="13"/>
      <c r="F392" s="13"/>
      <c r="G392">
        <v>390</v>
      </c>
      <c r="H392" s="4">
        <v>2.2164517419008743E-2</v>
      </c>
      <c r="I392" s="14">
        <f t="shared" si="6"/>
        <v>221645.17419008742</v>
      </c>
    </row>
    <row r="393" spans="1:9" x14ac:dyDescent="0.35">
      <c r="A393" s="3">
        <v>44405</v>
      </c>
      <c r="B393" s="4">
        <v>1.886392419400747E-2</v>
      </c>
      <c r="C393">
        <f ca="1">IF(B393&lt;Monte_Carlo!$AC$2,1,0)</f>
        <v>0</v>
      </c>
      <c r="D393" s="13"/>
      <c r="F393" s="13"/>
      <c r="G393">
        <v>391</v>
      </c>
      <c r="H393" s="4">
        <v>1.3852882018313291E-2</v>
      </c>
      <c r="I393" s="14">
        <f t="shared" si="6"/>
        <v>138528.82018313289</v>
      </c>
    </row>
    <row r="394" spans="1:9" x14ac:dyDescent="0.35">
      <c r="A394" s="3">
        <v>44406</v>
      </c>
      <c r="B394" s="4">
        <v>-2.5774438481724286E-3</v>
      </c>
      <c r="C394">
        <f ca="1">IF(B394&lt;Monte_Carlo!$AC$2,1,0)</f>
        <v>0</v>
      </c>
      <c r="D394" s="13"/>
      <c r="F394" s="13"/>
      <c r="G394">
        <v>392</v>
      </c>
      <c r="H394" s="4">
        <v>-2.4277233494078624E-2</v>
      </c>
      <c r="I394" s="14">
        <f t="shared" si="6"/>
        <v>-242772.33494078624</v>
      </c>
    </row>
    <row r="395" spans="1:9" x14ac:dyDescent="0.35">
      <c r="A395" s="3">
        <v>44407</v>
      </c>
      <c r="B395" s="4">
        <v>-9.081592229162912E-3</v>
      </c>
      <c r="C395">
        <f ca="1">IF(B395&lt;Monte_Carlo!$AC$2,1,0)</f>
        <v>0</v>
      </c>
      <c r="D395" s="13"/>
      <c r="F395" s="13"/>
      <c r="G395">
        <v>393</v>
      </c>
      <c r="H395" s="4">
        <v>2.05520762830102E-3</v>
      </c>
      <c r="I395" s="14">
        <f t="shared" si="6"/>
        <v>20552.076283010199</v>
      </c>
    </row>
    <row r="396" spans="1:9" x14ac:dyDescent="0.35">
      <c r="A396" s="3">
        <v>44410</v>
      </c>
      <c r="B396" s="4">
        <v>-1.0441065385675996E-2</v>
      </c>
      <c r="C396">
        <f ca="1">IF(B396&lt;Monte_Carlo!$AC$2,1,0)</f>
        <v>0</v>
      </c>
      <c r="D396" s="13"/>
      <c r="F396" s="13"/>
      <c r="G396">
        <v>394</v>
      </c>
      <c r="H396" s="4">
        <v>-2.0224875157360293E-3</v>
      </c>
      <c r="I396" s="14">
        <f t="shared" si="6"/>
        <v>-20224.875157360293</v>
      </c>
    </row>
    <row r="397" spans="1:9" x14ac:dyDescent="0.35">
      <c r="A397" s="3">
        <v>44411</v>
      </c>
      <c r="B397" s="4">
        <v>-5.8302451829349792E-3</v>
      </c>
      <c r="C397">
        <f ca="1">IF(B397&lt;Monte_Carlo!$AC$2,1,0)</f>
        <v>0</v>
      </c>
      <c r="D397" s="13"/>
      <c r="F397" s="13"/>
      <c r="G397">
        <v>395</v>
      </c>
      <c r="H397" s="4">
        <v>1.503215234799758E-2</v>
      </c>
      <c r="I397" s="14">
        <f t="shared" si="6"/>
        <v>150321.52347997582</v>
      </c>
    </row>
    <row r="398" spans="1:9" x14ac:dyDescent="0.35">
      <c r="A398" s="3">
        <v>44412</v>
      </c>
      <c r="B398" s="4">
        <v>-5.8551653799148937E-3</v>
      </c>
      <c r="C398">
        <f ca="1">IF(B398&lt;Monte_Carlo!$AC$2,1,0)</f>
        <v>0</v>
      </c>
      <c r="D398" s="13"/>
      <c r="F398" s="13"/>
      <c r="G398">
        <v>396</v>
      </c>
      <c r="H398" s="4">
        <v>2.4358447951767902E-2</v>
      </c>
      <c r="I398" s="14">
        <f t="shared" si="6"/>
        <v>243584.47951767902</v>
      </c>
    </row>
    <row r="399" spans="1:9" x14ac:dyDescent="0.35">
      <c r="A399" s="3">
        <v>44413</v>
      </c>
      <c r="B399" s="4">
        <v>-3.3812566318416636E-3</v>
      </c>
      <c r="C399">
        <f ca="1">IF(B399&lt;Monte_Carlo!$AC$2,1,0)</f>
        <v>0</v>
      </c>
      <c r="D399" s="13"/>
      <c r="F399" s="13"/>
      <c r="G399">
        <v>397</v>
      </c>
      <c r="H399" s="4">
        <v>-2.4960045157423897E-2</v>
      </c>
      <c r="I399" s="14">
        <f t="shared" si="6"/>
        <v>-249600.45157423898</v>
      </c>
    </row>
    <row r="400" spans="1:9" x14ac:dyDescent="0.35">
      <c r="A400" s="3">
        <v>44414</v>
      </c>
      <c r="B400" s="4">
        <v>-1.4886276140530546E-5</v>
      </c>
      <c r="C400">
        <f ca="1">IF(B400&lt;Monte_Carlo!$AC$2,1,0)</f>
        <v>0</v>
      </c>
      <c r="D400" s="13"/>
      <c r="F400" s="13"/>
      <c r="G400">
        <v>398</v>
      </c>
      <c r="H400" s="4">
        <v>-1.5168901679342928E-2</v>
      </c>
      <c r="I400" s="14">
        <f t="shared" si="6"/>
        <v>-151689.01679342927</v>
      </c>
    </row>
    <row r="401" spans="1:9" x14ac:dyDescent="0.35">
      <c r="A401" s="3">
        <v>44417</v>
      </c>
      <c r="B401" s="4">
        <v>-5.4703476066656547E-3</v>
      </c>
      <c r="C401">
        <f ca="1">IF(B401&lt;Monte_Carlo!$AC$2,1,0)</f>
        <v>0</v>
      </c>
      <c r="D401" s="13"/>
      <c r="F401" s="13"/>
      <c r="G401">
        <v>399</v>
      </c>
      <c r="H401" s="4">
        <v>-3.1404990470817956E-3</v>
      </c>
      <c r="I401" s="14">
        <f t="shared" si="6"/>
        <v>-31404.990470817957</v>
      </c>
    </row>
    <row r="402" spans="1:9" x14ac:dyDescent="0.35">
      <c r="A402" s="3">
        <v>44418</v>
      </c>
      <c r="B402" s="4">
        <v>-4.9137613921530592E-3</v>
      </c>
      <c r="C402">
        <f ca="1">IF(B402&lt;Monte_Carlo!$AC$2,1,0)</f>
        <v>0</v>
      </c>
      <c r="D402" s="13"/>
      <c r="F402" s="13"/>
      <c r="G402">
        <v>400</v>
      </c>
      <c r="H402" s="4">
        <v>-4.3014605074230775E-3</v>
      </c>
      <c r="I402" s="14">
        <f t="shared" si="6"/>
        <v>-43014.605074230778</v>
      </c>
    </row>
    <row r="403" spans="1:9" x14ac:dyDescent="0.35">
      <c r="A403" s="3">
        <v>44419</v>
      </c>
      <c r="B403" s="4">
        <v>-2.2419480151206418E-3</v>
      </c>
      <c r="C403">
        <f ca="1">IF(B403&lt;Monte_Carlo!$AC$2,1,0)</f>
        <v>0</v>
      </c>
      <c r="D403" s="13"/>
      <c r="F403" s="13"/>
      <c r="G403">
        <v>401</v>
      </c>
      <c r="H403" s="4">
        <v>3.5570701055359803E-2</v>
      </c>
      <c r="I403" s="14">
        <f t="shared" si="6"/>
        <v>355707.01055359805</v>
      </c>
    </row>
    <row r="404" spans="1:9" x14ac:dyDescent="0.35">
      <c r="A404" s="3">
        <v>44420</v>
      </c>
      <c r="B404" s="4">
        <v>6.6420013201803551E-3</v>
      </c>
      <c r="C404">
        <f ca="1">IF(B404&lt;Monte_Carlo!$AC$2,1,0)</f>
        <v>0</v>
      </c>
      <c r="D404" s="13"/>
      <c r="F404" s="13"/>
      <c r="G404">
        <v>402</v>
      </c>
      <c r="H404" s="4">
        <v>5.4845146958363133E-3</v>
      </c>
      <c r="I404" s="14">
        <f t="shared" si="6"/>
        <v>54845.146958363133</v>
      </c>
    </row>
    <row r="405" spans="1:9" x14ac:dyDescent="0.35">
      <c r="A405" s="3">
        <v>44421</v>
      </c>
      <c r="B405" s="4">
        <v>-1.767958560530018E-3</v>
      </c>
      <c r="C405">
        <f ca="1">IF(B405&lt;Monte_Carlo!$AC$2,1,0)</f>
        <v>0</v>
      </c>
      <c r="D405" s="13"/>
      <c r="F405" s="13"/>
      <c r="G405">
        <v>403</v>
      </c>
      <c r="H405" s="4">
        <v>-1.3963329353106256E-2</v>
      </c>
      <c r="I405" s="14">
        <f t="shared" si="6"/>
        <v>-139633.29353106255</v>
      </c>
    </row>
    <row r="406" spans="1:9" x14ac:dyDescent="0.35">
      <c r="A406" s="3">
        <v>44424</v>
      </c>
      <c r="B406" s="4">
        <v>-1.4357670235199857E-2</v>
      </c>
      <c r="C406">
        <f ca="1">IF(B406&lt;Monte_Carlo!$AC$2,1,0)</f>
        <v>0</v>
      </c>
      <c r="D406" s="13"/>
      <c r="F406" s="13"/>
      <c r="G406">
        <v>404</v>
      </c>
      <c r="H406" s="4">
        <v>-1.3647504940336574E-2</v>
      </c>
      <c r="I406" s="14">
        <f t="shared" si="6"/>
        <v>-136475.04940336573</v>
      </c>
    </row>
    <row r="407" spans="1:9" x14ac:dyDescent="0.35">
      <c r="A407" s="3">
        <v>44425</v>
      </c>
      <c r="B407" s="4">
        <v>-1.2626854922923947E-4</v>
      </c>
      <c r="C407">
        <f ca="1">IF(B407&lt;Monte_Carlo!$AC$2,1,0)</f>
        <v>0</v>
      </c>
      <c r="D407" s="13"/>
      <c r="F407" s="13"/>
      <c r="G407">
        <v>405</v>
      </c>
      <c r="H407" s="4">
        <v>7.728144066070421E-3</v>
      </c>
      <c r="I407" s="14">
        <f t="shared" si="6"/>
        <v>77281.440660704204</v>
      </c>
    </row>
    <row r="408" spans="1:9" x14ac:dyDescent="0.35">
      <c r="A408" s="3">
        <v>44426</v>
      </c>
      <c r="B408" s="4">
        <v>9.9975890161344994E-3</v>
      </c>
      <c r="C408">
        <f ca="1">IF(B408&lt;Monte_Carlo!$AC$2,1,0)</f>
        <v>0</v>
      </c>
      <c r="D408" s="13"/>
      <c r="F408" s="13"/>
      <c r="G408">
        <v>406</v>
      </c>
      <c r="H408" s="4">
        <v>-2.0140566080502385E-2</v>
      </c>
      <c r="I408" s="14">
        <f t="shared" si="6"/>
        <v>-201405.66080502386</v>
      </c>
    </row>
    <row r="409" spans="1:9" x14ac:dyDescent="0.35">
      <c r="A409" s="3">
        <v>44428</v>
      </c>
      <c r="B409" s="4">
        <v>-1.1397961260023921E-2</v>
      </c>
      <c r="C409">
        <f ca="1">IF(B409&lt;Monte_Carlo!$AC$2,1,0)</f>
        <v>0</v>
      </c>
      <c r="D409" s="13"/>
      <c r="F409" s="13"/>
      <c r="G409">
        <v>407</v>
      </c>
      <c r="H409" s="4">
        <v>-1.7392913369361447E-2</v>
      </c>
      <c r="I409" s="14">
        <f t="shared" si="6"/>
        <v>-173929.13369361448</v>
      </c>
    </row>
    <row r="410" spans="1:9" x14ac:dyDescent="0.35">
      <c r="A410" s="3">
        <v>44431</v>
      </c>
      <c r="B410" s="4">
        <v>4.8899472304645775E-3</v>
      </c>
      <c r="C410">
        <f ca="1">IF(B410&lt;Monte_Carlo!$AC$2,1,0)</f>
        <v>0</v>
      </c>
      <c r="D410" s="13"/>
      <c r="F410" s="13"/>
      <c r="G410">
        <v>408</v>
      </c>
      <c r="H410" s="4">
        <v>2.6764524588402637E-2</v>
      </c>
      <c r="I410" s="14">
        <f t="shared" si="6"/>
        <v>267645.24588402634</v>
      </c>
    </row>
    <row r="411" spans="1:9" x14ac:dyDescent="0.35">
      <c r="A411" s="3">
        <v>44432</v>
      </c>
      <c r="B411" s="4">
        <v>-1.3222457986382491E-2</v>
      </c>
      <c r="C411">
        <f ca="1">IF(B411&lt;Monte_Carlo!$AC$2,1,0)</f>
        <v>0</v>
      </c>
      <c r="D411" s="13"/>
      <c r="F411" s="13"/>
      <c r="G411">
        <v>409</v>
      </c>
      <c r="H411" s="4">
        <v>3.0816888292654835E-3</v>
      </c>
      <c r="I411" s="14">
        <f t="shared" si="6"/>
        <v>30816.888292654836</v>
      </c>
    </row>
    <row r="412" spans="1:9" x14ac:dyDescent="0.35">
      <c r="A412" s="3">
        <v>44433</v>
      </c>
      <c r="B412" s="4">
        <v>2.7347459413044877E-2</v>
      </c>
      <c r="C412">
        <f ca="1">IF(B412&lt;Monte_Carlo!$AC$2,1,0)</f>
        <v>0</v>
      </c>
      <c r="D412" s="13"/>
      <c r="F412" s="13"/>
      <c r="G412">
        <v>410</v>
      </c>
      <c r="H412" s="4">
        <v>2.0865655116724707E-2</v>
      </c>
      <c r="I412" s="14">
        <f t="shared" si="6"/>
        <v>208656.55116724706</v>
      </c>
    </row>
    <row r="413" spans="1:9" x14ac:dyDescent="0.35">
      <c r="A413" s="3">
        <v>44434</v>
      </c>
      <c r="B413" s="4">
        <v>9.1555879619622301E-3</v>
      </c>
      <c r="C413">
        <f ca="1">IF(B413&lt;Monte_Carlo!$AC$2,1,0)</f>
        <v>0</v>
      </c>
      <c r="D413" s="13"/>
      <c r="F413" s="13"/>
      <c r="G413">
        <v>411</v>
      </c>
      <c r="H413" s="4">
        <v>-3.2157830364156606E-2</v>
      </c>
      <c r="I413" s="14">
        <f t="shared" si="6"/>
        <v>-321578.30364156608</v>
      </c>
    </row>
    <row r="414" spans="1:9" x14ac:dyDescent="0.35">
      <c r="A414" s="3">
        <v>44435</v>
      </c>
      <c r="B414" s="4">
        <v>3.525039900940332E-2</v>
      </c>
      <c r="C414">
        <f ca="1">IF(B414&lt;Monte_Carlo!$AC$2,1,0)</f>
        <v>0</v>
      </c>
      <c r="D414" s="13"/>
      <c r="F414" s="13"/>
      <c r="G414">
        <v>412</v>
      </c>
      <c r="H414" s="4">
        <v>4.2443039809352857E-3</v>
      </c>
      <c r="I414" s="14">
        <f t="shared" si="6"/>
        <v>42443.039809352857</v>
      </c>
    </row>
    <row r="415" spans="1:9" x14ac:dyDescent="0.35">
      <c r="A415" s="3">
        <v>44438</v>
      </c>
      <c r="B415" s="4">
        <v>6.7914868945735136E-3</v>
      </c>
      <c r="C415">
        <f ca="1">IF(B415&lt;Monte_Carlo!$AC$2,1,0)</f>
        <v>0</v>
      </c>
      <c r="D415" s="13"/>
      <c r="F415" s="13"/>
      <c r="G415">
        <v>413</v>
      </c>
      <c r="H415" s="4">
        <v>-8.9056614461470764E-3</v>
      </c>
      <c r="I415" s="14">
        <f t="shared" si="6"/>
        <v>-89056.614461470759</v>
      </c>
    </row>
    <row r="416" spans="1:9" x14ac:dyDescent="0.35">
      <c r="A416" s="3">
        <v>44439</v>
      </c>
      <c r="B416" s="4">
        <v>-1.1574136851784812E-4</v>
      </c>
      <c r="C416">
        <f ca="1">IF(B416&lt;Monte_Carlo!$AC$2,1,0)</f>
        <v>0</v>
      </c>
      <c r="D416" s="13"/>
      <c r="F416" s="13"/>
      <c r="G416">
        <v>414</v>
      </c>
      <c r="H416" s="4">
        <v>4.4853281776920237E-4</v>
      </c>
      <c r="I416" s="14">
        <f t="shared" si="6"/>
        <v>4485.3281776920239</v>
      </c>
    </row>
    <row r="417" spans="1:9" x14ac:dyDescent="0.35">
      <c r="A417" s="3">
        <v>44440</v>
      </c>
      <c r="B417" s="4">
        <v>1.9767015573884616E-2</v>
      </c>
      <c r="C417">
        <f ca="1">IF(B417&lt;Monte_Carlo!$AC$2,1,0)</f>
        <v>0</v>
      </c>
      <c r="D417" s="13"/>
      <c r="F417" s="13"/>
      <c r="G417">
        <v>415</v>
      </c>
      <c r="H417" s="4">
        <v>-3.1594968994013263E-4</v>
      </c>
      <c r="I417" s="14">
        <f t="shared" si="6"/>
        <v>-3159.4968994013261</v>
      </c>
    </row>
    <row r="418" spans="1:9" x14ac:dyDescent="0.35">
      <c r="A418" s="3">
        <v>44441</v>
      </c>
      <c r="B418" s="4">
        <v>-2.5652084080640411E-3</v>
      </c>
      <c r="C418">
        <f ca="1">IF(B418&lt;Monte_Carlo!$AC$2,1,0)</f>
        <v>0</v>
      </c>
      <c r="D418" s="13"/>
      <c r="F418" s="13"/>
      <c r="G418">
        <v>416</v>
      </c>
      <c r="H418" s="4">
        <v>1.6152834196124583E-2</v>
      </c>
      <c r="I418" s="14">
        <f t="shared" si="6"/>
        <v>161528.34196124584</v>
      </c>
    </row>
    <row r="419" spans="1:9" x14ac:dyDescent="0.35">
      <c r="A419" s="3">
        <v>44442</v>
      </c>
      <c r="B419" s="4">
        <v>4.5811550926801994E-4</v>
      </c>
      <c r="C419">
        <f ca="1">IF(B419&lt;Monte_Carlo!$AC$2,1,0)</f>
        <v>0</v>
      </c>
      <c r="D419" s="13"/>
      <c r="F419" s="13"/>
      <c r="G419">
        <v>417</v>
      </c>
      <c r="H419" s="4">
        <v>2.2659809012031438E-2</v>
      </c>
      <c r="I419" s="14">
        <f t="shared" si="6"/>
        <v>226598.09012031439</v>
      </c>
    </row>
    <row r="420" spans="1:9" x14ac:dyDescent="0.35">
      <c r="A420" s="3">
        <v>44445</v>
      </c>
      <c r="B420" s="4">
        <v>-3.3744812722716379E-2</v>
      </c>
      <c r="C420">
        <f ca="1">IF(B420&lt;Monte_Carlo!$AC$2,1,0)</f>
        <v>0</v>
      </c>
      <c r="D420" s="13"/>
      <c r="F420" s="13"/>
      <c r="G420">
        <v>418</v>
      </c>
      <c r="H420" s="4">
        <v>7.5453526277108373E-3</v>
      </c>
      <c r="I420" s="14">
        <f t="shared" si="6"/>
        <v>75453.52627710838</v>
      </c>
    </row>
    <row r="421" spans="1:9" x14ac:dyDescent="0.35">
      <c r="A421" s="3">
        <v>44446</v>
      </c>
      <c r="B421" s="4">
        <v>1.1727797597967602E-2</v>
      </c>
      <c r="C421">
        <f ca="1">IF(B421&lt;Monte_Carlo!$AC$2,1,0)</f>
        <v>0</v>
      </c>
      <c r="D421" s="13"/>
      <c r="F421" s="13"/>
      <c r="G421">
        <v>419</v>
      </c>
      <c r="H421" s="4">
        <v>-3.1677600267822209E-2</v>
      </c>
      <c r="I421" s="14">
        <f t="shared" si="6"/>
        <v>-316776.00267822208</v>
      </c>
    </row>
    <row r="422" spans="1:9" x14ac:dyDescent="0.35">
      <c r="A422" s="3">
        <v>44447</v>
      </c>
      <c r="B422" s="4">
        <v>6.3337295528775716E-3</v>
      </c>
      <c r="C422">
        <f ca="1">IF(B422&lt;Monte_Carlo!$AC$2,1,0)</f>
        <v>0</v>
      </c>
      <c r="D422" s="13"/>
      <c r="F422" s="13"/>
      <c r="G422">
        <v>420</v>
      </c>
      <c r="H422" s="4">
        <v>-9.0234371409434275E-3</v>
      </c>
      <c r="I422" s="14">
        <f t="shared" si="6"/>
        <v>-90234.371409434272</v>
      </c>
    </row>
    <row r="423" spans="1:9" x14ac:dyDescent="0.35">
      <c r="A423" s="3">
        <v>44448</v>
      </c>
      <c r="B423" s="4">
        <v>4.3410414052832387E-3</v>
      </c>
      <c r="C423">
        <f ca="1">IF(B423&lt;Monte_Carlo!$AC$2,1,0)</f>
        <v>0</v>
      </c>
      <c r="D423" s="13"/>
      <c r="F423" s="13"/>
      <c r="G423">
        <v>421</v>
      </c>
      <c r="H423" s="4">
        <v>7.5441829326964981E-3</v>
      </c>
      <c r="I423" s="14">
        <f t="shared" si="6"/>
        <v>75441.829326964988</v>
      </c>
    </row>
    <row r="424" spans="1:9" x14ac:dyDescent="0.35">
      <c r="A424" s="3">
        <v>44452</v>
      </c>
      <c r="B424" s="4">
        <v>9.5839433239868002E-3</v>
      </c>
      <c r="C424">
        <f ca="1">IF(B424&lt;Monte_Carlo!$AC$2,1,0)</f>
        <v>0</v>
      </c>
      <c r="D424" s="13"/>
      <c r="F424" s="13"/>
      <c r="G424">
        <v>422</v>
      </c>
      <c r="H424" s="4">
        <v>6.0320000450220842E-3</v>
      </c>
      <c r="I424" s="14">
        <f t="shared" si="6"/>
        <v>60320.000450220839</v>
      </c>
    </row>
    <row r="425" spans="1:9" x14ac:dyDescent="0.35">
      <c r="A425" s="3">
        <v>44453</v>
      </c>
      <c r="B425" s="4">
        <v>-3.8596347260041464E-3</v>
      </c>
      <c r="C425">
        <f ca="1">IF(B425&lt;Monte_Carlo!$AC$2,1,0)</f>
        <v>0</v>
      </c>
      <c r="D425" s="13"/>
      <c r="F425" s="13"/>
      <c r="G425">
        <v>423</v>
      </c>
      <c r="H425" s="4">
        <v>1.5211857602295925E-2</v>
      </c>
      <c r="I425" s="14">
        <f t="shared" si="6"/>
        <v>152118.57602295926</v>
      </c>
    </row>
    <row r="426" spans="1:9" x14ac:dyDescent="0.35">
      <c r="A426" s="3">
        <v>44454</v>
      </c>
      <c r="B426" s="4">
        <v>-2.4515564401765676E-3</v>
      </c>
      <c r="C426">
        <f ca="1">IF(B426&lt;Monte_Carlo!$AC$2,1,0)</f>
        <v>0</v>
      </c>
      <c r="D426" s="13"/>
      <c r="F426" s="13"/>
      <c r="G426">
        <v>424</v>
      </c>
      <c r="H426" s="4">
        <v>-2.0974780029141757E-2</v>
      </c>
      <c r="I426" s="14">
        <f t="shared" si="6"/>
        <v>-209747.80029141757</v>
      </c>
    </row>
    <row r="427" spans="1:9" x14ac:dyDescent="0.35">
      <c r="A427" s="3">
        <v>44455</v>
      </c>
      <c r="B427" s="4">
        <v>3.4753438553451412E-3</v>
      </c>
      <c r="C427">
        <f ca="1">IF(B427&lt;Monte_Carlo!$AC$2,1,0)</f>
        <v>0</v>
      </c>
      <c r="D427" s="13"/>
      <c r="F427" s="13"/>
      <c r="G427">
        <v>425</v>
      </c>
      <c r="H427" s="4">
        <v>4.6101922089305716E-3</v>
      </c>
      <c r="I427" s="14">
        <f t="shared" si="6"/>
        <v>46101.922089305714</v>
      </c>
    </row>
    <row r="428" spans="1:9" x14ac:dyDescent="0.35">
      <c r="A428" s="3">
        <v>44456</v>
      </c>
      <c r="B428" s="4">
        <v>-5.1330960989583573E-3</v>
      </c>
      <c r="C428">
        <f ca="1">IF(B428&lt;Monte_Carlo!$AC$2,1,0)</f>
        <v>0</v>
      </c>
      <c r="D428" s="13"/>
      <c r="F428" s="13"/>
      <c r="G428">
        <v>426</v>
      </c>
      <c r="H428" s="4">
        <v>-4.2086217877445528E-3</v>
      </c>
      <c r="I428" s="14">
        <f t="shared" si="6"/>
        <v>-42086.217877445531</v>
      </c>
    </row>
    <row r="429" spans="1:9" x14ac:dyDescent="0.35">
      <c r="A429" s="3">
        <v>44459</v>
      </c>
      <c r="B429" s="4">
        <v>6.7712523379156401E-3</v>
      </c>
      <c r="C429">
        <f ca="1">IF(B429&lt;Monte_Carlo!$AC$2,1,0)</f>
        <v>0</v>
      </c>
      <c r="D429" s="13"/>
      <c r="F429" s="13"/>
      <c r="G429">
        <v>427</v>
      </c>
      <c r="H429" s="4">
        <v>2.6796528333454797E-3</v>
      </c>
      <c r="I429" s="14">
        <f t="shared" si="6"/>
        <v>26796.528333454797</v>
      </c>
    </row>
    <row r="430" spans="1:9" x14ac:dyDescent="0.35">
      <c r="A430" s="3">
        <v>44460</v>
      </c>
      <c r="B430" s="4">
        <v>1.2634657577740634E-3</v>
      </c>
      <c r="C430">
        <f ca="1">IF(B430&lt;Monte_Carlo!$AC$2,1,0)</f>
        <v>0</v>
      </c>
      <c r="D430" s="13"/>
      <c r="F430" s="13"/>
      <c r="G430">
        <v>428</v>
      </c>
      <c r="H430" s="4">
        <v>6.7710998701527676E-3</v>
      </c>
      <c r="I430" s="14">
        <f t="shared" si="6"/>
        <v>67710.998701527671</v>
      </c>
    </row>
    <row r="431" spans="1:9" x14ac:dyDescent="0.35">
      <c r="A431" s="3">
        <v>44461</v>
      </c>
      <c r="B431" s="4">
        <v>-6.5134370138530372E-3</v>
      </c>
      <c r="C431">
        <f ca="1">IF(B431&lt;Monte_Carlo!$AC$2,1,0)</f>
        <v>0</v>
      </c>
      <c r="D431" s="13"/>
      <c r="F431" s="13"/>
      <c r="G431">
        <v>429</v>
      </c>
      <c r="H431" s="4">
        <v>-1.1557600598635647E-3</v>
      </c>
      <c r="I431" s="14">
        <f t="shared" si="6"/>
        <v>-11557.600598635647</v>
      </c>
    </row>
    <row r="432" spans="1:9" x14ac:dyDescent="0.35">
      <c r="A432" s="3">
        <v>44462</v>
      </c>
      <c r="B432" s="4">
        <v>-2.4328070229796547E-2</v>
      </c>
      <c r="C432">
        <f ca="1">IF(B432&lt;Monte_Carlo!$AC$2,1,0)</f>
        <v>0</v>
      </c>
      <c r="D432" s="13"/>
      <c r="F432" s="13"/>
      <c r="G432">
        <v>430</v>
      </c>
      <c r="H432" s="4">
        <v>1.5299794267474517E-2</v>
      </c>
      <c r="I432" s="14">
        <f t="shared" si="6"/>
        <v>152997.94267474517</v>
      </c>
    </row>
    <row r="433" spans="1:9" x14ac:dyDescent="0.35">
      <c r="A433" s="3">
        <v>44463</v>
      </c>
      <c r="B433" s="4">
        <v>8.2063953803450749E-3</v>
      </c>
      <c r="C433">
        <f ca="1">IF(B433&lt;Monte_Carlo!$AC$2,1,0)</f>
        <v>0</v>
      </c>
      <c r="D433" s="13"/>
      <c r="F433" s="13"/>
      <c r="G433">
        <v>431</v>
      </c>
      <c r="H433" s="4">
        <v>-1.9421965001798883E-2</v>
      </c>
      <c r="I433" s="14">
        <f t="shared" si="6"/>
        <v>-194219.65001798884</v>
      </c>
    </row>
    <row r="434" spans="1:9" x14ac:dyDescent="0.35">
      <c r="A434" s="3">
        <v>44466</v>
      </c>
      <c r="B434" s="4">
        <v>-1.2060673038039368E-2</v>
      </c>
      <c r="C434">
        <f ca="1">IF(B434&lt;Monte_Carlo!$AC$2,1,0)</f>
        <v>0</v>
      </c>
      <c r="D434" s="13"/>
      <c r="F434" s="13"/>
      <c r="G434">
        <v>432</v>
      </c>
      <c r="H434" s="4">
        <v>-2.3889854331348229E-2</v>
      </c>
      <c r="I434" s="14">
        <f t="shared" si="6"/>
        <v>-238898.54331348228</v>
      </c>
    </row>
    <row r="435" spans="1:9" x14ac:dyDescent="0.35">
      <c r="A435" s="3">
        <v>44467</v>
      </c>
      <c r="B435" s="4">
        <v>-3.8856706227645521E-3</v>
      </c>
      <c r="C435">
        <f ca="1">IF(B435&lt;Monte_Carlo!$AC$2,1,0)</f>
        <v>0</v>
      </c>
      <c r="D435" s="13"/>
      <c r="F435" s="13"/>
      <c r="G435">
        <v>433</v>
      </c>
      <c r="H435" s="4">
        <v>2.7584153773013245E-3</v>
      </c>
      <c r="I435" s="14">
        <f t="shared" si="6"/>
        <v>27584.153773013244</v>
      </c>
    </row>
    <row r="436" spans="1:9" x14ac:dyDescent="0.35">
      <c r="A436" s="3">
        <v>44468</v>
      </c>
      <c r="B436" s="4">
        <v>1.0600250060045341E-2</v>
      </c>
      <c r="C436">
        <f ca="1">IF(B436&lt;Monte_Carlo!$AC$2,1,0)</f>
        <v>0</v>
      </c>
      <c r="D436" s="13"/>
      <c r="F436" s="13"/>
      <c r="G436">
        <v>434</v>
      </c>
      <c r="H436" s="4">
        <v>6.9700700799905646E-3</v>
      </c>
      <c r="I436" s="14">
        <f t="shared" si="6"/>
        <v>69700.700799905651</v>
      </c>
    </row>
    <row r="437" spans="1:9" x14ac:dyDescent="0.35">
      <c r="A437" s="3">
        <v>44469</v>
      </c>
      <c r="B437" s="4">
        <v>5.6795909849922856E-3</v>
      </c>
      <c r="C437">
        <f ca="1">IF(B437&lt;Monte_Carlo!$AC$2,1,0)</f>
        <v>0</v>
      </c>
      <c r="D437" s="13"/>
      <c r="F437" s="13"/>
      <c r="G437">
        <v>435</v>
      </c>
      <c r="H437" s="4">
        <v>-1.4720146819511639E-2</v>
      </c>
      <c r="I437" s="14">
        <f t="shared" si="6"/>
        <v>-147201.46819511638</v>
      </c>
    </row>
    <row r="438" spans="1:9" x14ac:dyDescent="0.35">
      <c r="A438" s="3">
        <v>44470</v>
      </c>
      <c r="B438" s="4">
        <v>-4.8286764243562494E-3</v>
      </c>
      <c r="C438">
        <f ca="1">IF(B438&lt;Monte_Carlo!$AC$2,1,0)</f>
        <v>0</v>
      </c>
      <c r="D438" s="13"/>
      <c r="F438" s="13"/>
      <c r="G438">
        <v>436</v>
      </c>
      <c r="H438" s="4">
        <v>4.8573049487131474E-2</v>
      </c>
      <c r="I438" s="14">
        <f t="shared" si="6"/>
        <v>485730.49487131473</v>
      </c>
    </row>
    <row r="439" spans="1:9" x14ac:dyDescent="0.35">
      <c r="A439" s="3">
        <v>44473</v>
      </c>
      <c r="B439" s="4">
        <v>-2.1651804901158455E-3</v>
      </c>
      <c r="C439">
        <f ca="1">IF(B439&lt;Monte_Carlo!$AC$2,1,0)</f>
        <v>0</v>
      </c>
      <c r="D439" s="13"/>
      <c r="F439" s="13"/>
      <c r="G439">
        <v>437</v>
      </c>
      <c r="H439" s="4">
        <v>-1.1790305778145011E-2</v>
      </c>
      <c r="I439" s="14">
        <f t="shared" si="6"/>
        <v>-117903.05778145012</v>
      </c>
    </row>
    <row r="440" spans="1:9" x14ac:dyDescent="0.35">
      <c r="A440" s="3">
        <v>44474</v>
      </c>
      <c r="B440" s="4">
        <v>-1.2385975294653333E-2</v>
      </c>
      <c r="C440">
        <f ca="1">IF(B440&lt;Monte_Carlo!$AC$2,1,0)</f>
        <v>0</v>
      </c>
      <c r="D440" s="13"/>
      <c r="F440" s="13"/>
      <c r="G440">
        <v>438</v>
      </c>
      <c r="H440" s="4">
        <v>-1.3244822542028911E-2</v>
      </c>
      <c r="I440" s="14">
        <f t="shared" si="6"/>
        <v>-132448.22542028912</v>
      </c>
    </row>
    <row r="441" spans="1:9" x14ac:dyDescent="0.35">
      <c r="A441" s="3">
        <v>44475</v>
      </c>
      <c r="B441" s="4">
        <v>-1.8530422981793575E-4</v>
      </c>
      <c r="C441">
        <f ca="1">IF(B441&lt;Monte_Carlo!$AC$2,1,0)</f>
        <v>0</v>
      </c>
      <c r="D441" s="13"/>
      <c r="F441" s="13"/>
      <c r="G441">
        <v>439</v>
      </c>
      <c r="H441" s="4">
        <v>-1.7776745482708063E-4</v>
      </c>
      <c r="I441" s="14">
        <f t="shared" si="6"/>
        <v>-1777.6745482708063</v>
      </c>
    </row>
    <row r="442" spans="1:9" x14ac:dyDescent="0.35">
      <c r="A442" s="3">
        <v>44476</v>
      </c>
      <c r="B442" s="4">
        <v>3.0561770156639946E-3</v>
      </c>
      <c r="C442">
        <f ca="1">IF(B442&lt;Monte_Carlo!$AC$2,1,0)</f>
        <v>0</v>
      </c>
      <c r="D442" s="13"/>
      <c r="F442" s="13"/>
      <c r="G442">
        <v>440</v>
      </c>
      <c r="H442" s="4">
        <v>1.3661986588739737E-2</v>
      </c>
      <c r="I442" s="14">
        <f t="shared" si="6"/>
        <v>136619.86588739738</v>
      </c>
    </row>
    <row r="443" spans="1:9" x14ac:dyDescent="0.35">
      <c r="A443" s="3">
        <v>44477</v>
      </c>
      <c r="B443" s="4">
        <v>-9.9901766841139321E-3</v>
      </c>
      <c r="C443">
        <f ca="1">IF(B443&lt;Monte_Carlo!$AC$2,1,0)</f>
        <v>0</v>
      </c>
      <c r="D443" s="13"/>
      <c r="F443" s="13"/>
      <c r="G443">
        <v>441</v>
      </c>
      <c r="H443" s="4">
        <v>-2.4353809566387996E-2</v>
      </c>
      <c r="I443" s="14">
        <f t="shared" si="6"/>
        <v>-243538.09566387997</v>
      </c>
    </row>
    <row r="444" spans="1:9" x14ac:dyDescent="0.35">
      <c r="A444" s="3">
        <v>44480</v>
      </c>
      <c r="B444" s="4">
        <v>2.6623421335195694E-3</v>
      </c>
      <c r="C444">
        <f ca="1">IF(B444&lt;Monte_Carlo!$AC$2,1,0)</f>
        <v>0</v>
      </c>
      <c r="D444" s="13"/>
      <c r="F444" s="13"/>
      <c r="G444">
        <v>442</v>
      </c>
      <c r="H444" s="4">
        <v>3.2156767478372268E-3</v>
      </c>
      <c r="I444" s="14">
        <f t="shared" si="6"/>
        <v>32156.767478372269</v>
      </c>
    </row>
    <row r="445" spans="1:9" x14ac:dyDescent="0.35">
      <c r="A445" s="3">
        <v>44481</v>
      </c>
      <c r="B445" s="4">
        <v>-2.0490857140258545E-3</v>
      </c>
      <c r="C445">
        <f ca="1">IF(B445&lt;Monte_Carlo!$AC$2,1,0)</f>
        <v>0</v>
      </c>
      <c r="D445" s="13"/>
      <c r="F445" s="13"/>
      <c r="G445">
        <v>443</v>
      </c>
      <c r="H445" s="4">
        <v>-1.8902376073130544E-3</v>
      </c>
      <c r="I445" s="14">
        <f t="shared" si="6"/>
        <v>-18902.376073130545</v>
      </c>
    </row>
    <row r="446" spans="1:9" x14ac:dyDescent="0.35">
      <c r="A446" s="3">
        <v>44482</v>
      </c>
      <c r="B446" s="4">
        <v>-6.1371537990336986E-4</v>
      </c>
      <c r="C446">
        <f ca="1">IF(B446&lt;Monte_Carlo!$AC$2,1,0)</f>
        <v>0</v>
      </c>
      <c r="D446" s="13"/>
      <c r="F446" s="13"/>
      <c r="G446">
        <v>444</v>
      </c>
      <c r="H446" s="4">
        <v>7.5975631274329924E-4</v>
      </c>
      <c r="I446" s="14">
        <f t="shared" si="6"/>
        <v>7597.5631274329926</v>
      </c>
    </row>
    <row r="447" spans="1:9" x14ac:dyDescent="0.35">
      <c r="A447" s="3">
        <v>44483</v>
      </c>
      <c r="B447" s="4">
        <v>-2.7209696497513497E-3</v>
      </c>
      <c r="C447">
        <f ca="1">IF(B447&lt;Monte_Carlo!$AC$2,1,0)</f>
        <v>0</v>
      </c>
      <c r="D447" s="13"/>
      <c r="F447" s="13"/>
      <c r="G447">
        <v>445</v>
      </c>
      <c r="H447" s="4">
        <v>-3.1781733442680475E-2</v>
      </c>
      <c r="I447" s="14">
        <f t="shared" si="6"/>
        <v>-317817.33442680474</v>
      </c>
    </row>
    <row r="448" spans="1:9" x14ac:dyDescent="0.35">
      <c r="A448" s="3">
        <v>44487</v>
      </c>
      <c r="B448" s="4">
        <v>-1.967410969290938E-3</v>
      </c>
      <c r="C448">
        <f ca="1">IF(B448&lt;Monte_Carlo!$AC$2,1,0)</f>
        <v>0</v>
      </c>
      <c r="D448" s="13"/>
      <c r="F448" s="13"/>
      <c r="G448">
        <v>446</v>
      </c>
      <c r="H448" s="4">
        <v>5.9779868569120792E-2</v>
      </c>
      <c r="I448" s="14">
        <f t="shared" si="6"/>
        <v>597798.68569120788</v>
      </c>
    </row>
    <row r="449" spans="1:9" x14ac:dyDescent="0.35">
      <c r="A449" s="3">
        <v>44488</v>
      </c>
      <c r="B449" s="4">
        <v>9.3545846413706246E-4</v>
      </c>
      <c r="C449">
        <f ca="1">IF(B449&lt;Monte_Carlo!$AC$2,1,0)</f>
        <v>0</v>
      </c>
      <c r="D449" s="13"/>
      <c r="F449" s="13"/>
      <c r="G449">
        <v>447</v>
      </c>
      <c r="H449" s="4">
        <v>-4.1858248014110255E-3</v>
      </c>
      <c r="I449" s="14">
        <f t="shared" si="6"/>
        <v>-41858.248014110257</v>
      </c>
    </row>
    <row r="450" spans="1:9" x14ac:dyDescent="0.35">
      <c r="A450" s="3">
        <v>44489</v>
      </c>
      <c r="B450" s="4">
        <v>-1.7394897631299984E-2</v>
      </c>
      <c r="C450">
        <f ca="1">IF(B450&lt;Monte_Carlo!$AC$2,1,0)</f>
        <v>0</v>
      </c>
      <c r="D450" s="13"/>
      <c r="F450" s="13"/>
      <c r="G450">
        <v>448</v>
      </c>
      <c r="H450" s="4">
        <v>-2.2694078991966866E-2</v>
      </c>
      <c r="I450" s="14">
        <f t="shared" si="6"/>
        <v>-226940.78991966866</v>
      </c>
    </row>
    <row r="451" spans="1:9" x14ac:dyDescent="0.35">
      <c r="A451" s="3">
        <v>44490</v>
      </c>
      <c r="B451" s="4">
        <v>-8.4949283186233518E-4</v>
      </c>
      <c r="C451">
        <f ca="1">IF(B451&lt;Monte_Carlo!$AC$2,1,0)</f>
        <v>0</v>
      </c>
      <c r="D451" s="13"/>
      <c r="F451" s="13"/>
      <c r="G451">
        <v>449</v>
      </c>
      <c r="H451" s="4">
        <v>1.2641659680300166E-2</v>
      </c>
      <c r="I451" s="14">
        <f t="shared" si="6"/>
        <v>126416.59680300167</v>
      </c>
    </row>
    <row r="452" spans="1:9" x14ac:dyDescent="0.35">
      <c r="A452" s="3">
        <v>44491</v>
      </c>
      <c r="B452" s="4">
        <v>-4.5349326757758331E-3</v>
      </c>
      <c r="C452">
        <f ca="1">IF(B452&lt;Monte_Carlo!$AC$2,1,0)</f>
        <v>0</v>
      </c>
      <c r="D452" s="13"/>
      <c r="F452" s="13"/>
      <c r="G452">
        <v>450</v>
      </c>
      <c r="H452" s="4">
        <v>-5.706491131615676E-3</v>
      </c>
      <c r="I452" s="14">
        <f t="shared" si="6"/>
        <v>-57064.911316156758</v>
      </c>
    </row>
    <row r="453" spans="1:9" x14ac:dyDescent="0.35">
      <c r="A453" s="3">
        <v>44494</v>
      </c>
      <c r="B453" s="4">
        <v>-5.5147935031534152E-3</v>
      </c>
      <c r="C453">
        <f ca="1">IF(B453&lt;Monte_Carlo!$AC$2,1,0)</f>
        <v>0</v>
      </c>
      <c r="D453" s="13"/>
      <c r="F453" s="13"/>
      <c r="G453">
        <v>451</v>
      </c>
      <c r="H453" s="4">
        <v>-4.9272112703726877E-3</v>
      </c>
      <c r="I453" s="14">
        <f t="shared" ref="I453:I516" si="7">H453*10000000</f>
        <v>-49272.112703726874</v>
      </c>
    </row>
    <row r="454" spans="1:9" x14ac:dyDescent="0.35">
      <c r="A454" s="3">
        <v>44495</v>
      </c>
      <c r="B454" s="4">
        <v>4.3179956804315044E-3</v>
      </c>
      <c r="C454">
        <f ca="1">IF(B454&lt;Monte_Carlo!$AC$2,1,0)</f>
        <v>0</v>
      </c>
      <c r="D454" s="13"/>
      <c r="F454" s="13"/>
      <c r="G454">
        <v>452</v>
      </c>
      <c r="H454" s="4">
        <v>2.4882040179192454E-2</v>
      </c>
      <c r="I454" s="14">
        <f t="shared" si="7"/>
        <v>248820.40179192452</v>
      </c>
    </row>
    <row r="455" spans="1:9" x14ac:dyDescent="0.35">
      <c r="A455" s="3">
        <v>44496</v>
      </c>
      <c r="B455" s="4">
        <v>-1.9762814424529639E-3</v>
      </c>
      <c r="C455">
        <f ca="1">IF(B455&lt;Monte_Carlo!$AC$2,1,0)</f>
        <v>0</v>
      </c>
      <c r="D455" s="13"/>
      <c r="F455" s="13"/>
      <c r="G455">
        <v>453</v>
      </c>
      <c r="H455" s="4">
        <v>-2.9941116120851166E-2</v>
      </c>
      <c r="I455" s="14">
        <f t="shared" si="7"/>
        <v>-299411.16120851168</v>
      </c>
    </row>
    <row r="456" spans="1:9" x14ac:dyDescent="0.35">
      <c r="A456" s="3">
        <v>44497</v>
      </c>
      <c r="B456" s="4">
        <v>-1.9096734268515155E-2</v>
      </c>
      <c r="C456">
        <f ca="1">IF(B456&lt;Monte_Carlo!$AC$2,1,0)</f>
        <v>0</v>
      </c>
      <c r="D456" s="13"/>
      <c r="F456" s="13"/>
      <c r="G456">
        <v>454</v>
      </c>
      <c r="H456" s="4">
        <v>1.4284258133745798E-2</v>
      </c>
      <c r="I456" s="14">
        <f t="shared" si="7"/>
        <v>142842.58133745799</v>
      </c>
    </row>
    <row r="457" spans="1:9" x14ac:dyDescent="0.35">
      <c r="A457" s="3">
        <v>44498</v>
      </c>
      <c r="B457" s="4">
        <v>4.2675534682417001E-3</v>
      </c>
      <c r="C457">
        <f ca="1">IF(B457&lt;Monte_Carlo!$AC$2,1,0)</f>
        <v>0</v>
      </c>
      <c r="D457" s="13"/>
      <c r="F457" s="13"/>
      <c r="G457">
        <v>455</v>
      </c>
      <c r="H457" s="4">
        <v>1.9655128977833065E-2</v>
      </c>
      <c r="I457" s="14">
        <f t="shared" si="7"/>
        <v>196551.28977833065</v>
      </c>
    </row>
    <row r="458" spans="1:9" x14ac:dyDescent="0.35">
      <c r="A458" s="3">
        <v>44501</v>
      </c>
      <c r="B458" s="4">
        <v>1.820499639580658E-2</v>
      </c>
      <c r="C458">
        <f ca="1">IF(B458&lt;Monte_Carlo!$AC$2,1,0)</f>
        <v>0</v>
      </c>
      <c r="D458" s="13"/>
      <c r="F458" s="13"/>
      <c r="G458">
        <v>456</v>
      </c>
      <c r="H458" s="4">
        <v>-4.9856290914214056E-2</v>
      </c>
      <c r="I458" s="14">
        <f t="shared" si="7"/>
        <v>-498562.90914214059</v>
      </c>
    </row>
    <row r="459" spans="1:9" x14ac:dyDescent="0.35">
      <c r="A459" s="3">
        <v>44502</v>
      </c>
      <c r="B459" s="4">
        <v>-7.5658425546843062E-4</v>
      </c>
      <c r="C459">
        <f ca="1">IF(B459&lt;Monte_Carlo!$AC$2,1,0)</f>
        <v>0</v>
      </c>
      <c r="D459" s="13"/>
      <c r="F459" s="13"/>
      <c r="G459">
        <v>457</v>
      </c>
      <c r="H459" s="4">
        <v>3.7553218931125239E-2</v>
      </c>
      <c r="I459" s="14">
        <f t="shared" si="7"/>
        <v>375532.18931125238</v>
      </c>
    </row>
    <row r="460" spans="1:9" x14ac:dyDescent="0.35">
      <c r="A460" s="3">
        <v>44503</v>
      </c>
      <c r="B460" s="4">
        <v>1.0835721950350805E-2</v>
      </c>
      <c r="C460">
        <f ca="1">IF(B460&lt;Monte_Carlo!$AC$2,1,0)</f>
        <v>0</v>
      </c>
      <c r="D460" s="13"/>
      <c r="F460" s="13"/>
      <c r="G460">
        <v>458</v>
      </c>
      <c r="H460" s="4">
        <v>-3.6659649871501705E-3</v>
      </c>
      <c r="I460" s="14">
        <f t="shared" si="7"/>
        <v>-36659.649871501708</v>
      </c>
    </row>
    <row r="461" spans="1:9" x14ac:dyDescent="0.35">
      <c r="A461" s="3">
        <v>44504</v>
      </c>
      <c r="B461" s="4">
        <v>3.2839878592797493E-3</v>
      </c>
      <c r="C461">
        <f ca="1">IF(B461&lt;Monte_Carlo!$AC$2,1,0)</f>
        <v>0</v>
      </c>
      <c r="D461" s="13"/>
      <c r="F461" s="13"/>
      <c r="G461">
        <v>459</v>
      </c>
      <c r="H461" s="4">
        <v>-1.8164002931343954E-3</v>
      </c>
      <c r="I461" s="14">
        <f t="shared" si="7"/>
        <v>-18164.002931343955</v>
      </c>
    </row>
    <row r="462" spans="1:9" x14ac:dyDescent="0.35">
      <c r="A462" s="3">
        <v>44508</v>
      </c>
      <c r="B462" s="4">
        <v>-5.7394402756178022E-3</v>
      </c>
      <c r="C462">
        <f ca="1">IF(B462&lt;Monte_Carlo!$AC$2,1,0)</f>
        <v>0</v>
      </c>
      <c r="D462" s="13"/>
      <c r="F462" s="13"/>
      <c r="G462">
        <v>460</v>
      </c>
      <c r="H462" s="4">
        <v>1.585248732111626E-2</v>
      </c>
      <c r="I462" s="14">
        <f t="shared" si="7"/>
        <v>158524.8732111626</v>
      </c>
    </row>
    <row r="463" spans="1:9" x14ac:dyDescent="0.35">
      <c r="A463" s="3">
        <v>44509</v>
      </c>
      <c r="B463" s="4">
        <v>-8.984216519211328E-4</v>
      </c>
      <c r="C463">
        <f ca="1">IF(B463&lt;Monte_Carlo!$AC$2,1,0)</f>
        <v>0</v>
      </c>
      <c r="D463" s="13"/>
      <c r="F463" s="13"/>
      <c r="G463">
        <v>461</v>
      </c>
      <c r="H463" s="4">
        <v>-3.3238719069220483E-3</v>
      </c>
      <c r="I463" s="14">
        <f t="shared" si="7"/>
        <v>-33238.719069220482</v>
      </c>
    </row>
    <row r="464" spans="1:9" x14ac:dyDescent="0.35">
      <c r="A464" s="3">
        <v>44510</v>
      </c>
      <c r="B464" s="4">
        <v>9.9576355574583046E-3</v>
      </c>
      <c r="C464">
        <f ca="1">IF(B464&lt;Monte_Carlo!$AC$2,1,0)</f>
        <v>0</v>
      </c>
      <c r="D464" s="13"/>
      <c r="F464" s="13"/>
      <c r="G464">
        <v>462</v>
      </c>
      <c r="H464" s="4">
        <v>-3.6788565933194316E-2</v>
      </c>
      <c r="I464" s="14">
        <f t="shared" si="7"/>
        <v>-367885.65933194314</v>
      </c>
    </row>
    <row r="465" spans="1:9" x14ac:dyDescent="0.35">
      <c r="A465" s="3">
        <v>44511</v>
      </c>
      <c r="B465" s="4">
        <v>1.9814223913099337E-3</v>
      </c>
      <c r="C465">
        <f ca="1">IF(B465&lt;Monte_Carlo!$AC$2,1,0)</f>
        <v>0</v>
      </c>
      <c r="D465" s="13"/>
      <c r="F465" s="13"/>
      <c r="G465">
        <v>463</v>
      </c>
      <c r="H465" s="4">
        <v>1.5934045453814705E-2</v>
      </c>
      <c r="I465" s="14">
        <f t="shared" si="7"/>
        <v>159340.45453814705</v>
      </c>
    </row>
    <row r="466" spans="1:9" x14ac:dyDescent="0.35">
      <c r="A466" s="3">
        <v>44512</v>
      </c>
      <c r="B466" s="4">
        <v>-2.0869456819100948E-4</v>
      </c>
      <c r="C466">
        <f ca="1">IF(B466&lt;Monte_Carlo!$AC$2,1,0)</f>
        <v>0</v>
      </c>
      <c r="D466" s="13"/>
      <c r="F466" s="13"/>
      <c r="G466">
        <v>464</v>
      </c>
      <c r="H466" s="4">
        <v>5.1004008463059443E-4</v>
      </c>
      <c r="I466" s="14">
        <f t="shared" si="7"/>
        <v>5100.4008463059445</v>
      </c>
    </row>
    <row r="467" spans="1:9" x14ac:dyDescent="0.35">
      <c r="A467" s="3">
        <v>44515</v>
      </c>
      <c r="B467" s="4">
        <v>7.4210223847895225E-3</v>
      </c>
      <c r="C467">
        <f ca="1">IF(B467&lt;Monte_Carlo!$AC$2,1,0)</f>
        <v>0</v>
      </c>
      <c r="D467" s="13"/>
      <c r="F467" s="13"/>
      <c r="G467">
        <v>465</v>
      </c>
      <c r="H467" s="4">
        <v>1.0631575138712518E-2</v>
      </c>
      <c r="I467" s="14">
        <f t="shared" si="7"/>
        <v>106315.75138712517</v>
      </c>
    </row>
    <row r="468" spans="1:9" x14ac:dyDescent="0.35">
      <c r="A468" s="3">
        <v>44516</v>
      </c>
      <c r="B468" s="4">
        <v>-8.6223170892788456E-3</v>
      </c>
      <c r="C468">
        <f ca="1">IF(B468&lt;Monte_Carlo!$AC$2,1,0)</f>
        <v>0</v>
      </c>
      <c r="D468" s="13"/>
      <c r="F468" s="13"/>
      <c r="G468">
        <v>466</v>
      </c>
      <c r="H468" s="4">
        <v>-1.6063726183294616E-2</v>
      </c>
      <c r="I468" s="14">
        <f t="shared" si="7"/>
        <v>-160637.26183294615</v>
      </c>
    </row>
    <row r="469" spans="1:9" x14ac:dyDescent="0.35">
      <c r="A469" s="3">
        <v>44517</v>
      </c>
      <c r="B469" s="4">
        <v>3.0798548474312861E-3</v>
      </c>
      <c r="C469">
        <f ca="1">IF(B469&lt;Monte_Carlo!$AC$2,1,0)</f>
        <v>0</v>
      </c>
      <c r="D469" s="13"/>
      <c r="F469" s="13"/>
      <c r="G469">
        <v>467</v>
      </c>
      <c r="H469" s="4">
        <v>3.6157199923096965E-3</v>
      </c>
      <c r="I469" s="14">
        <f t="shared" si="7"/>
        <v>36157.199923096967</v>
      </c>
    </row>
    <row r="470" spans="1:9" x14ac:dyDescent="0.35">
      <c r="A470" s="3">
        <v>44518</v>
      </c>
      <c r="B470" s="4">
        <v>-5.1116890956136515E-3</v>
      </c>
      <c r="C470">
        <f ca="1">IF(B470&lt;Monte_Carlo!$AC$2,1,0)</f>
        <v>0</v>
      </c>
      <c r="D470" s="13"/>
      <c r="F470" s="13"/>
      <c r="G470">
        <v>468</v>
      </c>
      <c r="H470" s="4">
        <v>1.3595548426652303E-2</v>
      </c>
      <c r="I470" s="14">
        <f t="shared" si="7"/>
        <v>135955.48426652304</v>
      </c>
    </row>
    <row r="471" spans="1:9" x14ac:dyDescent="0.35">
      <c r="A471" s="3">
        <v>44522</v>
      </c>
      <c r="B471" s="4">
        <v>-3.2993649357454198E-2</v>
      </c>
      <c r="C471">
        <f ca="1">IF(B471&lt;Monte_Carlo!$AC$2,1,0)</f>
        <v>0</v>
      </c>
      <c r="D471" s="13"/>
      <c r="F471" s="13"/>
      <c r="G471">
        <v>469</v>
      </c>
      <c r="H471" s="4">
        <v>6.9082865325768789E-3</v>
      </c>
      <c r="I471" s="14">
        <f t="shared" si="7"/>
        <v>69082.865325768784</v>
      </c>
    </row>
    <row r="472" spans="1:9" x14ac:dyDescent="0.35">
      <c r="A472" s="3">
        <v>44523</v>
      </c>
      <c r="B472" s="4">
        <v>-3.8645444082537571E-4</v>
      </c>
      <c r="C472">
        <f ca="1">IF(B472&lt;Monte_Carlo!$AC$2,1,0)</f>
        <v>0</v>
      </c>
      <c r="D472" s="13"/>
      <c r="F472" s="13"/>
      <c r="G472">
        <v>470</v>
      </c>
      <c r="H472" s="4">
        <v>2.2792403633951309E-3</v>
      </c>
      <c r="I472" s="14">
        <f t="shared" si="7"/>
        <v>22792.403633951308</v>
      </c>
    </row>
    <row r="473" spans="1:9" x14ac:dyDescent="0.35">
      <c r="A473" s="3">
        <v>44524</v>
      </c>
      <c r="B473" s="4">
        <v>2.416258734869204E-2</v>
      </c>
      <c r="C473">
        <f ca="1">IF(B473&lt;Monte_Carlo!$AC$2,1,0)</f>
        <v>0</v>
      </c>
      <c r="D473" s="13"/>
      <c r="F473" s="13"/>
      <c r="G473">
        <v>471</v>
      </c>
      <c r="H473" s="4">
        <v>-6.0006971799755331E-2</v>
      </c>
      <c r="I473" s="14">
        <f t="shared" si="7"/>
        <v>-600069.71799755329</v>
      </c>
    </row>
    <row r="474" spans="1:9" x14ac:dyDescent="0.35">
      <c r="A474" s="3">
        <v>44525</v>
      </c>
      <c r="B474" s="4">
        <v>-1.6099546479447305E-3</v>
      </c>
      <c r="C474">
        <f ca="1">IF(B474&lt;Monte_Carlo!$AC$2,1,0)</f>
        <v>0</v>
      </c>
      <c r="D474" s="13"/>
      <c r="F474" s="13"/>
      <c r="G474">
        <v>472</v>
      </c>
      <c r="H474" s="4">
        <v>6.0951496933580124E-2</v>
      </c>
      <c r="I474" s="14">
        <f t="shared" si="7"/>
        <v>609514.9693358012</v>
      </c>
    </row>
    <row r="475" spans="1:9" x14ac:dyDescent="0.35">
      <c r="A475" s="3">
        <v>44526</v>
      </c>
      <c r="B475" s="4">
        <v>-2.6108810429217925E-2</v>
      </c>
      <c r="C475">
        <f ca="1">IF(B475&lt;Monte_Carlo!$AC$2,1,0)</f>
        <v>0</v>
      </c>
      <c r="D475" s="13"/>
      <c r="F475" s="13"/>
      <c r="G475">
        <v>473</v>
      </c>
      <c r="H475" s="4">
        <v>-7.9887456527386784E-4</v>
      </c>
      <c r="I475" s="14">
        <f t="shared" si="7"/>
        <v>-7988.7456527386785</v>
      </c>
    </row>
    <row r="476" spans="1:9" x14ac:dyDescent="0.35">
      <c r="A476" s="3">
        <v>44529</v>
      </c>
      <c r="B476" s="4">
        <v>-1.0022235698659921E-2</v>
      </c>
      <c r="C476">
        <f ca="1">IF(B476&lt;Monte_Carlo!$AC$2,1,0)</f>
        <v>0</v>
      </c>
      <c r="D476" s="13"/>
      <c r="F476" s="13"/>
      <c r="G476">
        <v>474</v>
      </c>
      <c r="H476" s="4">
        <v>-1.4347324747736099E-2</v>
      </c>
      <c r="I476" s="14">
        <f t="shared" si="7"/>
        <v>-143473.24747736097</v>
      </c>
    </row>
    <row r="477" spans="1:9" x14ac:dyDescent="0.35">
      <c r="A477" s="3">
        <v>44530</v>
      </c>
      <c r="B477" s="4">
        <v>5.2031006395179217E-4</v>
      </c>
      <c r="C477">
        <f ca="1">IF(B477&lt;Monte_Carlo!$AC$2,1,0)</f>
        <v>0</v>
      </c>
      <c r="D477" s="13"/>
      <c r="F477" s="13"/>
      <c r="G477">
        <v>475</v>
      </c>
      <c r="H477" s="4">
        <v>-2.6578278699738847E-2</v>
      </c>
      <c r="I477" s="14">
        <f t="shared" si="7"/>
        <v>-265782.78699738847</v>
      </c>
    </row>
    <row r="478" spans="1:9" x14ac:dyDescent="0.35">
      <c r="A478" s="3">
        <v>44531</v>
      </c>
      <c r="B478" s="4">
        <v>3.9350725007436362E-3</v>
      </c>
      <c r="C478">
        <f ca="1">IF(B478&lt;Monte_Carlo!$AC$2,1,0)</f>
        <v>0</v>
      </c>
      <c r="D478" s="13"/>
      <c r="F478" s="13"/>
      <c r="G478">
        <v>476</v>
      </c>
      <c r="H478" s="4">
        <v>3.4569246593831968E-2</v>
      </c>
      <c r="I478" s="14">
        <f t="shared" si="7"/>
        <v>345692.46593831968</v>
      </c>
    </row>
    <row r="479" spans="1:9" x14ac:dyDescent="0.35">
      <c r="A479" s="3">
        <v>44532</v>
      </c>
      <c r="B479" s="4">
        <v>1.0652147515955989E-2</v>
      </c>
      <c r="C479">
        <f ca="1">IF(B479&lt;Monte_Carlo!$AC$2,1,0)</f>
        <v>0</v>
      </c>
      <c r="D479" s="13"/>
      <c r="F479" s="13"/>
      <c r="G479">
        <v>477</v>
      </c>
      <c r="H479" s="4">
        <v>-2.0084997520175694E-2</v>
      </c>
      <c r="I479" s="14">
        <f t="shared" si="7"/>
        <v>-200849.97520175696</v>
      </c>
    </row>
    <row r="480" spans="1:9" x14ac:dyDescent="0.35">
      <c r="A480" s="3">
        <v>44533</v>
      </c>
      <c r="B480" s="4">
        <v>-8.6967850893103129E-3</v>
      </c>
      <c r="C480">
        <f ca="1">IF(B480&lt;Monte_Carlo!$AC$2,1,0)</f>
        <v>0</v>
      </c>
      <c r="D480" s="13"/>
      <c r="F480" s="13"/>
      <c r="G480">
        <v>478</v>
      </c>
      <c r="H480" s="4">
        <v>-1.1924276495248676E-2</v>
      </c>
      <c r="I480" s="14">
        <f t="shared" si="7"/>
        <v>-119242.76495248676</v>
      </c>
    </row>
    <row r="481" spans="1:9" x14ac:dyDescent="0.35">
      <c r="A481" s="3">
        <v>44536</v>
      </c>
      <c r="B481" s="4">
        <v>-1.7964023849120714E-2</v>
      </c>
      <c r="C481">
        <f ca="1">IF(B481&lt;Monte_Carlo!$AC$2,1,0)</f>
        <v>0</v>
      </c>
      <c r="D481" s="13"/>
      <c r="F481" s="13"/>
      <c r="G481">
        <v>479</v>
      </c>
      <c r="H481" s="4">
        <v>1.403712959748738E-2</v>
      </c>
      <c r="I481" s="14">
        <f t="shared" si="7"/>
        <v>140371.29597487379</v>
      </c>
    </row>
    <row r="482" spans="1:9" x14ac:dyDescent="0.35">
      <c r="A482" s="3">
        <v>44537</v>
      </c>
      <c r="B482" s="4">
        <v>-1.0013246281264571E-3</v>
      </c>
      <c r="C482">
        <f ca="1">IF(B482&lt;Monte_Carlo!$AC$2,1,0)</f>
        <v>0</v>
      </c>
      <c r="D482" s="13"/>
      <c r="F482" s="13"/>
      <c r="G482">
        <v>480</v>
      </c>
      <c r="H482" s="4">
        <v>-3.5346424667829497E-3</v>
      </c>
      <c r="I482" s="14">
        <f t="shared" si="7"/>
        <v>-35346.424667829495</v>
      </c>
    </row>
    <row r="483" spans="1:9" x14ac:dyDescent="0.35">
      <c r="A483" s="3">
        <v>44538</v>
      </c>
      <c r="B483" s="4">
        <v>1.7476863438815007E-2</v>
      </c>
      <c r="C483">
        <f ca="1">IF(B483&lt;Monte_Carlo!$AC$2,1,0)</f>
        <v>0</v>
      </c>
      <c r="D483" s="13"/>
      <c r="F483" s="13"/>
      <c r="G483">
        <v>481</v>
      </c>
      <c r="H483" s="4">
        <v>9.6294190845640486E-3</v>
      </c>
      <c r="I483" s="14">
        <f t="shared" si="7"/>
        <v>96294.190845640493</v>
      </c>
    </row>
    <row r="484" spans="1:9" x14ac:dyDescent="0.35">
      <c r="A484" s="3">
        <v>44539</v>
      </c>
      <c r="B484" s="4">
        <v>-4.9106844767218697E-3</v>
      </c>
      <c r="C484">
        <f ca="1">IF(B484&lt;Monte_Carlo!$AC$2,1,0)</f>
        <v>0</v>
      </c>
      <c r="D484" s="13"/>
      <c r="F484" s="13"/>
      <c r="G484">
        <v>482</v>
      </c>
      <c r="H484" s="4">
        <v>-1.4039946947434725E-2</v>
      </c>
      <c r="I484" s="14">
        <f t="shared" si="7"/>
        <v>-140399.46947434725</v>
      </c>
    </row>
    <row r="485" spans="1:9" x14ac:dyDescent="0.35">
      <c r="A485" s="3">
        <v>44540</v>
      </c>
      <c r="B485" s="4">
        <v>1.0501304392551675E-4</v>
      </c>
      <c r="C485">
        <f ca="1">IF(B485&lt;Monte_Carlo!$AC$2,1,0)</f>
        <v>0</v>
      </c>
      <c r="D485" s="13"/>
      <c r="F485" s="13"/>
      <c r="G485">
        <v>483</v>
      </c>
      <c r="H485" s="4">
        <v>-6.3945722604539443E-3</v>
      </c>
      <c r="I485" s="14">
        <f t="shared" si="7"/>
        <v>-63945.722604539442</v>
      </c>
    </row>
    <row r="486" spans="1:9" x14ac:dyDescent="0.35">
      <c r="A486" s="3">
        <v>44543</v>
      </c>
      <c r="B486" s="4">
        <v>-1.1939504643063269E-2</v>
      </c>
      <c r="C486">
        <f ca="1">IF(B486&lt;Monte_Carlo!$AC$2,1,0)</f>
        <v>0</v>
      </c>
      <c r="D486" s="13"/>
      <c r="F486" s="13"/>
      <c r="G486">
        <v>484</v>
      </c>
      <c r="H486" s="4">
        <v>1.0184973420393227E-2</v>
      </c>
      <c r="I486" s="14">
        <f t="shared" si="7"/>
        <v>101849.73420393227</v>
      </c>
    </row>
    <row r="487" spans="1:9" x14ac:dyDescent="0.35">
      <c r="A487" s="3">
        <v>44544</v>
      </c>
      <c r="B487" s="4">
        <v>7.5835690666455928E-3</v>
      </c>
      <c r="C487">
        <f ca="1">IF(B487&lt;Monte_Carlo!$AC$2,1,0)</f>
        <v>0</v>
      </c>
      <c r="D487" s="13"/>
      <c r="F487" s="13"/>
      <c r="G487">
        <v>485</v>
      </c>
      <c r="H487" s="4">
        <v>1.0122483614455691E-2</v>
      </c>
      <c r="I487" s="14">
        <f t="shared" si="7"/>
        <v>101224.83614455692</v>
      </c>
    </row>
    <row r="488" spans="1:9" x14ac:dyDescent="0.35">
      <c r="A488" s="3">
        <v>44545</v>
      </c>
      <c r="B488" s="4">
        <v>-2.0582063853113917E-2</v>
      </c>
      <c r="C488">
        <f ca="1">IF(B488&lt;Monte_Carlo!$AC$2,1,0)</f>
        <v>0</v>
      </c>
      <c r="D488" s="13"/>
      <c r="F488" s="13"/>
      <c r="G488">
        <v>486</v>
      </c>
      <c r="H488" s="4">
        <v>5.5014623587924822E-3</v>
      </c>
      <c r="I488" s="14">
        <f t="shared" si="7"/>
        <v>55014.62358792482</v>
      </c>
    </row>
    <row r="489" spans="1:9" x14ac:dyDescent="0.35">
      <c r="A489" s="3">
        <v>44546</v>
      </c>
      <c r="B489" s="4">
        <v>2.5626385124448855E-3</v>
      </c>
      <c r="C489">
        <f ca="1">IF(B489&lt;Monte_Carlo!$AC$2,1,0)</f>
        <v>0</v>
      </c>
      <c r="D489" s="13"/>
      <c r="F489" s="13"/>
      <c r="G489">
        <v>487</v>
      </c>
      <c r="H489" s="4">
        <v>-2.7373032529785105E-3</v>
      </c>
      <c r="I489" s="14">
        <f t="shared" si="7"/>
        <v>-27373.032529785105</v>
      </c>
    </row>
    <row r="490" spans="1:9" x14ac:dyDescent="0.35">
      <c r="A490" s="3">
        <v>44547</v>
      </c>
      <c r="B490" s="4">
        <v>-2.3829319409269301E-2</v>
      </c>
      <c r="C490">
        <f ca="1">IF(B490&lt;Monte_Carlo!$AC$2,1,0)</f>
        <v>0</v>
      </c>
      <c r="D490" s="13"/>
      <c r="F490" s="13"/>
      <c r="G490">
        <v>488</v>
      </c>
      <c r="H490" s="4">
        <v>1.1779558346923336E-2</v>
      </c>
      <c r="I490" s="14">
        <f t="shared" si="7"/>
        <v>117795.58346923336</v>
      </c>
    </row>
    <row r="491" spans="1:9" x14ac:dyDescent="0.35">
      <c r="A491" s="3">
        <v>44550</v>
      </c>
      <c r="B491" s="4">
        <v>-1.4665952842785017E-2</v>
      </c>
      <c r="C491">
        <f ca="1">IF(B491&lt;Monte_Carlo!$AC$2,1,0)</f>
        <v>0</v>
      </c>
      <c r="D491" s="13"/>
      <c r="F491" s="13"/>
      <c r="G491">
        <v>489</v>
      </c>
      <c r="H491" s="4">
        <v>-3.0091565169028771E-2</v>
      </c>
      <c r="I491" s="14">
        <f t="shared" si="7"/>
        <v>-300915.65169028769</v>
      </c>
    </row>
    <row r="492" spans="1:9" x14ac:dyDescent="0.35">
      <c r="A492" s="3">
        <v>44551</v>
      </c>
      <c r="B492" s="4">
        <v>1.3441720357908049E-2</v>
      </c>
      <c r="C492">
        <f ca="1">IF(B492&lt;Monte_Carlo!$AC$2,1,0)</f>
        <v>0</v>
      </c>
      <c r="D492" s="13"/>
      <c r="F492" s="13"/>
      <c r="G492">
        <v>490</v>
      </c>
      <c r="H492" s="4">
        <v>2.6377790474934236E-2</v>
      </c>
      <c r="I492" s="14">
        <f t="shared" si="7"/>
        <v>263777.90474934236</v>
      </c>
    </row>
    <row r="493" spans="1:9" x14ac:dyDescent="0.35">
      <c r="A493" s="3">
        <v>44552</v>
      </c>
      <c r="B493" s="4">
        <v>-1.2970538782613523E-2</v>
      </c>
      <c r="C493">
        <f ca="1">IF(B493&lt;Monte_Carlo!$AC$2,1,0)</f>
        <v>0</v>
      </c>
      <c r="D493" s="13"/>
      <c r="F493" s="13"/>
      <c r="G493">
        <v>491</v>
      </c>
      <c r="H493" s="4">
        <v>-3.0181761316238842E-2</v>
      </c>
      <c r="I493" s="14">
        <f t="shared" si="7"/>
        <v>-301817.61316238844</v>
      </c>
    </row>
    <row r="494" spans="1:9" x14ac:dyDescent="0.35">
      <c r="A494" s="3">
        <v>44553</v>
      </c>
      <c r="B494" s="4">
        <v>2.4508251106188004E-3</v>
      </c>
      <c r="C494">
        <f ca="1">IF(B494&lt;Monte_Carlo!$AC$2,1,0)</f>
        <v>0</v>
      </c>
      <c r="D494" s="13"/>
      <c r="F494" s="13"/>
      <c r="G494">
        <v>492</v>
      </c>
      <c r="H494" s="4">
        <v>3.1388611019178843E-2</v>
      </c>
      <c r="I494" s="14">
        <f t="shared" si="7"/>
        <v>313886.11019178841</v>
      </c>
    </row>
    <row r="495" spans="1:9" x14ac:dyDescent="0.35">
      <c r="A495" s="3">
        <v>44554</v>
      </c>
      <c r="B495" s="4">
        <v>-8.155668897168759E-3</v>
      </c>
      <c r="C495">
        <f ca="1">IF(B495&lt;Monte_Carlo!$AC$2,1,0)</f>
        <v>0</v>
      </c>
      <c r="D495" s="13"/>
      <c r="F495" s="13"/>
      <c r="G495">
        <v>493</v>
      </c>
      <c r="H495" s="4">
        <v>1.9402476369858288E-2</v>
      </c>
      <c r="I495" s="14">
        <f t="shared" si="7"/>
        <v>194024.76369858289</v>
      </c>
    </row>
    <row r="496" spans="1:9" x14ac:dyDescent="0.35">
      <c r="A496" s="3">
        <v>44557</v>
      </c>
      <c r="B496" s="4">
        <v>4.833517560726394E-3</v>
      </c>
      <c r="C496">
        <f ca="1">IF(B496&lt;Monte_Carlo!$AC$2,1,0)</f>
        <v>0</v>
      </c>
      <c r="D496" s="13"/>
      <c r="F496" s="13"/>
      <c r="G496">
        <v>494</v>
      </c>
      <c r="H496" s="4">
        <v>-2.5681013610529789E-2</v>
      </c>
      <c r="I496" s="14">
        <f t="shared" si="7"/>
        <v>-256810.13610529789</v>
      </c>
    </row>
    <row r="497" spans="1:9" x14ac:dyDescent="0.35">
      <c r="A497" s="3">
        <v>44558</v>
      </c>
      <c r="B497" s="4">
        <v>2.5470690719175692E-2</v>
      </c>
      <c r="C497">
        <f ca="1">IF(B497&lt;Monte_Carlo!$AC$2,1,0)</f>
        <v>0</v>
      </c>
      <c r="D497" s="13"/>
      <c r="F497" s="13"/>
      <c r="G497">
        <v>495</v>
      </c>
      <c r="H497" s="4">
        <v>-1.9300384475950883E-2</v>
      </c>
      <c r="I497" s="14">
        <f t="shared" si="7"/>
        <v>-193003.84475950882</v>
      </c>
    </row>
    <row r="498" spans="1:9" x14ac:dyDescent="0.35">
      <c r="A498" s="3">
        <v>44559</v>
      </c>
      <c r="B498" s="4">
        <v>-7.419158765820397E-3</v>
      </c>
      <c r="C498">
        <f ca="1">IF(B498&lt;Monte_Carlo!$AC$2,1,0)</f>
        <v>0</v>
      </c>
      <c r="D498" s="13"/>
      <c r="F498" s="13"/>
      <c r="G498">
        <v>496</v>
      </c>
      <c r="H498" s="4">
        <v>8.636305833917857E-3</v>
      </c>
      <c r="I498" s="14">
        <f t="shared" si="7"/>
        <v>86363.058339178577</v>
      </c>
    </row>
    <row r="499" spans="1:9" x14ac:dyDescent="0.35">
      <c r="A499" s="3">
        <v>44560</v>
      </c>
      <c r="B499" s="4">
        <v>-4.7563351120253573E-3</v>
      </c>
      <c r="C499">
        <f ca="1">IF(B499&lt;Monte_Carlo!$AC$2,1,0)</f>
        <v>0</v>
      </c>
      <c r="D499" s="13"/>
      <c r="F499" s="13"/>
      <c r="G499">
        <v>497</v>
      </c>
      <c r="H499" s="4">
        <v>-1.9673978444905583E-2</v>
      </c>
      <c r="I499" s="14">
        <f t="shared" si="7"/>
        <v>-196739.78444905582</v>
      </c>
    </row>
    <row r="500" spans="1:9" x14ac:dyDescent="0.35">
      <c r="A500" s="3">
        <v>44561</v>
      </c>
      <c r="B500" s="4">
        <v>2.6373111161562088E-2</v>
      </c>
      <c r="C500">
        <f ca="1">IF(B500&lt;Monte_Carlo!$AC$2,1,0)</f>
        <v>0</v>
      </c>
      <c r="D500" s="13"/>
      <c r="F500" s="13"/>
      <c r="G500">
        <v>498</v>
      </c>
      <c r="H500" s="4">
        <v>-5.6105385400294959E-3</v>
      </c>
      <c r="I500" s="14">
        <f t="shared" si="7"/>
        <v>-56105.385400294959</v>
      </c>
    </row>
    <row r="501" spans="1:9" x14ac:dyDescent="0.35">
      <c r="A501" s="3">
        <v>44564</v>
      </c>
      <c r="B501" s="4">
        <v>3.3080702742029145E-3</v>
      </c>
      <c r="C501">
        <f ca="1">IF(B501&lt;Monte_Carlo!$AC$2,1,0)</f>
        <v>0</v>
      </c>
      <c r="D501" s="13"/>
      <c r="F501" s="13"/>
      <c r="G501">
        <v>499</v>
      </c>
      <c r="H501" s="4">
        <v>9.8266300465685418E-3</v>
      </c>
      <c r="I501" s="14">
        <f t="shared" si="7"/>
        <v>98266.300465685417</v>
      </c>
    </row>
    <row r="502" spans="1:9" x14ac:dyDescent="0.35">
      <c r="A502" s="3">
        <v>44565</v>
      </c>
      <c r="B502" s="4">
        <v>6.4196287992111054E-3</v>
      </c>
      <c r="C502">
        <f ca="1">IF(B502&lt;Monte_Carlo!$AC$2,1,0)</f>
        <v>0</v>
      </c>
      <c r="D502" s="13"/>
      <c r="F502" s="13"/>
      <c r="G502">
        <v>500</v>
      </c>
      <c r="H502" s="4">
        <v>2.8692721154197583E-2</v>
      </c>
      <c r="I502" s="14">
        <f t="shared" si="7"/>
        <v>286927.21154197585</v>
      </c>
    </row>
    <row r="503" spans="1:9" x14ac:dyDescent="0.35">
      <c r="A503" s="3">
        <v>44566</v>
      </c>
      <c r="B503" s="4">
        <v>1.7989339381464724E-2</v>
      </c>
      <c r="C503">
        <f ca="1">IF(B503&lt;Monte_Carlo!$AC$2,1,0)</f>
        <v>0</v>
      </c>
      <c r="D503" s="13"/>
      <c r="F503" s="13"/>
      <c r="G503">
        <v>501</v>
      </c>
      <c r="H503" s="4">
        <v>5.635984048668519E-3</v>
      </c>
      <c r="I503" s="14">
        <f t="shared" si="7"/>
        <v>56359.840486685192</v>
      </c>
    </row>
    <row r="504" spans="1:9" x14ac:dyDescent="0.35">
      <c r="A504" s="3">
        <v>44567</v>
      </c>
      <c r="B504" s="4">
        <v>-3.8583485541164664E-3</v>
      </c>
      <c r="C504">
        <f ca="1">IF(B504&lt;Monte_Carlo!$AC$2,1,0)</f>
        <v>0</v>
      </c>
      <c r="D504" s="13"/>
      <c r="F504" s="13"/>
      <c r="G504">
        <v>502</v>
      </c>
      <c r="H504" s="4">
        <v>-1.5262656406573098E-2</v>
      </c>
      <c r="I504" s="14">
        <f t="shared" si="7"/>
        <v>-152626.56406573099</v>
      </c>
    </row>
    <row r="505" spans="1:9" x14ac:dyDescent="0.35">
      <c r="A505" s="3">
        <v>44568</v>
      </c>
      <c r="B505" s="4">
        <v>-1.9926402595906259E-3</v>
      </c>
      <c r="C505">
        <f ca="1">IF(B505&lt;Monte_Carlo!$AC$2,1,0)</f>
        <v>0</v>
      </c>
      <c r="D505" s="13"/>
      <c r="F505" s="13"/>
      <c r="G505">
        <v>503</v>
      </c>
      <c r="H505" s="4">
        <v>1.7467363788995483E-2</v>
      </c>
      <c r="I505" s="14">
        <f t="shared" si="7"/>
        <v>174673.63788995484</v>
      </c>
    </row>
    <row r="506" spans="1:9" x14ac:dyDescent="0.35">
      <c r="A506" s="3">
        <v>44571</v>
      </c>
      <c r="B506" s="4">
        <v>4.1654229859608297E-3</v>
      </c>
      <c r="C506">
        <f ca="1">IF(B506&lt;Monte_Carlo!$AC$2,1,0)</f>
        <v>0</v>
      </c>
      <c r="D506" s="13"/>
      <c r="F506" s="13"/>
      <c r="G506">
        <v>504</v>
      </c>
      <c r="H506" s="4">
        <v>-1.1422679994841523E-2</v>
      </c>
      <c r="I506" s="14">
        <f t="shared" si="7"/>
        <v>-114226.79994841524</v>
      </c>
    </row>
    <row r="507" spans="1:9" x14ac:dyDescent="0.35">
      <c r="A507" s="3">
        <v>44572</v>
      </c>
      <c r="B507" s="4">
        <v>-1.1975706236782869E-2</v>
      </c>
      <c r="C507">
        <f ca="1">IF(B507&lt;Monte_Carlo!$AC$2,1,0)</f>
        <v>0</v>
      </c>
      <c r="D507" s="13"/>
      <c r="F507" s="13"/>
      <c r="G507">
        <v>505</v>
      </c>
      <c r="H507" s="4">
        <v>-2.1860436436134029E-2</v>
      </c>
      <c r="I507" s="14">
        <f t="shared" si="7"/>
        <v>-218604.3643613403</v>
      </c>
    </row>
    <row r="508" spans="1:9" x14ac:dyDescent="0.35">
      <c r="A508" s="3">
        <v>44573</v>
      </c>
      <c r="B508" s="4">
        <v>3.0994472729839106E-3</v>
      </c>
      <c r="C508">
        <f ca="1">IF(B508&lt;Monte_Carlo!$AC$2,1,0)</f>
        <v>0</v>
      </c>
      <c r="D508" s="13"/>
      <c r="F508" s="13"/>
      <c r="G508">
        <v>506</v>
      </c>
      <c r="H508" s="4">
        <v>3.7559799486873977E-3</v>
      </c>
      <c r="I508" s="14">
        <f t="shared" si="7"/>
        <v>37559.799486873977</v>
      </c>
    </row>
    <row r="509" spans="1:9" x14ac:dyDescent="0.35">
      <c r="A509" s="3">
        <v>44574</v>
      </c>
      <c r="B509" s="4">
        <v>-1.0540934363299372E-2</v>
      </c>
      <c r="C509">
        <f ca="1">IF(B509&lt;Monte_Carlo!$AC$2,1,0)</f>
        <v>0</v>
      </c>
      <c r="D509" s="13"/>
      <c r="F509" s="13"/>
      <c r="G509">
        <v>507</v>
      </c>
      <c r="H509" s="4">
        <v>2.7694223843542237E-2</v>
      </c>
      <c r="I509" s="14">
        <f t="shared" si="7"/>
        <v>276942.23843542236</v>
      </c>
    </row>
    <row r="510" spans="1:9" x14ac:dyDescent="0.35">
      <c r="A510" s="3">
        <v>44575</v>
      </c>
      <c r="B510" s="4">
        <v>2.2084738947378379E-3</v>
      </c>
      <c r="C510">
        <f ca="1">IF(B510&lt;Monte_Carlo!$AC$2,1,0)</f>
        <v>0</v>
      </c>
      <c r="D510" s="13"/>
      <c r="F510" s="13"/>
      <c r="G510">
        <v>508</v>
      </c>
      <c r="H510" s="4">
        <v>-1.9884120965091703E-2</v>
      </c>
      <c r="I510" s="14">
        <f t="shared" si="7"/>
        <v>-198841.20965091704</v>
      </c>
    </row>
    <row r="511" spans="1:9" x14ac:dyDescent="0.35">
      <c r="A511" s="3">
        <v>44578</v>
      </c>
      <c r="B511" s="4">
        <v>8.5803391653132364E-3</v>
      </c>
      <c r="C511">
        <f ca="1">IF(B511&lt;Monte_Carlo!$AC$2,1,0)</f>
        <v>0</v>
      </c>
      <c r="D511" s="13"/>
      <c r="F511" s="13"/>
      <c r="G511">
        <v>509</v>
      </c>
      <c r="H511" s="4">
        <v>-1.5015111702408275E-2</v>
      </c>
      <c r="I511" s="14">
        <f t="shared" si="7"/>
        <v>-150151.11702408275</v>
      </c>
    </row>
    <row r="512" spans="1:9" x14ac:dyDescent="0.35">
      <c r="A512" s="3">
        <v>44579</v>
      </c>
      <c r="B512" s="4">
        <v>6.448262347436993E-3</v>
      </c>
      <c r="C512">
        <f ca="1">IF(B512&lt;Monte_Carlo!$AC$2,1,0)</f>
        <v>0</v>
      </c>
      <c r="D512" s="13"/>
      <c r="F512" s="13"/>
      <c r="G512">
        <v>510</v>
      </c>
      <c r="H512" s="4">
        <v>1.9039703043247608E-2</v>
      </c>
      <c r="I512" s="14">
        <f t="shared" si="7"/>
        <v>190397.03043247608</v>
      </c>
    </row>
    <row r="513" spans="1:9" x14ac:dyDescent="0.35">
      <c r="A513" s="3">
        <v>44580</v>
      </c>
      <c r="B513" s="4">
        <v>-1.1773382593943445E-2</v>
      </c>
      <c r="C513">
        <f ca="1">IF(B513&lt;Monte_Carlo!$AC$2,1,0)</f>
        <v>0</v>
      </c>
      <c r="D513" s="13"/>
      <c r="F513" s="13"/>
      <c r="G513">
        <v>511</v>
      </c>
      <c r="H513" s="4">
        <v>-1.3420957750361862E-2</v>
      </c>
      <c r="I513" s="14">
        <f t="shared" si="7"/>
        <v>-134209.57750361861</v>
      </c>
    </row>
    <row r="514" spans="1:9" x14ac:dyDescent="0.35">
      <c r="A514" s="3">
        <v>44581</v>
      </c>
      <c r="B514" s="4">
        <v>-2.121669212298501E-2</v>
      </c>
      <c r="C514">
        <f ca="1">IF(B514&lt;Monte_Carlo!$AC$2,1,0)</f>
        <v>0</v>
      </c>
      <c r="D514" s="13"/>
      <c r="F514" s="13"/>
      <c r="G514">
        <v>512</v>
      </c>
      <c r="H514" s="4">
        <v>2.7958867259746726E-2</v>
      </c>
      <c r="I514" s="14">
        <f t="shared" si="7"/>
        <v>279588.67259746726</v>
      </c>
    </row>
    <row r="515" spans="1:9" x14ac:dyDescent="0.35">
      <c r="A515" s="3">
        <v>44582</v>
      </c>
      <c r="B515" s="4">
        <v>-7.0992244474737823E-3</v>
      </c>
      <c r="C515">
        <f ca="1">IF(B515&lt;Monte_Carlo!$AC$2,1,0)</f>
        <v>0</v>
      </c>
      <c r="D515" s="13"/>
      <c r="F515" s="13"/>
      <c r="G515">
        <v>513</v>
      </c>
      <c r="H515" s="4">
        <v>-3.0458689371508193E-2</v>
      </c>
      <c r="I515" s="14">
        <f t="shared" si="7"/>
        <v>-304586.89371508191</v>
      </c>
    </row>
    <row r="516" spans="1:9" x14ac:dyDescent="0.35">
      <c r="A516" s="3">
        <v>44585</v>
      </c>
      <c r="B516" s="4">
        <v>-3.4410471082859391E-2</v>
      </c>
      <c r="C516">
        <f ca="1">IF(B516&lt;Monte_Carlo!$AC$2,1,0)</f>
        <v>0</v>
      </c>
      <c r="D516" s="13"/>
      <c r="F516" s="13"/>
      <c r="G516">
        <v>514</v>
      </c>
      <c r="H516" s="4">
        <v>3.2910470746487695E-2</v>
      </c>
      <c r="I516" s="14">
        <f t="shared" si="7"/>
        <v>329104.70746487693</v>
      </c>
    </row>
    <row r="517" spans="1:9" x14ac:dyDescent="0.35">
      <c r="A517" s="3">
        <v>44586</v>
      </c>
      <c r="B517" s="4">
        <v>8.9308949932428681E-3</v>
      </c>
      <c r="C517">
        <f ca="1">IF(B517&lt;Monte_Carlo!$AC$2,1,0)</f>
        <v>0</v>
      </c>
      <c r="D517" s="13"/>
      <c r="F517" s="13"/>
      <c r="G517">
        <v>515</v>
      </c>
      <c r="H517" s="4">
        <v>-2.067738592308627E-3</v>
      </c>
      <c r="I517" s="14">
        <f t="shared" ref="I517:I580" si="8">H517*10000000</f>
        <v>-20677.385923086269</v>
      </c>
    </row>
    <row r="518" spans="1:9" x14ac:dyDescent="0.35">
      <c r="A518" s="3">
        <v>44588</v>
      </c>
      <c r="B518" s="4">
        <v>1.7310475269793749E-2</v>
      </c>
      <c r="C518">
        <f ca="1">IF(B518&lt;Monte_Carlo!$AC$2,1,0)</f>
        <v>0</v>
      </c>
      <c r="D518" s="13"/>
      <c r="F518" s="13"/>
      <c r="G518">
        <v>516</v>
      </c>
      <c r="H518" s="4">
        <v>-1.43575296644676E-2</v>
      </c>
      <c r="I518" s="14">
        <f t="shared" si="8"/>
        <v>-143575.29664467601</v>
      </c>
    </row>
    <row r="519" spans="1:9" x14ac:dyDescent="0.35">
      <c r="A519" s="3">
        <v>44589</v>
      </c>
      <c r="B519" s="4">
        <v>5.6559221057777154E-3</v>
      </c>
      <c r="C519">
        <f ca="1">IF(B519&lt;Monte_Carlo!$AC$2,1,0)</f>
        <v>0</v>
      </c>
      <c r="D519" s="13"/>
      <c r="F519" s="13"/>
      <c r="G519">
        <v>517</v>
      </c>
      <c r="H519" s="4">
        <v>-1.9602432287921536E-3</v>
      </c>
      <c r="I519" s="14">
        <f t="shared" si="8"/>
        <v>-19602.432287921536</v>
      </c>
    </row>
    <row r="520" spans="1:9" x14ac:dyDescent="0.35">
      <c r="A520" s="3">
        <v>44592</v>
      </c>
      <c r="B520" s="4">
        <v>5.563938857744366E-3</v>
      </c>
      <c r="C520">
        <f ca="1">IF(B520&lt;Monte_Carlo!$AC$2,1,0)</f>
        <v>0</v>
      </c>
      <c r="D520" s="13"/>
      <c r="F520" s="13"/>
      <c r="G520">
        <v>518</v>
      </c>
      <c r="H520" s="4">
        <v>-2.2149742104678577E-3</v>
      </c>
      <c r="I520" s="14">
        <f t="shared" si="8"/>
        <v>-22149.742104678578</v>
      </c>
    </row>
    <row r="521" spans="1:9" x14ac:dyDescent="0.35">
      <c r="A521" s="3">
        <v>44593</v>
      </c>
      <c r="B521" s="4">
        <v>-5.7786302729080762E-3</v>
      </c>
      <c r="C521">
        <f ca="1">IF(B521&lt;Monte_Carlo!$AC$2,1,0)</f>
        <v>0</v>
      </c>
      <c r="D521" s="13"/>
      <c r="F521" s="13"/>
      <c r="G521">
        <v>519</v>
      </c>
      <c r="H521" s="4">
        <v>1.9308278587961455E-2</v>
      </c>
      <c r="I521" s="14">
        <f t="shared" si="8"/>
        <v>193082.78587961456</v>
      </c>
    </row>
    <row r="522" spans="1:9" x14ac:dyDescent="0.35">
      <c r="A522" s="3">
        <v>44594</v>
      </c>
      <c r="B522" s="4">
        <v>1.0837961707222787E-2</v>
      </c>
      <c r="C522">
        <f ca="1">IF(B522&lt;Monte_Carlo!$AC$2,1,0)</f>
        <v>0</v>
      </c>
      <c r="D522" s="13"/>
      <c r="F522" s="13"/>
      <c r="G522">
        <v>520</v>
      </c>
      <c r="H522" s="4">
        <v>-1.1379804630137425E-2</v>
      </c>
      <c r="I522" s="14">
        <f t="shared" si="8"/>
        <v>-113798.04630137426</v>
      </c>
    </row>
    <row r="523" spans="1:9" x14ac:dyDescent="0.35">
      <c r="A523" s="3">
        <v>44595</v>
      </c>
      <c r="B523" s="4">
        <v>-2.9472933207232376E-3</v>
      </c>
      <c r="C523">
        <f ca="1">IF(B523&lt;Monte_Carlo!$AC$2,1,0)</f>
        <v>0</v>
      </c>
      <c r="D523" s="13"/>
      <c r="F523" s="13"/>
      <c r="G523">
        <v>521</v>
      </c>
      <c r="H523" s="4">
        <v>7.1853730012687474E-3</v>
      </c>
      <c r="I523" s="14">
        <f t="shared" si="8"/>
        <v>71853.730012687476</v>
      </c>
    </row>
    <row r="524" spans="1:9" x14ac:dyDescent="0.35">
      <c r="A524" s="3">
        <v>44596</v>
      </c>
      <c r="B524" s="4">
        <v>-1.2184659303483286E-2</v>
      </c>
      <c r="C524">
        <f ca="1">IF(B524&lt;Monte_Carlo!$AC$2,1,0)</f>
        <v>0</v>
      </c>
      <c r="D524" s="13"/>
      <c r="F524" s="13"/>
      <c r="G524">
        <v>522</v>
      </c>
      <c r="H524" s="4">
        <v>2.7186754227263858E-2</v>
      </c>
      <c r="I524" s="14">
        <f t="shared" si="8"/>
        <v>271867.54227263859</v>
      </c>
    </row>
    <row r="525" spans="1:9" x14ac:dyDescent="0.35">
      <c r="A525" s="3">
        <v>44599</v>
      </c>
      <c r="B525" s="4">
        <v>-1.8079784818614376E-2</v>
      </c>
      <c r="C525">
        <f ca="1">IF(B525&lt;Monte_Carlo!$AC$2,1,0)</f>
        <v>0</v>
      </c>
      <c r="D525" s="13"/>
      <c r="F525" s="13"/>
      <c r="G525">
        <v>523</v>
      </c>
      <c r="H525" s="4">
        <v>-4.9724235779051093E-2</v>
      </c>
      <c r="I525" s="14">
        <f t="shared" si="8"/>
        <v>-497242.35779051093</v>
      </c>
    </row>
    <row r="526" spans="1:9" x14ac:dyDescent="0.35">
      <c r="A526" s="3">
        <v>44600</v>
      </c>
      <c r="B526" s="4">
        <v>1.4238855239262294E-2</v>
      </c>
      <c r="C526">
        <f ca="1">IF(B526&lt;Monte_Carlo!$AC$2,1,0)</f>
        <v>0</v>
      </c>
      <c r="D526" s="13"/>
      <c r="F526" s="13"/>
      <c r="G526">
        <v>524</v>
      </c>
      <c r="H526" s="4">
        <v>1.6787902698488795E-2</v>
      </c>
      <c r="I526" s="14">
        <f t="shared" si="8"/>
        <v>167879.02698488795</v>
      </c>
    </row>
    <row r="527" spans="1:9" x14ac:dyDescent="0.35">
      <c r="A527" s="3">
        <v>44601</v>
      </c>
      <c r="B527" s="4">
        <v>2.9166180953552816E-3</v>
      </c>
      <c r="C527">
        <f ca="1">IF(B527&lt;Monte_Carlo!$AC$2,1,0)</f>
        <v>0</v>
      </c>
      <c r="D527" s="13"/>
      <c r="F527" s="13"/>
      <c r="G527">
        <v>525</v>
      </c>
      <c r="H527" s="4">
        <v>-2.8313322342177032E-3</v>
      </c>
      <c r="I527" s="14">
        <f t="shared" si="8"/>
        <v>-28313.322342177031</v>
      </c>
    </row>
    <row r="528" spans="1:9" x14ac:dyDescent="0.35">
      <c r="A528" s="3">
        <v>44602</v>
      </c>
      <c r="B528" s="4">
        <v>-8.8851988753711614E-3</v>
      </c>
      <c r="C528">
        <f ca="1">IF(B528&lt;Monte_Carlo!$AC$2,1,0)</f>
        <v>0</v>
      </c>
      <c r="D528" s="13"/>
      <c r="F528" s="13"/>
      <c r="G528">
        <v>526</v>
      </c>
      <c r="H528" s="4">
        <v>-1.5716881901509466E-2</v>
      </c>
      <c r="I528" s="14">
        <f t="shared" si="8"/>
        <v>-157168.81901509466</v>
      </c>
    </row>
    <row r="529" spans="1:9" x14ac:dyDescent="0.35">
      <c r="A529" s="3">
        <v>44603</v>
      </c>
      <c r="B529" s="4">
        <v>-7.6838313150668584E-3</v>
      </c>
      <c r="C529">
        <f ca="1">IF(B529&lt;Monte_Carlo!$AC$2,1,0)</f>
        <v>0</v>
      </c>
      <c r="D529" s="13"/>
      <c r="F529" s="13"/>
      <c r="G529">
        <v>527</v>
      </c>
      <c r="H529" s="4">
        <v>2.1306888878207836E-2</v>
      </c>
      <c r="I529" s="14">
        <f t="shared" si="8"/>
        <v>213068.88878207837</v>
      </c>
    </row>
    <row r="530" spans="1:9" x14ac:dyDescent="0.35">
      <c r="A530" s="3">
        <v>44606</v>
      </c>
      <c r="B530" s="4">
        <v>-4.1018161369692677E-2</v>
      </c>
      <c r="C530">
        <f ca="1">IF(B530&lt;Monte_Carlo!$AC$2,1,0)</f>
        <v>0</v>
      </c>
      <c r="D530" s="13"/>
      <c r="F530" s="13"/>
      <c r="G530">
        <v>528</v>
      </c>
      <c r="H530" s="4">
        <v>-1.3967417093109256E-2</v>
      </c>
      <c r="I530" s="14">
        <f t="shared" si="8"/>
        <v>-139674.17093109255</v>
      </c>
    </row>
    <row r="531" spans="1:9" x14ac:dyDescent="0.35">
      <c r="A531" s="3">
        <v>44607</v>
      </c>
      <c r="B531" s="4">
        <v>6.2244541020475396E-3</v>
      </c>
      <c r="C531">
        <f ca="1">IF(B531&lt;Monte_Carlo!$AC$2,1,0)</f>
        <v>0</v>
      </c>
      <c r="D531" s="13"/>
      <c r="F531" s="13"/>
      <c r="G531">
        <v>529</v>
      </c>
      <c r="H531" s="4">
        <v>-2.4472151038616957E-3</v>
      </c>
      <c r="I531" s="14">
        <f t="shared" si="8"/>
        <v>-24472.151038616958</v>
      </c>
    </row>
    <row r="532" spans="1:9" x14ac:dyDescent="0.35">
      <c r="A532" s="3">
        <v>44608</v>
      </c>
      <c r="B532" s="4">
        <v>-2.6418858348643513E-3</v>
      </c>
      <c r="C532">
        <f ca="1">IF(B532&lt;Monte_Carlo!$AC$2,1,0)</f>
        <v>0</v>
      </c>
      <c r="D532" s="13"/>
      <c r="F532" s="13"/>
      <c r="G532">
        <v>530</v>
      </c>
      <c r="H532" s="4">
        <v>-1.1731708826200204E-2</v>
      </c>
      <c r="I532" s="14">
        <f t="shared" si="8"/>
        <v>-117317.08826200204</v>
      </c>
    </row>
    <row r="533" spans="1:9" x14ac:dyDescent="0.35">
      <c r="A533" s="3">
        <v>44609</v>
      </c>
      <c r="B533" s="4">
        <v>3.9855834134442511E-3</v>
      </c>
      <c r="C533">
        <f ca="1">IF(B533&lt;Monte_Carlo!$AC$2,1,0)</f>
        <v>0</v>
      </c>
      <c r="D533" s="13"/>
      <c r="F533" s="13"/>
      <c r="G533">
        <v>531</v>
      </c>
      <c r="H533" s="4">
        <v>1.447431913026942E-2</v>
      </c>
      <c r="I533" s="14">
        <f t="shared" si="8"/>
        <v>144743.19130269421</v>
      </c>
    </row>
    <row r="534" spans="1:9" x14ac:dyDescent="0.35">
      <c r="A534" s="3">
        <v>44610</v>
      </c>
      <c r="B534" s="4">
        <v>-1.2583690883525499E-2</v>
      </c>
      <c r="C534">
        <f ca="1">IF(B534&lt;Monte_Carlo!$AC$2,1,0)</f>
        <v>0</v>
      </c>
      <c r="D534" s="13"/>
      <c r="F534" s="13"/>
      <c r="G534">
        <v>532</v>
      </c>
      <c r="H534" s="4">
        <v>1.5831113263629366E-2</v>
      </c>
      <c r="I534" s="14">
        <f t="shared" si="8"/>
        <v>158311.13263629365</v>
      </c>
    </row>
    <row r="535" spans="1:9" x14ac:dyDescent="0.35">
      <c r="A535" s="3">
        <v>44613</v>
      </c>
      <c r="B535" s="4">
        <v>-1.6918042109666631E-2</v>
      </c>
      <c r="C535">
        <f ca="1">IF(B535&lt;Monte_Carlo!$AC$2,1,0)</f>
        <v>0</v>
      </c>
      <c r="D535" s="13"/>
      <c r="F535" s="13"/>
      <c r="G535">
        <v>533</v>
      </c>
      <c r="H535" s="4">
        <v>-7.6034491785040136E-3</v>
      </c>
      <c r="I535" s="14">
        <f t="shared" si="8"/>
        <v>-76034.49178504014</v>
      </c>
    </row>
    <row r="536" spans="1:9" x14ac:dyDescent="0.35">
      <c r="A536" s="3">
        <v>44614</v>
      </c>
      <c r="B536" s="4">
        <v>-1.022577466248329E-3</v>
      </c>
      <c r="C536">
        <f ca="1">IF(B536&lt;Monte_Carlo!$AC$2,1,0)</f>
        <v>0</v>
      </c>
      <c r="D536" s="13"/>
      <c r="F536" s="13"/>
      <c r="G536">
        <v>534</v>
      </c>
      <c r="H536" s="4">
        <v>2.1630043230082274E-2</v>
      </c>
      <c r="I536" s="14">
        <f t="shared" si="8"/>
        <v>216300.43230082275</v>
      </c>
    </row>
    <row r="537" spans="1:9" x14ac:dyDescent="0.35">
      <c r="A537" s="3">
        <v>44615</v>
      </c>
      <c r="B537" s="4">
        <v>1.8100953614574034E-3</v>
      </c>
      <c r="C537">
        <f ca="1">IF(B537&lt;Monte_Carlo!$AC$2,1,0)</f>
        <v>0</v>
      </c>
      <c r="D537" s="13"/>
      <c r="F537" s="13"/>
      <c r="G537">
        <v>535</v>
      </c>
      <c r="H537" s="4">
        <v>-3.0312624439767146E-2</v>
      </c>
      <c r="I537" s="14">
        <f t="shared" si="8"/>
        <v>-303126.24439767149</v>
      </c>
    </row>
    <row r="538" spans="1:9" x14ac:dyDescent="0.35">
      <c r="A538" s="3">
        <v>44616</v>
      </c>
      <c r="B538" s="4">
        <v>-4.6333364597843221E-2</v>
      </c>
      <c r="C538">
        <f ca="1">IF(B538&lt;Monte_Carlo!$AC$2,1,0)</f>
        <v>0</v>
      </c>
      <c r="D538" s="13"/>
      <c r="F538" s="13"/>
      <c r="G538">
        <v>536</v>
      </c>
      <c r="H538" s="4">
        <v>2.0923151022638982E-2</v>
      </c>
      <c r="I538" s="14">
        <f t="shared" si="8"/>
        <v>209231.51022638983</v>
      </c>
    </row>
    <row r="539" spans="1:9" x14ac:dyDescent="0.35">
      <c r="A539" s="3">
        <v>44617</v>
      </c>
      <c r="B539" s="4">
        <v>2.7476259672422475E-2</v>
      </c>
      <c r="C539">
        <f ca="1">IF(B539&lt;Monte_Carlo!$AC$2,1,0)</f>
        <v>0</v>
      </c>
      <c r="D539" s="13"/>
      <c r="F539" s="13"/>
      <c r="G539">
        <v>537</v>
      </c>
      <c r="H539" s="4">
        <v>2.4875160430686095E-2</v>
      </c>
      <c r="I539" s="14">
        <f t="shared" si="8"/>
        <v>248751.60430686094</v>
      </c>
    </row>
    <row r="540" spans="1:9" x14ac:dyDescent="0.35">
      <c r="A540" s="3">
        <v>44620</v>
      </c>
      <c r="B540" s="4">
        <v>-2.2705960663252159E-3</v>
      </c>
      <c r="C540">
        <f ca="1">IF(B540&lt;Monte_Carlo!$AC$2,1,0)</f>
        <v>0</v>
      </c>
      <c r="D540" s="13"/>
      <c r="F540" s="13"/>
      <c r="G540">
        <v>538</v>
      </c>
      <c r="H540" s="4">
        <v>-4.8524983280749133E-2</v>
      </c>
      <c r="I540" s="14">
        <f t="shared" si="8"/>
        <v>-485249.8328074913</v>
      </c>
    </row>
    <row r="541" spans="1:9" x14ac:dyDescent="0.35">
      <c r="A541" s="3">
        <v>44622</v>
      </c>
      <c r="B541" s="4">
        <v>-7.2195339708405852E-3</v>
      </c>
      <c r="C541">
        <f ca="1">IF(B541&lt;Monte_Carlo!$AC$2,1,0)</f>
        <v>0</v>
      </c>
      <c r="D541" s="13"/>
      <c r="F541" s="13"/>
      <c r="G541">
        <v>539</v>
      </c>
      <c r="H541" s="4">
        <v>2.3182352278548659E-4</v>
      </c>
      <c r="I541" s="14">
        <f t="shared" si="8"/>
        <v>2318.235227854866</v>
      </c>
    </row>
    <row r="542" spans="1:9" x14ac:dyDescent="0.35">
      <c r="A542" s="3">
        <v>44623</v>
      </c>
      <c r="B542" s="4">
        <v>-8.0007050637531229E-3</v>
      </c>
      <c r="C542">
        <f ca="1">IF(B542&lt;Monte_Carlo!$AC$2,1,0)</f>
        <v>0</v>
      </c>
      <c r="D542" s="13"/>
      <c r="F542" s="13"/>
      <c r="G542">
        <v>540</v>
      </c>
      <c r="H542" s="4">
        <v>-1.2817846366002012E-2</v>
      </c>
      <c r="I542" s="14">
        <f t="shared" si="8"/>
        <v>-128178.46366002012</v>
      </c>
    </row>
    <row r="543" spans="1:9" x14ac:dyDescent="0.35">
      <c r="A543" s="3">
        <v>44624</v>
      </c>
      <c r="B543" s="4">
        <v>-1.7545677607309705E-2</v>
      </c>
      <c r="C543">
        <f ca="1">IF(B543&lt;Monte_Carlo!$AC$2,1,0)</f>
        <v>0</v>
      </c>
      <c r="D543" s="13"/>
      <c r="F543" s="13"/>
      <c r="G543">
        <v>541</v>
      </c>
      <c r="H543" s="4">
        <v>3.8755721575008346E-2</v>
      </c>
      <c r="I543" s="14">
        <f t="shared" si="8"/>
        <v>387557.21575008344</v>
      </c>
    </row>
    <row r="544" spans="1:9" x14ac:dyDescent="0.35">
      <c r="A544" s="3">
        <v>44627</v>
      </c>
      <c r="B544" s="4">
        <v>-1.1757248209708854E-2</v>
      </c>
      <c r="C544">
        <f ca="1">IF(B544&lt;Monte_Carlo!$AC$2,1,0)</f>
        <v>0</v>
      </c>
      <c r="D544" s="13"/>
      <c r="F544" s="13"/>
      <c r="G544">
        <v>542</v>
      </c>
      <c r="H544" s="4">
        <v>1.1411706069377494E-2</v>
      </c>
      <c r="I544" s="14">
        <f t="shared" si="8"/>
        <v>114117.06069377494</v>
      </c>
    </row>
    <row r="545" spans="1:9" x14ac:dyDescent="0.35">
      <c r="A545" s="3">
        <v>44628</v>
      </c>
      <c r="B545" s="4">
        <v>5.3416623751596105E-3</v>
      </c>
      <c r="C545">
        <f ca="1">IF(B545&lt;Monte_Carlo!$AC$2,1,0)</f>
        <v>0</v>
      </c>
      <c r="D545" s="13"/>
      <c r="F545" s="13"/>
      <c r="G545">
        <v>543</v>
      </c>
      <c r="H545" s="4">
        <v>-8.0935112945247339E-3</v>
      </c>
      <c r="I545" s="14">
        <f t="shared" si="8"/>
        <v>-80935.11294524734</v>
      </c>
    </row>
    <row r="546" spans="1:9" x14ac:dyDescent="0.35">
      <c r="A546" s="3">
        <v>44629</v>
      </c>
      <c r="B546" s="4">
        <v>1.8446664003493714E-2</v>
      </c>
      <c r="C546">
        <f ca="1">IF(B546&lt;Monte_Carlo!$AC$2,1,0)</f>
        <v>0</v>
      </c>
      <c r="D546" s="13"/>
      <c r="F546" s="13"/>
      <c r="G546">
        <v>544</v>
      </c>
      <c r="H546" s="4">
        <v>-2.1845725754456716E-2</v>
      </c>
      <c r="I546" s="14">
        <f t="shared" si="8"/>
        <v>-218457.25754456717</v>
      </c>
    </row>
    <row r="547" spans="1:9" x14ac:dyDescent="0.35">
      <c r="A547" s="3">
        <v>44630</v>
      </c>
      <c r="B547" s="4">
        <v>1.7849942662268893E-2</v>
      </c>
      <c r="C547">
        <f ca="1">IF(B547&lt;Monte_Carlo!$AC$2,1,0)</f>
        <v>0</v>
      </c>
      <c r="D547" s="13"/>
      <c r="F547" s="13"/>
      <c r="G547">
        <v>545</v>
      </c>
      <c r="H547" s="4">
        <v>4.8851667692730236E-3</v>
      </c>
      <c r="I547" s="14">
        <f t="shared" si="8"/>
        <v>48851.667692730232</v>
      </c>
    </row>
    <row r="548" spans="1:9" x14ac:dyDescent="0.35">
      <c r="A548" s="3">
        <v>44631</v>
      </c>
      <c r="B548" s="4">
        <v>-3.6980005059122664E-3</v>
      </c>
      <c r="C548">
        <f ca="1">IF(B548&lt;Monte_Carlo!$AC$2,1,0)</f>
        <v>0</v>
      </c>
      <c r="D548" s="13"/>
      <c r="F548" s="13"/>
      <c r="G548">
        <v>546</v>
      </c>
      <c r="H548" s="4">
        <v>-1.4064194275108835E-2</v>
      </c>
      <c r="I548" s="14">
        <f t="shared" si="8"/>
        <v>-140641.94275108835</v>
      </c>
    </row>
    <row r="549" spans="1:9" x14ac:dyDescent="0.35">
      <c r="A549" s="3">
        <v>44634</v>
      </c>
      <c r="B549" s="4">
        <v>-1.9872532078844965E-3</v>
      </c>
      <c r="C549">
        <f ca="1">IF(B549&lt;Monte_Carlo!$AC$2,1,0)</f>
        <v>0</v>
      </c>
      <c r="D549" s="13"/>
      <c r="F549" s="13"/>
      <c r="G549">
        <v>547</v>
      </c>
      <c r="H549" s="4">
        <v>-1.6555365604724322E-2</v>
      </c>
      <c r="I549" s="14">
        <f t="shared" si="8"/>
        <v>-165553.65604724322</v>
      </c>
    </row>
    <row r="550" spans="1:9" x14ac:dyDescent="0.35">
      <c r="A550" s="3">
        <v>44635</v>
      </c>
      <c r="B550" s="4">
        <v>-2.8800004012448935E-2</v>
      </c>
      <c r="C550">
        <f ca="1">IF(B550&lt;Monte_Carlo!$AC$2,1,0)</f>
        <v>0</v>
      </c>
      <c r="D550" s="13"/>
      <c r="F550" s="13"/>
      <c r="G550">
        <v>548</v>
      </c>
      <c r="H550" s="4">
        <v>2.045630365045726E-2</v>
      </c>
      <c r="I550" s="14">
        <f t="shared" si="8"/>
        <v>204563.03650457261</v>
      </c>
    </row>
    <row r="551" spans="1:9" x14ac:dyDescent="0.35">
      <c r="A551" s="3">
        <v>44636</v>
      </c>
      <c r="B551" s="4">
        <v>2.2998814932820782E-2</v>
      </c>
      <c r="C551">
        <f ca="1">IF(B551&lt;Monte_Carlo!$AC$2,1,0)</f>
        <v>0</v>
      </c>
      <c r="D551" s="13"/>
      <c r="F551" s="13"/>
      <c r="G551">
        <v>549</v>
      </c>
      <c r="H551" s="4">
        <v>9.3058212315591943E-3</v>
      </c>
      <c r="I551" s="14">
        <f t="shared" si="8"/>
        <v>93058.21231559194</v>
      </c>
    </row>
    <row r="552" spans="1:9" x14ac:dyDescent="0.35">
      <c r="A552" s="3">
        <v>44637</v>
      </c>
      <c r="B552" s="4">
        <v>2.4306244629526699E-2</v>
      </c>
      <c r="C552">
        <f ca="1">IF(B552&lt;Monte_Carlo!$AC$2,1,0)</f>
        <v>0</v>
      </c>
      <c r="D552" s="13"/>
      <c r="F552" s="13"/>
      <c r="G552">
        <v>550</v>
      </c>
      <c r="H552" s="4">
        <v>-1.9432165399298894E-2</v>
      </c>
      <c r="I552" s="14">
        <f t="shared" si="8"/>
        <v>-194321.65399298893</v>
      </c>
    </row>
    <row r="553" spans="1:9" x14ac:dyDescent="0.35">
      <c r="A553" s="3">
        <v>44641</v>
      </c>
      <c r="B553" s="4">
        <v>-2.1949543512223602E-2</v>
      </c>
      <c r="C553">
        <f ca="1">IF(B553&lt;Monte_Carlo!$AC$2,1,0)</f>
        <v>0</v>
      </c>
      <c r="D553" s="13"/>
      <c r="F553" s="13"/>
      <c r="G553">
        <v>551</v>
      </c>
      <c r="H553" s="4">
        <v>4.1083873486816087E-2</v>
      </c>
      <c r="I553" s="14">
        <f t="shared" si="8"/>
        <v>410838.73486816086</v>
      </c>
    </row>
    <row r="554" spans="1:9" x14ac:dyDescent="0.35">
      <c r="A554" s="3">
        <v>44642</v>
      </c>
      <c r="B554" s="4">
        <v>2.7015963037863534E-3</v>
      </c>
      <c r="C554">
        <f ca="1">IF(B554&lt;Monte_Carlo!$AC$2,1,0)</f>
        <v>0</v>
      </c>
      <c r="D554" s="13"/>
      <c r="F554" s="13"/>
      <c r="G554">
        <v>552</v>
      </c>
      <c r="H554" s="4">
        <v>-2.2176375586485917E-2</v>
      </c>
      <c r="I554" s="14">
        <f t="shared" si="8"/>
        <v>-221763.75586485918</v>
      </c>
    </row>
    <row r="555" spans="1:9" x14ac:dyDescent="0.35">
      <c r="A555" s="3">
        <v>44643</v>
      </c>
      <c r="B555" s="4">
        <v>-1.1572523036424733E-4</v>
      </c>
      <c r="C555">
        <f ca="1">IF(B555&lt;Monte_Carlo!$AC$2,1,0)</f>
        <v>0</v>
      </c>
      <c r="D555" s="13"/>
      <c r="F555" s="13"/>
      <c r="G555">
        <v>553</v>
      </c>
      <c r="H555" s="4">
        <v>-7.9012193195087919E-3</v>
      </c>
      <c r="I555" s="14">
        <f t="shared" si="8"/>
        <v>-79012.193195087923</v>
      </c>
    </row>
    <row r="556" spans="1:9" x14ac:dyDescent="0.35">
      <c r="A556" s="3">
        <v>44644</v>
      </c>
      <c r="B556" s="4">
        <v>-6.2990643314253742E-3</v>
      </c>
      <c r="C556">
        <f ca="1">IF(B556&lt;Monte_Carlo!$AC$2,1,0)</f>
        <v>0</v>
      </c>
      <c r="D556" s="13"/>
      <c r="F556" s="13"/>
      <c r="G556">
        <v>554</v>
      </c>
      <c r="H556" s="4">
        <v>2.8349356032964283E-2</v>
      </c>
      <c r="I556" s="14">
        <f t="shared" si="8"/>
        <v>283493.56032964285</v>
      </c>
    </row>
    <row r="557" spans="1:9" x14ac:dyDescent="0.35">
      <c r="A557" s="3">
        <v>44645</v>
      </c>
      <c r="B557" s="4">
        <v>1.2824708524730921E-2</v>
      </c>
      <c r="C557">
        <f ca="1">IF(B557&lt;Monte_Carlo!$AC$2,1,0)</f>
        <v>0</v>
      </c>
      <c r="D557" s="13"/>
      <c r="F557" s="13"/>
      <c r="G557">
        <v>555</v>
      </c>
      <c r="H557" s="4">
        <v>-4.9799808643526823E-2</v>
      </c>
      <c r="I557" s="14">
        <f t="shared" si="8"/>
        <v>-497998.08643526823</v>
      </c>
    </row>
    <row r="558" spans="1:9" x14ac:dyDescent="0.35">
      <c r="A558" s="3">
        <v>44648</v>
      </c>
      <c r="B558" s="4">
        <v>-5.6896020872071315E-3</v>
      </c>
      <c r="C558">
        <f ca="1">IF(B558&lt;Monte_Carlo!$AC$2,1,0)</f>
        <v>0</v>
      </c>
      <c r="D558" s="13"/>
      <c r="F558" s="13"/>
      <c r="G558">
        <v>556</v>
      </c>
      <c r="H558" s="4">
        <v>3.7553260493208167E-2</v>
      </c>
      <c r="I558" s="14">
        <f t="shared" si="8"/>
        <v>375532.60493208165</v>
      </c>
    </row>
    <row r="559" spans="1:9" x14ac:dyDescent="0.35">
      <c r="A559" s="3">
        <v>44649</v>
      </c>
      <c r="B559" s="4">
        <v>4.7450673834387421E-3</v>
      </c>
      <c r="C559">
        <f ca="1">IF(B559&lt;Monte_Carlo!$AC$2,1,0)</f>
        <v>0</v>
      </c>
      <c r="D559" s="13"/>
      <c r="F559" s="13"/>
      <c r="G559">
        <v>557</v>
      </c>
      <c r="H559" s="4">
        <v>-4.5711868407641229E-2</v>
      </c>
      <c r="I559" s="14">
        <f t="shared" si="8"/>
        <v>-457118.68407641229</v>
      </c>
    </row>
    <row r="560" spans="1:9" x14ac:dyDescent="0.35">
      <c r="A560" s="3">
        <v>44650</v>
      </c>
      <c r="B560" s="4">
        <v>3.9842846740756402E-2</v>
      </c>
      <c r="C560">
        <f ca="1">IF(B560&lt;Monte_Carlo!$AC$2,1,0)</f>
        <v>0</v>
      </c>
      <c r="D560" s="13"/>
      <c r="F560" s="13"/>
      <c r="G560">
        <v>558</v>
      </c>
      <c r="H560" s="4">
        <v>4.7241530197793855E-2</v>
      </c>
      <c r="I560" s="14">
        <f t="shared" si="8"/>
        <v>472415.30197793856</v>
      </c>
    </row>
    <row r="561" spans="1:9" x14ac:dyDescent="0.35">
      <c r="A561" s="3">
        <v>44651</v>
      </c>
      <c r="B561" s="4">
        <v>-5.7856432699933081E-3</v>
      </c>
      <c r="C561">
        <f ca="1">IF(B561&lt;Monte_Carlo!$AC$2,1,0)</f>
        <v>0</v>
      </c>
      <c r="D561" s="13"/>
      <c r="F561" s="13"/>
      <c r="G561">
        <v>559</v>
      </c>
      <c r="H561" s="4">
        <v>-2.1190154818568032E-2</v>
      </c>
      <c r="I561" s="14">
        <f t="shared" si="8"/>
        <v>-211901.54818568032</v>
      </c>
    </row>
    <row r="562" spans="1:9" x14ac:dyDescent="0.35">
      <c r="A562" s="3">
        <v>44652</v>
      </c>
      <c r="B562" s="4">
        <v>1.8381137111259993E-2</v>
      </c>
      <c r="C562">
        <f ca="1">IF(B562&lt;Monte_Carlo!$AC$2,1,0)</f>
        <v>0</v>
      </c>
      <c r="D562" s="13"/>
      <c r="F562" s="13"/>
      <c r="G562">
        <v>560</v>
      </c>
      <c r="H562" s="4">
        <v>-2.6610682128789757E-3</v>
      </c>
      <c r="I562" s="14">
        <f t="shared" si="8"/>
        <v>-26610.682128789758</v>
      </c>
    </row>
    <row r="563" spans="1:9" x14ac:dyDescent="0.35">
      <c r="A563" s="3">
        <v>44655</v>
      </c>
      <c r="B563" s="4">
        <v>5.1133265150750569E-3</v>
      </c>
      <c r="C563">
        <f ca="1">IF(B563&lt;Monte_Carlo!$AC$2,1,0)</f>
        <v>0</v>
      </c>
      <c r="D563" s="13"/>
      <c r="F563" s="13"/>
      <c r="G563">
        <v>561</v>
      </c>
      <c r="H563" s="4">
        <v>1.6097730781313754E-2</v>
      </c>
      <c r="I563" s="14">
        <f t="shared" si="8"/>
        <v>160977.30781313754</v>
      </c>
    </row>
    <row r="564" spans="1:9" x14ac:dyDescent="0.35">
      <c r="A564" s="3">
        <v>44656</v>
      </c>
      <c r="B564" s="4">
        <v>3.790191643788559E-3</v>
      </c>
      <c r="C564">
        <f ca="1">IF(B564&lt;Monte_Carlo!$AC$2,1,0)</f>
        <v>0</v>
      </c>
      <c r="D564" s="13"/>
      <c r="F564" s="13"/>
      <c r="G564">
        <v>562</v>
      </c>
      <c r="H564" s="4">
        <v>-9.4229914131825319E-3</v>
      </c>
      <c r="I564" s="14">
        <f t="shared" si="8"/>
        <v>-94229.914131825324</v>
      </c>
    </row>
    <row r="565" spans="1:9" x14ac:dyDescent="0.35">
      <c r="A565" s="3">
        <v>44657</v>
      </c>
      <c r="B565" s="4">
        <v>1.7353098489298391E-2</v>
      </c>
      <c r="C565">
        <f ca="1">IF(B565&lt;Monte_Carlo!$AC$2,1,0)</f>
        <v>0</v>
      </c>
      <c r="D565" s="13"/>
      <c r="F565" s="13"/>
      <c r="G565">
        <v>563</v>
      </c>
      <c r="H565" s="4">
        <v>-1.6771863793497471E-2</v>
      </c>
      <c r="I565" s="14">
        <f t="shared" si="8"/>
        <v>-167718.63793497471</v>
      </c>
    </row>
    <row r="566" spans="1:9" x14ac:dyDescent="0.35">
      <c r="A566" s="3">
        <v>44658</v>
      </c>
      <c r="B566" s="4">
        <v>1.8647888274266753E-2</v>
      </c>
      <c r="C566">
        <f ca="1">IF(B566&lt;Monte_Carlo!$AC$2,1,0)</f>
        <v>0</v>
      </c>
      <c r="D566" s="13"/>
      <c r="F566" s="13"/>
      <c r="G566">
        <v>564</v>
      </c>
      <c r="H566" s="4">
        <v>2.2599473412345382E-2</v>
      </c>
      <c r="I566" s="14">
        <f t="shared" si="8"/>
        <v>225994.73412345382</v>
      </c>
    </row>
    <row r="567" spans="1:9" x14ac:dyDescent="0.35">
      <c r="A567" s="3">
        <v>44659</v>
      </c>
      <c r="B567" s="4">
        <v>-1.0261774930305495E-2</v>
      </c>
      <c r="C567">
        <f ca="1">IF(B567&lt;Monte_Carlo!$AC$2,1,0)</f>
        <v>0</v>
      </c>
      <c r="D567" s="13"/>
      <c r="F567" s="13"/>
      <c r="G567">
        <v>565</v>
      </c>
      <c r="H567" s="4">
        <v>2.6160855660835218E-3</v>
      </c>
      <c r="I567" s="14">
        <f t="shared" si="8"/>
        <v>26160.855660835219</v>
      </c>
    </row>
    <row r="568" spans="1:9" x14ac:dyDescent="0.35">
      <c r="A568" s="3">
        <v>44662</v>
      </c>
      <c r="B568" s="4">
        <v>-1.5220476970984538E-2</v>
      </c>
      <c r="C568">
        <f ca="1">IF(B568&lt;Monte_Carlo!$AC$2,1,0)</f>
        <v>0</v>
      </c>
      <c r="D568" s="13"/>
      <c r="F568" s="13"/>
      <c r="G568">
        <v>566</v>
      </c>
      <c r="H568" s="4">
        <v>9.1341566491616975E-3</v>
      </c>
      <c r="I568" s="14">
        <f t="shared" si="8"/>
        <v>91341.566491616977</v>
      </c>
    </row>
    <row r="569" spans="1:9" x14ac:dyDescent="0.35">
      <c r="A569" s="3">
        <v>44663</v>
      </c>
      <c r="B569" s="4">
        <v>-4.9702357894698618E-3</v>
      </c>
      <c r="C569">
        <f ca="1">IF(B569&lt;Monte_Carlo!$AC$2,1,0)</f>
        <v>0</v>
      </c>
      <c r="D569" s="13"/>
      <c r="F569" s="13"/>
      <c r="G569">
        <v>567</v>
      </c>
      <c r="H569" s="4">
        <v>-7.5835891886703762E-3</v>
      </c>
      <c r="I569" s="14">
        <f t="shared" si="8"/>
        <v>-75835.891886703757</v>
      </c>
    </row>
    <row r="570" spans="1:9" x14ac:dyDescent="0.35">
      <c r="A570" s="3">
        <v>44664</v>
      </c>
      <c r="B570" s="4">
        <v>1.4122969053438988E-3</v>
      </c>
      <c r="C570">
        <f ca="1">IF(B570&lt;Monte_Carlo!$AC$2,1,0)</f>
        <v>0</v>
      </c>
      <c r="D570" s="13"/>
      <c r="F570" s="13"/>
      <c r="G570">
        <v>568</v>
      </c>
      <c r="H570" s="4">
        <v>-2.8493673486096769E-3</v>
      </c>
      <c r="I570" s="14">
        <f t="shared" si="8"/>
        <v>-28493.67348609677</v>
      </c>
    </row>
    <row r="571" spans="1:9" x14ac:dyDescent="0.35">
      <c r="A571" s="3">
        <v>44669</v>
      </c>
      <c r="B571" s="4">
        <v>-3.7144315401533628E-3</v>
      </c>
      <c r="C571">
        <f ca="1">IF(B571&lt;Monte_Carlo!$AC$2,1,0)</f>
        <v>0</v>
      </c>
      <c r="D571" s="13"/>
      <c r="F571" s="13"/>
      <c r="G571">
        <v>569</v>
      </c>
      <c r="H571" s="4">
        <v>-1.8937632320075847E-2</v>
      </c>
      <c r="I571" s="14">
        <f t="shared" si="8"/>
        <v>-189376.32320075846</v>
      </c>
    </row>
    <row r="572" spans="1:9" x14ac:dyDescent="0.35">
      <c r="A572" s="3">
        <v>44670</v>
      </c>
      <c r="B572" s="4">
        <v>-8.1956903634696193E-3</v>
      </c>
      <c r="C572">
        <f ca="1">IF(B572&lt;Monte_Carlo!$AC$2,1,0)</f>
        <v>0</v>
      </c>
      <c r="D572" s="13"/>
      <c r="F572" s="13"/>
      <c r="G572">
        <v>570</v>
      </c>
      <c r="H572" s="4">
        <v>-4.7365953580315893E-3</v>
      </c>
      <c r="I572" s="14">
        <f t="shared" si="8"/>
        <v>-47365.953580315894</v>
      </c>
    </row>
    <row r="573" spans="1:9" x14ac:dyDescent="0.35">
      <c r="A573" s="3">
        <v>44671</v>
      </c>
      <c r="B573" s="4">
        <v>1.0462797413463761E-2</v>
      </c>
      <c r="C573">
        <f ca="1">IF(B573&lt;Monte_Carlo!$AC$2,1,0)</f>
        <v>0</v>
      </c>
      <c r="D573" s="13"/>
      <c r="F573" s="13"/>
      <c r="G573">
        <v>571</v>
      </c>
      <c r="H573" s="4">
        <v>1.4853042621146163E-2</v>
      </c>
      <c r="I573" s="14">
        <f t="shared" si="8"/>
        <v>148530.42621146163</v>
      </c>
    </row>
    <row r="574" spans="1:9" x14ac:dyDescent="0.35">
      <c r="A574" s="3">
        <v>44672</v>
      </c>
      <c r="B574" s="4">
        <v>2.3530117457243763E-2</v>
      </c>
      <c r="C574">
        <f ca="1">IF(B574&lt;Monte_Carlo!$AC$2,1,0)</f>
        <v>0</v>
      </c>
      <c r="D574" s="13"/>
      <c r="F574" s="13"/>
      <c r="G574">
        <v>572</v>
      </c>
      <c r="H574" s="4">
        <v>-2.1192281414572406E-4</v>
      </c>
      <c r="I574" s="14">
        <f t="shared" si="8"/>
        <v>-2119.2281414572408</v>
      </c>
    </row>
    <row r="575" spans="1:9" x14ac:dyDescent="0.35">
      <c r="A575" s="3">
        <v>44673</v>
      </c>
      <c r="B575" s="4">
        <v>-4.6934574692975899E-2</v>
      </c>
      <c r="C575">
        <f ca="1">IF(B575&lt;Monte_Carlo!$AC$2,1,0)</f>
        <v>0</v>
      </c>
      <c r="D575" s="13"/>
      <c r="F575" s="13"/>
      <c r="G575">
        <v>573</v>
      </c>
      <c r="H575" s="4">
        <v>3.1985191008982602E-2</v>
      </c>
      <c r="I575" s="14">
        <f t="shared" si="8"/>
        <v>319851.91008982604</v>
      </c>
    </row>
    <row r="576" spans="1:9" x14ac:dyDescent="0.35">
      <c r="A576" s="3">
        <v>44676</v>
      </c>
      <c r="B576" s="4">
        <v>-1.2175728376421223E-2</v>
      </c>
      <c r="C576">
        <f ca="1">IF(B576&lt;Monte_Carlo!$AC$2,1,0)</f>
        <v>0</v>
      </c>
      <c r="D576" s="13"/>
      <c r="F576" s="13"/>
      <c r="G576">
        <v>574</v>
      </c>
      <c r="H576" s="4">
        <v>-3.6728645584412876E-2</v>
      </c>
      <c r="I576" s="14">
        <f t="shared" si="8"/>
        <v>-367286.45584412874</v>
      </c>
    </row>
    <row r="577" spans="1:9" x14ac:dyDescent="0.35">
      <c r="A577" s="3">
        <v>44677</v>
      </c>
      <c r="B577" s="4">
        <v>1.4526586776060458E-2</v>
      </c>
      <c r="C577">
        <f ca="1">IF(B577&lt;Monte_Carlo!$AC$2,1,0)</f>
        <v>0</v>
      </c>
      <c r="D577" s="13"/>
      <c r="F577" s="13"/>
      <c r="G577">
        <v>575</v>
      </c>
      <c r="H577" s="4">
        <v>2.3638514352705718E-2</v>
      </c>
      <c r="I577" s="14">
        <f t="shared" si="8"/>
        <v>236385.14352705717</v>
      </c>
    </row>
    <row r="578" spans="1:9" x14ac:dyDescent="0.35">
      <c r="A578" s="3">
        <v>44678</v>
      </c>
      <c r="B578" s="4">
        <v>-6.7378958478205471E-3</v>
      </c>
      <c r="C578">
        <f ca="1">IF(B578&lt;Monte_Carlo!$AC$2,1,0)</f>
        <v>0</v>
      </c>
      <c r="D578" s="13"/>
      <c r="F578" s="13"/>
      <c r="G578">
        <v>576</v>
      </c>
      <c r="H578" s="4">
        <v>-4.0674052609522135E-3</v>
      </c>
      <c r="I578" s="14">
        <f t="shared" si="8"/>
        <v>-40674.052609522136</v>
      </c>
    </row>
    <row r="579" spans="1:9" x14ac:dyDescent="0.35">
      <c r="A579" s="3">
        <v>44679</v>
      </c>
      <c r="B579" s="4">
        <v>9.1034472258035674E-3</v>
      </c>
      <c r="C579">
        <f ca="1">IF(B579&lt;Monte_Carlo!$AC$2,1,0)</f>
        <v>0</v>
      </c>
      <c r="D579" s="13"/>
      <c r="F579" s="13"/>
      <c r="G579">
        <v>577</v>
      </c>
      <c r="H579" s="4">
        <v>2.1727186422326847E-3</v>
      </c>
      <c r="I579" s="14">
        <f t="shared" si="8"/>
        <v>21727.186422326846</v>
      </c>
    </row>
    <row r="580" spans="1:9" x14ac:dyDescent="0.35">
      <c r="A580" s="3">
        <v>44680</v>
      </c>
      <c r="B580" s="4">
        <v>-1.2303867999540138E-2</v>
      </c>
      <c r="C580">
        <f ca="1">IF(B580&lt;Monte_Carlo!$AC$2,1,0)</f>
        <v>0</v>
      </c>
      <c r="D580" s="13"/>
      <c r="F580" s="13"/>
      <c r="G580">
        <v>578</v>
      </c>
      <c r="H580" s="4">
        <v>-2.9134134469963553E-2</v>
      </c>
      <c r="I580" s="14">
        <f t="shared" si="8"/>
        <v>-291341.34469963552</v>
      </c>
    </row>
    <row r="581" spans="1:9" x14ac:dyDescent="0.35">
      <c r="A581" s="3">
        <v>44683</v>
      </c>
      <c r="B581" s="4">
        <v>7.0334915195284361E-3</v>
      </c>
      <c r="C581">
        <f ca="1">IF(B581&lt;Monte_Carlo!$AC$2,1,0)</f>
        <v>0</v>
      </c>
      <c r="D581" s="13"/>
      <c r="F581" s="13"/>
      <c r="G581">
        <v>579</v>
      </c>
      <c r="H581" s="4">
        <v>3.6918150759503325E-2</v>
      </c>
      <c r="I581" s="14">
        <f t="shared" ref="I581:I644" si="9">H581*10000000</f>
        <v>369181.50759503327</v>
      </c>
    </row>
    <row r="582" spans="1:9" x14ac:dyDescent="0.35">
      <c r="A582" s="3">
        <v>44685</v>
      </c>
      <c r="B582" s="4">
        <v>-2.1049808849006688E-2</v>
      </c>
      <c r="C582">
        <f ca="1">IF(B582&lt;Monte_Carlo!$AC$2,1,0)</f>
        <v>0</v>
      </c>
      <c r="D582" s="13"/>
      <c r="F582" s="13"/>
      <c r="G582">
        <v>580</v>
      </c>
      <c r="H582" s="4">
        <v>-2.80691954729188E-2</v>
      </c>
      <c r="I582" s="14">
        <f t="shared" si="9"/>
        <v>-280691.954729188</v>
      </c>
    </row>
    <row r="583" spans="1:9" x14ac:dyDescent="0.35">
      <c r="A583" s="3">
        <v>44686</v>
      </c>
      <c r="B583" s="4">
        <v>1.4193673863381055E-2</v>
      </c>
      <c r="C583">
        <f ca="1">IF(B583&lt;Monte_Carlo!$AC$2,1,0)</f>
        <v>0</v>
      </c>
      <c r="D583" s="13"/>
      <c r="F583" s="13"/>
      <c r="G583">
        <v>581</v>
      </c>
      <c r="H583" s="4">
        <v>7.8369353637519727E-3</v>
      </c>
      <c r="I583" s="14">
        <f t="shared" si="9"/>
        <v>78369.353637519729</v>
      </c>
    </row>
    <row r="584" spans="1:9" x14ac:dyDescent="0.35">
      <c r="A584" s="3">
        <v>44687</v>
      </c>
      <c r="B584" s="4">
        <v>-1.3552430409587786E-2</v>
      </c>
      <c r="C584">
        <f ca="1">IF(B584&lt;Monte_Carlo!$AC$2,1,0)</f>
        <v>0</v>
      </c>
      <c r="D584" s="13"/>
      <c r="F584" s="13"/>
      <c r="G584">
        <v>582</v>
      </c>
      <c r="H584" s="4">
        <v>-1.0350351650312277E-2</v>
      </c>
      <c r="I584" s="14">
        <f t="shared" si="9"/>
        <v>-103503.51650312277</v>
      </c>
    </row>
    <row r="585" spans="1:9" x14ac:dyDescent="0.35">
      <c r="A585" s="3">
        <v>44690</v>
      </c>
      <c r="B585" s="4">
        <v>-1.8946647566994643E-2</v>
      </c>
      <c r="C585">
        <f ca="1">IF(B585&lt;Monte_Carlo!$AC$2,1,0)</f>
        <v>0</v>
      </c>
      <c r="D585" s="13"/>
      <c r="F585" s="13"/>
      <c r="G585">
        <v>583</v>
      </c>
      <c r="H585" s="4">
        <v>-1.7547262626478751E-3</v>
      </c>
      <c r="I585" s="14">
        <f t="shared" si="9"/>
        <v>-17547.26262647875</v>
      </c>
    </row>
    <row r="586" spans="1:9" x14ac:dyDescent="0.35">
      <c r="A586" s="3">
        <v>44691</v>
      </c>
      <c r="B586" s="4">
        <v>-2.6150196190696854E-3</v>
      </c>
      <c r="C586">
        <f ca="1">IF(B586&lt;Monte_Carlo!$AC$2,1,0)</f>
        <v>0</v>
      </c>
      <c r="D586" s="13"/>
      <c r="F586" s="13"/>
      <c r="G586">
        <v>584</v>
      </c>
      <c r="H586" s="4">
        <v>2.1462302225524043E-2</v>
      </c>
      <c r="I586" s="14">
        <f t="shared" si="9"/>
        <v>214623.02225524042</v>
      </c>
    </row>
    <row r="587" spans="1:9" x14ac:dyDescent="0.35">
      <c r="A587" s="3">
        <v>44692</v>
      </c>
      <c r="B587" s="4">
        <v>5.0274683679667051E-3</v>
      </c>
      <c r="C587">
        <f ca="1">IF(B587&lt;Monte_Carlo!$AC$2,1,0)</f>
        <v>0</v>
      </c>
      <c r="D587" s="13"/>
      <c r="F587" s="13"/>
      <c r="G587">
        <v>585</v>
      </c>
      <c r="H587" s="4">
        <v>2.7281282412209507E-2</v>
      </c>
      <c r="I587" s="14">
        <f t="shared" si="9"/>
        <v>272812.82412209507</v>
      </c>
    </row>
    <row r="588" spans="1:9" x14ac:dyDescent="0.35">
      <c r="A588" s="3">
        <v>44693</v>
      </c>
      <c r="B588" s="4">
        <v>-2.4965113746393684E-2</v>
      </c>
      <c r="C588">
        <f ca="1">IF(B588&lt;Monte_Carlo!$AC$2,1,0)</f>
        <v>0</v>
      </c>
      <c r="D588" s="13"/>
      <c r="F588" s="13"/>
      <c r="G588">
        <v>586</v>
      </c>
      <c r="H588" s="4">
        <v>-3.130464976627121E-2</v>
      </c>
      <c r="I588" s="14">
        <f t="shared" si="9"/>
        <v>-313046.49766271212</v>
      </c>
    </row>
    <row r="589" spans="1:9" x14ac:dyDescent="0.35">
      <c r="A589" s="3">
        <v>44694</v>
      </c>
      <c r="B589" s="4">
        <v>2.2500474886634231E-2</v>
      </c>
      <c r="C589">
        <f ca="1">IF(B589&lt;Monte_Carlo!$AC$2,1,0)</f>
        <v>0</v>
      </c>
      <c r="D589" s="13"/>
      <c r="F589" s="13"/>
      <c r="G589">
        <v>587</v>
      </c>
      <c r="H589" s="4">
        <v>4.6237514874707128E-3</v>
      </c>
      <c r="I589" s="14">
        <f t="shared" si="9"/>
        <v>46237.514874707129</v>
      </c>
    </row>
    <row r="590" spans="1:9" x14ac:dyDescent="0.35">
      <c r="A590" s="3">
        <v>44697</v>
      </c>
      <c r="B590" s="4">
        <v>1.1701349188803205E-2</v>
      </c>
      <c r="C590">
        <f ca="1">IF(B590&lt;Monte_Carlo!$AC$2,1,0)</f>
        <v>0</v>
      </c>
      <c r="D590" s="13"/>
      <c r="F590" s="13"/>
      <c r="G590">
        <v>588</v>
      </c>
      <c r="H590" s="4">
        <v>2.2468974526266679E-2</v>
      </c>
      <c r="I590" s="14">
        <f t="shared" si="9"/>
        <v>224689.74526266678</v>
      </c>
    </row>
    <row r="591" spans="1:9" x14ac:dyDescent="0.35">
      <c r="A591" s="3">
        <v>44698</v>
      </c>
      <c r="B591" s="4">
        <v>1.0721841967197143E-2</v>
      </c>
      <c r="C591">
        <f ca="1">IF(B591&lt;Monte_Carlo!$AC$2,1,0)</f>
        <v>0</v>
      </c>
      <c r="D591" s="13"/>
      <c r="F591" s="13"/>
      <c r="G591">
        <v>589</v>
      </c>
      <c r="H591" s="4">
        <v>-3.1116038720078485E-2</v>
      </c>
      <c r="I591" s="14">
        <f t="shared" si="9"/>
        <v>-311160.38720078487</v>
      </c>
    </row>
    <row r="592" spans="1:9" x14ac:dyDescent="0.35">
      <c r="A592" s="3">
        <v>44699</v>
      </c>
      <c r="B592" s="4">
        <v>-1.6629004688126222E-2</v>
      </c>
      <c r="C592">
        <f ca="1">IF(B592&lt;Monte_Carlo!$AC$2,1,0)</f>
        <v>0</v>
      </c>
      <c r="D592" s="13"/>
      <c r="F592" s="13"/>
      <c r="G592">
        <v>590</v>
      </c>
      <c r="H592" s="4">
        <v>-2.0459801014008315E-2</v>
      </c>
      <c r="I592" s="14">
        <f t="shared" si="9"/>
        <v>-204598.01014008315</v>
      </c>
    </row>
    <row r="593" spans="1:9" x14ac:dyDescent="0.35">
      <c r="A593" s="3">
        <v>44700</v>
      </c>
      <c r="B593" s="4">
        <v>-2.7264528660040012E-2</v>
      </c>
      <c r="C593">
        <f ca="1">IF(B593&lt;Monte_Carlo!$AC$2,1,0)</f>
        <v>0</v>
      </c>
      <c r="D593" s="13"/>
      <c r="F593" s="13"/>
      <c r="G593">
        <v>591</v>
      </c>
      <c r="H593" s="4">
        <v>3.9759110351339215E-2</v>
      </c>
      <c r="I593" s="14">
        <f t="shared" si="9"/>
        <v>397591.10351339215</v>
      </c>
    </row>
    <row r="594" spans="1:9" x14ac:dyDescent="0.35">
      <c r="A594" s="3">
        <v>44701</v>
      </c>
      <c r="B594" s="4">
        <v>4.1479174863203331E-3</v>
      </c>
      <c r="C594">
        <f ca="1">IF(B594&lt;Monte_Carlo!$AC$2,1,0)</f>
        <v>0</v>
      </c>
      <c r="D594" s="13"/>
      <c r="F594" s="13"/>
      <c r="G594">
        <v>592</v>
      </c>
      <c r="H594" s="4">
        <v>-1.8962493497930697E-2</v>
      </c>
      <c r="I594" s="14">
        <f t="shared" si="9"/>
        <v>-189624.93497930697</v>
      </c>
    </row>
    <row r="595" spans="1:9" x14ac:dyDescent="0.35">
      <c r="A595" s="3">
        <v>44704</v>
      </c>
      <c r="B595" s="4">
        <v>-1.9242581521838855E-2</v>
      </c>
      <c r="C595">
        <f ca="1">IF(B595&lt;Monte_Carlo!$AC$2,1,0)</f>
        <v>0</v>
      </c>
      <c r="D595" s="13"/>
      <c r="F595" s="13"/>
      <c r="G595">
        <v>593</v>
      </c>
      <c r="H595" s="4">
        <v>-6.9546873349639968E-3</v>
      </c>
      <c r="I595" s="14">
        <f t="shared" si="9"/>
        <v>-69546.873349639965</v>
      </c>
    </row>
    <row r="596" spans="1:9" x14ac:dyDescent="0.35">
      <c r="A596" s="3">
        <v>44705</v>
      </c>
      <c r="B596" s="4">
        <v>-7.8459430664587285E-3</v>
      </c>
      <c r="C596">
        <f ca="1">IF(B596&lt;Monte_Carlo!$AC$2,1,0)</f>
        <v>0</v>
      </c>
      <c r="D596" s="13"/>
      <c r="F596" s="13"/>
      <c r="G596">
        <v>594</v>
      </c>
      <c r="H596" s="4">
        <v>-5.0945214766478708E-3</v>
      </c>
      <c r="I596" s="14">
        <f t="shared" si="9"/>
        <v>-50945.214766478704</v>
      </c>
    </row>
    <row r="597" spans="1:9" x14ac:dyDescent="0.35">
      <c r="A597" s="3">
        <v>44706</v>
      </c>
      <c r="B597" s="4">
        <v>1.5491841107626629E-2</v>
      </c>
      <c r="C597">
        <f ca="1">IF(B597&lt;Monte_Carlo!$AC$2,1,0)</f>
        <v>0</v>
      </c>
      <c r="D597" s="13"/>
      <c r="F597" s="13"/>
      <c r="G597">
        <v>595</v>
      </c>
      <c r="H597" s="4">
        <v>1.9553128559489982E-2</v>
      </c>
      <c r="I597" s="14">
        <f t="shared" si="9"/>
        <v>195531.28559489982</v>
      </c>
    </row>
    <row r="598" spans="1:9" x14ac:dyDescent="0.35">
      <c r="A598" s="3">
        <v>44707</v>
      </c>
      <c r="B598" s="4">
        <v>1.8378637542226316E-2</v>
      </c>
      <c r="C598">
        <f ca="1">IF(B598&lt;Monte_Carlo!$AC$2,1,0)</f>
        <v>0</v>
      </c>
      <c r="D598" s="13"/>
      <c r="F598" s="13"/>
      <c r="G598">
        <v>596</v>
      </c>
      <c r="H598" s="4">
        <v>-1.0666084026471746E-2</v>
      </c>
      <c r="I598" s="14">
        <f t="shared" si="9"/>
        <v>-106660.84026471747</v>
      </c>
    </row>
    <row r="599" spans="1:9" x14ac:dyDescent="0.35">
      <c r="A599" s="3">
        <v>44708</v>
      </c>
      <c r="B599" s="4">
        <v>-2.7529818587608539E-3</v>
      </c>
      <c r="C599">
        <f ca="1">IF(B599&lt;Monte_Carlo!$AC$2,1,0)</f>
        <v>0</v>
      </c>
      <c r="D599" s="13"/>
      <c r="F599" s="13"/>
      <c r="G599">
        <v>597</v>
      </c>
      <c r="H599" s="4">
        <v>-2.1217212623505784E-2</v>
      </c>
      <c r="I599" s="14">
        <f t="shared" si="9"/>
        <v>-212172.12623505783</v>
      </c>
    </row>
    <row r="600" spans="1:9" x14ac:dyDescent="0.35">
      <c r="A600" s="3">
        <v>44711</v>
      </c>
      <c r="B600" s="4">
        <v>2.6779222512257148E-2</v>
      </c>
      <c r="C600">
        <f ca="1">IF(B600&lt;Monte_Carlo!$AC$2,1,0)</f>
        <v>0</v>
      </c>
      <c r="D600" s="13"/>
      <c r="F600" s="13"/>
      <c r="G600">
        <v>598</v>
      </c>
      <c r="H600" s="4">
        <v>2.8233700493547058E-2</v>
      </c>
      <c r="I600" s="14">
        <f t="shared" si="9"/>
        <v>282337.00493547058</v>
      </c>
    </row>
    <row r="601" spans="1:9" x14ac:dyDescent="0.35">
      <c r="A601" s="3">
        <v>44712</v>
      </c>
      <c r="B601" s="4">
        <v>-1.4204677996261683E-2</v>
      </c>
      <c r="C601">
        <f ca="1">IF(B601&lt;Monte_Carlo!$AC$2,1,0)</f>
        <v>0</v>
      </c>
      <c r="D601" s="13"/>
      <c r="F601" s="13"/>
      <c r="G601">
        <v>599</v>
      </c>
      <c r="H601" s="4">
        <v>-1.8362134202808925E-3</v>
      </c>
      <c r="I601" s="14">
        <f t="shared" si="9"/>
        <v>-18362.134202808924</v>
      </c>
    </row>
    <row r="602" spans="1:9" x14ac:dyDescent="0.35">
      <c r="A602" s="3">
        <v>44713</v>
      </c>
      <c r="B602" s="4">
        <v>1.0178686801759209E-3</v>
      </c>
      <c r="C602">
        <f ca="1">IF(B602&lt;Monte_Carlo!$AC$2,1,0)</f>
        <v>0</v>
      </c>
      <c r="D602" s="13"/>
      <c r="F602" s="13"/>
      <c r="G602">
        <v>600</v>
      </c>
      <c r="H602" s="4">
        <v>-6.6627166414168666E-3</v>
      </c>
      <c r="I602" s="14">
        <f t="shared" si="9"/>
        <v>-66627.166414168663</v>
      </c>
    </row>
    <row r="603" spans="1:9" x14ac:dyDescent="0.35">
      <c r="A603" s="3">
        <v>44714</v>
      </c>
      <c r="B603" s="4">
        <v>-1.6470469803411162E-2</v>
      </c>
      <c r="C603">
        <f ca="1">IF(B603&lt;Monte_Carlo!$AC$2,1,0)</f>
        <v>0</v>
      </c>
      <c r="D603" s="13"/>
      <c r="F603" s="13"/>
      <c r="G603">
        <v>601</v>
      </c>
      <c r="H603" s="4">
        <v>2.624087175933737E-2</v>
      </c>
      <c r="I603" s="14">
        <f t="shared" si="9"/>
        <v>262408.71759337367</v>
      </c>
    </row>
    <row r="604" spans="1:9" x14ac:dyDescent="0.35">
      <c r="A604" s="3">
        <v>44715</v>
      </c>
      <c r="B604" s="4">
        <v>-1.2947313405880177E-2</v>
      </c>
      <c r="C604">
        <f ca="1">IF(B604&lt;Monte_Carlo!$AC$2,1,0)</f>
        <v>0</v>
      </c>
      <c r="D604" s="13"/>
      <c r="F604" s="13"/>
      <c r="G604">
        <v>602</v>
      </c>
      <c r="H604" s="4">
        <v>-7.5845761951109664E-4</v>
      </c>
      <c r="I604" s="14">
        <f t="shared" si="9"/>
        <v>-7584.5761951109662</v>
      </c>
    </row>
    <row r="605" spans="1:9" x14ac:dyDescent="0.35">
      <c r="A605" s="3">
        <v>44718</v>
      </c>
      <c r="B605" s="4">
        <v>-9.9094838949546141E-3</v>
      </c>
      <c r="C605">
        <f ca="1">IF(B605&lt;Monte_Carlo!$AC$2,1,0)</f>
        <v>0</v>
      </c>
      <c r="D605" s="13"/>
      <c r="F605" s="13"/>
      <c r="G605">
        <v>603</v>
      </c>
      <c r="H605" s="4">
        <v>-1.3942196507136413E-2</v>
      </c>
      <c r="I605" s="14">
        <f t="shared" si="9"/>
        <v>-139421.96507136413</v>
      </c>
    </row>
    <row r="606" spans="1:9" x14ac:dyDescent="0.35">
      <c r="A606" s="3">
        <v>44719</v>
      </c>
      <c r="B606" s="4">
        <v>-2.7489532624568064E-2</v>
      </c>
      <c r="C606">
        <f ca="1">IF(B606&lt;Monte_Carlo!$AC$2,1,0)</f>
        <v>0</v>
      </c>
      <c r="D606" s="13"/>
      <c r="F606" s="13"/>
      <c r="G606">
        <v>604</v>
      </c>
      <c r="H606" s="4">
        <v>1.3223096267426496E-3</v>
      </c>
      <c r="I606" s="14">
        <f t="shared" si="9"/>
        <v>13223.096267426496</v>
      </c>
    </row>
    <row r="607" spans="1:9" x14ac:dyDescent="0.35">
      <c r="A607" s="3">
        <v>44720</v>
      </c>
      <c r="B607" s="4">
        <v>-3.421263665013792E-2</v>
      </c>
      <c r="C607">
        <f ca="1">IF(B607&lt;Monte_Carlo!$AC$2,1,0)</f>
        <v>0</v>
      </c>
      <c r="D607" s="13"/>
      <c r="F607" s="13"/>
      <c r="G607">
        <v>605</v>
      </c>
      <c r="H607" s="4">
        <v>-9.5440824812026755E-3</v>
      </c>
      <c r="I607" s="14">
        <f t="shared" si="9"/>
        <v>-95440.824812026753</v>
      </c>
    </row>
    <row r="608" spans="1:9" x14ac:dyDescent="0.35">
      <c r="A608" s="3">
        <v>44721</v>
      </c>
      <c r="B608" s="4">
        <v>1.2114481019202329E-2</v>
      </c>
      <c r="C608">
        <f ca="1">IF(B608&lt;Monte_Carlo!$AC$2,1,0)</f>
        <v>0</v>
      </c>
      <c r="D608" s="13"/>
      <c r="F608" s="13"/>
      <c r="G608">
        <v>606</v>
      </c>
      <c r="H608" s="4">
        <v>2.0447865514619922E-2</v>
      </c>
      <c r="I608" s="14">
        <f t="shared" si="9"/>
        <v>204478.65514619922</v>
      </c>
    </row>
    <row r="609" spans="1:9" x14ac:dyDescent="0.35">
      <c r="A609" s="3">
        <v>44722</v>
      </c>
      <c r="B609" s="4">
        <v>-5.8847263396274337E-3</v>
      </c>
      <c r="C609">
        <f ca="1">IF(B609&lt;Monte_Carlo!$AC$2,1,0)</f>
        <v>0</v>
      </c>
      <c r="D609" s="13"/>
      <c r="F609" s="13"/>
      <c r="G609">
        <v>607</v>
      </c>
      <c r="H609" s="4">
        <v>-2.8063103041555338E-2</v>
      </c>
      <c r="I609" s="14">
        <f t="shared" si="9"/>
        <v>-280631.03041555337</v>
      </c>
    </row>
    <row r="610" spans="1:9" x14ac:dyDescent="0.35">
      <c r="A610" s="3">
        <v>44725</v>
      </c>
      <c r="B610" s="4">
        <v>-1.7380006401172432E-2</v>
      </c>
      <c r="C610">
        <f ca="1">IF(B610&lt;Monte_Carlo!$AC$2,1,0)</f>
        <v>0</v>
      </c>
      <c r="D610" s="13"/>
      <c r="F610" s="13"/>
      <c r="G610">
        <v>608</v>
      </c>
      <c r="H610" s="4">
        <v>9.5491113490660078E-3</v>
      </c>
      <c r="I610" s="14">
        <f t="shared" si="9"/>
        <v>95491.113490660078</v>
      </c>
    </row>
    <row r="611" spans="1:9" x14ac:dyDescent="0.35">
      <c r="A611" s="3">
        <v>44726</v>
      </c>
      <c r="B611" s="4">
        <v>2.3675712806410204E-2</v>
      </c>
      <c r="C611">
        <f ca="1">IF(B611&lt;Monte_Carlo!$AC$2,1,0)</f>
        <v>0</v>
      </c>
      <c r="D611" s="13"/>
      <c r="F611" s="13"/>
      <c r="G611">
        <v>609</v>
      </c>
      <c r="H611" s="4">
        <v>-1.0925942686052669E-2</v>
      </c>
      <c r="I611" s="14">
        <f t="shared" si="9"/>
        <v>-109259.42686052668</v>
      </c>
    </row>
    <row r="612" spans="1:9" x14ac:dyDescent="0.35">
      <c r="A612" s="3">
        <v>44727</v>
      </c>
      <c r="B612" s="4">
        <v>7.6231586004828818E-4</v>
      </c>
      <c r="C612">
        <f ca="1">IF(B612&lt;Monte_Carlo!$AC$2,1,0)</f>
        <v>0</v>
      </c>
      <c r="D612" s="13"/>
      <c r="F612" s="13"/>
      <c r="G612">
        <v>610</v>
      </c>
      <c r="H612" s="4">
        <v>1.4885122948025742E-2</v>
      </c>
      <c r="I612" s="14">
        <f t="shared" si="9"/>
        <v>148851.22948025743</v>
      </c>
    </row>
    <row r="613" spans="1:9" x14ac:dyDescent="0.35">
      <c r="A613" s="3">
        <v>44728</v>
      </c>
      <c r="B613" s="4">
        <v>-7.9691419977726101E-3</v>
      </c>
      <c r="C613">
        <f ca="1">IF(B613&lt;Monte_Carlo!$AC$2,1,0)</f>
        <v>0</v>
      </c>
      <c r="D613" s="13"/>
      <c r="F613" s="13"/>
      <c r="G613">
        <v>611</v>
      </c>
      <c r="H613" s="4">
        <v>-1.0952411664252606E-3</v>
      </c>
      <c r="I613" s="14">
        <f t="shared" si="9"/>
        <v>-10952.411664252606</v>
      </c>
    </row>
    <row r="614" spans="1:9" x14ac:dyDescent="0.35">
      <c r="A614" s="3">
        <v>44729</v>
      </c>
      <c r="B614" s="4">
        <v>-2.1999068946800451E-2</v>
      </c>
      <c r="C614">
        <f ca="1">IF(B614&lt;Monte_Carlo!$AC$2,1,0)</f>
        <v>0</v>
      </c>
      <c r="D614" s="13"/>
      <c r="F614" s="13"/>
      <c r="G614">
        <v>612</v>
      </c>
      <c r="H614" s="4">
        <v>5.7598717280696115E-4</v>
      </c>
      <c r="I614" s="14">
        <f t="shared" si="9"/>
        <v>5759.8717280696119</v>
      </c>
    </row>
    <row r="615" spans="1:9" x14ac:dyDescent="0.35">
      <c r="A615" s="3">
        <v>44732</v>
      </c>
      <c r="B615" s="4">
        <v>8.6315125184395144E-3</v>
      </c>
      <c r="C615">
        <f ca="1">IF(B615&lt;Monte_Carlo!$AC$2,1,0)</f>
        <v>0</v>
      </c>
      <c r="D615" s="13"/>
      <c r="F615" s="13"/>
      <c r="G615">
        <v>613</v>
      </c>
      <c r="H615" s="4">
        <v>2.2683978857092075E-3</v>
      </c>
      <c r="I615" s="14">
        <f t="shared" si="9"/>
        <v>22683.978857092075</v>
      </c>
    </row>
    <row r="616" spans="1:9" x14ac:dyDescent="0.35">
      <c r="A616" s="3">
        <v>44733</v>
      </c>
      <c r="B616" s="4">
        <v>1.4581089551718742E-2</v>
      </c>
      <c r="C616">
        <f ca="1">IF(B616&lt;Monte_Carlo!$AC$2,1,0)</f>
        <v>0</v>
      </c>
      <c r="D616" s="13"/>
      <c r="F616" s="13"/>
      <c r="G616">
        <v>614</v>
      </c>
      <c r="H616" s="4">
        <v>3.1339546448396526E-3</v>
      </c>
      <c r="I616" s="14">
        <f t="shared" si="9"/>
        <v>31339.546448396526</v>
      </c>
    </row>
    <row r="617" spans="1:9" x14ac:dyDescent="0.35">
      <c r="A617" s="3">
        <v>44734</v>
      </c>
      <c r="B617" s="4">
        <v>-9.3320795256760167E-3</v>
      </c>
      <c r="C617">
        <f ca="1">IF(B617&lt;Monte_Carlo!$AC$2,1,0)</f>
        <v>0</v>
      </c>
      <c r="D617" s="13"/>
      <c r="F617" s="13"/>
      <c r="G617">
        <v>615</v>
      </c>
      <c r="H617" s="4">
        <v>8.9830214468510066E-3</v>
      </c>
      <c r="I617" s="14">
        <f t="shared" si="9"/>
        <v>89830.214468510065</v>
      </c>
    </row>
    <row r="618" spans="1:9" x14ac:dyDescent="0.35">
      <c r="A618" s="3">
        <v>44735</v>
      </c>
      <c r="B618" s="4">
        <v>-3.2675030252391998E-4</v>
      </c>
      <c r="C618">
        <f ca="1">IF(B618&lt;Monte_Carlo!$AC$2,1,0)</f>
        <v>0</v>
      </c>
      <c r="D618" s="13"/>
      <c r="F618" s="13"/>
      <c r="G618">
        <v>616</v>
      </c>
      <c r="H618" s="4">
        <v>-5.2405919033236631E-2</v>
      </c>
      <c r="I618" s="14">
        <f t="shared" si="9"/>
        <v>-524059.19033236633</v>
      </c>
    </row>
    <row r="619" spans="1:9" x14ac:dyDescent="0.35">
      <c r="A619" s="3">
        <v>44736</v>
      </c>
      <c r="B619" s="4">
        <v>-1.863063780419223E-3</v>
      </c>
      <c r="C619">
        <f ca="1">IF(B619&lt;Monte_Carlo!$AC$2,1,0)</f>
        <v>0</v>
      </c>
      <c r="D619" s="13"/>
      <c r="F619" s="13"/>
      <c r="G619">
        <v>617</v>
      </c>
      <c r="H619" s="4">
        <v>2.8484570144553523E-2</v>
      </c>
      <c r="I619" s="14">
        <f t="shared" si="9"/>
        <v>284845.70144553523</v>
      </c>
    </row>
    <row r="620" spans="1:9" x14ac:dyDescent="0.35">
      <c r="A620" s="3">
        <v>44739</v>
      </c>
      <c r="B620" s="4">
        <v>5.2303481770009305E-3</v>
      </c>
      <c r="C620">
        <f ca="1">IF(B620&lt;Monte_Carlo!$AC$2,1,0)</f>
        <v>0</v>
      </c>
      <c r="D620" s="13"/>
      <c r="F620" s="13"/>
      <c r="G620">
        <v>618</v>
      </c>
      <c r="H620" s="4">
        <v>1.3184225551749621E-2</v>
      </c>
      <c r="I620" s="14">
        <f t="shared" si="9"/>
        <v>131842.2555174962</v>
      </c>
    </row>
    <row r="621" spans="1:9" x14ac:dyDescent="0.35">
      <c r="A621" s="3">
        <v>44740</v>
      </c>
      <c r="B621" s="4">
        <v>-6.6037443151736198E-3</v>
      </c>
      <c r="C621">
        <f ca="1">IF(B621&lt;Monte_Carlo!$AC$2,1,0)</f>
        <v>0</v>
      </c>
      <c r="D621" s="13"/>
      <c r="F621" s="13"/>
      <c r="G621">
        <v>619</v>
      </c>
      <c r="H621" s="4">
        <v>-3.1618018823485845E-3</v>
      </c>
      <c r="I621" s="14">
        <f t="shared" si="9"/>
        <v>-31618.018823485843</v>
      </c>
    </row>
    <row r="622" spans="1:9" x14ac:dyDescent="0.35">
      <c r="A622" s="3">
        <v>44741</v>
      </c>
      <c r="B622" s="4">
        <v>-2.6538735244815543E-3</v>
      </c>
      <c r="C622">
        <f ca="1">IF(B622&lt;Monte_Carlo!$AC$2,1,0)</f>
        <v>0</v>
      </c>
      <c r="D622" s="13"/>
      <c r="F622" s="13"/>
      <c r="G622">
        <v>620</v>
      </c>
      <c r="H622" s="4">
        <v>-1.1871404759183036E-3</v>
      </c>
      <c r="I622" s="14">
        <f t="shared" si="9"/>
        <v>-11871.404759183037</v>
      </c>
    </row>
    <row r="623" spans="1:9" x14ac:dyDescent="0.35">
      <c r="A623" s="3">
        <v>44742</v>
      </c>
      <c r="B623" s="4">
        <v>2.3292496546698294E-3</v>
      </c>
      <c r="C623">
        <f ca="1">IF(B623&lt;Monte_Carlo!$AC$2,1,0)</f>
        <v>0</v>
      </c>
      <c r="D623" s="13"/>
      <c r="F623" s="13"/>
      <c r="G623">
        <v>621</v>
      </c>
      <c r="H623" s="4">
        <v>-2.4359948862783531E-2</v>
      </c>
      <c r="I623" s="14">
        <f t="shared" si="9"/>
        <v>-243599.48862783532</v>
      </c>
    </row>
    <row r="624" spans="1:9" x14ac:dyDescent="0.35">
      <c r="A624" s="3">
        <v>44743</v>
      </c>
      <c r="B624" s="4">
        <v>1.6115439278674287E-2</v>
      </c>
      <c r="C624">
        <f ca="1">IF(B624&lt;Monte_Carlo!$AC$2,1,0)</f>
        <v>0</v>
      </c>
      <c r="D624" s="13"/>
      <c r="F624" s="13"/>
      <c r="G624">
        <v>622</v>
      </c>
      <c r="H624" s="4">
        <v>9.4168064622868041E-3</v>
      </c>
      <c r="I624" s="14">
        <f t="shared" si="9"/>
        <v>94168.064622868042</v>
      </c>
    </row>
    <row r="625" spans="1:9" x14ac:dyDescent="0.35">
      <c r="A625" s="3">
        <v>44746</v>
      </c>
      <c r="B625" s="4">
        <v>1.288774430836841E-2</v>
      </c>
      <c r="C625">
        <f ca="1">IF(B625&lt;Monte_Carlo!$AC$2,1,0)</f>
        <v>0</v>
      </c>
      <c r="D625" s="13"/>
      <c r="F625" s="13"/>
      <c r="G625">
        <v>623</v>
      </c>
      <c r="H625" s="4">
        <v>8.7860810456983213E-3</v>
      </c>
      <c r="I625" s="14">
        <f t="shared" si="9"/>
        <v>87860.810456983207</v>
      </c>
    </row>
    <row r="626" spans="1:9" x14ac:dyDescent="0.35">
      <c r="A626" s="3">
        <v>44747</v>
      </c>
      <c r="B626" s="4">
        <v>1.3344918824180995E-2</v>
      </c>
      <c r="C626">
        <f ca="1">IF(B626&lt;Monte_Carlo!$AC$2,1,0)</f>
        <v>0</v>
      </c>
      <c r="D626" s="13"/>
      <c r="F626" s="13"/>
      <c r="G626">
        <v>624</v>
      </c>
      <c r="H626" s="4">
        <v>-2.3297798894166308E-3</v>
      </c>
      <c r="I626" s="14">
        <f t="shared" si="9"/>
        <v>-23297.798894166306</v>
      </c>
    </row>
    <row r="627" spans="1:9" x14ac:dyDescent="0.35">
      <c r="A627" s="3">
        <v>44748</v>
      </c>
      <c r="B627" s="4">
        <v>2.9185290057029908E-2</v>
      </c>
      <c r="C627">
        <f ca="1">IF(B627&lt;Monte_Carlo!$AC$2,1,0)</f>
        <v>0</v>
      </c>
      <c r="D627" s="13"/>
      <c r="F627" s="13"/>
      <c r="G627">
        <v>625</v>
      </c>
      <c r="H627" s="4">
        <v>2.647696970232721E-2</v>
      </c>
      <c r="I627" s="14">
        <f t="shared" si="9"/>
        <v>264769.69702327211</v>
      </c>
    </row>
    <row r="628" spans="1:9" x14ac:dyDescent="0.35">
      <c r="A628" s="3">
        <v>44749</v>
      </c>
      <c r="B628" s="4">
        <v>2.8015669939927827E-2</v>
      </c>
      <c r="C628">
        <f ca="1">IF(B628&lt;Monte_Carlo!$AC$2,1,0)</f>
        <v>0</v>
      </c>
      <c r="D628" s="13"/>
      <c r="F628" s="13"/>
      <c r="G628">
        <v>626</v>
      </c>
      <c r="H628" s="4">
        <v>-1.6690964094891705E-2</v>
      </c>
      <c r="I628" s="14">
        <f t="shared" si="9"/>
        <v>-166909.64094891705</v>
      </c>
    </row>
    <row r="629" spans="1:9" x14ac:dyDescent="0.35">
      <c r="A629" s="3">
        <v>44750</v>
      </c>
      <c r="B629" s="4">
        <v>-3.0059385599399838E-3</v>
      </c>
      <c r="C629">
        <f ca="1">IF(B629&lt;Monte_Carlo!$AC$2,1,0)</f>
        <v>0</v>
      </c>
      <c r="D629" s="13"/>
      <c r="F629" s="13"/>
      <c r="G629">
        <v>627</v>
      </c>
      <c r="H629" s="4">
        <v>-2.5257624333062442E-2</v>
      </c>
      <c r="I629" s="14">
        <f t="shared" si="9"/>
        <v>-252576.24333062442</v>
      </c>
    </row>
    <row r="630" spans="1:9" x14ac:dyDescent="0.35">
      <c r="A630" s="3">
        <v>44753</v>
      </c>
      <c r="B630" s="4">
        <v>-3.2845399994877703E-3</v>
      </c>
      <c r="C630">
        <f ca="1">IF(B630&lt;Monte_Carlo!$AC$2,1,0)</f>
        <v>0</v>
      </c>
      <c r="D630" s="13"/>
      <c r="F630" s="13"/>
      <c r="G630">
        <v>628</v>
      </c>
      <c r="H630" s="4">
        <v>2.9817871255793417E-2</v>
      </c>
      <c r="I630" s="14">
        <f t="shared" si="9"/>
        <v>298178.71255793417</v>
      </c>
    </row>
    <row r="631" spans="1:9" x14ac:dyDescent="0.35">
      <c r="A631" s="3">
        <v>44754</v>
      </c>
      <c r="B631" s="4">
        <v>-2.0066557941316201E-2</v>
      </c>
      <c r="C631">
        <f ca="1">IF(B631&lt;Monte_Carlo!$AC$2,1,0)</f>
        <v>0</v>
      </c>
      <c r="D631" s="13"/>
      <c r="F631" s="13"/>
      <c r="G631">
        <v>629</v>
      </c>
      <c r="H631" s="4">
        <v>2.6514560044546454E-3</v>
      </c>
      <c r="I631" s="14">
        <f t="shared" si="9"/>
        <v>26514.560044546455</v>
      </c>
    </row>
    <row r="632" spans="1:9" x14ac:dyDescent="0.35">
      <c r="A632" s="3">
        <v>44755</v>
      </c>
      <c r="B632" s="4">
        <v>-6.9909979055740037E-4</v>
      </c>
      <c r="C632">
        <f ca="1">IF(B632&lt;Monte_Carlo!$AC$2,1,0)</f>
        <v>0</v>
      </c>
      <c r="D632" s="13"/>
      <c r="F632" s="13"/>
      <c r="G632">
        <v>630</v>
      </c>
      <c r="H632" s="4">
        <v>-3.0916615367229956E-2</v>
      </c>
      <c r="I632" s="14">
        <f t="shared" si="9"/>
        <v>-309166.15367229958</v>
      </c>
    </row>
    <row r="633" spans="1:9" x14ac:dyDescent="0.35">
      <c r="A633" s="3">
        <v>44756</v>
      </c>
      <c r="B633" s="4">
        <v>1.1544066119561349E-2</v>
      </c>
      <c r="C633">
        <f ca="1">IF(B633&lt;Monte_Carlo!$AC$2,1,0)</f>
        <v>0</v>
      </c>
      <c r="D633" s="13"/>
      <c r="F633" s="13"/>
      <c r="G633">
        <v>631</v>
      </c>
      <c r="H633" s="4">
        <v>2.9303274572608812E-2</v>
      </c>
      <c r="I633" s="14">
        <f t="shared" si="9"/>
        <v>293032.74572608812</v>
      </c>
    </row>
    <row r="634" spans="1:9" x14ac:dyDescent="0.35">
      <c r="A634" s="3">
        <v>44757</v>
      </c>
      <c r="B634" s="4">
        <v>1.7565877937082152E-3</v>
      </c>
      <c r="C634">
        <f ca="1">IF(B634&lt;Monte_Carlo!$AC$2,1,0)</f>
        <v>0</v>
      </c>
      <c r="D634" s="13"/>
      <c r="F634" s="13"/>
      <c r="G634">
        <v>632</v>
      </c>
      <c r="H634" s="4">
        <v>-2.8828651399906793E-3</v>
      </c>
      <c r="I634" s="14">
        <f t="shared" si="9"/>
        <v>-28828.651399906794</v>
      </c>
    </row>
    <row r="635" spans="1:9" x14ac:dyDescent="0.35">
      <c r="A635" s="3">
        <v>44760</v>
      </c>
      <c r="B635" s="4">
        <v>1.0549411693452027E-2</v>
      </c>
      <c r="C635">
        <f ca="1">IF(B635&lt;Monte_Carlo!$AC$2,1,0)</f>
        <v>0</v>
      </c>
      <c r="D635" s="13"/>
      <c r="F635" s="13"/>
      <c r="G635">
        <v>633</v>
      </c>
      <c r="H635" s="4">
        <v>5.4842659964745492E-4</v>
      </c>
      <c r="I635" s="14">
        <f t="shared" si="9"/>
        <v>5484.265996474549</v>
      </c>
    </row>
    <row r="636" spans="1:9" x14ac:dyDescent="0.35">
      <c r="A636" s="3">
        <v>44761</v>
      </c>
      <c r="B636" s="4">
        <v>9.3299304432844371E-4</v>
      </c>
      <c r="C636">
        <f ca="1">IF(B636&lt;Monte_Carlo!$AC$2,1,0)</f>
        <v>0</v>
      </c>
      <c r="D636" s="13"/>
      <c r="F636" s="13"/>
      <c r="G636">
        <v>634</v>
      </c>
      <c r="H636" s="4">
        <v>-1.4896340062356623E-2</v>
      </c>
      <c r="I636" s="14">
        <f t="shared" si="9"/>
        <v>-148963.40062356624</v>
      </c>
    </row>
    <row r="637" spans="1:9" x14ac:dyDescent="0.35">
      <c r="A637" s="3">
        <v>44762</v>
      </c>
      <c r="B637" s="4">
        <v>-3.1815012343020754E-2</v>
      </c>
      <c r="C637">
        <f ca="1">IF(B637&lt;Monte_Carlo!$AC$2,1,0)</f>
        <v>0</v>
      </c>
      <c r="D637" s="13"/>
      <c r="F637" s="13"/>
      <c r="G637">
        <v>635</v>
      </c>
      <c r="H637" s="4">
        <v>9.879162563011995E-3</v>
      </c>
      <c r="I637" s="14">
        <f t="shared" si="9"/>
        <v>98791.625630119946</v>
      </c>
    </row>
    <row r="638" spans="1:9" x14ac:dyDescent="0.35">
      <c r="A638" s="3">
        <v>44763</v>
      </c>
      <c r="B638" s="4">
        <v>7.9284959120300667E-3</v>
      </c>
      <c r="C638">
        <f ca="1">IF(B638&lt;Monte_Carlo!$AC$2,1,0)</f>
        <v>0</v>
      </c>
      <c r="D638" s="13"/>
      <c r="F638" s="13"/>
      <c r="G638">
        <v>636</v>
      </c>
      <c r="H638" s="4">
        <v>1.3650767435503591E-4</v>
      </c>
      <c r="I638" s="14">
        <f t="shared" si="9"/>
        <v>1365.0767435503592</v>
      </c>
    </row>
    <row r="639" spans="1:9" x14ac:dyDescent="0.35">
      <c r="A639" s="3">
        <v>44764</v>
      </c>
      <c r="B639" s="4">
        <v>-6.9705876026845892E-3</v>
      </c>
      <c r="C639">
        <f ca="1">IF(B639&lt;Monte_Carlo!$AC$2,1,0)</f>
        <v>0</v>
      </c>
      <c r="D639" s="13"/>
      <c r="F639" s="13"/>
      <c r="G639">
        <v>637</v>
      </c>
      <c r="H639" s="4">
        <v>2.3159607182559739E-3</v>
      </c>
      <c r="I639" s="14">
        <f t="shared" si="9"/>
        <v>23159.607182559739</v>
      </c>
    </row>
    <row r="640" spans="1:9" x14ac:dyDescent="0.35">
      <c r="A640" s="3">
        <v>44767</v>
      </c>
      <c r="B640" s="4">
        <v>-1.791137179013557E-2</v>
      </c>
      <c r="C640">
        <f ca="1">IF(B640&lt;Monte_Carlo!$AC$2,1,0)</f>
        <v>0</v>
      </c>
      <c r="D640" s="13"/>
      <c r="F640" s="13"/>
      <c r="G640">
        <v>638</v>
      </c>
      <c r="H640" s="4">
        <v>-1.6096415420552297E-2</v>
      </c>
      <c r="I640" s="14">
        <f t="shared" si="9"/>
        <v>-160964.15420552297</v>
      </c>
    </row>
    <row r="641" spans="1:9" x14ac:dyDescent="0.35">
      <c r="A641" s="3">
        <v>44768</v>
      </c>
      <c r="B641" s="4">
        <v>-2.547651346739789E-2</v>
      </c>
      <c r="C641">
        <f ca="1">IF(B641&lt;Monte_Carlo!$AC$2,1,0)</f>
        <v>0</v>
      </c>
      <c r="D641" s="13"/>
      <c r="F641" s="13"/>
      <c r="G641">
        <v>639</v>
      </c>
      <c r="H641" s="4">
        <v>2.7694586985199329E-2</v>
      </c>
      <c r="I641" s="14">
        <f t="shared" si="9"/>
        <v>276945.86985199328</v>
      </c>
    </row>
    <row r="642" spans="1:9" x14ac:dyDescent="0.35">
      <c r="A642" s="3">
        <v>44769</v>
      </c>
      <c r="B642" s="4">
        <v>2.0547294617905453E-2</v>
      </c>
      <c r="C642">
        <f ca="1">IF(B642&lt;Monte_Carlo!$AC$2,1,0)</f>
        <v>0</v>
      </c>
      <c r="D642" s="13"/>
      <c r="F642" s="13"/>
      <c r="G642">
        <v>640</v>
      </c>
      <c r="H642" s="4">
        <v>-1.5436702594561627E-3</v>
      </c>
      <c r="I642" s="14">
        <f t="shared" si="9"/>
        <v>-15436.702594561628</v>
      </c>
    </row>
    <row r="643" spans="1:9" x14ac:dyDescent="0.35">
      <c r="A643" s="3">
        <v>44770</v>
      </c>
      <c r="B643" s="4">
        <v>4.0208737916734025E-3</v>
      </c>
      <c r="C643">
        <f ca="1">IF(B643&lt;Monte_Carlo!$AC$2,1,0)</f>
        <v>0</v>
      </c>
      <c r="D643" s="13"/>
      <c r="F643" s="13"/>
      <c r="G643">
        <v>641</v>
      </c>
      <c r="H643" s="4">
        <v>2.5715161348991355E-3</v>
      </c>
      <c r="I643" s="14">
        <f t="shared" si="9"/>
        <v>25715.161348991354</v>
      </c>
    </row>
    <row r="644" spans="1:9" x14ac:dyDescent="0.35">
      <c r="A644" s="3">
        <v>44771</v>
      </c>
      <c r="B644" s="4">
        <v>2.2423827909315533E-2</v>
      </c>
      <c r="C644">
        <f ca="1">IF(B644&lt;Monte_Carlo!$AC$2,1,0)</f>
        <v>0</v>
      </c>
      <c r="D644" s="13"/>
      <c r="F644" s="13"/>
      <c r="G644">
        <v>642</v>
      </c>
      <c r="H644" s="4">
        <v>-2.2979855995462966E-2</v>
      </c>
      <c r="I644" s="14">
        <f t="shared" si="9"/>
        <v>-229798.55995462966</v>
      </c>
    </row>
    <row r="645" spans="1:9" x14ac:dyDescent="0.35">
      <c r="A645" s="3">
        <v>44774</v>
      </c>
      <c r="B645" s="4">
        <v>8.9915687654225883E-3</v>
      </c>
      <c r="C645">
        <f ca="1">IF(B645&lt;Monte_Carlo!$AC$2,1,0)</f>
        <v>0</v>
      </c>
      <c r="D645" s="13"/>
      <c r="F645" s="13"/>
      <c r="G645">
        <v>643</v>
      </c>
      <c r="H645" s="4">
        <v>-5.8275438512752449E-3</v>
      </c>
      <c r="I645" s="14">
        <f t="shared" ref="I645:I708" si="10">H645*10000000</f>
        <v>-58275.438512752451</v>
      </c>
    </row>
    <row r="646" spans="1:9" x14ac:dyDescent="0.35">
      <c r="A646" s="3">
        <v>44775</v>
      </c>
      <c r="B646" s="4">
        <v>8.0311965687208595E-3</v>
      </c>
      <c r="C646">
        <f ca="1">IF(B646&lt;Monte_Carlo!$AC$2,1,0)</f>
        <v>0</v>
      </c>
      <c r="D646" s="13"/>
      <c r="F646" s="13"/>
      <c r="G646">
        <v>644</v>
      </c>
      <c r="H646" s="4">
        <v>1.9206958447961855E-2</v>
      </c>
      <c r="I646" s="14">
        <f t="shared" si="10"/>
        <v>192069.58447961856</v>
      </c>
    </row>
    <row r="647" spans="1:9" x14ac:dyDescent="0.35">
      <c r="A647" s="3">
        <v>44776</v>
      </c>
      <c r="B647" s="4">
        <v>2.9293054462865079E-3</v>
      </c>
      <c r="C647">
        <f ca="1">IF(B647&lt;Monte_Carlo!$AC$2,1,0)</f>
        <v>0</v>
      </c>
      <c r="D647" s="13"/>
      <c r="F647" s="13"/>
      <c r="G647">
        <v>645</v>
      </c>
      <c r="H647" s="4">
        <v>-8.96499472668311E-3</v>
      </c>
      <c r="I647" s="14">
        <f t="shared" si="10"/>
        <v>-89649.947266831106</v>
      </c>
    </row>
    <row r="648" spans="1:9" x14ac:dyDescent="0.35">
      <c r="A648" s="3">
        <v>44777</v>
      </c>
      <c r="B648" s="4">
        <v>-1.9275558841762356E-2</v>
      </c>
      <c r="C648">
        <f ca="1">IF(B648&lt;Monte_Carlo!$AC$2,1,0)</f>
        <v>0</v>
      </c>
      <c r="D648" s="13"/>
      <c r="F648" s="13"/>
      <c r="G648">
        <v>646</v>
      </c>
      <c r="H648" s="4">
        <v>6.7961080633082626E-3</v>
      </c>
      <c r="I648" s="14">
        <f t="shared" si="10"/>
        <v>67961.080633082631</v>
      </c>
    </row>
    <row r="649" spans="1:9" x14ac:dyDescent="0.35">
      <c r="A649" s="3">
        <v>44778</v>
      </c>
      <c r="B649" s="4">
        <v>-1.3039190298220361E-3</v>
      </c>
      <c r="C649">
        <f ca="1">IF(B649&lt;Monte_Carlo!$AC$2,1,0)</f>
        <v>0</v>
      </c>
      <c r="D649" s="13"/>
      <c r="F649" s="13"/>
      <c r="G649">
        <v>647</v>
      </c>
      <c r="H649" s="4">
        <v>-3.2154965315873599E-2</v>
      </c>
      <c r="I649" s="14">
        <f t="shared" si="10"/>
        <v>-321549.65315873601</v>
      </c>
    </row>
    <row r="650" spans="1:9" x14ac:dyDescent="0.35">
      <c r="A650" s="3">
        <v>44781</v>
      </c>
      <c r="B650" s="4">
        <v>1.0377150311059834E-2</v>
      </c>
      <c r="C650">
        <f ca="1">IF(B650&lt;Monte_Carlo!$AC$2,1,0)</f>
        <v>0</v>
      </c>
      <c r="D650" s="13"/>
      <c r="F650" s="13"/>
      <c r="G650">
        <v>648</v>
      </c>
      <c r="H650" s="4">
        <v>9.4589540089033489E-3</v>
      </c>
      <c r="I650" s="14">
        <f t="shared" si="10"/>
        <v>94589.540089033486</v>
      </c>
    </row>
    <row r="651" spans="1:9" x14ac:dyDescent="0.35">
      <c r="A651" s="3">
        <v>44783</v>
      </c>
      <c r="B651" s="4">
        <v>9.2511198458727351E-3</v>
      </c>
      <c r="C651">
        <f ca="1">IF(B651&lt;Monte_Carlo!$AC$2,1,0)</f>
        <v>0</v>
      </c>
      <c r="D651" s="13"/>
      <c r="F651" s="13"/>
      <c r="G651">
        <v>649</v>
      </c>
      <c r="H651" s="4">
        <v>4.6454944630295224E-2</v>
      </c>
      <c r="I651" s="14">
        <f t="shared" si="10"/>
        <v>464549.44630295224</v>
      </c>
    </row>
    <row r="652" spans="1:9" x14ac:dyDescent="0.35">
      <c r="A652" s="3">
        <v>44784</v>
      </c>
      <c r="B652" s="4">
        <v>7.5654714154053783E-3</v>
      </c>
      <c r="C652">
        <f ca="1">IF(B652&lt;Monte_Carlo!$AC$2,1,0)</f>
        <v>0</v>
      </c>
      <c r="D652" s="13"/>
      <c r="F652" s="13"/>
      <c r="G652">
        <v>650</v>
      </c>
      <c r="H652" s="4">
        <v>-3.5275722240883205E-2</v>
      </c>
      <c r="I652" s="14">
        <f t="shared" si="10"/>
        <v>-352757.22240883205</v>
      </c>
    </row>
    <row r="653" spans="1:9" x14ac:dyDescent="0.35">
      <c r="A653" s="3">
        <v>44785</v>
      </c>
      <c r="B653" s="4">
        <v>-4.5621217994224854E-3</v>
      </c>
      <c r="C653">
        <f ca="1">IF(B653&lt;Monte_Carlo!$AC$2,1,0)</f>
        <v>0</v>
      </c>
      <c r="D653" s="13"/>
      <c r="F653" s="13"/>
      <c r="G653">
        <v>651</v>
      </c>
      <c r="H653" s="4">
        <v>1.515157617289521E-2</v>
      </c>
      <c r="I653" s="14">
        <f t="shared" si="10"/>
        <v>151515.76172895211</v>
      </c>
    </row>
    <row r="654" spans="1:9" x14ac:dyDescent="0.35">
      <c r="A654" s="3">
        <v>44789</v>
      </c>
      <c r="B654" s="4">
        <v>3.9567603751565157E-2</v>
      </c>
      <c r="C654">
        <f ca="1">IF(B654&lt;Monte_Carlo!$AC$2,1,0)</f>
        <v>0</v>
      </c>
      <c r="D654" s="13"/>
      <c r="F654" s="13"/>
      <c r="G654">
        <v>652</v>
      </c>
      <c r="H654" s="4">
        <v>-1.1746046549885076E-2</v>
      </c>
      <c r="I654" s="14">
        <f t="shared" si="10"/>
        <v>-117460.46549885077</v>
      </c>
    </row>
    <row r="655" spans="1:9" x14ac:dyDescent="0.35">
      <c r="A655" s="3">
        <v>44790</v>
      </c>
      <c r="B655" s="4">
        <v>3.3928513235486096E-2</v>
      </c>
      <c r="C655">
        <f ca="1">IF(B655&lt;Monte_Carlo!$AC$2,1,0)</f>
        <v>0</v>
      </c>
      <c r="D655" s="13"/>
      <c r="F655" s="13"/>
      <c r="G655">
        <v>653</v>
      </c>
      <c r="H655" s="4">
        <v>4.2008247104652926E-4</v>
      </c>
      <c r="I655" s="14">
        <f t="shared" si="10"/>
        <v>4200.8247104652928</v>
      </c>
    </row>
    <row r="656" spans="1:9" x14ac:dyDescent="0.35">
      <c r="A656" s="3">
        <v>44791</v>
      </c>
      <c r="B656" s="4">
        <v>-1.4776313996951866E-2</v>
      </c>
      <c r="C656">
        <f ca="1">IF(B656&lt;Monte_Carlo!$AC$2,1,0)</f>
        <v>0</v>
      </c>
      <c r="D656" s="13"/>
      <c r="F656" s="13"/>
      <c r="G656">
        <v>654</v>
      </c>
      <c r="H656" s="4">
        <v>1.6259468444316607E-2</v>
      </c>
      <c r="I656" s="14">
        <f t="shared" si="10"/>
        <v>162594.68444316607</v>
      </c>
    </row>
    <row r="657" spans="1:9" x14ac:dyDescent="0.35">
      <c r="A657" s="3">
        <v>44792</v>
      </c>
      <c r="B657" s="4">
        <v>-2.5299583627251886E-2</v>
      </c>
      <c r="C657">
        <f ca="1">IF(B657&lt;Monte_Carlo!$AC$2,1,0)</f>
        <v>0</v>
      </c>
      <c r="D657" s="13"/>
      <c r="F657" s="13"/>
      <c r="G657">
        <v>655</v>
      </c>
      <c r="H657" s="4">
        <v>-4.3364205748906683E-2</v>
      </c>
      <c r="I657" s="14">
        <f t="shared" si="10"/>
        <v>-433642.05748906685</v>
      </c>
    </row>
    <row r="658" spans="1:9" x14ac:dyDescent="0.35">
      <c r="A658" s="3">
        <v>44795</v>
      </c>
      <c r="B658" s="4">
        <v>-2.3168323807436376E-2</v>
      </c>
      <c r="C658">
        <f ca="1">IF(B658&lt;Monte_Carlo!$AC$2,1,0)</f>
        <v>0</v>
      </c>
      <c r="D658" s="13"/>
      <c r="F658" s="13"/>
      <c r="G658">
        <v>656</v>
      </c>
      <c r="H658" s="4">
        <v>4.3564345854829108E-2</v>
      </c>
      <c r="I658" s="14">
        <f t="shared" si="10"/>
        <v>435643.45854829106</v>
      </c>
    </row>
    <row r="659" spans="1:9" x14ac:dyDescent="0.35">
      <c r="A659" s="3">
        <v>44796</v>
      </c>
      <c r="B659" s="4">
        <v>-5.7691523922289243E-3</v>
      </c>
      <c r="C659">
        <f ca="1">IF(B659&lt;Monte_Carlo!$AC$2,1,0)</f>
        <v>0</v>
      </c>
      <c r="D659" s="13"/>
      <c r="F659" s="13"/>
      <c r="G659">
        <v>657</v>
      </c>
      <c r="H659" s="4">
        <v>-2.4144186678595327E-2</v>
      </c>
      <c r="I659" s="14">
        <f t="shared" si="10"/>
        <v>-241441.86678595329</v>
      </c>
    </row>
    <row r="660" spans="1:9" x14ac:dyDescent="0.35">
      <c r="A660" s="3">
        <v>44797</v>
      </c>
      <c r="B660" s="4">
        <v>-3.5208629238587369E-3</v>
      </c>
      <c r="C660">
        <f ca="1">IF(B660&lt;Monte_Carlo!$AC$2,1,0)</f>
        <v>0</v>
      </c>
      <c r="D660" s="13"/>
      <c r="F660" s="13"/>
      <c r="G660">
        <v>658</v>
      </c>
      <c r="H660" s="4">
        <v>1.6159517987576273E-3</v>
      </c>
      <c r="I660" s="14">
        <f t="shared" si="10"/>
        <v>16159.517987576273</v>
      </c>
    </row>
    <row r="661" spans="1:9" x14ac:dyDescent="0.35">
      <c r="A661" s="3">
        <v>44798</v>
      </c>
      <c r="B661" s="4">
        <v>1.3732583521261072E-2</v>
      </c>
      <c r="C661">
        <f ca="1">IF(B661&lt;Monte_Carlo!$AC$2,1,0)</f>
        <v>0</v>
      </c>
      <c r="D661" s="13"/>
      <c r="F661" s="13"/>
      <c r="G661">
        <v>659</v>
      </c>
      <c r="H661" s="4">
        <v>4.9103479188352388E-2</v>
      </c>
      <c r="I661" s="14">
        <f t="shared" si="10"/>
        <v>491034.79188352387</v>
      </c>
    </row>
    <row r="662" spans="1:9" x14ac:dyDescent="0.35">
      <c r="A662" s="3">
        <v>44799</v>
      </c>
      <c r="B662" s="4">
        <v>9.7292624370926197E-3</v>
      </c>
      <c r="C662">
        <f ca="1">IF(B662&lt;Monte_Carlo!$AC$2,1,0)</f>
        <v>0</v>
      </c>
      <c r="D662" s="13"/>
      <c r="F662" s="13"/>
      <c r="G662">
        <v>660</v>
      </c>
      <c r="H662" s="4">
        <v>-4.5374001623556252E-2</v>
      </c>
      <c r="I662" s="14">
        <f t="shared" si="10"/>
        <v>-453740.01623556251</v>
      </c>
    </row>
    <row r="663" spans="1:9" x14ac:dyDescent="0.35">
      <c r="A663" s="3">
        <v>44802</v>
      </c>
      <c r="B663" s="4">
        <v>-6.3243784428238716E-3</v>
      </c>
      <c r="C663">
        <f ca="1">IF(B663&lt;Monte_Carlo!$AC$2,1,0)</f>
        <v>0</v>
      </c>
      <c r="D663" s="13"/>
      <c r="F663" s="13"/>
      <c r="G663">
        <v>661</v>
      </c>
      <c r="H663" s="4">
        <v>2.9358651613579402E-4</v>
      </c>
      <c r="I663" s="14">
        <f t="shared" si="10"/>
        <v>2935.86516135794</v>
      </c>
    </row>
    <row r="664" spans="1:9" x14ac:dyDescent="0.35">
      <c r="A664" s="3">
        <v>44803</v>
      </c>
      <c r="B664" s="4">
        <v>2.2314603012673757E-2</v>
      </c>
      <c r="C664">
        <f ca="1">IF(B664&lt;Monte_Carlo!$AC$2,1,0)</f>
        <v>0</v>
      </c>
      <c r="D664" s="13"/>
      <c r="F664" s="13"/>
      <c r="G664">
        <v>662</v>
      </c>
      <c r="H664" s="4">
        <v>3.3002627674653872E-3</v>
      </c>
      <c r="I664" s="14">
        <f t="shared" si="10"/>
        <v>33002.627674653872</v>
      </c>
    </row>
    <row r="665" spans="1:9" x14ac:dyDescent="0.35">
      <c r="A665" s="3">
        <v>44805</v>
      </c>
      <c r="B665" s="4">
        <v>-7.8638364782614573E-3</v>
      </c>
      <c r="C665">
        <f ca="1">IF(B665&lt;Monte_Carlo!$AC$2,1,0)</f>
        <v>0</v>
      </c>
      <c r="D665" s="13"/>
      <c r="F665" s="13"/>
      <c r="G665">
        <v>663</v>
      </c>
      <c r="H665" s="4">
        <v>-1.0864442312458001E-3</v>
      </c>
      <c r="I665" s="14">
        <f t="shared" si="10"/>
        <v>-10864.442312458001</v>
      </c>
    </row>
    <row r="666" spans="1:9" x14ac:dyDescent="0.35">
      <c r="A666" s="3">
        <v>44806</v>
      </c>
      <c r="B666" s="4">
        <v>-1.0639847834589797E-2</v>
      </c>
      <c r="C666">
        <f ca="1">IF(B666&lt;Monte_Carlo!$AC$2,1,0)</f>
        <v>0</v>
      </c>
      <c r="D666" s="13"/>
      <c r="F666" s="13"/>
      <c r="G666">
        <v>664</v>
      </c>
      <c r="H666" s="4">
        <v>1.487049843001011E-2</v>
      </c>
      <c r="I666" s="14">
        <f t="shared" si="10"/>
        <v>148704.98430010109</v>
      </c>
    </row>
    <row r="667" spans="1:9" x14ac:dyDescent="0.35">
      <c r="A667" s="3">
        <v>44809</v>
      </c>
      <c r="B667" s="4">
        <v>8.8494953917529779E-3</v>
      </c>
      <c r="C667">
        <f ca="1">IF(B667&lt;Monte_Carlo!$AC$2,1,0)</f>
        <v>0</v>
      </c>
      <c r="D667" s="13"/>
      <c r="F667" s="13"/>
      <c r="G667">
        <v>665</v>
      </c>
      <c r="H667" s="4">
        <v>-1.0356508802910197E-2</v>
      </c>
      <c r="I667" s="14">
        <f t="shared" si="10"/>
        <v>-103565.08802910197</v>
      </c>
    </row>
    <row r="668" spans="1:9" x14ac:dyDescent="0.35">
      <c r="A668" s="3">
        <v>44810</v>
      </c>
      <c r="B668" s="4">
        <v>-2.3352508221609544E-2</v>
      </c>
      <c r="C668">
        <f ca="1">IF(B668&lt;Monte_Carlo!$AC$2,1,0)</f>
        <v>0</v>
      </c>
      <c r="D668" s="13"/>
      <c r="F668" s="13"/>
      <c r="G668">
        <v>666</v>
      </c>
      <c r="H668" s="4">
        <v>-4.4457876528575628E-3</v>
      </c>
      <c r="I668" s="14">
        <f t="shared" si="10"/>
        <v>-44457.876528575631</v>
      </c>
    </row>
    <row r="669" spans="1:9" x14ac:dyDescent="0.35">
      <c r="A669" s="3">
        <v>44811</v>
      </c>
      <c r="B669" s="4">
        <v>1.6261619188176618E-2</v>
      </c>
      <c r="C669">
        <f ca="1">IF(B669&lt;Monte_Carlo!$AC$2,1,0)</f>
        <v>0</v>
      </c>
      <c r="D669" s="13"/>
      <c r="F669" s="13"/>
      <c r="G669">
        <v>667</v>
      </c>
      <c r="H669" s="4">
        <v>-1.5348957453023009E-3</v>
      </c>
      <c r="I669" s="14">
        <f t="shared" si="10"/>
        <v>-15348.957453023009</v>
      </c>
    </row>
    <row r="670" spans="1:9" x14ac:dyDescent="0.35">
      <c r="A670" s="3">
        <v>44812</v>
      </c>
      <c r="B670" s="4">
        <v>-1.2796882239744376E-2</v>
      </c>
      <c r="C670">
        <f ca="1">IF(B670&lt;Monte_Carlo!$AC$2,1,0)</f>
        <v>0</v>
      </c>
      <c r="D670" s="13"/>
      <c r="F670" s="13"/>
      <c r="G670">
        <v>668</v>
      </c>
      <c r="H670" s="4">
        <v>1.3241382621198091E-2</v>
      </c>
      <c r="I670" s="14">
        <f t="shared" si="10"/>
        <v>132413.82621198089</v>
      </c>
    </row>
    <row r="671" spans="1:9" x14ac:dyDescent="0.35">
      <c r="A671" s="3">
        <v>44813</v>
      </c>
      <c r="B671" s="4">
        <v>-8.0827096702949398E-3</v>
      </c>
      <c r="C671">
        <f ca="1">IF(B671&lt;Monte_Carlo!$AC$2,1,0)</f>
        <v>0</v>
      </c>
      <c r="D671" s="13"/>
      <c r="F671" s="13"/>
      <c r="G671">
        <v>669</v>
      </c>
      <c r="H671" s="4">
        <v>-3.3633021878698738E-2</v>
      </c>
      <c r="I671" s="14">
        <f t="shared" si="10"/>
        <v>-336330.21878698736</v>
      </c>
    </row>
    <row r="672" spans="1:9" x14ac:dyDescent="0.35">
      <c r="A672" s="3">
        <v>44816</v>
      </c>
      <c r="B672" s="4">
        <v>1.0361037373039292E-2</v>
      </c>
      <c r="C672">
        <f ca="1">IF(B672&lt;Monte_Carlo!$AC$2,1,0)</f>
        <v>0</v>
      </c>
      <c r="D672" s="13"/>
      <c r="F672" s="13"/>
      <c r="G672">
        <v>670</v>
      </c>
      <c r="H672" s="4">
        <v>2.6543006464046559E-2</v>
      </c>
      <c r="I672" s="14">
        <f t="shared" si="10"/>
        <v>265430.0646404656</v>
      </c>
    </row>
    <row r="673" spans="1:9" x14ac:dyDescent="0.35">
      <c r="A673" s="3">
        <v>44817</v>
      </c>
      <c r="B673" s="4">
        <v>8.4970642058916439E-4</v>
      </c>
      <c r="C673">
        <f ca="1">IF(B673&lt;Monte_Carlo!$AC$2,1,0)</f>
        <v>0</v>
      </c>
      <c r="D673" s="13"/>
      <c r="F673" s="13"/>
      <c r="G673">
        <v>671</v>
      </c>
      <c r="H673" s="4">
        <v>2.4165844027413293E-2</v>
      </c>
      <c r="I673" s="14">
        <f t="shared" si="10"/>
        <v>241658.44027413294</v>
      </c>
    </row>
    <row r="674" spans="1:9" x14ac:dyDescent="0.35">
      <c r="A674" s="3">
        <v>44818</v>
      </c>
      <c r="B674" s="4">
        <v>7.0403495325931176E-3</v>
      </c>
      <c r="C674">
        <f ca="1">IF(B674&lt;Monte_Carlo!$AC$2,1,0)</f>
        <v>0</v>
      </c>
      <c r="D674" s="13"/>
      <c r="F674" s="13"/>
      <c r="G674">
        <v>672</v>
      </c>
      <c r="H674" s="4">
        <v>-5.6328605130626853E-2</v>
      </c>
      <c r="I674" s="14">
        <f t="shared" si="10"/>
        <v>-563286.05130626855</v>
      </c>
    </row>
    <row r="675" spans="1:9" x14ac:dyDescent="0.35">
      <c r="A675" s="3">
        <v>44819</v>
      </c>
      <c r="B675" s="4">
        <v>-6.1493139345466692E-3</v>
      </c>
      <c r="C675">
        <f ca="1">IF(B675&lt;Monte_Carlo!$AC$2,1,0)</f>
        <v>0</v>
      </c>
      <c r="D675" s="13"/>
      <c r="F675" s="13"/>
      <c r="G675">
        <v>673</v>
      </c>
      <c r="H675" s="4">
        <v>4.8069430493086977E-2</v>
      </c>
      <c r="I675" s="14">
        <f t="shared" si="10"/>
        <v>480694.30493086978</v>
      </c>
    </row>
    <row r="676" spans="1:9" x14ac:dyDescent="0.35">
      <c r="A676" s="3">
        <v>44820</v>
      </c>
      <c r="B676" s="4">
        <v>-2.4198649727956198E-2</v>
      </c>
      <c r="C676">
        <f ca="1">IF(B676&lt;Monte_Carlo!$AC$2,1,0)</f>
        <v>0</v>
      </c>
      <c r="D676" s="13"/>
      <c r="F676" s="13"/>
      <c r="G676">
        <v>674</v>
      </c>
      <c r="H676" s="4">
        <v>-1.5275896483855727E-2</v>
      </c>
      <c r="I676" s="14">
        <f t="shared" si="10"/>
        <v>-152758.96483855727</v>
      </c>
    </row>
    <row r="677" spans="1:9" x14ac:dyDescent="0.35">
      <c r="A677" s="3">
        <v>44823</v>
      </c>
      <c r="B677" s="4">
        <v>-2.0378268474916185E-3</v>
      </c>
      <c r="C677">
        <f ca="1">IF(B677&lt;Monte_Carlo!$AC$2,1,0)</f>
        <v>0</v>
      </c>
      <c r="D677" s="13"/>
      <c r="F677" s="13"/>
      <c r="G677">
        <v>675</v>
      </c>
      <c r="H677" s="4">
        <v>2.3976061805413194E-2</v>
      </c>
      <c r="I677" s="14">
        <f t="shared" si="10"/>
        <v>239760.61805413195</v>
      </c>
    </row>
    <row r="678" spans="1:9" x14ac:dyDescent="0.35">
      <c r="A678" s="3">
        <v>44824</v>
      </c>
      <c r="B678" s="4">
        <v>5.0483108633239048E-3</v>
      </c>
      <c r="C678">
        <f ca="1">IF(B678&lt;Monte_Carlo!$AC$2,1,0)</f>
        <v>0</v>
      </c>
      <c r="D678" s="13"/>
      <c r="F678" s="13"/>
      <c r="G678">
        <v>676</v>
      </c>
      <c r="H678" s="4">
        <v>-1.7946083274660761E-2</v>
      </c>
      <c r="I678" s="14">
        <f t="shared" si="10"/>
        <v>-179460.8327466076</v>
      </c>
    </row>
    <row r="679" spans="1:9" x14ac:dyDescent="0.35">
      <c r="A679" s="3">
        <v>44825</v>
      </c>
      <c r="B679" s="4">
        <v>-7.8654442335543782E-3</v>
      </c>
      <c r="C679">
        <f ca="1">IF(B679&lt;Monte_Carlo!$AC$2,1,0)</f>
        <v>0</v>
      </c>
      <c r="D679" s="13"/>
      <c r="F679" s="13"/>
      <c r="G679">
        <v>677</v>
      </c>
      <c r="H679" s="4">
        <v>-1.4745496191579671E-2</v>
      </c>
      <c r="I679" s="14">
        <f t="shared" si="10"/>
        <v>-147454.96191579671</v>
      </c>
    </row>
    <row r="680" spans="1:9" x14ac:dyDescent="0.35">
      <c r="A680" s="3">
        <v>44826</v>
      </c>
      <c r="B680" s="4">
        <v>-9.8221659581076656E-4</v>
      </c>
      <c r="C680">
        <f ca="1">IF(B680&lt;Monte_Carlo!$AC$2,1,0)</f>
        <v>0</v>
      </c>
      <c r="D680" s="13"/>
      <c r="F680" s="13"/>
      <c r="G680">
        <v>678</v>
      </c>
      <c r="H680" s="4">
        <v>1.8574281502696376E-2</v>
      </c>
      <c r="I680" s="14">
        <f t="shared" si="10"/>
        <v>185742.81502696377</v>
      </c>
    </row>
    <row r="681" spans="1:9" x14ac:dyDescent="0.35">
      <c r="A681" s="3">
        <v>44827</v>
      </c>
      <c r="B681" s="4">
        <v>-1.7083554425335875E-2</v>
      </c>
      <c r="C681">
        <f ca="1">IF(B681&lt;Monte_Carlo!$AC$2,1,0)</f>
        <v>0</v>
      </c>
      <c r="D681" s="13"/>
      <c r="F681" s="13"/>
      <c r="G681">
        <v>679</v>
      </c>
      <c r="H681" s="4">
        <v>-4.5859440256827153E-3</v>
      </c>
      <c r="I681" s="14">
        <f t="shared" si="10"/>
        <v>-45859.440256827154</v>
      </c>
    </row>
    <row r="682" spans="1:9" x14ac:dyDescent="0.35">
      <c r="A682" s="3">
        <v>44830</v>
      </c>
      <c r="B682" s="4">
        <v>-3.1245655384311084E-2</v>
      </c>
      <c r="C682">
        <f ca="1">IF(B682&lt;Monte_Carlo!$AC$2,1,0)</f>
        <v>0</v>
      </c>
      <c r="D682" s="13"/>
      <c r="F682" s="13"/>
      <c r="G682">
        <v>680</v>
      </c>
      <c r="H682" s="4">
        <v>-3.2241148819447171E-4</v>
      </c>
      <c r="I682" s="14">
        <f t="shared" si="10"/>
        <v>-3224.1148819447171</v>
      </c>
    </row>
    <row r="683" spans="1:9" x14ac:dyDescent="0.35">
      <c r="A683" s="3">
        <v>44831</v>
      </c>
      <c r="B683" s="4">
        <v>6.1105127253368056E-3</v>
      </c>
      <c r="C683">
        <f ca="1">IF(B683&lt;Monte_Carlo!$AC$2,1,0)</f>
        <v>0</v>
      </c>
      <c r="D683" s="13"/>
      <c r="F683" s="13"/>
      <c r="G683">
        <v>681</v>
      </c>
      <c r="H683" s="4">
        <v>-1.5617142669959182E-2</v>
      </c>
      <c r="I683" s="14">
        <f t="shared" si="10"/>
        <v>-156171.42669959183</v>
      </c>
    </row>
    <row r="684" spans="1:9" x14ac:dyDescent="0.35">
      <c r="A684" s="3">
        <v>44832</v>
      </c>
      <c r="B684" s="4">
        <v>6.3083457420588475E-3</v>
      </c>
      <c r="C684">
        <f ca="1">IF(B684&lt;Monte_Carlo!$AC$2,1,0)</f>
        <v>0</v>
      </c>
      <c r="D684" s="13"/>
      <c r="F684" s="13"/>
      <c r="G684">
        <v>682</v>
      </c>
      <c r="H684" s="4">
        <v>2.4488644825343547E-2</v>
      </c>
      <c r="I684" s="14">
        <f t="shared" si="10"/>
        <v>244886.44825343546</v>
      </c>
    </row>
    <row r="685" spans="1:9" x14ac:dyDescent="0.35">
      <c r="A685" s="3">
        <v>44833</v>
      </c>
      <c r="B685" s="4">
        <v>5.9374003162429856E-3</v>
      </c>
      <c r="C685">
        <f ca="1">IF(B685&lt;Monte_Carlo!$AC$2,1,0)</f>
        <v>0</v>
      </c>
      <c r="D685" s="13"/>
      <c r="F685" s="13"/>
      <c r="G685">
        <v>683</v>
      </c>
      <c r="H685" s="4">
        <v>-5.7828512741531684E-3</v>
      </c>
      <c r="I685" s="14">
        <f t="shared" si="10"/>
        <v>-57828.512741531682</v>
      </c>
    </row>
    <row r="686" spans="1:9" x14ac:dyDescent="0.35">
      <c r="A686" s="3">
        <v>44834</v>
      </c>
      <c r="B686" s="4">
        <v>-6.9990528162434448E-3</v>
      </c>
      <c r="C686">
        <f ca="1">IF(B686&lt;Monte_Carlo!$AC$2,1,0)</f>
        <v>0</v>
      </c>
      <c r="D686" s="13"/>
      <c r="F686" s="13"/>
      <c r="G686">
        <v>684</v>
      </c>
      <c r="H686" s="4">
        <v>-9.5795182456850508E-3</v>
      </c>
      <c r="I686" s="14">
        <f t="shared" si="10"/>
        <v>-95795.182456850511</v>
      </c>
    </row>
    <row r="687" spans="1:9" x14ac:dyDescent="0.35">
      <c r="A687" s="3">
        <v>44837</v>
      </c>
      <c r="B687" s="4">
        <v>-1.4758131461553964E-2</v>
      </c>
      <c r="C687">
        <f ca="1">IF(B687&lt;Monte_Carlo!$AC$2,1,0)</f>
        <v>0</v>
      </c>
      <c r="D687" s="13"/>
      <c r="F687" s="13"/>
      <c r="G687">
        <v>685</v>
      </c>
      <c r="H687" s="4">
        <v>1.0891947017097323E-2</v>
      </c>
      <c r="I687" s="14">
        <f t="shared" si="10"/>
        <v>108919.47017097323</v>
      </c>
    </row>
    <row r="688" spans="1:9" x14ac:dyDescent="0.35">
      <c r="A688" s="3">
        <v>44838</v>
      </c>
      <c r="B688" s="4">
        <v>2.0629330829903418E-2</v>
      </c>
      <c r="C688">
        <f ca="1">IF(B688&lt;Monte_Carlo!$AC$2,1,0)</f>
        <v>0</v>
      </c>
      <c r="D688" s="13"/>
      <c r="F688" s="13"/>
      <c r="G688">
        <v>686</v>
      </c>
      <c r="H688" s="4">
        <v>-9.8955596748837825E-3</v>
      </c>
      <c r="I688" s="14">
        <f t="shared" si="10"/>
        <v>-98955.596748837823</v>
      </c>
    </row>
    <row r="689" spans="1:9" x14ac:dyDescent="0.35">
      <c r="A689" s="3">
        <v>44840</v>
      </c>
      <c r="B689" s="4">
        <v>1.0022935520394363E-2</v>
      </c>
      <c r="C689">
        <f ca="1">IF(B689&lt;Monte_Carlo!$AC$2,1,0)</f>
        <v>0</v>
      </c>
      <c r="D689" s="13"/>
      <c r="F689" s="13"/>
      <c r="G689">
        <v>687</v>
      </c>
      <c r="H689" s="4">
        <v>1.35388013886021E-2</v>
      </c>
      <c r="I689" s="14">
        <f t="shared" si="10"/>
        <v>135388.01388602098</v>
      </c>
    </row>
    <row r="690" spans="1:9" x14ac:dyDescent="0.35">
      <c r="A690" s="3">
        <v>44841</v>
      </c>
      <c r="B690" s="4">
        <v>-1.4105723945834299E-2</v>
      </c>
      <c r="C690">
        <f ca="1">IF(B690&lt;Monte_Carlo!$AC$2,1,0)</f>
        <v>0</v>
      </c>
      <c r="D690" s="13"/>
      <c r="F690" s="13"/>
      <c r="G690">
        <v>688</v>
      </c>
      <c r="H690" s="4">
        <v>-1.4778019911040418E-2</v>
      </c>
      <c r="I690" s="14">
        <f t="shared" si="10"/>
        <v>-147780.19911040418</v>
      </c>
    </row>
    <row r="691" spans="1:9" x14ac:dyDescent="0.35">
      <c r="A691" s="3">
        <v>44844</v>
      </c>
      <c r="B691" s="4">
        <v>-1.3394044913328705E-2</v>
      </c>
      <c r="C691">
        <f ca="1">IF(B691&lt;Monte_Carlo!$AC$2,1,0)</f>
        <v>0</v>
      </c>
      <c r="D691" s="13"/>
      <c r="F691" s="13"/>
      <c r="G691">
        <v>689</v>
      </c>
      <c r="H691" s="4">
        <v>-1.1658926906923777E-2</v>
      </c>
      <c r="I691" s="14">
        <f t="shared" si="10"/>
        <v>-116589.26906923778</v>
      </c>
    </row>
    <row r="692" spans="1:9" x14ac:dyDescent="0.35">
      <c r="A692" s="3">
        <v>44845</v>
      </c>
      <c r="B692" s="4">
        <v>3.9690260046951556E-4</v>
      </c>
      <c r="C692">
        <f ca="1">IF(B692&lt;Monte_Carlo!$AC$2,1,0)</f>
        <v>0</v>
      </c>
      <c r="D692" s="13"/>
      <c r="F692" s="13"/>
      <c r="G692">
        <v>690</v>
      </c>
      <c r="H692" s="4">
        <v>2.7516032233060881E-4</v>
      </c>
      <c r="I692" s="14">
        <f t="shared" si="10"/>
        <v>2751.6032233060882</v>
      </c>
    </row>
    <row r="693" spans="1:9" x14ac:dyDescent="0.35">
      <c r="A693" s="3">
        <v>44846</v>
      </c>
      <c r="B693" s="4">
        <v>9.9156792442814563E-4</v>
      </c>
      <c r="C693">
        <f ca="1">IF(B693&lt;Monte_Carlo!$AC$2,1,0)</f>
        <v>0</v>
      </c>
      <c r="D693" s="13"/>
      <c r="F693" s="13"/>
      <c r="G693">
        <v>691</v>
      </c>
      <c r="H693" s="4">
        <v>2.12651858120795E-2</v>
      </c>
      <c r="I693" s="14">
        <f t="shared" si="10"/>
        <v>212651.85812079499</v>
      </c>
    </row>
    <row r="694" spans="1:9" x14ac:dyDescent="0.35">
      <c r="A694" s="3">
        <v>44847</v>
      </c>
      <c r="B694" s="4">
        <v>-3.9178773341872405E-3</v>
      </c>
      <c r="C694">
        <f ca="1">IF(B694&lt;Monte_Carlo!$AC$2,1,0)</f>
        <v>0</v>
      </c>
      <c r="D694" s="13"/>
      <c r="F694" s="13"/>
      <c r="G694">
        <v>692</v>
      </c>
      <c r="H694" s="4">
        <v>1.6674439500919715E-2</v>
      </c>
      <c r="I694" s="14">
        <f t="shared" si="10"/>
        <v>166744.39500919715</v>
      </c>
    </row>
    <row r="695" spans="1:9" x14ac:dyDescent="0.35">
      <c r="A695" s="3">
        <v>44848</v>
      </c>
      <c r="B695" s="4">
        <v>-2.4891271479315965E-3</v>
      </c>
      <c r="C695">
        <f ca="1">IF(B695&lt;Monte_Carlo!$AC$2,1,0)</f>
        <v>0</v>
      </c>
      <c r="D695" s="13"/>
      <c r="F695" s="13"/>
      <c r="G695">
        <v>693</v>
      </c>
      <c r="H695" s="4">
        <v>-3.0591787033692142E-2</v>
      </c>
      <c r="I695" s="14">
        <f t="shared" si="10"/>
        <v>-305917.87033692142</v>
      </c>
    </row>
    <row r="696" spans="1:9" x14ac:dyDescent="0.35">
      <c r="A696" s="3">
        <v>44851</v>
      </c>
      <c r="B696" s="4">
        <v>3.789788192517293E-3</v>
      </c>
      <c r="C696">
        <f ca="1">IF(B696&lt;Monte_Carlo!$AC$2,1,0)</f>
        <v>0</v>
      </c>
      <c r="D696" s="13"/>
      <c r="F696" s="13"/>
      <c r="G696">
        <v>694</v>
      </c>
      <c r="H696" s="4">
        <v>-1.1864719152250007E-2</v>
      </c>
      <c r="I696" s="14">
        <f t="shared" si="10"/>
        <v>-118647.19152250007</v>
      </c>
    </row>
    <row r="697" spans="1:9" x14ac:dyDescent="0.35">
      <c r="A697" s="3">
        <v>44852</v>
      </c>
      <c r="B697" s="4">
        <v>1.4072555409765706E-2</v>
      </c>
      <c r="C697">
        <f ca="1">IF(B697&lt;Monte_Carlo!$AC$2,1,0)</f>
        <v>0</v>
      </c>
      <c r="D697" s="13"/>
      <c r="F697" s="13"/>
      <c r="G697">
        <v>695</v>
      </c>
      <c r="H697" s="4">
        <v>4.2476241456663469E-2</v>
      </c>
      <c r="I697" s="14">
        <f t="shared" si="10"/>
        <v>424762.41456663469</v>
      </c>
    </row>
    <row r="698" spans="1:9" x14ac:dyDescent="0.35">
      <c r="A698" s="3">
        <v>44853</v>
      </c>
      <c r="B698" s="4">
        <v>-1.0194052619889656E-2</v>
      </c>
      <c r="C698">
        <f ca="1">IF(B698&lt;Monte_Carlo!$AC$2,1,0)</f>
        <v>0</v>
      </c>
      <c r="D698" s="13"/>
      <c r="F698" s="13"/>
      <c r="G698">
        <v>696</v>
      </c>
      <c r="H698" s="4">
        <v>-3.4639877504167103E-2</v>
      </c>
      <c r="I698" s="14">
        <f t="shared" si="10"/>
        <v>-346398.77504167106</v>
      </c>
    </row>
    <row r="699" spans="1:9" x14ac:dyDescent="0.35">
      <c r="A699" s="3">
        <v>44854</v>
      </c>
      <c r="B699" s="4">
        <v>9.4210572497200294E-3</v>
      </c>
      <c r="C699">
        <f ca="1">IF(B699&lt;Monte_Carlo!$AC$2,1,0)</f>
        <v>0</v>
      </c>
      <c r="D699" s="13"/>
      <c r="F699" s="13"/>
      <c r="G699">
        <v>697</v>
      </c>
      <c r="H699" s="4">
        <v>-7.7977579586320771E-3</v>
      </c>
      <c r="I699" s="14">
        <f t="shared" si="10"/>
        <v>-77977.579586320775</v>
      </c>
    </row>
    <row r="700" spans="1:9" x14ac:dyDescent="0.35">
      <c r="A700" s="3">
        <v>44855</v>
      </c>
      <c r="B700" s="4">
        <v>-3.4130641282408146E-3</v>
      </c>
      <c r="C700">
        <f ca="1">IF(B700&lt;Monte_Carlo!$AC$2,1,0)</f>
        <v>0</v>
      </c>
      <c r="D700" s="13"/>
      <c r="F700" s="13"/>
      <c r="G700">
        <v>698</v>
      </c>
      <c r="H700" s="4">
        <v>3.1987970461648654E-2</v>
      </c>
      <c r="I700" s="14">
        <f t="shared" si="10"/>
        <v>319879.70461648656</v>
      </c>
    </row>
    <row r="701" spans="1:9" x14ac:dyDescent="0.35">
      <c r="A701" s="3">
        <v>44858</v>
      </c>
      <c r="B701" s="4">
        <v>7.6437296387798213E-4</v>
      </c>
      <c r="C701">
        <f ca="1">IF(B701&lt;Monte_Carlo!$AC$2,1,0)</f>
        <v>0</v>
      </c>
      <c r="D701" s="13"/>
      <c r="F701" s="13"/>
      <c r="G701">
        <v>699</v>
      </c>
      <c r="H701" s="4">
        <v>-1.7646192254984268E-2</v>
      </c>
      <c r="I701" s="14">
        <f t="shared" si="10"/>
        <v>-176461.92254984268</v>
      </c>
    </row>
    <row r="702" spans="1:9" x14ac:dyDescent="0.35">
      <c r="A702" s="3">
        <v>44859</v>
      </c>
      <c r="B702" s="4">
        <v>-1.7473569156772111E-4</v>
      </c>
      <c r="C702">
        <f ca="1">IF(B702&lt;Monte_Carlo!$AC$2,1,0)</f>
        <v>0</v>
      </c>
      <c r="D702" s="13"/>
      <c r="F702" s="13"/>
      <c r="G702">
        <v>700</v>
      </c>
      <c r="H702" s="4">
        <v>7.0824511448531746E-3</v>
      </c>
      <c r="I702" s="14">
        <f t="shared" si="10"/>
        <v>70824.511448531746</v>
      </c>
    </row>
    <row r="703" spans="1:9" x14ac:dyDescent="0.35">
      <c r="A703" s="3">
        <v>44861</v>
      </c>
      <c r="B703" s="4">
        <v>1.2303478627273785E-2</v>
      </c>
      <c r="C703">
        <f ca="1">IF(B703&lt;Monte_Carlo!$AC$2,1,0)</f>
        <v>0</v>
      </c>
      <c r="D703" s="13"/>
      <c r="F703" s="13"/>
      <c r="G703">
        <v>701</v>
      </c>
      <c r="H703" s="4">
        <v>3.2975322410373031E-3</v>
      </c>
      <c r="I703" s="14">
        <f t="shared" si="10"/>
        <v>32975.322410373032</v>
      </c>
    </row>
    <row r="704" spans="1:9" x14ac:dyDescent="0.35">
      <c r="A704" s="3">
        <v>44862</v>
      </c>
      <c r="B704" s="4">
        <v>4.9096367512851949E-3</v>
      </c>
      <c r="C704">
        <f ca="1">IF(B704&lt;Monte_Carlo!$AC$2,1,0)</f>
        <v>0</v>
      </c>
      <c r="D704" s="13"/>
      <c r="F704" s="13"/>
      <c r="G704">
        <v>702</v>
      </c>
      <c r="H704" s="4">
        <v>-1.0526101515322087E-3</v>
      </c>
      <c r="I704" s="14">
        <f t="shared" si="10"/>
        <v>-10526.101515322087</v>
      </c>
    </row>
    <row r="705" spans="1:9" x14ac:dyDescent="0.35">
      <c r="A705" s="3">
        <v>44865</v>
      </c>
      <c r="B705" s="4">
        <v>3.2383185863895901E-3</v>
      </c>
      <c r="C705">
        <f ca="1">IF(B705&lt;Monte_Carlo!$AC$2,1,0)</f>
        <v>0</v>
      </c>
      <c r="D705" s="13"/>
      <c r="F705" s="13"/>
      <c r="G705">
        <v>703</v>
      </c>
      <c r="H705" s="4">
        <v>1.1310218057715343E-2</v>
      </c>
      <c r="I705" s="14">
        <f t="shared" si="10"/>
        <v>113102.18057715343</v>
      </c>
    </row>
    <row r="706" spans="1:9" x14ac:dyDescent="0.35">
      <c r="A706" s="3">
        <v>44866</v>
      </c>
      <c r="B706" s="4">
        <v>4.8073967435250282E-3</v>
      </c>
      <c r="C706">
        <f ca="1">IF(B706&lt;Monte_Carlo!$AC$2,1,0)</f>
        <v>0</v>
      </c>
      <c r="D706" s="13"/>
      <c r="F706" s="13"/>
      <c r="G706">
        <v>704</v>
      </c>
      <c r="H706" s="4">
        <v>-3.0007979572657115E-3</v>
      </c>
      <c r="I706" s="14">
        <f t="shared" si="10"/>
        <v>-30007.979572657114</v>
      </c>
    </row>
    <row r="707" spans="1:9" x14ac:dyDescent="0.35">
      <c r="A707" s="3">
        <v>44867</v>
      </c>
      <c r="B707" s="4">
        <v>-2.0319964468385968E-3</v>
      </c>
      <c r="C707">
        <f ca="1">IF(B707&lt;Monte_Carlo!$AC$2,1,0)</f>
        <v>0</v>
      </c>
      <c r="D707" s="13"/>
      <c r="F707" s="13"/>
      <c r="G707">
        <v>705</v>
      </c>
      <c r="H707" s="4">
        <v>-9.1461422599328854E-3</v>
      </c>
      <c r="I707" s="14">
        <f t="shared" si="10"/>
        <v>-91461.422599328856</v>
      </c>
    </row>
    <row r="708" spans="1:9" x14ac:dyDescent="0.35">
      <c r="A708" s="3">
        <v>44868</v>
      </c>
      <c r="B708" s="4">
        <v>-2.0526930163629804E-3</v>
      </c>
      <c r="C708">
        <f ca="1">IF(B708&lt;Monte_Carlo!$AC$2,1,0)</f>
        <v>0</v>
      </c>
      <c r="D708" s="13"/>
      <c r="F708" s="13"/>
      <c r="G708">
        <v>706</v>
      </c>
      <c r="H708" s="4">
        <v>-2.7459056167257185E-3</v>
      </c>
      <c r="I708" s="14">
        <f t="shared" si="10"/>
        <v>-27459.056167257186</v>
      </c>
    </row>
    <row r="709" spans="1:9" x14ac:dyDescent="0.35">
      <c r="A709" s="3">
        <v>44869</v>
      </c>
      <c r="B709" s="4">
        <v>8.6082817004855972E-3</v>
      </c>
      <c r="C709">
        <f ca="1">IF(B709&lt;Monte_Carlo!$AC$2,1,0)</f>
        <v>0</v>
      </c>
      <c r="D709" s="13"/>
      <c r="F709" s="13"/>
      <c r="G709">
        <v>707</v>
      </c>
      <c r="H709" s="4">
        <v>3.7889116616843942E-3</v>
      </c>
      <c r="I709" s="14">
        <f t="shared" ref="I709:I772" si="11">H709*10000000</f>
        <v>37889.116616843945</v>
      </c>
    </row>
    <row r="710" spans="1:9" x14ac:dyDescent="0.35">
      <c r="A710" s="3">
        <v>44872</v>
      </c>
      <c r="B710" s="4">
        <v>-1.5602938404428641E-3</v>
      </c>
      <c r="C710">
        <f ca="1">IF(B710&lt;Monte_Carlo!$AC$2,1,0)</f>
        <v>0</v>
      </c>
      <c r="D710" s="13"/>
      <c r="F710" s="13"/>
      <c r="G710">
        <v>708</v>
      </c>
      <c r="H710" s="4">
        <v>-1.3477297411013047E-2</v>
      </c>
      <c r="I710" s="14">
        <f t="shared" si="11"/>
        <v>-134772.97411013048</v>
      </c>
    </row>
    <row r="711" spans="1:9" x14ac:dyDescent="0.35">
      <c r="A711" s="3">
        <v>44874</v>
      </c>
      <c r="B711" s="4">
        <v>6.5547867943491558E-3</v>
      </c>
      <c r="C711">
        <f ca="1">IF(B711&lt;Monte_Carlo!$AC$2,1,0)</f>
        <v>0</v>
      </c>
      <c r="D711" s="13"/>
      <c r="F711" s="13"/>
      <c r="G711">
        <v>709</v>
      </c>
      <c r="H711" s="4">
        <v>1.001475255493813E-2</v>
      </c>
      <c r="I711" s="14">
        <f t="shared" si="11"/>
        <v>100147.5255493813</v>
      </c>
    </row>
    <row r="712" spans="1:9" x14ac:dyDescent="0.35">
      <c r="A712" s="3">
        <v>44875</v>
      </c>
      <c r="B712" s="4">
        <v>-3.3814957682106101E-3</v>
      </c>
      <c r="C712">
        <f ca="1">IF(B712&lt;Monte_Carlo!$AC$2,1,0)</f>
        <v>0</v>
      </c>
      <c r="D712" s="13"/>
      <c r="F712" s="13"/>
      <c r="G712">
        <v>710</v>
      </c>
      <c r="H712" s="4">
        <v>1.0237354868153995E-2</v>
      </c>
      <c r="I712" s="14">
        <f t="shared" si="11"/>
        <v>102373.54868153995</v>
      </c>
    </row>
    <row r="713" spans="1:9" x14ac:dyDescent="0.35">
      <c r="A713" s="3">
        <v>44876</v>
      </c>
      <c r="B713" s="4">
        <v>-3.2641258345683373E-3</v>
      </c>
      <c r="C713">
        <f ca="1">IF(B713&lt;Monte_Carlo!$AC$2,1,0)</f>
        <v>0</v>
      </c>
      <c r="D713" s="13"/>
      <c r="F713" s="13"/>
      <c r="G713">
        <v>711</v>
      </c>
      <c r="H713" s="4">
        <v>-2.8089307597490412E-2</v>
      </c>
      <c r="I713" s="14">
        <f t="shared" si="11"/>
        <v>-280893.07597490412</v>
      </c>
    </row>
    <row r="714" spans="1:9" x14ac:dyDescent="0.35">
      <c r="A714" s="3">
        <v>44879</v>
      </c>
      <c r="B714" s="4">
        <v>-7.3492097090101655E-3</v>
      </c>
      <c r="C714">
        <f ca="1">IF(B714&lt;Monte_Carlo!$AC$2,1,0)</f>
        <v>0</v>
      </c>
      <c r="D714" s="13"/>
      <c r="F714" s="13"/>
      <c r="G714">
        <v>712</v>
      </c>
      <c r="H714" s="4">
        <v>-4.3872325472665121E-3</v>
      </c>
      <c r="I714" s="14">
        <f t="shared" si="11"/>
        <v>-43872.325472665121</v>
      </c>
    </row>
    <row r="715" spans="1:9" x14ac:dyDescent="0.35">
      <c r="A715" s="3">
        <v>44880</v>
      </c>
      <c r="B715" s="4">
        <v>-4.606885046225152E-3</v>
      </c>
      <c r="C715">
        <f ca="1">IF(B715&lt;Monte_Carlo!$AC$2,1,0)</f>
        <v>0</v>
      </c>
      <c r="D715" s="13"/>
      <c r="F715" s="13"/>
      <c r="G715">
        <v>713</v>
      </c>
      <c r="H715" s="4">
        <v>2.847237640206025E-2</v>
      </c>
      <c r="I715" s="14">
        <f t="shared" si="11"/>
        <v>284723.76402060251</v>
      </c>
    </row>
    <row r="716" spans="1:9" x14ac:dyDescent="0.35">
      <c r="A716" s="3">
        <v>44881</v>
      </c>
      <c r="B716" s="4">
        <v>2.9543537283812922E-3</v>
      </c>
      <c r="C716">
        <f ca="1">IF(B716&lt;Monte_Carlo!$AC$2,1,0)</f>
        <v>0</v>
      </c>
      <c r="D716" s="13"/>
      <c r="F716" s="13"/>
      <c r="G716">
        <v>714</v>
      </c>
      <c r="H716" s="4">
        <v>-1.7817002919100197E-2</v>
      </c>
      <c r="I716" s="14">
        <f t="shared" si="11"/>
        <v>-178170.02919100196</v>
      </c>
    </row>
    <row r="717" spans="1:9" x14ac:dyDescent="0.35">
      <c r="A717" s="3">
        <v>44882</v>
      </c>
      <c r="B717" s="4">
        <v>-6.2296318684606109E-3</v>
      </c>
      <c r="C717">
        <f ca="1">IF(B717&lt;Monte_Carlo!$AC$2,1,0)</f>
        <v>0</v>
      </c>
      <c r="D717" s="13"/>
      <c r="F717" s="13"/>
      <c r="G717">
        <v>715</v>
      </c>
      <c r="H717" s="4">
        <v>-1.2723432042314558E-2</v>
      </c>
      <c r="I717" s="14">
        <f t="shared" si="11"/>
        <v>-127234.32042314557</v>
      </c>
    </row>
    <row r="718" spans="1:9" x14ac:dyDescent="0.35">
      <c r="A718" s="3">
        <v>44883</v>
      </c>
      <c r="B718" s="4">
        <v>5.2770405390560595E-3</v>
      </c>
      <c r="C718">
        <f ca="1">IF(B718&lt;Monte_Carlo!$AC$2,1,0)</f>
        <v>0</v>
      </c>
      <c r="D718" s="13"/>
      <c r="F718" s="13"/>
      <c r="G718">
        <v>716</v>
      </c>
      <c r="H718" s="4">
        <v>-4.1072813960378891E-3</v>
      </c>
      <c r="I718" s="14">
        <f t="shared" si="11"/>
        <v>-41072.813960378888</v>
      </c>
    </row>
    <row r="719" spans="1:9" x14ac:dyDescent="0.35">
      <c r="A719" s="3">
        <v>44886</v>
      </c>
      <c r="B719" s="4">
        <v>-7.626874764353077E-3</v>
      </c>
      <c r="C719">
        <f ca="1">IF(B719&lt;Monte_Carlo!$AC$2,1,0)</f>
        <v>0</v>
      </c>
      <c r="D719" s="13"/>
      <c r="F719" s="13"/>
      <c r="G719">
        <v>717</v>
      </c>
      <c r="H719" s="4">
        <v>-1.8021012093279404E-2</v>
      </c>
      <c r="I719" s="14">
        <f t="shared" si="11"/>
        <v>-180210.12093279403</v>
      </c>
    </row>
    <row r="720" spans="1:9" x14ac:dyDescent="0.35">
      <c r="A720" s="3">
        <v>44887</v>
      </c>
      <c r="B720" s="4">
        <v>6.6652530080053675E-3</v>
      </c>
      <c r="C720">
        <f ca="1">IF(B720&lt;Monte_Carlo!$AC$2,1,0)</f>
        <v>0</v>
      </c>
      <c r="D720" s="13"/>
      <c r="F720" s="13"/>
      <c r="G720">
        <v>718</v>
      </c>
      <c r="H720" s="4">
        <v>4.4903454037214054E-2</v>
      </c>
      <c r="I720" s="14">
        <f t="shared" si="11"/>
        <v>449034.54037214053</v>
      </c>
    </row>
    <row r="721" spans="1:9" x14ac:dyDescent="0.35">
      <c r="A721" s="3">
        <v>44888</v>
      </c>
      <c r="B721" s="4">
        <v>6.1329979391666978E-3</v>
      </c>
      <c r="C721">
        <f ca="1">IF(B721&lt;Monte_Carlo!$AC$2,1,0)</f>
        <v>0</v>
      </c>
      <c r="D721" s="13"/>
      <c r="F721" s="13"/>
      <c r="G721">
        <v>719</v>
      </c>
      <c r="H721" s="4">
        <v>-5.3213488026423077E-3</v>
      </c>
      <c r="I721" s="14">
        <f t="shared" si="11"/>
        <v>-53213.488026423074</v>
      </c>
    </row>
    <row r="722" spans="1:9" x14ac:dyDescent="0.35">
      <c r="A722" s="3">
        <v>44889</v>
      </c>
      <c r="B722" s="4">
        <v>3.1421074185054465E-2</v>
      </c>
      <c r="C722">
        <f ca="1">IF(B722&lt;Monte_Carlo!$AC$2,1,0)</f>
        <v>0</v>
      </c>
      <c r="D722" s="13"/>
      <c r="F722" s="13"/>
      <c r="G722">
        <v>720</v>
      </c>
      <c r="H722" s="4">
        <v>2.3428672515570636E-3</v>
      </c>
      <c r="I722" s="14">
        <f t="shared" si="11"/>
        <v>23428.672515570637</v>
      </c>
    </row>
    <row r="723" spans="1:9" x14ac:dyDescent="0.35">
      <c r="A723" s="3">
        <v>44890</v>
      </c>
      <c r="B723" s="4">
        <v>-5.9730762544100355E-3</v>
      </c>
      <c r="C723">
        <f ca="1">IF(B723&lt;Monte_Carlo!$AC$2,1,0)</f>
        <v>0</v>
      </c>
      <c r="D723" s="13"/>
      <c r="F723" s="13"/>
      <c r="G723">
        <v>721</v>
      </c>
      <c r="H723" s="4">
        <v>3.1075930714004104E-3</v>
      </c>
      <c r="I723" s="14">
        <f t="shared" si="11"/>
        <v>31075.930714004106</v>
      </c>
    </row>
    <row r="724" spans="1:9" x14ac:dyDescent="0.35">
      <c r="A724" s="3">
        <v>44893</v>
      </c>
      <c r="B724" s="4">
        <v>4.0635426385314567E-3</v>
      </c>
      <c r="C724">
        <f ca="1">IF(B724&lt;Monte_Carlo!$AC$2,1,0)</f>
        <v>0</v>
      </c>
      <c r="D724" s="13"/>
      <c r="F724" s="13"/>
      <c r="G724">
        <v>722</v>
      </c>
      <c r="H724" s="4">
        <v>3.4569661715528445E-3</v>
      </c>
      <c r="I724" s="14">
        <f t="shared" si="11"/>
        <v>34569.661715528448</v>
      </c>
    </row>
    <row r="725" spans="1:9" x14ac:dyDescent="0.35">
      <c r="A725" s="3">
        <v>44894</v>
      </c>
      <c r="B725" s="4">
        <v>1.8874878830571266E-2</v>
      </c>
      <c r="C725">
        <f ca="1">IF(B725&lt;Monte_Carlo!$AC$2,1,0)</f>
        <v>0</v>
      </c>
      <c r="D725" s="13"/>
      <c r="F725" s="13"/>
      <c r="G725">
        <v>723</v>
      </c>
      <c r="H725" s="4">
        <v>-1.9595748056139631E-4</v>
      </c>
      <c r="I725" s="14">
        <f t="shared" si="11"/>
        <v>-1959.574805613963</v>
      </c>
    </row>
    <row r="726" spans="1:9" x14ac:dyDescent="0.35">
      <c r="A726" s="3">
        <v>44895</v>
      </c>
      <c r="B726" s="4">
        <v>2.1924832027427454E-2</v>
      </c>
      <c r="C726">
        <f ca="1">IF(B726&lt;Monte_Carlo!$AC$2,1,0)</f>
        <v>0</v>
      </c>
      <c r="D726" s="13"/>
      <c r="F726" s="13"/>
      <c r="G726">
        <v>724</v>
      </c>
      <c r="H726" s="4">
        <v>-9.7781844421724572E-3</v>
      </c>
      <c r="I726" s="14">
        <f t="shared" si="11"/>
        <v>-97781.844421724571</v>
      </c>
    </row>
    <row r="727" spans="1:9" x14ac:dyDescent="0.35">
      <c r="A727" s="3">
        <v>44896</v>
      </c>
      <c r="B727" s="4">
        <v>1.256087518537398E-3</v>
      </c>
      <c r="C727">
        <f ca="1">IF(B727&lt;Monte_Carlo!$AC$2,1,0)</f>
        <v>0</v>
      </c>
      <c r="D727" s="13"/>
      <c r="F727" s="13"/>
      <c r="G727">
        <v>725</v>
      </c>
      <c r="H727" s="4">
        <v>-1.8998526464996716E-2</v>
      </c>
      <c r="I727" s="14">
        <f t="shared" si="11"/>
        <v>-189985.26464996717</v>
      </c>
    </row>
    <row r="728" spans="1:9" x14ac:dyDescent="0.35">
      <c r="A728" s="3">
        <v>44897</v>
      </c>
      <c r="B728" s="4">
        <v>1.5652366560309348E-2</v>
      </c>
      <c r="C728">
        <f ca="1">IF(B728&lt;Monte_Carlo!$AC$2,1,0)</f>
        <v>0</v>
      </c>
      <c r="D728" s="13"/>
      <c r="F728" s="13"/>
      <c r="G728">
        <v>726</v>
      </c>
      <c r="H728" s="4">
        <v>2.268907576127719E-2</v>
      </c>
      <c r="I728" s="14">
        <f t="shared" si="11"/>
        <v>226890.75761277191</v>
      </c>
    </row>
    <row r="729" spans="1:9" x14ac:dyDescent="0.35">
      <c r="A729" s="3">
        <v>44900</v>
      </c>
      <c r="B729" s="4">
        <v>-8.2330198792063408E-3</v>
      </c>
      <c r="C729">
        <f ca="1">IF(B729&lt;Monte_Carlo!$AC$2,1,0)</f>
        <v>0</v>
      </c>
      <c r="D729" s="13"/>
      <c r="F729" s="13"/>
      <c r="G729">
        <v>727</v>
      </c>
      <c r="H729" s="4">
        <v>-2.0501075781000265E-2</v>
      </c>
      <c r="I729" s="14">
        <f t="shared" si="11"/>
        <v>-205010.75781000266</v>
      </c>
    </row>
    <row r="730" spans="1:9" x14ac:dyDescent="0.35">
      <c r="A730" s="3">
        <v>44901</v>
      </c>
      <c r="B730" s="4">
        <v>-5.2780758880442025E-3</v>
      </c>
      <c r="C730">
        <f ca="1">IF(B730&lt;Monte_Carlo!$AC$2,1,0)</f>
        <v>0</v>
      </c>
      <c r="D730" s="13"/>
      <c r="F730" s="13"/>
      <c r="G730">
        <v>728</v>
      </c>
      <c r="H730" s="4">
        <v>2.9319349873238951E-3</v>
      </c>
      <c r="I730" s="14">
        <f t="shared" si="11"/>
        <v>29319.349873238953</v>
      </c>
    </row>
    <row r="731" spans="1:9" x14ac:dyDescent="0.35">
      <c r="A731" s="3">
        <v>44902</v>
      </c>
      <c r="B731" s="4">
        <v>1.2202640623736901E-2</v>
      </c>
      <c r="C731">
        <f ca="1">IF(B731&lt;Monte_Carlo!$AC$2,1,0)</f>
        <v>0</v>
      </c>
      <c r="D731" s="13"/>
      <c r="F731" s="13"/>
      <c r="G731">
        <v>729</v>
      </c>
      <c r="H731" s="4">
        <v>3.8715243848187223E-3</v>
      </c>
      <c r="I731" s="14">
        <f t="shared" si="11"/>
        <v>38715.243848187223</v>
      </c>
    </row>
    <row r="732" spans="1:9" x14ac:dyDescent="0.35">
      <c r="A732" s="3">
        <v>44903</v>
      </c>
      <c r="B732" s="4">
        <v>1.6687278668176793E-3</v>
      </c>
      <c r="C732">
        <f ca="1">IF(B732&lt;Monte_Carlo!$AC$2,1,0)</f>
        <v>0</v>
      </c>
      <c r="D732" s="13"/>
      <c r="F732" s="13"/>
      <c r="G732">
        <v>730</v>
      </c>
      <c r="H732" s="4">
        <v>3.6834474977423572E-3</v>
      </c>
      <c r="I732" s="14">
        <f t="shared" si="11"/>
        <v>36834.474977423575</v>
      </c>
    </row>
    <row r="733" spans="1:9" x14ac:dyDescent="0.35">
      <c r="A733" s="3">
        <v>44904</v>
      </c>
      <c r="B733" s="4">
        <v>-3.7648136956207555E-3</v>
      </c>
      <c r="C733">
        <f ca="1">IF(B733&lt;Monte_Carlo!$AC$2,1,0)</f>
        <v>0</v>
      </c>
      <c r="D733" s="13"/>
      <c r="F733" s="13"/>
      <c r="G733">
        <v>731</v>
      </c>
      <c r="H733" s="4">
        <v>3.5902374175995455E-2</v>
      </c>
      <c r="I733" s="14">
        <f t="shared" si="11"/>
        <v>359023.74175995454</v>
      </c>
    </row>
    <row r="734" spans="1:9" x14ac:dyDescent="0.35">
      <c r="A734" s="3">
        <v>44907</v>
      </c>
      <c r="B734" s="4">
        <v>-7.1752939316348605E-3</v>
      </c>
      <c r="C734">
        <f ca="1">IF(B734&lt;Monte_Carlo!$AC$2,1,0)</f>
        <v>0</v>
      </c>
      <c r="D734" s="13"/>
      <c r="F734" s="13"/>
      <c r="G734">
        <v>732</v>
      </c>
      <c r="H734" s="4">
        <v>-3.8372781576996536E-2</v>
      </c>
      <c r="I734" s="14">
        <f t="shared" si="11"/>
        <v>-383727.81576996535</v>
      </c>
    </row>
    <row r="735" spans="1:9" x14ac:dyDescent="0.35">
      <c r="A735" s="3">
        <v>44908</v>
      </c>
      <c r="B735" s="4">
        <v>3.0980910057285053E-4</v>
      </c>
      <c r="C735">
        <f ca="1">IF(B735&lt;Monte_Carlo!$AC$2,1,0)</f>
        <v>0</v>
      </c>
      <c r="D735" s="13"/>
      <c r="F735" s="13"/>
      <c r="G735">
        <v>733</v>
      </c>
      <c r="H735" s="4">
        <v>5.3506554027601856E-3</v>
      </c>
      <c r="I735" s="14">
        <f t="shared" si="11"/>
        <v>53506.554027601858</v>
      </c>
    </row>
    <row r="736" spans="1:9" x14ac:dyDescent="0.35">
      <c r="A736" s="3">
        <v>44909</v>
      </c>
      <c r="B736" s="4">
        <v>3.3078829308802425E-2</v>
      </c>
      <c r="C736">
        <f ca="1">IF(B736&lt;Monte_Carlo!$AC$2,1,0)</f>
        <v>0</v>
      </c>
      <c r="D736" s="13"/>
      <c r="F736" s="13"/>
      <c r="G736">
        <v>734</v>
      </c>
      <c r="H736" s="4">
        <v>7.7438281607724469E-3</v>
      </c>
      <c r="I736" s="14">
        <f t="shared" si="11"/>
        <v>77438.281607724464</v>
      </c>
    </row>
    <row r="737" spans="1:9" x14ac:dyDescent="0.35">
      <c r="A737" s="3">
        <v>44910</v>
      </c>
      <c r="B737" s="4">
        <v>1.5670755968708219E-2</v>
      </c>
      <c r="C737">
        <f ca="1">IF(B737&lt;Monte_Carlo!$AC$2,1,0)</f>
        <v>0</v>
      </c>
      <c r="D737" s="13"/>
      <c r="F737" s="13"/>
      <c r="G737">
        <v>735</v>
      </c>
      <c r="H737" s="4">
        <v>1.7099443446446243E-2</v>
      </c>
      <c r="I737" s="14">
        <f t="shared" si="11"/>
        <v>170994.43446446242</v>
      </c>
    </row>
    <row r="738" spans="1:9" x14ac:dyDescent="0.35">
      <c r="A738" s="3">
        <v>44911</v>
      </c>
      <c r="B738" s="4">
        <v>-1.1708563205416137E-2</v>
      </c>
      <c r="C738">
        <f ca="1">IF(B738&lt;Monte_Carlo!$AC$2,1,0)</f>
        <v>0</v>
      </c>
      <c r="D738" s="13"/>
      <c r="F738" s="13"/>
      <c r="G738">
        <v>736</v>
      </c>
      <c r="H738" s="4">
        <v>-5.5290276444651225E-3</v>
      </c>
      <c r="I738" s="14">
        <f t="shared" si="11"/>
        <v>-55290.276444651223</v>
      </c>
    </row>
    <row r="739" spans="1:9" x14ac:dyDescent="0.35">
      <c r="A739" s="3">
        <v>44914</v>
      </c>
      <c r="B739" s="4">
        <v>3.4900255013258268E-2</v>
      </c>
      <c r="C739">
        <f ca="1">IF(B739&lt;Monte_Carlo!$AC$2,1,0)</f>
        <v>0</v>
      </c>
      <c r="D739" s="13"/>
      <c r="F739" s="13"/>
      <c r="G739">
        <v>737</v>
      </c>
      <c r="H739" s="4">
        <v>-9.4171977077278958E-3</v>
      </c>
      <c r="I739" s="14">
        <f t="shared" si="11"/>
        <v>-94171.977077278963</v>
      </c>
    </row>
    <row r="740" spans="1:9" x14ac:dyDescent="0.35">
      <c r="A740" s="3">
        <v>44915</v>
      </c>
      <c r="B740" s="4">
        <v>-6.254353288735184E-3</v>
      </c>
      <c r="C740">
        <f ca="1">IF(B740&lt;Monte_Carlo!$AC$2,1,0)</f>
        <v>0</v>
      </c>
      <c r="D740" s="13"/>
      <c r="F740" s="13"/>
      <c r="G740">
        <v>738</v>
      </c>
      <c r="H740" s="4">
        <v>-7.14099997765681E-3</v>
      </c>
      <c r="I740" s="14">
        <f t="shared" si="11"/>
        <v>-71409.999776568104</v>
      </c>
    </row>
    <row r="741" spans="1:9" x14ac:dyDescent="0.35">
      <c r="A741" s="3">
        <v>44916</v>
      </c>
      <c r="B741" s="4">
        <v>-3.5201345514371755E-2</v>
      </c>
      <c r="C741">
        <f ca="1">IF(B741&lt;Monte_Carlo!$AC$2,1,0)</f>
        <v>0</v>
      </c>
      <c r="D741" s="13"/>
      <c r="F741" s="13"/>
      <c r="G741">
        <v>739</v>
      </c>
      <c r="H741" s="4">
        <v>6.378075408689305E-3</v>
      </c>
      <c r="I741" s="14">
        <f t="shared" si="11"/>
        <v>63780.754086893052</v>
      </c>
    </row>
    <row r="742" spans="1:9" x14ac:dyDescent="0.35">
      <c r="A742" s="3">
        <v>44917</v>
      </c>
      <c r="B742" s="4">
        <v>1.698846111515066E-2</v>
      </c>
      <c r="C742">
        <f ca="1">IF(B742&lt;Monte_Carlo!$AC$2,1,0)</f>
        <v>0</v>
      </c>
      <c r="D742" s="13"/>
      <c r="F742" s="13"/>
      <c r="G742">
        <v>740</v>
      </c>
      <c r="H742" s="4">
        <v>2.2605070057756171E-3</v>
      </c>
      <c r="I742" s="14">
        <f t="shared" si="11"/>
        <v>22605.070057756169</v>
      </c>
    </row>
    <row r="743" spans="1:9" x14ac:dyDescent="0.35">
      <c r="A743" s="3">
        <v>44918</v>
      </c>
      <c r="B743" s="4">
        <v>-3.7933736976978071E-2</v>
      </c>
      <c r="C743">
        <f ca="1">IF(B743&lt;Monte_Carlo!$AC$2,1,0)</f>
        <v>0</v>
      </c>
      <c r="D743" s="13"/>
      <c r="F743" s="13"/>
      <c r="G743">
        <v>741</v>
      </c>
      <c r="H743" s="4">
        <v>-1.9819900093403089E-2</v>
      </c>
      <c r="I743" s="14">
        <f t="shared" si="11"/>
        <v>-198199.00093403089</v>
      </c>
    </row>
    <row r="744" spans="1:9" x14ac:dyDescent="0.35">
      <c r="A744" s="3">
        <v>44921</v>
      </c>
      <c r="B744" s="4">
        <v>2.454979468198765E-2</v>
      </c>
      <c r="C744">
        <f ca="1">IF(B744&lt;Monte_Carlo!$AC$2,1,0)</f>
        <v>0</v>
      </c>
      <c r="D744" s="13"/>
      <c r="F744" s="13"/>
      <c r="G744">
        <v>742</v>
      </c>
      <c r="H744" s="4">
        <v>9.2917009412367794E-3</v>
      </c>
      <c r="I744" s="14">
        <f t="shared" si="11"/>
        <v>92917.009412367799</v>
      </c>
    </row>
    <row r="745" spans="1:9" x14ac:dyDescent="0.35">
      <c r="A745" s="3">
        <v>44922</v>
      </c>
      <c r="B745" s="4">
        <v>1.9739812383210526E-4</v>
      </c>
      <c r="C745">
        <f ca="1">IF(B745&lt;Monte_Carlo!$AC$2,1,0)</f>
        <v>0</v>
      </c>
      <c r="D745" s="13"/>
      <c r="F745" s="13"/>
      <c r="G745">
        <v>743</v>
      </c>
      <c r="H745" s="4">
        <v>3.4991313762165826E-3</v>
      </c>
      <c r="I745" s="14">
        <f t="shared" si="11"/>
        <v>34991.313762165824</v>
      </c>
    </row>
    <row r="746" spans="1:9" x14ac:dyDescent="0.35">
      <c r="A746" s="3">
        <v>44923</v>
      </c>
      <c r="B746" s="4">
        <v>7.072031738392149E-3</v>
      </c>
      <c r="C746">
        <f ca="1">IF(B746&lt;Monte_Carlo!$AC$2,1,0)</f>
        <v>0</v>
      </c>
      <c r="D746" s="13"/>
      <c r="F746" s="13"/>
      <c r="G746">
        <v>744</v>
      </c>
      <c r="H746" s="4">
        <v>-2.2386964294752822E-3</v>
      </c>
      <c r="I746" s="14">
        <f t="shared" si="11"/>
        <v>-22386.964294752823</v>
      </c>
    </row>
    <row r="747" spans="1:9" x14ac:dyDescent="0.35">
      <c r="A747" s="3">
        <v>44924</v>
      </c>
      <c r="B747" s="4">
        <v>-6.2500674387631853E-3</v>
      </c>
      <c r="C747">
        <f ca="1">IF(B747&lt;Monte_Carlo!$AC$2,1,0)</f>
        <v>0</v>
      </c>
      <c r="D747" s="13"/>
      <c r="F747" s="13"/>
      <c r="G747">
        <v>745</v>
      </c>
      <c r="H747" s="4">
        <v>-3.3727453837557918E-4</v>
      </c>
      <c r="I747" s="14">
        <f t="shared" si="11"/>
        <v>-3372.7453837557919</v>
      </c>
    </row>
    <row r="748" spans="1:9" x14ac:dyDescent="0.35">
      <c r="A748" s="3">
        <v>44925</v>
      </c>
      <c r="B748" s="4">
        <v>1.7347487293252421E-2</v>
      </c>
      <c r="C748">
        <f ca="1">IF(B748&lt;Monte_Carlo!$AC$2,1,0)</f>
        <v>0</v>
      </c>
      <c r="D748" s="13"/>
      <c r="F748" s="13"/>
      <c r="G748">
        <v>746</v>
      </c>
      <c r="H748" s="4">
        <v>1.6473239948146801E-2</v>
      </c>
      <c r="I748" s="14">
        <f t="shared" si="11"/>
        <v>164732.39948146802</v>
      </c>
    </row>
    <row r="749" spans="1:9" x14ac:dyDescent="0.35">
      <c r="A749" s="3">
        <v>44928</v>
      </c>
      <c r="B749" s="4">
        <v>1.4296892913250512E-2</v>
      </c>
      <c r="C749">
        <f ca="1">IF(B749&lt;Monte_Carlo!$AC$2,1,0)</f>
        <v>0</v>
      </c>
      <c r="D749" s="13"/>
      <c r="F749" s="13"/>
      <c r="G749">
        <v>747</v>
      </c>
      <c r="H749" s="4">
        <v>-1.364674698220981E-3</v>
      </c>
      <c r="I749" s="14">
        <f t="shared" si="11"/>
        <v>-13646.74698220981</v>
      </c>
    </row>
    <row r="750" spans="1:9" x14ac:dyDescent="0.35">
      <c r="A750" s="3">
        <v>44929</v>
      </c>
      <c r="B750" s="4">
        <v>2.5153382069427646E-2</v>
      </c>
      <c r="C750">
        <f ca="1">IF(B750&lt;Monte_Carlo!$AC$2,1,0)</f>
        <v>0</v>
      </c>
      <c r="D750" s="13"/>
      <c r="F750" s="13"/>
      <c r="G750">
        <v>748</v>
      </c>
      <c r="H750" s="4">
        <v>-1.8698733495543175E-2</v>
      </c>
      <c r="I750" s="14">
        <f t="shared" si="11"/>
        <v>-186987.33495543175</v>
      </c>
    </row>
    <row r="751" spans="1:9" x14ac:dyDescent="0.35">
      <c r="A751" s="3">
        <v>44930</v>
      </c>
      <c r="B751" s="4">
        <v>-3.9620833295901867E-3</v>
      </c>
      <c r="C751">
        <f ca="1">IF(B751&lt;Monte_Carlo!$AC$2,1,0)</f>
        <v>0</v>
      </c>
      <c r="D751" s="13"/>
      <c r="F751" s="13"/>
      <c r="G751">
        <v>749</v>
      </c>
      <c r="H751" s="4">
        <v>3.0099927278980559E-2</v>
      </c>
      <c r="I751" s="14">
        <f t="shared" si="11"/>
        <v>300999.2727898056</v>
      </c>
    </row>
    <row r="752" spans="1:9" x14ac:dyDescent="0.35">
      <c r="A752" s="3">
        <v>44931</v>
      </c>
      <c r="B752" s="4">
        <v>9.8255904897577608E-3</v>
      </c>
      <c r="C752">
        <f ca="1">IF(B752&lt;Monte_Carlo!$AC$2,1,0)</f>
        <v>0</v>
      </c>
      <c r="D752" s="13"/>
      <c r="F752" s="13"/>
      <c r="G752">
        <v>750</v>
      </c>
      <c r="H752" s="4">
        <v>-2.4713881770732745E-2</v>
      </c>
      <c r="I752" s="14">
        <f t="shared" si="11"/>
        <v>-247138.81770732746</v>
      </c>
    </row>
    <row r="753" spans="1:9" x14ac:dyDescent="0.35">
      <c r="A753" s="3">
        <v>44932</v>
      </c>
      <c r="B753" s="4">
        <v>-2.1377105234773167E-2</v>
      </c>
      <c r="C753">
        <f ca="1">IF(B753&lt;Monte_Carlo!$AC$2,1,0)</f>
        <v>0</v>
      </c>
      <c r="D753" s="13"/>
      <c r="F753" s="13"/>
      <c r="G753">
        <v>751</v>
      </c>
      <c r="H753" s="4">
        <v>2.7786829741985139E-2</v>
      </c>
      <c r="I753" s="14">
        <f t="shared" si="11"/>
        <v>277868.29741985141</v>
      </c>
    </row>
    <row r="754" spans="1:9" x14ac:dyDescent="0.35">
      <c r="A754" s="3">
        <v>44935</v>
      </c>
      <c r="B754" s="4">
        <v>5.8071375487483848E-4</v>
      </c>
      <c r="C754">
        <f ca="1">IF(B754&lt;Monte_Carlo!$AC$2,1,0)</f>
        <v>0</v>
      </c>
      <c r="D754" s="13"/>
      <c r="F754" s="13"/>
      <c r="G754">
        <v>752</v>
      </c>
      <c r="H754" s="4">
        <v>-3.320714847435742E-2</v>
      </c>
      <c r="I754" s="14">
        <f t="shared" si="11"/>
        <v>-332071.48474357423</v>
      </c>
    </row>
    <row r="755" spans="1:9" x14ac:dyDescent="0.35">
      <c r="A755" s="3">
        <v>44936</v>
      </c>
      <c r="B755" s="4">
        <v>-1.9778860754761395E-2</v>
      </c>
      <c r="C755">
        <f ca="1">IF(B755&lt;Monte_Carlo!$AC$2,1,0)</f>
        <v>0</v>
      </c>
      <c r="D755" s="13"/>
      <c r="F755" s="13"/>
      <c r="G755">
        <v>753</v>
      </c>
      <c r="H755" s="4">
        <v>-1.6979396125039768E-2</v>
      </c>
      <c r="I755" s="14">
        <f t="shared" si="11"/>
        <v>-169793.96125039767</v>
      </c>
    </row>
    <row r="756" spans="1:9" x14ac:dyDescent="0.35">
      <c r="A756" s="3">
        <v>44937</v>
      </c>
      <c r="B756" s="4">
        <v>3.737412974145695E-3</v>
      </c>
      <c r="C756">
        <f ca="1">IF(B756&lt;Monte_Carlo!$AC$2,1,0)</f>
        <v>0</v>
      </c>
      <c r="D756" s="13"/>
      <c r="F756" s="13"/>
      <c r="G756">
        <v>754</v>
      </c>
      <c r="H756" s="4">
        <v>1.5387814364971657E-2</v>
      </c>
      <c r="I756" s="14">
        <f t="shared" si="11"/>
        <v>153878.14364971657</v>
      </c>
    </row>
    <row r="757" spans="1:9" x14ac:dyDescent="0.35">
      <c r="A757" s="3">
        <v>44938</v>
      </c>
      <c r="B757" s="4">
        <v>4.1369019786664683E-3</v>
      </c>
      <c r="C757">
        <f ca="1">IF(B757&lt;Monte_Carlo!$AC$2,1,0)</f>
        <v>0</v>
      </c>
      <c r="D757" s="13"/>
      <c r="F757" s="13"/>
      <c r="G757">
        <v>755</v>
      </c>
      <c r="H757" s="4">
        <v>2.4590818839238346E-2</v>
      </c>
      <c r="I757" s="14">
        <f t="shared" si="11"/>
        <v>245908.18839238345</v>
      </c>
    </row>
    <row r="758" spans="1:9" x14ac:dyDescent="0.35">
      <c r="A758" s="3">
        <v>44939</v>
      </c>
      <c r="B758" s="4">
        <v>9.3017305379714619E-3</v>
      </c>
      <c r="C758">
        <f ca="1">IF(B758&lt;Monte_Carlo!$AC$2,1,0)</f>
        <v>0</v>
      </c>
      <c r="D758" s="13"/>
      <c r="F758" s="13"/>
      <c r="G758">
        <v>756</v>
      </c>
      <c r="H758" s="4">
        <v>-1.9672552772615485E-2</v>
      </c>
      <c r="I758" s="14">
        <f t="shared" si="11"/>
        <v>-196725.52772615486</v>
      </c>
    </row>
    <row r="759" spans="1:9" x14ac:dyDescent="0.35">
      <c r="A759" s="3">
        <v>44942</v>
      </c>
      <c r="B759" s="4">
        <v>-9.5570309610103609E-3</v>
      </c>
      <c r="C759">
        <f ca="1">IF(B759&lt;Monte_Carlo!$AC$2,1,0)</f>
        <v>0</v>
      </c>
      <c r="D759" s="13"/>
      <c r="F759" s="13"/>
      <c r="G759">
        <v>757</v>
      </c>
      <c r="H759" s="4">
        <v>-7.3101225583343653E-3</v>
      </c>
      <c r="I759" s="14">
        <f t="shared" si="11"/>
        <v>-73101.22558334365</v>
      </c>
    </row>
    <row r="760" spans="1:9" x14ac:dyDescent="0.35">
      <c r="A760" s="3">
        <v>44943</v>
      </c>
      <c r="B760" s="4">
        <v>-5.354908267425993E-3</v>
      </c>
      <c r="C760">
        <f ca="1">IF(B760&lt;Monte_Carlo!$AC$2,1,0)</f>
        <v>0</v>
      </c>
      <c r="D760" s="13"/>
      <c r="F760" s="13"/>
      <c r="G760">
        <v>758</v>
      </c>
      <c r="H760" s="4">
        <v>2.7911545552767293E-2</v>
      </c>
      <c r="I760" s="14">
        <f t="shared" si="11"/>
        <v>279115.45552767295</v>
      </c>
    </row>
    <row r="761" spans="1:9" x14ac:dyDescent="0.35">
      <c r="A761" s="3">
        <v>44944</v>
      </c>
      <c r="B761" s="4">
        <v>-2.8072861662971484E-2</v>
      </c>
      <c r="C761">
        <f ca="1">IF(B761&lt;Monte_Carlo!$AC$2,1,0)</f>
        <v>0</v>
      </c>
      <c r="D761" s="13"/>
      <c r="F761" s="13"/>
      <c r="G761">
        <v>759</v>
      </c>
      <c r="H761" s="4">
        <v>2.0408212968238632E-3</v>
      </c>
      <c r="I761" s="14">
        <f t="shared" si="11"/>
        <v>20408.212968238633</v>
      </c>
    </row>
    <row r="762" spans="1:9" x14ac:dyDescent="0.35">
      <c r="A762" s="3">
        <v>44945</v>
      </c>
      <c r="B762" s="4">
        <v>-2.4020728023162092E-2</v>
      </c>
      <c r="C762">
        <f ca="1">IF(B762&lt;Monte_Carlo!$AC$2,1,0)</f>
        <v>0</v>
      </c>
      <c r="D762" s="13"/>
      <c r="F762" s="13"/>
      <c r="G762">
        <v>760</v>
      </c>
      <c r="H762" s="4">
        <v>-3.6368809296244163E-2</v>
      </c>
      <c r="I762" s="14">
        <f t="shared" si="11"/>
        <v>-363688.09296244162</v>
      </c>
    </row>
    <row r="763" spans="1:9" x14ac:dyDescent="0.35">
      <c r="A763" s="3">
        <v>44946</v>
      </c>
      <c r="B763" s="4">
        <v>-1.2912043831719842E-2</v>
      </c>
      <c r="C763">
        <f ca="1">IF(B763&lt;Monte_Carlo!$AC$2,1,0)</f>
        <v>0</v>
      </c>
      <c r="D763" s="13"/>
      <c r="F763" s="13"/>
      <c r="G763">
        <v>761</v>
      </c>
      <c r="H763" s="4">
        <v>3.3695061312036659E-2</v>
      </c>
      <c r="I763" s="14">
        <f t="shared" si="11"/>
        <v>336950.61312036659</v>
      </c>
    </row>
    <row r="764" spans="1:9" x14ac:dyDescent="0.35">
      <c r="A764" s="3">
        <v>44949</v>
      </c>
      <c r="B764" s="4">
        <v>6.4204713672709537E-3</v>
      </c>
      <c r="C764">
        <f ca="1">IF(B764&lt;Monte_Carlo!$AC$2,1,0)</f>
        <v>0</v>
      </c>
      <c r="D764" s="13"/>
      <c r="F764" s="13"/>
      <c r="G764">
        <v>762</v>
      </c>
      <c r="H764" s="4">
        <v>-2.5009601515813752E-2</v>
      </c>
      <c r="I764" s="14">
        <f t="shared" si="11"/>
        <v>-250096.01515813751</v>
      </c>
    </row>
    <row r="765" spans="1:9" x14ac:dyDescent="0.35">
      <c r="A765" s="3">
        <v>44950</v>
      </c>
      <c r="B765" s="4">
        <v>-1.0608078440671632E-3</v>
      </c>
      <c r="C765">
        <f ca="1">IF(B765&lt;Monte_Carlo!$AC$2,1,0)</f>
        <v>0</v>
      </c>
      <c r="D765" s="13"/>
      <c r="F765" s="13"/>
      <c r="G765">
        <v>763</v>
      </c>
      <c r="H765" s="4">
        <v>2.7253660923857084E-2</v>
      </c>
      <c r="I765" s="14">
        <f t="shared" si="11"/>
        <v>272536.60923857085</v>
      </c>
    </row>
    <row r="766" spans="1:9" x14ac:dyDescent="0.35">
      <c r="A766" s="3">
        <v>44951</v>
      </c>
      <c r="B766" s="4">
        <v>-1.2907129335193643E-2</v>
      </c>
      <c r="C766">
        <f ca="1">IF(B766&lt;Monte_Carlo!$AC$2,1,0)</f>
        <v>0</v>
      </c>
      <c r="D766" s="13"/>
      <c r="F766" s="13"/>
      <c r="G766">
        <v>764</v>
      </c>
      <c r="H766" s="4">
        <v>-3.4084159439006896E-2</v>
      </c>
      <c r="I766" s="14">
        <f t="shared" si="11"/>
        <v>-340841.59439006896</v>
      </c>
    </row>
    <row r="767" spans="1:9" x14ac:dyDescent="0.35">
      <c r="A767" s="3">
        <v>44953</v>
      </c>
      <c r="B767" s="4">
        <v>-1.1038414148576184E-2</v>
      </c>
      <c r="C767">
        <f ca="1">IF(B767&lt;Monte_Carlo!$AC$2,1,0)</f>
        <v>0</v>
      </c>
      <c r="D767" s="13"/>
      <c r="F767" s="13"/>
      <c r="G767">
        <v>765</v>
      </c>
      <c r="H767" s="4">
        <v>-4.2527810297169934E-3</v>
      </c>
      <c r="I767" s="14">
        <f t="shared" si="11"/>
        <v>-42527.810297169934</v>
      </c>
    </row>
    <row r="768" spans="1:9" x14ac:dyDescent="0.35">
      <c r="A768" s="3">
        <v>44956</v>
      </c>
      <c r="B768" s="4">
        <v>1.1903068552467219E-2</v>
      </c>
      <c r="C768">
        <f ca="1">IF(B768&lt;Monte_Carlo!$AC$2,1,0)</f>
        <v>0</v>
      </c>
      <c r="D768" s="13"/>
      <c r="F768" s="13"/>
      <c r="G768">
        <v>766</v>
      </c>
      <c r="H768" s="4">
        <v>4.9550017152817363E-3</v>
      </c>
      <c r="I768" s="14">
        <f t="shared" si="11"/>
        <v>49550.01715281736</v>
      </c>
    </row>
    <row r="769" spans="1:9" x14ac:dyDescent="0.35">
      <c r="A769" s="3">
        <v>44957</v>
      </c>
      <c r="B769" s="4">
        <v>-1.7188082878035458E-4</v>
      </c>
      <c r="C769">
        <f ca="1">IF(B769&lt;Monte_Carlo!$AC$2,1,0)</f>
        <v>0</v>
      </c>
      <c r="D769" s="13"/>
      <c r="F769" s="13"/>
      <c r="G769">
        <v>767</v>
      </c>
      <c r="H769" s="4">
        <v>1.0310944097786144E-2</v>
      </c>
      <c r="I769" s="14">
        <f t="shared" si="11"/>
        <v>103109.44097786145</v>
      </c>
    </row>
    <row r="770" spans="1:9" x14ac:dyDescent="0.35">
      <c r="A770" s="3">
        <v>44958</v>
      </c>
      <c r="B770" s="4">
        <v>-3.3359250203675604E-2</v>
      </c>
      <c r="C770">
        <f ca="1">IF(B770&lt;Monte_Carlo!$AC$2,1,0)</f>
        <v>0</v>
      </c>
      <c r="D770" s="13"/>
      <c r="F770" s="13"/>
      <c r="G770">
        <v>768</v>
      </c>
      <c r="H770" s="4">
        <v>5.3402604493261452E-3</v>
      </c>
      <c r="I770" s="14">
        <f t="shared" si="11"/>
        <v>53402.604493261453</v>
      </c>
    </row>
    <row r="771" spans="1:9" x14ac:dyDescent="0.35">
      <c r="A771" s="3">
        <v>44959</v>
      </c>
      <c r="B771" s="4">
        <v>1.3098846478870984E-3</v>
      </c>
      <c r="C771">
        <f ca="1">IF(B771&lt;Monte_Carlo!$AC$2,1,0)</f>
        <v>0</v>
      </c>
      <c r="D771" s="13"/>
      <c r="F771" s="13"/>
      <c r="G771">
        <v>769</v>
      </c>
      <c r="H771" s="4">
        <v>1.9765221708498648E-2</v>
      </c>
      <c r="I771" s="14">
        <f t="shared" si="11"/>
        <v>197652.21708498648</v>
      </c>
    </row>
    <row r="772" spans="1:9" x14ac:dyDescent="0.35">
      <c r="A772" s="3">
        <v>44960</v>
      </c>
      <c r="B772" s="4">
        <v>-1.1634090772400718E-3</v>
      </c>
      <c r="C772">
        <f ca="1">IF(B772&lt;Monte_Carlo!$AC$2,1,0)</f>
        <v>0</v>
      </c>
      <c r="D772" s="13"/>
      <c r="F772" s="13"/>
      <c r="G772">
        <v>770</v>
      </c>
      <c r="H772" s="4">
        <v>-2.8168631458501476E-2</v>
      </c>
      <c r="I772" s="14">
        <f t="shared" si="11"/>
        <v>-281686.31458501477</v>
      </c>
    </row>
    <row r="773" spans="1:9" x14ac:dyDescent="0.35">
      <c r="A773" s="3">
        <v>44963</v>
      </c>
      <c r="B773" s="4">
        <v>1.0037621213804762E-2</v>
      </c>
      <c r="C773">
        <f ca="1">IF(B773&lt;Monte_Carlo!$AC$2,1,0)</f>
        <v>0</v>
      </c>
      <c r="D773" s="13"/>
      <c r="F773" s="13"/>
      <c r="G773">
        <v>771</v>
      </c>
      <c r="H773" s="4">
        <v>3.1294595543911119E-2</v>
      </c>
      <c r="I773" s="14">
        <f t="shared" ref="I773:I836" si="12">H773*10000000</f>
        <v>312945.95543911122</v>
      </c>
    </row>
    <row r="774" spans="1:9" x14ac:dyDescent="0.35">
      <c r="A774" s="3">
        <v>44964</v>
      </c>
      <c r="B774" s="4">
        <v>-1.6041587270156428E-2</v>
      </c>
      <c r="C774">
        <f ca="1">IF(B774&lt;Monte_Carlo!$AC$2,1,0)</f>
        <v>0</v>
      </c>
      <c r="D774" s="13"/>
      <c r="F774" s="13"/>
      <c r="G774">
        <v>772</v>
      </c>
      <c r="H774" s="4">
        <v>-5.620394570321232E-2</v>
      </c>
      <c r="I774" s="14">
        <f t="shared" si="12"/>
        <v>-562039.45703212323</v>
      </c>
    </row>
    <row r="775" spans="1:9" x14ac:dyDescent="0.35">
      <c r="A775" s="3">
        <v>44965</v>
      </c>
      <c r="B775" s="4">
        <v>6.1706012066893509E-3</v>
      </c>
      <c r="C775">
        <f ca="1">IF(B775&lt;Monte_Carlo!$AC$2,1,0)</f>
        <v>0</v>
      </c>
      <c r="D775" s="13"/>
      <c r="F775" s="13"/>
      <c r="G775">
        <v>773</v>
      </c>
      <c r="H775" s="4">
        <v>-2.433319087345343E-3</v>
      </c>
      <c r="I775" s="14">
        <f t="shared" si="12"/>
        <v>-24333.19087345343</v>
      </c>
    </row>
    <row r="776" spans="1:9" x14ac:dyDescent="0.35">
      <c r="A776" s="3">
        <v>44966</v>
      </c>
      <c r="B776" s="4">
        <v>7.9772499134007323E-3</v>
      </c>
      <c r="C776">
        <f ca="1">IF(B776&lt;Monte_Carlo!$AC$2,1,0)</f>
        <v>0</v>
      </c>
      <c r="D776" s="13"/>
      <c r="F776" s="13"/>
      <c r="G776">
        <v>774</v>
      </c>
      <c r="H776" s="4">
        <v>2.1103464970385996E-2</v>
      </c>
      <c r="I776" s="14">
        <f t="shared" si="12"/>
        <v>211034.64970385996</v>
      </c>
    </row>
    <row r="777" spans="1:9" x14ac:dyDescent="0.35">
      <c r="A777" s="3">
        <v>44967</v>
      </c>
      <c r="B777" s="4">
        <v>2.61125865185488E-3</v>
      </c>
      <c r="C777">
        <f ca="1">IF(B777&lt;Monte_Carlo!$AC$2,1,0)</f>
        <v>0</v>
      </c>
      <c r="D777" s="13"/>
      <c r="F777" s="13"/>
      <c r="G777">
        <v>775</v>
      </c>
      <c r="H777" s="4">
        <v>-7.4942134030482029E-3</v>
      </c>
      <c r="I777" s="14">
        <f t="shared" si="12"/>
        <v>-74942.134030482033</v>
      </c>
    </row>
    <row r="778" spans="1:9" x14ac:dyDescent="0.35">
      <c r="A778" s="3">
        <v>44970</v>
      </c>
      <c r="B778" s="4">
        <v>-1.9319312987921503E-2</v>
      </c>
      <c r="C778">
        <f ca="1">IF(B778&lt;Monte_Carlo!$AC$2,1,0)</f>
        <v>0</v>
      </c>
      <c r="D778" s="13"/>
      <c r="F778" s="13"/>
      <c r="G778">
        <v>776</v>
      </c>
      <c r="H778" s="4">
        <v>7.0269205736256434E-3</v>
      </c>
      <c r="I778" s="14">
        <f t="shared" si="12"/>
        <v>70269.205736256437</v>
      </c>
    </row>
    <row r="779" spans="1:9" x14ac:dyDescent="0.35">
      <c r="A779" s="3">
        <v>44971</v>
      </c>
      <c r="B779" s="4">
        <v>-1.092123809002157E-2</v>
      </c>
      <c r="C779">
        <f ca="1">IF(B779&lt;Monte_Carlo!$AC$2,1,0)</f>
        <v>0</v>
      </c>
      <c r="D779" s="13"/>
      <c r="F779" s="13"/>
      <c r="G779">
        <v>777</v>
      </c>
      <c r="H779" s="4">
        <v>3.7070796307681737E-2</v>
      </c>
      <c r="I779" s="14">
        <f t="shared" si="12"/>
        <v>370707.9630768174</v>
      </c>
    </row>
    <row r="780" spans="1:9" x14ac:dyDescent="0.35">
      <c r="A780" s="3">
        <v>44972</v>
      </c>
      <c r="B780" s="4">
        <v>1.8729617115508509E-2</v>
      </c>
      <c r="C780">
        <f ca="1">IF(B780&lt;Monte_Carlo!$AC$2,1,0)</f>
        <v>0</v>
      </c>
      <c r="D780" s="13"/>
      <c r="F780" s="13"/>
      <c r="G780">
        <v>778</v>
      </c>
      <c r="H780" s="4">
        <v>-1.6358263185020951E-2</v>
      </c>
      <c r="I780" s="14">
        <f t="shared" si="12"/>
        <v>-163582.63185020952</v>
      </c>
    </row>
    <row r="781" spans="1:9" x14ac:dyDescent="0.35">
      <c r="A781" s="3">
        <v>44973</v>
      </c>
      <c r="B781" s="4">
        <v>-1.3093725162245997E-2</v>
      </c>
      <c r="C781">
        <f ca="1">IF(B781&lt;Monte_Carlo!$AC$2,1,0)</f>
        <v>0</v>
      </c>
      <c r="D781" s="13"/>
      <c r="F781" s="13"/>
      <c r="G781">
        <v>779</v>
      </c>
      <c r="H781" s="4">
        <v>4.2107281612070984E-4</v>
      </c>
      <c r="I781" s="14">
        <f t="shared" si="12"/>
        <v>4210.7281612070983</v>
      </c>
    </row>
    <row r="782" spans="1:9" x14ac:dyDescent="0.35">
      <c r="A782" s="3">
        <v>44974</v>
      </c>
      <c r="B782" s="4">
        <v>-9.3106337060053432E-3</v>
      </c>
      <c r="C782">
        <f ca="1">IF(B782&lt;Monte_Carlo!$AC$2,1,0)</f>
        <v>0</v>
      </c>
      <c r="D782" s="13"/>
      <c r="F782" s="13"/>
      <c r="G782">
        <v>780</v>
      </c>
      <c r="H782" s="4">
        <v>-1.53843209313019E-2</v>
      </c>
      <c r="I782" s="14">
        <f t="shared" si="12"/>
        <v>-153843.209313019</v>
      </c>
    </row>
    <row r="783" spans="1:9" x14ac:dyDescent="0.35">
      <c r="A783" s="3">
        <v>44977</v>
      </c>
      <c r="B783" s="4">
        <v>-5.0248556840846509E-3</v>
      </c>
      <c r="C783">
        <f ca="1">IF(B783&lt;Monte_Carlo!$AC$2,1,0)</f>
        <v>0</v>
      </c>
      <c r="D783" s="13"/>
      <c r="F783" s="13"/>
      <c r="G783">
        <v>781</v>
      </c>
      <c r="H783" s="4">
        <v>1.3929109626808031E-2</v>
      </c>
      <c r="I783" s="14">
        <f t="shared" si="12"/>
        <v>139291.09626808032</v>
      </c>
    </row>
    <row r="784" spans="1:9" x14ac:dyDescent="0.35">
      <c r="A784" s="3">
        <v>44978</v>
      </c>
      <c r="B784" s="4">
        <v>-5.6086981320024659E-3</v>
      </c>
      <c r="C784">
        <f ca="1">IF(B784&lt;Monte_Carlo!$AC$2,1,0)</f>
        <v>0</v>
      </c>
      <c r="D784" s="13"/>
      <c r="F784" s="13"/>
      <c r="G784">
        <v>782</v>
      </c>
      <c r="H784" s="4">
        <v>8.7137114344905797E-3</v>
      </c>
      <c r="I784" s="14">
        <f t="shared" si="12"/>
        <v>87137.1143449058</v>
      </c>
    </row>
    <row r="785" spans="1:9" x14ac:dyDescent="0.35">
      <c r="A785" s="3">
        <v>44979</v>
      </c>
      <c r="B785" s="4">
        <v>-2.1008071792500572E-3</v>
      </c>
      <c r="C785">
        <f ca="1">IF(B785&lt;Monte_Carlo!$AC$2,1,0)</f>
        <v>0</v>
      </c>
      <c r="D785" s="13"/>
      <c r="F785" s="13"/>
      <c r="G785">
        <v>783</v>
      </c>
      <c r="H785" s="4">
        <v>-8.5596510243361179E-3</v>
      </c>
      <c r="I785" s="14">
        <f t="shared" si="12"/>
        <v>-85596.510243361176</v>
      </c>
    </row>
    <row r="786" spans="1:9" x14ac:dyDescent="0.35">
      <c r="A786" s="3">
        <v>44980</v>
      </c>
      <c r="B786" s="4">
        <v>-4.1362895353966476E-3</v>
      </c>
      <c r="C786">
        <f ca="1">IF(B786&lt;Monte_Carlo!$AC$2,1,0)</f>
        <v>0</v>
      </c>
      <c r="D786" s="13"/>
      <c r="F786" s="13"/>
      <c r="G786">
        <v>784</v>
      </c>
      <c r="H786" s="4">
        <v>-1.1970193004866198E-2</v>
      </c>
      <c r="I786" s="14">
        <f t="shared" si="12"/>
        <v>-119701.93004866198</v>
      </c>
    </row>
    <row r="787" spans="1:9" x14ac:dyDescent="0.35">
      <c r="A787" s="3">
        <v>44981</v>
      </c>
      <c r="B787" s="4">
        <v>-9.3833584858066064E-3</v>
      </c>
      <c r="C787">
        <f ca="1">IF(B787&lt;Monte_Carlo!$AC$2,1,0)</f>
        <v>0</v>
      </c>
      <c r="D787" s="13"/>
      <c r="F787" s="13"/>
      <c r="G787">
        <v>785</v>
      </c>
      <c r="H787" s="4">
        <v>4.8206048879140245E-3</v>
      </c>
      <c r="I787" s="14">
        <f t="shared" si="12"/>
        <v>48206.048879140246</v>
      </c>
    </row>
    <row r="788" spans="1:9" x14ac:dyDescent="0.35">
      <c r="A788" s="3">
        <v>44984</v>
      </c>
      <c r="B788" s="4">
        <v>-1.3521074374158366E-3</v>
      </c>
      <c r="C788">
        <f ca="1">IF(B788&lt;Monte_Carlo!$AC$2,1,0)</f>
        <v>0</v>
      </c>
      <c r="D788" s="13"/>
      <c r="F788" s="13"/>
      <c r="G788">
        <v>786</v>
      </c>
      <c r="H788" s="4">
        <v>1.9913514745821079E-2</v>
      </c>
      <c r="I788" s="14">
        <f t="shared" si="12"/>
        <v>199135.14745821079</v>
      </c>
    </row>
    <row r="789" spans="1:9" x14ac:dyDescent="0.35">
      <c r="A789" s="3">
        <v>44985</v>
      </c>
      <c r="B789" s="4">
        <v>1.0648961920287945E-2</v>
      </c>
      <c r="C789">
        <f ca="1">IF(B789&lt;Monte_Carlo!$AC$2,1,0)</f>
        <v>0</v>
      </c>
      <c r="D789" s="13"/>
      <c r="F789" s="13"/>
      <c r="G789">
        <v>787</v>
      </c>
      <c r="H789" s="4">
        <v>7.8758664629755247E-3</v>
      </c>
      <c r="I789" s="14">
        <f t="shared" si="12"/>
        <v>78758.664629755251</v>
      </c>
    </row>
    <row r="790" spans="1:9" x14ac:dyDescent="0.35">
      <c r="A790" s="3">
        <v>44986</v>
      </c>
      <c r="B790" s="4">
        <v>-3.5430969504583049E-3</v>
      </c>
      <c r="C790">
        <f ca="1">IF(B790&lt;Monte_Carlo!$AC$2,1,0)</f>
        <v>0</v>
      </c>
      <c r="D790" s="13"/>
      <c r="F790" s="13"/>
      <c r="G790">
        <v>788</v>
      </c>
      <c r="H790" s="4">
        <v>-1.039090150938109E-2</v>
      </c>
      <c r="I790" s="14">
        <f t="shared" si="12"/>
        <v>-103909.0150938109</v>
      </c>
    </row>
    <row r="791" spans="1:9" x14ac:dyDescent="0.35">
      <c r="A791" s="3">
        <v>44987</v>
      </c>
      <c r="B791" s="4">
        <v>-1.0654268773636285E-2</v>
      </c>
      <c r="C791">
        <f ca="1">IF(B791&lt;Monte_Carlo!$AC$2,1,0)</f>
        <v>0</v>
      </c>
      <c r="D791" s="13"/>
      <c r="F791" s="13"/>
      <c r="G791">
        <v>789</v>
      </c>
      <c r="H791" s="4">
        <v>-5.9252007179173456E-3</v>
      </c>
      <c r="I791" s="14">
        <f t="shared" si="12"/>
        <v>-59252.007179173459</v>
      </c>
    </row>
    <row r="792" spans="1:9" x14ac:dyDescent="0.35">
      <c r="A792" s="3">
        <v>44988</v>
      </c>
      <c r="B792" s="4">
        <v>-2.7798069363559378E-4</v>
      </c>
      <c r="C792">
        <f ca="1">IF(B792&lt;Monte_Carlo!$AC$2,1,0)</f>
        <v>0</v>
      </c>
      <c r="D792" s="13"/>
      <c r="F792" s="13"/>
      <c r="G792">
        <v>790</v>
      </c>
      <c r="H792" s="4">
        <v>2.1346435878921516E-2</v>
      </c>
      <c r="I792" s="14">
        <f t="shared" si="12"/>
        <v>213464.35878921516</v>
      </c>
    </row>
    <row r="793" spans="1:9" x14ac:dyDescent="0.35">
      <c r="A793" s="3">
        <v>44991</v>
      </c>
      <c r="B793" s="4">
        <v>8.6681926476033979E-3</v>
      </c>
      <c r="C793">
        <f ca="1">IF(B793&lt;Monte_Carlo!$AC$2,1,0)</f>
        <v>0</v>
      </c>
      <c r="D793" s="13"/>
      <c r="F793" s="13"/>
      <c r="G793">
        <v>791</v>
      </c>
      <c r="H793" s="4">
        <v>-1.2644988497135615E-2</v>
      </c>
      <c r="I793" s="14">
        <f t="shared" si="12"/>
        <v>-126449.88497135615</v>
      </c>
    </row>
    <row r="794" spans="1:9" x14ac:dyDescent="0.35">
      <c r="A794" s="3">
        <v>44993</v>
      </c>
      <c r="B794" s="4">
        <v>-2.4647801424954852E-3</v>
      </c>
      <c r="C794">
        <f ca="1">IF(B794&lt;Monte_Carlo!$AC$2,1,0)</f>
        <v>0</v>
      </c>
      <c r="D794" s="13"/>
      <c r="F794" s="13"/>
      <c r="G794">
        <v>792</v>
      </c>
      <c r="H794" s="4">
        <v>-1.0985721103010869E-2</v>
      </c>
      <c r="I794" s="14">
        <f t="shared" si="12"/>
        <v>-109857.21103010869</v>
      </c>
    </row>
    <row r="795" spans="1:9" x14ac:dyDescent="0.35">
      <c r="A795" s="3">
        <v>44994</v>
      </c>
      <c r="B795" s="4">
        <v>-2.9603031262011256E-3</v>
      </c>
      <c r="C795">
        <f ca="1">IF(B795&lt;Monte_Carlo!$AC$2,1,0)</f>
        <v>0</v>
      </c>
      <c r="D795" s="13"/>
      <c r="F795" s="13"/>
      <c r="G795">
        <v>793</v>
      </c>
      <c r="H795" s="4">
        <v>1.7804488629424606E-2</v>
      </c>
      <c r="I795" s="14">
        <f t="shared" si="12"/>
        <v>178044.88629424607</v>
      </c>
    </row>
    <row r="796" spans="1:9" x14ac:dyDescent="0.35">
      <c r="A796" s="3">
        <v>44995</v>
      </c>
      <c r="B796" s="4">
        <v>-1.0088452476267527E-2</v>
      </c>
      <c r="C796">
        <f ca="1">IF(B796&lt;Monte_Carlo!$AC$2,1,0)</f>
        <v>0</v>
      </c>
      <c r="D796" s="13"/>
      <c r="F796" s="13"/>
      <c r="G796">
        <v>794</v>
      </c>
      <c r="H796" s="4">
        <v>-1.8397300628540291E-2</v>
      </c>
      <c r="I796" s="14">
        <f t="shared" si="12"/>
        <v>-183973.00628540292</v>
      </c>
    </row>
    <row r="797" spans="1:9" x14ac:dyDescent="0.35">
      <c r="A797" s="3">
        <v>44998</v>
      </c>
      <c r="B797" s="4">
        <v>-1.6945139482803392E-4</v>
      </c>
      <c r="C797">
        <f ca="1">IF(B797&lt;Monte_Carlo!$AC$2,1,0)</f>
        <v>0</v>
      </c>
      <c r="D797" s="13"/>
      <c r="F797" s="13"/>
      <c r="G797">
        <v>795</v>
      </c>
      <c r="H797" s="4">
        <v>-5.8389616405229994E-3</v>
      </c>
      <c r="I797" s="14">
        <f t="shared" si="12"/>
        <v>-58389.616405229994</v>
      </c>
    </row>
    <row r="798" spans="1:9" x14ac:dyDescent="0.35">
      <c r="A798" s="3">
        <v>44999</v>
      </c>
      <c r="B798" s="4">
        <v>-1.1011399933444993E-2</v>
      </c>
      <c r="C798">
        <f ca="1">IF(B798&lt;Monte_Carlo!$AC$2,1,0)</f>
        <v>0</v>
      </c>
      <c r="D798" s="13"/>
      <c r="F798" s="13"/>
      <c r="G798">
        <v>796</v>
      </c>
      <c r="H798" s="4">
        <v>-2.0944216605421409E-2</v>
      </c>
      <c r="I798" s="14">
        <f t="shared" si="12"/>
        <v>-209442.16605421409</v>
      </c>
    </row>
    <row r="799" spans="1:9" x14ac:dyDescent="0.35">
      <c r="A799" s="3">
        <v>45000</v>
      </c>
      <c r="B799" s="4">
        <v>-1.0476907407526654E-2</v>
      </c>
      <c r="C799">
        <f ca="1">IF(B799&lt;Monte_Carlo!$AC$2,1,0)</f>
        <v>0</v>
      </c>
      <c r="D799" s="13"/>
      <c r="F799" s="13"/>
      <c r="G799">
        <v>797</v>
      </c>
      <c r="H799" s="4">
        <v>3.1792455078083016E-2</v>
      </c>
      <c r="I799" s="14">
        <f t="shared" si="12"/>
        <v>317924.55078083015</v>
      </c>
    </row>
    <row r="800" spans="1:9" x14ac:dyDescent="0.35">
      <c r="A800" s="3">
        <v>45001</v>
      </c>
      <c r="B800" s="4">
        <v>-5.7940897319389909E-3</v>
      </c>
      <c r="C800">
        <f ca="1">IF(B800&lt;Monte_Carlo!$AC$2,1,0)</f>
        <v>0</v>
      </c>
      <c r="D800" s="13"/>
      <c r="F800" s="13"/>
      <c r="G800">
        <v>798</v>
      </c>
      <c r="H800" s="4">
        <v>-9.9093240708859175E-3</v>
      </c>
      <c r="I800" s="14">
        <f t="shared" si="12"/>
        <v>-99093.240708859172</v>
      </c>
    </row>
    <row r="801" spans="1:9" x14ac:dyDescent="0.35">
      <c r="A801" s="3">
        <v>45002</v>
      </c>
      <c r="B801" s="4">
        <v>1.1755776062049306E-2</v>
      </c>
      <c r="C801">
        <f ca="1">IF(B801&lt;Monte_Carlo!$AC$2,1,0)</f>
        <v>0</v>
      </c>
      <c r="D801" s="13"/>
      <c r="F801" s="13"/>
      <c r="G801">
        <v>799</v>
      </c>
      <c r="H801" s="4">
        <v>9.342754509745645E-3</v>
      </c>
      <c r="I801" s="14">
        <f t="shared" si="12"/>
        <v>93427.545097456445</v>
      </c>
    </row>
    <row r="802" spans="1:9" x14ac:dyDescent="0.35">
      <c r="A802" s="3">
        <v>45005</v>
      </c>
      <c r="B802" s="4">
        <v>2.2667606132552168E-5</v>
      </c>
      <c r="C802">
        <f ca="1">IF(B802&lt;Monte_Carlo!$AC$2,1,0)</f>
        <v>0</v>
      </c>
      <c r="D802" s="13"/>
      <c r="F802" s="13"/>
      <c r="G802">
        <v>800</v>
      </c>
      <c r="H802" s="4">
        <v>-9.5228929400027092E-3</v>
      </c>
      <c r="I802" s="14">
        <f t="shared" si="12"/>
        <v>-95228.929400027089</v>
      </c>
    </row>
    <row r="803" spans="1:9" x14ac:dyDescent="0.35">
      <c r="A803" s="3">
        <v>45006</v>
      </c>
      <c r="B803" s="4">
        <v>1.1439736730790748E-2</v>
      </c>
      <c r="C803">
        <f ca="1">IF(B803&lt;Monte_Carlo!$AC$2,1,0)</f>
        <v>0</v>
      </c>
      <c r="D803" s="13"/>
      <c r="F803" s="13"/>
      <c r="G803">
        <v>801</v>
      </c>
      <c r="H803" s="4">
        <v>-2.1557178414865857E-2</v>
      </c>
      <c r="I803" s="14">
        <f t="shared" si="12"/>
        <v>-215571.78414865857</v>
      </c>
    </row>
    <row r="804" spans="1:9" x14ac:dyDescent="0.35">
      <c r="A804" s="3">
        <v>45007</v>
      </c>
      <c r="B804" s="4">
        <v>4.0723133996765862E-3</v>
      </c>
      <c r="C804">
        <f ca="1">IF(B804&lt;Monte_Carlo!$AC$2,1,0)</f>
        <v>0</v>
      </c>
      <c r="D804" s="13"/>
      <c r="F804" s="13"/>
      <c r="G804">
        <v>802</v>
      </c>
      <c r="H804" s="4">
        <v>3.5201991154581898E-2</v>
      </c>
      <c r="I804" s="14">
        <f t="shared" si="12"/>
        <v>352019.91154581896</v>
      </c>
    </row>
    <row r="805" spans="1:9" x14ac:dyDescent="0.35">
      <c r="A805" s="3">
        <v>45008</v>
      </c>
      <c r="B805" s="4">
        <v>-1.2989199786663584E-3</v>
      </c>
      <c r="C805">
        <f ca="1">IF(B805&lt;Monte_Carlo!$AC$2,1,0)</f>
        <v>0</v>
      </c>
      <c r="D805" s="13"/>
      <c r="F805" s="13"/>
      <c r="G805">
        <v>803</v>
      </c>
      <c r="H805" s="4">
        <v>-1.1563392359224711E-2</v>
      </c>
      <c r="I805" s="14">
        <f t="shared" si="12"/>
        <v>-115633.92359224711</v>
      </c>
    </row>
    <row r="806" spans="1:9" x14ac:dyDescent="0.35">
      <c r="A806" s="3">
        <v>45009</v>
      </c>
      <c r="B806" s="4">
        <v>-1.1715089186683137E-2</v>
      </c>
      <c r="C806">
        <f ca="1">IF(B806&lt;Monte_Carlo!$AC$2,1,0)</f>
        <v>0</v>
      </c>
      <c r="D806" s="13"/>
      <c r="F806" s="13"/>
      <c r="G806">
        <v>804</v>
      </c>
      <c r="H806" s="4">
        <v>-6.7098455350565649E-3</v>
      </c>
      <c r="I806" s="14">
        <f t="shared" si="12"/>
        <v>-67098.455350565651</v>
      </c>
    </row>
    <row r="807" spans="1:9" x14ac:dyDescent="0.35">
      <c r="A807" s="3">
        <v>45012</v>
      </c>
      <c r="B807" s="4">
        <v>-4.6159152033059796E-3</v>
      </c>
      <c r="C807">
        <f ca="1">IF(B807&lt;Monte_Carlo!$AC$2,1,0)</f>
        <v>0</v>
      </c>
      <c r="D807" s="13"/>
      <c r="F807" s="13"/>
      <c r="G807">
        <v>805</v>
      </c>
      <c r="H807" s="4">
        <v>-1.6685780610532113E-3</v>
      </c>
      <c r="I807" s="14">
        <f t="shared" si="12"/>
        <v>-16685.780610532114</v>
      </c>
    </row>
    <row r="808" spans="1:9" x14ac:dyDescent="0.35">
      <c r="A808" s="3">
        <v>45013</v>
      </c>
      <c r="B808" s="4">
        <v>-1.4428392115291558E-2</v>
      </c>
      <c r="C808">
        <f ca="1">IF(B808&lt;Monte_Carlo!$AC$2,1,0)</f>
        <v>0</v>
      </c>
      <c r="D808" s="13"/>
      <c r="F808" s="13"/>
      <c r="G808">
        <v>806</v>
      </c>
      <c r="H808" s="4">
        <v>-5.368211024587159E-3</v>
      </c>
      <c r="I808" s="14">
        <f t="shared" si="12"/>
        <v>-53682.11024587159</v>
      </c>
    </row>
    <row r="809" spans="1:9" x14ac:dyDescent="0.35">
      <c r="A809" s="3">
        <v>45014</v>
      </c>
      <c r="B809" s="4">
        <v>1.8585289475888549E-2</v>
      </c>
      <c r="C809">
        <f ca="1">IF(B809&lt;Monte_Carlo!$AC$2,1,0)</f>
        <v>0</v>
      </c>
      <c r="D809" s="13"/>
      <c r="F809" s="13"/>
      <c r="G809">
        <v>807</v>
      </c>
      <c r="H809" s="4">
        <v>1.0873520350482118E-2</v>
      </c>
      <c r="I809" s="14">
        <f t="shared" si="12"/>
        <v>108735.20350482118</v>
      </c>
    </row>
    <row r="810" spans="1:9" x14ac:dyDescent="0.35">
      <c r="A810" s="3">
        <v>45016</v>
      </c>
      <c r="B810" s="4">
        <v>-6.7173683271496455E-3</v>
      </c>
      <c r="C810">
        <f ca="1">IF(B810&lt;Monte_Carlo!$AC$2,1,0)</f>
        <v>0</v>
      </c>
      <c r="D810" s="13"/>
      <c r="F810" s="13"/>
      <c r="G810">
        <v>808</v>
      </c>
      <c r="H810" s="4">
        <v>6.841275784691422E-3</v>
      </c>
      <c r="I810" s="14">
        <f t="shared" si="12"/>
        <v>68412.757846914217</v>
      </c>
    </row>
    <row r="811" spans="1:9" x14ac:dyDescent="0.35">
      <c r="A811" s="3">
        <v>45019</v>
      </c>
      <c r="B811" s="4">
        <v>1.1730017953072458E-2</v>
      </c>
      <c r="C811">
        <f ca="1">IF(B811&lt;Monte_Carlo!$AC$2,1,0)</f>
        <v>0</v>
      </c>
      <c r="D811" s="13"/>
      <c r="F811" s="13"/>
      <c r="G811">
        <v>809</v>
      </c>
      <c r="H811" s="4">
        <v>-1.2237782160102658E-2</v>
      </c>
      <c r="I811" s="14">
        <f t="shared" si="12"/>
        <v>-122377.82160102658</v>
      </c>
    </row>
    <row r="812" spans="1:9" x14ac:dyDescent="0.35">
      <c r="A812" s="3">
        <v>45021</v>
      </c>
      <c r="B812" s="4">
        <v>1.8017901748099651E-2</v>
      </c>
      <c r="C812">
        <f ca="1">IF(B812&lt;Monte_Carlo!$AC$2,1,0)</f>
        <v>0</v>
      </c>
      <c r="D812" s="13"/>
      <c r="F812" s="13"/>
      <c r="G812">
        <v>810</v>
      </c>
      <c r="H812" s="4">
        <v>7.9823986978465114E-3</v>
      </c>
      <c r="I812" s="14">
        <f t="shared" si="12"/>
        <v>79823.986978465109</v>
      </c>
    </row>
    <row r="813" spans="1:9" x14ac:dyDescent="0.35">
      <c r="A813" s="3">
        <v>45022</v>
      </c>
      <c r="B813" s="4">
        <v>-4.4010782239422182E-3</v>
      </c>
      <c r="C813">
        <f ca="1">IF(B813&lt;Monte_Carlo!$AC$2,1,0)</f>
        <v>0</v>
      </c>
      <c r="D813" s="13"/>
      <c r="F813" s="13"/>
      <c r="G813">
        <v>811</v>
      </c>
      <c r="H813" s="4">
        <v>-5.4835318898528249E-3</v>
      </c>
      <c r="I813" s="14">
        <f t="shared" si="12"/>
        <v>-54835.318898528247</v>
      </c>
    </row>
    <row r="814" spans="1:9" x14ac:dyDescent="0.35">
      <c r="A814" s="3">
        <v>45026</v>
      </c>
      <c r="B814" s="4">
        <v>1.0538985865677579E-2</v>
      </c>
      <c r="C814">
        <f ca="1">IF(B814&lt;Monte_Carlo!$AC$2,1,0)</f>
        <v>0</v>
      </c>
      <c r="D814" s="13"/>
      <c r="F814" s="13"/>
      <c r="G814">
        <v>812</v>
      </c>
      <c r="H814" s="4">
        <v>-9.8254355313032848E-3</v>
      </c>
      <c r="I814" s="14">
        <f t="shared" si="12"/>
        <v>-98254.355313032851</v>
      </c>
    </row>
    <row r="815" spans="1:9" x14ac:dyDescent="0.35">
      <c r="A815" s="3">
        <v>45027</v>
      </c>
      <c r="B815" s="4">
        <v>-5.491851959039863E-3</v>
      </c>
      <c r="C815">
        <f ca="1">IF(B815&lt;Monte_Carlo!$AC$2,1,0)</f>
        <v>0</v>
      </c>
      <c r="D815" s="13"/>
      <c r="F815" s="13"/>
      <c r="G815">
        <v>813</v>
      </c>
      <c r="H815" s="4">
        <v>2.8214357841448115E-2</v>
      </c>
      <c r="I815" s="14">
        <f t="shared" si="12"/>
        <v>282143.57841448113</v>
      </c>
    </row>
    <row r="816" spans="1:9" x14ac:dyDescent="0.35">
      <c r="A816" s="3">
        <v>45028</v>
      </c>
      <c r="B816" s="4">
        <v>4.965354574831677E-3</v>
      </c>
      <c r="C816">
        <f ca="1">IF(B816&lt;Monte_Carlo!$AC$2,1,0)</f>
        <v>0</v>
      </c>
      <c r="D816" s="13"/>
      <c r="F816" s="13"/>
      <c r="G816">
        <v>814</v>
      </c>
      <c r="H816" s="4">
        <v>-4.3132653792184519E-3</v>
      </c>
      <c r="I816" s="14">
        <f t="shared" si="12"/>
        <v>-43132.653792184523</v>
      </c>
    </row>
    <row r="817" spans="1:9" x14ac:dyDescent="0.35">
      <c r="A817" s="3">
        <v>45029</v>
      </c>
      <c r="B817" s="4">
        <v>-4.0855056584692658E-3</v>
      </c>
      <c r="C817">
        <f ca="1">IF(B817&lt;Monte_Carlo!$AC$2,1,0)</f>
        <v>0</v>
      </c>
      <c r="D817" s="13"/>
      <c r="F817" s="13"/>
      <c r="G817">
        <v>815</v>
      </c>
      <c r="H817" s="4">
        <v>5.4395432578726493E-4</v>
      </c>
      <c r="I817" s="14">
        <f t="shared" si="12"/>
        <v>5439.5432578726495</v>
      </c>
    </row>
    <row r="818" spans="1:9" x14ac:dyDescent="0.35">
      <c r="A818" s="3">
        <v>45033</v>
      </c>
      <c r="B818" s="4">
        <v>1.1033304258010619E-2</v>
      </c>
      <c r="C818">
        <f ca="1">IF(B818&lt;Monte_Carlo!$AC$2,1,0)</f>
        <v>0</v>
      </c>
      <c r="D818" s="13"/>
      <c r="F818" s="13"/>
      <c r="G818">
        <v>816</v>
      </c>
      <c r="H818" s="4">
        <v>-1.7666894418994092E-2</v>
      </c>
      <c r="I818" s="14">
        <f t="shared" si="12"/>
        <v>-176668.94418994093</v>
      </c>
    </row>
    <row r="819" spans="1:9" x14ac:dyDescent="0.35">
      <c r="A819" s="3">
        <v>45034</v>
      </c>
      <c r="B819" s="4">
        <v>2.0586442467828505E-2</v>
      </c>
      <c r="C819">
        <f ca="1">IF(B819&lt;Monte_Carlo!$AC$2,1,0)</f>
        <v>0</v>
      </c>
      <c r="D819" s="13"/>
      <c r="F819" s="13"/>
      <c r="G819">
        <v>817</v>
      </c>
      <c r="H819" s="4">
        <v>5.624132528477141E-3</v>
      </c>
      <c r="I819" s="14">
        <f t="shared" si="12"/>
        <v>56241.32528477141</v>
      </c>
    </row>
    <row r="820" spans="1:9" x14ac:dyDescent="0.35">
      <c r="A820" s="3">
        <v>45035</v>
      </c>
      <c r="B820" s="4">
        <v>-3.3747796411745051E-2</v>
      </c>
      <c r="C820">
        <f ca="1">IF(B820&lt;Monte_Carlo!$AC$2,1,0)</f>
        <v>0</v>
      </c>
      <c r="D820" s="13"/>
      <c r="F820" s="13"/>
      <c r="G820">
        <v>818</v>
      </c>
      <c r="H820" s="4">
        <v>1.3393272920149885E-2</v>
      </c>
      <c r="I820" s="14">
        <f t="shared" si="12"/>
        <v>133932.72920149885</v>
      </c>
    </row>
    <row r="821" spans="1:9" x14ac:dyDescent="0.35">
      <c r="A821" s="3">
        <v>45036</v>
      </c>
      <c r="B821" s="4">
        <v>1.4735624013093446E-3</v>
      </c>
      <c r="C821">
        <f ca="1">IF(B821&lt;Monte_Carlo!$AC$2,1,0)</f>
        <v>0</v>
      </c>
      <c r="D821" s="13"/>
      <c r="F821" s="13"/>
      <c r="G821">
        <v>819</v>
      </c>
      <c r="H821" s="4">
        <v>-2.9094321577205571E-2</v>
      </c>
      <c r="I821" s="14">
        <f t="shared" si="12"/>
        <v>-290943.21577205573</v>
      </c>
    </row>
    <row r="822" spans="1:9" x14ac:dyDescent="0.35">
      <c r="A822" s="3">
        <v>45037</v>
      </c>
      <c r="B822" s="4">
        <v>-1.1336044723305046E-2</v>
      </c>
      <c r="C822">
        <f ca="1">IF(B822&lt;Monte_Carlo!$AC$2,1,0)</f>
        <v>0</v>
      </c>
      <c r="D822" s="13"/>
      <c r="F822" s="13"/>
      <c r="G822">
        <v>820</v>
      </c>
      <c r="H822" s="4">
        <v>-4.7211337540121871E-4</v>
      </c>
      <c r="I822" s="14">
        <f t="shared" si="12"/>
        <v>-4721.1337540121867</v>
      </c>
    </row>
    <row r="823" spans="1:9" x14ac:dyDescent="0.35">
      <c r="A823" s="3">
        <v>45040</v>
      </c>
      <c r="B823" s="4">
        <v>7.9304779167752477E-3</v>
      </c>
      <c r="C823">
        <f ca="1">IF(B823&lt;Monte_Carlo!$AC$2,1,0)</f>
        <v>0</v>
      </c>
      <c r="D823" s="13"/>
      <c r="F823" s="13"/>
      <c r="G823">
        <v>821</v>
      </c>
      <c r="H823" s="4">
        <v>1.772074388543024E-2</v>
      </c>
      <c r="I823" s="14">
        <f t="shared" si="12"/>
        <v>177207.4388543024</v>
      </c>
    </row>
    <row r="824" spans="1:9" x14ac:dyDescent="0.35">
      <c r="A824" s="3">
        <v>45041</v>
      </c>
      <c r="B824" s="4">
        <v>2.1034507955761529E-3</v>
      </c>
      <c r="C824">
        <f ca="1">IF(B824&lt;Monte_Carlo!$AC$2,1,0)</f>
        <v>0</v>
      </c>
      <c r="D824" s="13"/>
      <c r="F824" s="13"/>
      <c r="G824">
        <v>822</v>
      </c>
      <c r="H824" s="4">
        <v>1.5998530277002709E-2</v>
      </c>
      <c r="I824" s="14">
        <f t="shared" si="12"/>
        <v>159985.3027700271</v>
      </c>
    </row>
    <row r="825" spans="1:9" x14ac:dyDescent="0.35">
      <c r="A825" s="3">
        <v>45042</v>
      </c>
      <c r="B825" s="4">
        <v>3.375227544485002E-3</v>
      </c>
      <c r="C825">
        <f ca="1">IF(B825&lt;Monte_Carlo!$AC$2,1,0)</f>
        <v>0</v>
      </c>
      <c r="D825" s="13"/>
      <c r="F825" s="13"/>
      <c r="G825">
        <v>823</v>
      </c>
      <c r="H825" s="4">
        <v>-2.6427210560809149E-2</v>
      </c>
      <c r="I825" s="14">
        <f t="shared" si="12"/>
        <v>-264272.10560809152</v>
      </c>
    </row>
    <row r="826" spans="1:9" x14ac:dyDescent="0.35">
      <c r="A826" s="3">
        <v>45043</v>
      </c>
      <c r="B826" s="4">
        <v>-4.4605484500050878E-3</v>
      </c>
      <c r="C826">
        <f ca="1">IF(B826&lt;Monte_Carlo!$AC$2,1,0)</f>
        <v>0</v>
      </c>
      <c r="D826" s="13"/>
      <c r="F826" s="13"/>
      <c r="G826">
        <v>824</v>
      </c>
      <c r="H826" s="4">
        <v>-5.1196191934299595E-4</v>
      </c>
      <c r="I826" s="14">
        <f t="shared" si="12"/>
        <v>-5119.6191934299595</v>
      </c>
    </row>
    <row r="827" spans="1:9" x14ac:dyDescent="0.35">
      <c r="A827" s="3">
        <v>45044</v>
      </c>
      <c r="B827" s="4">
        <v>1.0293561991063313E-2</v>
      </c>
      <c r="C827">
        <f ca="1">IF(B827&lt;Monte_Carlo!$AC$2,1,0)</f>
        <v>0</v>
      </c>
      <c r="D827" s="13"/>
      <c r="F827" s="13"/>
      <c r="G827">
        <v>825</v>
      </c>
      <c r="H827" s="4">
        <v>2.3816640629362784E-2</v>
      </c>
      <c r="I827" s="14">
        <f t="shared" si="12"/>
        <v>238166.40629362784</v>
      </c>
    </row>
    <row r="828" spans="1:9" x14ac:dyDescent="0.35">
      <c r="A828" s="3">
        <v>45048</v>
      </c>
      <c r="B828" s="4">
        <v>1.0961297653313537E-2</v>
      </c>
      <c r="C828">
        <f ca="1">IF(B828&lt;Monte_Carlo!$AC$2,1,0)</f>
        <v>0</v>
      </c>
      <c r="D828" s="13"/>
      <c r="F828" s="13"/>
      <c r="G828">
        <v>826</v>
      </c>
      <c r="H828" s="4">
        <v>-2.598576790331358E-2</v>
      </c>
      <c r="I828" s="14">
        <f t="shared" si="12"/>
        <v>-259857.67903313579</v>
      </c>
    </row>
    <row r="829" spans="1:9" x14ac:dyDescent="0.35">
      <c r="A829" s="3">
        <v>45049</v>
      </c>
      <c r="B829" s="4">
        <v>-1.188277878907594E-3</v>
      </c>
      <c r="C829">
        <f ca="1">IF(B829&lt;Monte_Carlo!$AC$2,1,0)</f>
        <v>0</v>
      </c>
      <c r="D829" s="13"/>
      <c r="F829" s="13"/>
      <c r="G829">
        <v>827</v>
      </c>
      <c r="H829" s="4">
        <v>2.6710173687676635E-2</v>
      </c>
      <c r="I829" s="14">
        <f t="shared" si="12"/>
        <v>267101.73687676637</v>
      </c>
    </row>
    <row r="830" spans="1:9" x14ac:dyDescent="0.35">
      <c r="A830" s="3">
        <v>45050</v>
      </c>
      <c r="B830" s="4">
        <v>4.3430415678974703E-2</v>
      </c>
      <c r="C830">
        <f ca="1">IF(B830&lt;Monte_Carlo!$AC$2,1,0)</f>
        <v>0</v>
      </c>
      <c r="D830" s="13"/>
      <c r="F830" s="13"/>
      <c r="G830">
        <v>828</v>
      </c>
      <c r="H830" s="4">
        <v>4.541777431669905E-3</v>
      </c>
      <c r="I830" s="14">
        <f t="shared" si="12"/>
        <v>45417.774316699048</v>
      </c>
    </row>
    <row r="831" spans="1:9" x14ac:dyDescent="0.35">
      <c r="A831" s="3">
        <v>45051</v>
      </c>
      <c r="B831" s="4">
        <v>-2.6687346614012664E-2</v>
      </c>
      <c r="C831">
        <f ca="1">IF(B831&lt;Monte_Carlo!$AC$2,1,0)</f>
        <v>0</v>
      </c>
      <c r="D831" s="13"/>
      <c r="F831" s="13"/>
      <c r="G831">
        <v>829</v>
      </c>
      <c r="H831" s="4">
        <v>-2.3422995411112132E-2</v>
      </c>
      <c r="I831" s="14">
        <f t="shared" si="12"/>
        <v>-234229.95411112133</v>
      </c>
    </row>
    <row r="832" spans="1:9" x14ac:dyDescent="0.35">
      <c r="A832" s="3">
        <v>45054</v>
      </c>
      <c r="B832" s="4">
        <v>1.2113648205676042E-3</v>
      </c>
      <c r="C832">
        <f ca="1">IF(B832&lt;Monte_Carlo!$AC$2,1,0)</f>
        <v>0</v>
      </c>
      <c r="D832" s="13"/>
      <c r="F832" s="13"/>
      <c r="G832">
        <v>830</v>
      </c>
      <c r="H832" s="4">
        <v>1.7179536388373343E-2</v>
      </c>
      <c r="I832" s="14">
        <f t="shared" si="12"/>
        <v>171795.36388373343</v>
      </c>
    </row>
    <row r="833" spans="1:9" x14ac:dyDescent="0.35">
      <c r="A833" s="3">
        <v>45055</v>
      </c>
      <c r="B833" s="4">
        <v>9.301724202913907E-3</v>
      </c>
      <c r="C833">
        <f ca="1">IF(B833&lt;Monte_Carlo!$AC$2,1,0)</f>
        <v>0</v>
      </c>
      <c r="D833" s="13"/>
      <c r="F833" s="13"/>
      <c r="G833">
        <v>831</v>
      </c>
      <c r="H833" s="4">
        <v>1.4084821764365813E-2</v>
      </c>
      <c r="I833" s="14">
        <f t="shared" si="12"/>
        <v>140848.21764365814</v>
      </c>
    </row>
    <row r="834" spans="1:9" x14ac:dyDescent="0.35">
      <c r="A834" s="3">
        <v>45056</v>
      </c>
      <c r="B834" s="4">
        <v>1.1847713145461954E-2</v>
      </c>
      <c r="C834">
        <f ca="1">IF(B834&lt;Monte_Carlo!$AC$2,1,0)</f>
        <v>0</v>
      </c>
      <c r="D834" s="13"/>
      <c r="F834" s="13"/>
      <c r="G834">
        <v>832</v>
      </c>
      <c r="H834" s="4">
        <v>-2.0864814177162391E-2</v>
      </c>
      <c r="I834" s="14">
        <f t="shared" si="12"/>
        <v>-208648.14177162392</v>
      </c>
    </row>
    <row r="835" spans="1:9" x14ac:dyDescent="0.35">
      <c r="A835" s="3">
        <v>45057</v>
      </c>
      <c r="B835" s="4">
        <v>4.6413045998454005E-3</v>
      </c>
      <c r="C835">
        <f ca="1">IF(B835&lt;Monte_Carlo!$AC$2,1,0)</f>
        <v>0</v>
      </c>
      <c r="D835" s="13"/>
      <c r="F835" s="13"/>
      <c r="G835">
        <v>833</v>
      </c>
      <c r="H835" s="4">
        <v>-1.6455716812131746E-2</v>
      </c>
      <c r="I835" s="14">
        <f t="shared" si="12"/>
        <v>-164557.16812131746</v>
      </c>
    </row>
    <row r="836" spans="1:9" x14ac:dyDescent="0.35">
      <c r="A836" s="3">
        <v>45058</v>
      </c>
      <c r="B836" s="4">
        <v>-7.8089634662785901E-4</v>
      </c>
      <c r="C836">
        <f ca="1">IF(B836&lt;Monte_Carlo!$AC$2,1,0)</f>
        <v>0</v>
      </c>
      <c r="D836" s="13"/>
      <c r="F836" s="13"/>
      <c r="G836">
        <v>834</v>
      </c>
      <c r="H836" s="4">
        <v>-2.8362171600337244E-3</v>
      </c>
      <c r="I836" s="14">
        <f t="shared" si="12"/>
        <v>-28362.171600337242</v>
      </c>
    </row>
    <row r="837" spans="1:9" x14ac:dyDescent="0.35">
      <c r="A837" s="3">
        <v>45061</v>
      </c>
      <c r="B837" s="4">
        <v>2.3947747597795142E-3</v>
      </c>
      <c r="C837">
        <f ca="1">IF(B837&lt;Monte_Carlo!$AC$2,1,0)</f>
        <v>0</v>
      </c>
      <c r="D837" s="13"/>
      <c r="F837" s="13"/>
      <c r="G837">
        <v>835</v>
      </c>
      <c r="H837" s="4">
        <v>4.6164081605321941E-2</v>
      </c>
      <c r="I837" s="14">
        <f t="shared" ref="I837:I900" si="13">H837*10000000</f>
        <v>461640.81605321943</v>
      </c>
    </row>
    <row r="838" spans="1:9" x14ac:dyDescent="0.35">
      <c r="A838" s="3">
        <v>45062</v>
      </c>
      <c r="B838" s="4">
        <v>3.1456473112751577E-3</v>
      </c>
      <c r="C838">
        <f ca="1">IF(B838&lt;Monte_Carlo!$AC$2,1,0)</f>
        <v>0</v>
      </c>
      <c r="D838" s="13"/>
      <c r="F838" s="13"/>
      <c r="G838">
        <v>836</v>
      </c>
      <c r="H838" s="4">
        <v>-2.5645956267431515E-2</v>
      </c>
      <c r="I838" s="14">
        <f t="shared" si="13"/>
        <v>-256459.56267431515</v>
      </c>
    </row>
    <row r="839" spans="1:9" x14ac:dyDescent="0.35">
      <c r="A839" s="3">
        <v>45063</v>
      </c>
      <c r="B839" s="4">
        <v>-1.0709652617431068E-2</v>
      </c>
      <c r="C839">
        <f ca="1">IF(B839&lt;Monte_Carlo!$AC$2,1,0)</f>
        <v>0</v>
      </c>
      <c r="D839" s="13"/>
      <c r="F839" s="13"/>
      <c r="G839">
        <v>837</v>
      </c>
      <c r="H839" s="4">
        <v>-1.3541725963170613E-3</v>
      </c>
      <c r="I839" s="14">
        <f t="shared" si="13"/>
        <v>-13541.725963170613</v>
      </c>
    </row>
    <row r="840" spans="1:9" x14ac:dyDescent="0.35">
      <c r="A840" s="3">
        <v>45064</v>
      </c>
      <c r="B840" s="4">
        <v>-3.2667539670317267E-3</v>
      </c>
      <c r="C840">
        <f ca="1">IF(B840&lt;Monte_Carlo!$AC$2,1,0)</f>
        <v>0</v>
      </c>
      <c r="D840" s="13"/>
      <c r="F840" s="13"/>
      <c r="G840">
        <v>838</v>
      </c>
      <c r="H840" s="4">
        <v>4.6950433905048336E-3</v>
      </c>
      <c r="I840" s="14">
        <f t="shared" si="13"/>
        <v>46950.43390504834</v>
      </c>
    </row>
    <row r="841" spans="1:9" x14ac:dyDescent="0.35">
      <c r="A841" s="3">
        <v>45065</v>
      </c>
      <c r="B841" s="4">
        <v>-1.6258098930653123E-2</v>
      </c>
      <c r="C841">
        <f ca="1">IF(B841&lt;Monte_Carlo!$AC$2,1,0)</f>
        <v>0</v>
      </c>
      <c r="D841" s="13"/>
      <c r="F841" s="13"/>
      <c r="G841">
        <v>839</v>
      </c>
      <c r="H841" s="4">
        <v>-2.6856604803362237E-2</v>
      </c>
      <c r="I841" s="14">
        <f t="shared" si="13"/>
        <v>-268566.04803362238</v>
      </c>
    </row>
    <row r="842" spans="1:9" x14ac:dyDescent="0.35">
      <c r="A842" s="3">
        <v>45068</v>
      </c>
      <c r="B842" s="4">
        <v>8.3343277652519233E-3</v>
      </c>
      <c r="C842">
        <f ca="1">IF(B842&lt;Monte_Carlo!$AC$2,1,0)</f>
        <v>0</v>
      </c>
      <c r="D842" s="13"/>
      <c r="F842" s="13"/>
      <c r="G842">
        <v>840</v>
      </c>
      <c r="H842" s="4">
        <v>-3.6051043226873695E-3</v>
      </c>
      <c r="I842" s="14">
        <f t="shared" si="13"/>
        <v>-36051.043226873691</v>
      </c>
    </row>
    <row r="843" spans="1:9" x14ac:dyDescent="0.35">
      <c r="A843" s="3">
        <v>45069</v>
      </c>
      <c r="B843" s="4">
        <v>1.5732745558669079E-4</v>
      </c>
      <c r="C843">
        <f ca="1">IF(B843&lt;Monte_Carlo!$AC$2,1,0)</f>
        <v>0</v>
      </c>
      <c r="D843" s="13"/>
      <c r="F843" s="13"/>
      <c r="G843">
        <v>841</v>
      </c>
      <c r="H843" s="4">
        <v>-1.544391645758381E-2</v>
      </c>
      <c r="I843" s="14">
        <f t="shared" si="13"/>
        <v>-154439.16457583811</v>
      </c>
    </row>
    <row r="844" spans="1:9" x14ac:dyDescent="0.35">
      <c r="A844" s="3">
        <v>45070</v>
      </c>
      <c r="B844" s="4">
        <v>-8.212642560761119E-3</v>
      </c>
      <c r="C844">
        <f ca="1">IF(B844&lt;Monte_Carlo!$AC$2,1,0)</f>
        <v>0</v>
      </c>
      <c r="D844" s="13"/>
      <c r="F844" s="13"/>
      <c r="G844">
        <v>842</v>
      </c>
      <c r="H844" s="4">
        <v>1.3458986830233726E-2</v>
      </c>
      <c r="I844" s="14">
        <f t="shared" si="13"/>
        <v>134589.86830233727</v>
      </c>
    </row>
    <row r="845" spans="1:9" x14ac:dyDescent="0.35">
      <c r="A845" s="3">
        <v>45071</v>
      </c>
      <c r="B845" s="4">
        <v>7.5453554961810738E-3</v>
      </c>
      <c r="C845">
        <f ca="1">IF(B845&lt;Monte_Carlo!$AC$2,1,0)</f>
        <v>0</v>
      </c>
      <c r="D845" s="13"/>
      <c r="F845" s="13"/>
      <c r="G845">
        <v>843</v>
      </c>
      <c r="H845" s="4">
        <v>-1.1890609861195285E-2</v>
      </c>
      <c r="I845" s="14">
        <f t="shared" si="13"/>
        <v>-118906.09861195285</v>
      </c>
    </row>
    <row r="846" spans="1:9" x14ac:dyDescent="0.35">
      <c r="A846" s="3">
        <v>45072</v>
      </c>
      <c r="B846" s="4">
        <v>1.811261688205951E-2</v>
      </c>
      <c r="C846">
        <f ca="1">IF(B846&lt;Monte_Carlo!$AC$2,1,0)</f>
        <v>0</v>
      </c>
      <c r="D846" s="13"/>
      <c r="F846" s="13"/>
      <c r="G846">
        <v>844</v>
      </c>
      <c r="H846" s="4">
        <v>2.9797613300639021E-2</v>
      </c>
      <c r="I846" s="14">
        <f t="shared" si="13"/>
        <v>297976.13300639018</v>
      </c>
    </row>
    <row r="847" spans="1:9" x14ac:dyDescent="0.35">
      <c r="A847" s="3">
        <v>45075</v>
      </c>
      <c r="B847" s="4">
        <v>5.5271403625727328E-2</v>
      </c>
      <c r="C847">
        <f ca="1">IF(B847&lt;Monte_Carlo!$AC$2,1,0)</f>
        <v>0</v>
      </c>
      <c r="D847" s="13"/>
      <c r="F847" s="13"/>
      <c r="G847">
        <v>845</v>
      </c>
      <c r="H847" s="4">
        <v>1.0636112523365139E-2</v>
      </c>
      <c r="I847" s="14">
        <f t="shared" si="13"/>
        <v>106361.12523365139</v>
      </c>
    </row>
    <row r="848" spans="1:9" x14ac:dyDescent="0.35">
      <c r="A848" s="3">
        <v>45076</v>
      </c>
      <c r="B848" s="4">
        <v>2.3568098899656725E-4</v>
      </c>
      <c r="C848">
        <f ca="1">IF(B848&lt;Monte_Carlo!$AC$2,1,0)</f>
        <v>0</v>
      </c>
      <c r="D848" s="13"/>
      <c r="F848" s="13"/>
      <c r="G848">
        <v>846</v>
      </c>
      <c r="H848" s="4">
        <v>-9.0293913942137045E-3</v>
      </c>
      <c r="I848" s="14">
        <f t="shared" si="13"/>
        <v>-90293.913942137049</v>
      </c>
    </row>
    <row r="849" spans="1:9" x14ac:dyDescent="0.35">
      <c r="A849" s="3">
        <v>45077</v>
      </c>
      <c r="B849" s="4">
        <v>1.3710058476384692E-3</v>
      </c>
      <c r="C849">
        <f ca="1">IF(B849&lt;Monte_Carlo!$AC$2,1,0)</f>
        <v>0</v>
      </c>
      <c r="D849" s="13"/>
      <c r="F849" s="13"/>
      <c r="G849">
        <v>847</v>
      </c>
      <c r="H849" s="4">
        <v>5.4097111446390926E-3</v>
      </c>
      <c r="I849" s="14">
        <f t="shared" si="13"/>
        <v>54097.111446390925</v>
      </c>
    </row>
    <row r="850" spans="1:9" x14ac:dyDescent="0.35">
      <c r="A850" s="3">
        <v>45078</v>
      </c>
      <c r="B850" s="4">
        <v>2.8573779595589762E-2</v>
      </c>
      <c r="C850">
        <f ca="1">IF(B850&lt;Monte_Carlo!$AC$2,1,0)</f>
        <v>0</v>
      </c>
      <c r="D850" s="13"/>
      <c r="F850" s="13"/>
      <c r="G850">
        <v>848</v>
      </c>
      <c r="H850" s="4">
        <v>4.5263922401365736E-3</v>
      </c>
      <c r="I850" s="14">
        <f t="shared" si="13"/>
        <v>45263.922401365737</v>
      </c>
    </row>
    <row r="851" spans="1:9" x14ac:dyDescent="0.35">
      <c r="A851" s="3">
        <v>45079</v>
      </c>
      <c r="B851" s="4">
        <v>5.3777317182059263E-3</v>
      </c>
      <c r="C851">
        <f ca="1">IF(B851&lt;Monte_Carlo!$AC$2,1,0)</f>
        <v>0</v>
      </c>
      <c r="D851" s="13"/>
      <c r="F851" s="13"/>
      <c r="G851">
        <v>849</v>
      </c>
      <c r="H851" s="4">
        <v>-1.6377629887860526E-2</v>
      </c>
      <c r="I851" s="14">
        <f t="shared" si="13"/>
        <v>-163776.29887860524</v>
      </c>
    </row>
    <row r="852" spans="1:9" x14ac:dyDescent="0.35">
      <c r="A852" s="3">
        <v>45082</v>
      </c>
      <c r="B852" s="4">
        <v>-7.9939675565328661E-3</v>
      </c>
      <c r="C852">
        <f ca="1">IF(B852&lt;Monte_Carlo!$AC$2,1,0)</f>
        <v>0</v>
      </c>
      <c r="D852" s="13"/>
      <c r="F852" s="13"/>
      <c r="G852">
        <v>850</v>
      </c>
      <c r="H852" s="4">
        <v>3.2223811434035549E-2</v>
      </c>
      <c r="I852" s="14">
        <f t="shared" si="13"/>
        <v>322238.1143403555</v>
      </c>
    </row>
    <row r="853" spans="1:9" x14ac:dyDescent="0.35">
      <c r="A853" s="3">
        <v>45083</v>
      </c>
      <c r="B853" s="4">
        <v>6.79605306839892E-3</v>
      </c>
      <c r="C853">
        <f ca="1">IF(B853&lt;Monte_Carlo!$AC$2,1,0)</f>
        <v>0</v>
      </c>
      <c r="D853" s="13"/>
      <c r="F853" s="13"/>
      <c r="G853">
        <v>851</v>
      </c>
      <c r="H853" s="4">
        <v>-2.9185356999847079E-2</v>
      </c>
      <c r="I853" s="14">
        <f t="shared" si="13"/>
        <v>-291853.56999847078</v>
      </c>
    </row>
    <row r="854" spans="1:9" x14ac:dyDescent="0.35">
      <c r="A854" s="3">
        <v>45084</v>
      </c>
      <c r="B854" s="4">
        <v>1.7064743265143959E-2</v>
      </c>
      <c r="C854">
        <f ca="1">IF(B854&lt;Monte_Carlo!$AC$2,1,0)</f>
        <v>0</v>
      </c>
      <c r="D854" s="13"/>
      <c r="F854" s="13"/>
      <c r="G854">
        <v>852</v>
      </c>
      <c r="H854" s="4">
        <v>2.4583854121615705E-3</v>
      </c>
      <c r="I854" s="14">
        <f t="shared" si="13"/>
        <v>24583.854121615706</v>
      </c>
    </row>
    <row r="855" spans="1:9" x14ac:dyDescent="0.35">
      <c r="A855" s="3">
        <v>45085</v>
      </c>
      <c r="B855" s="4">
        <v>-5.1057900559402705E-3</v>
      </c>
      <c r="C855">
        <f ca="1">IF(B855&lt;Monte_Carlo!$AC$2,1,0)</f>
        <v>0</v>
      </c>
      <c r="D855" s="13"/>
      <c r="F855" s="13"/>
      <c r="G855">
        <v>853</v>
      </c>
      <c r="H855" s="4">
        <v>-2.1663972072475703E-3</v>
      </c>
      <c r="I855" s="14">
        <f t="shared" si="13"/>
        <v>-21663.972072475703</v>
      </c>
    </row>
    <row r="856" spans="1:9" x14ac:dyDescent="0.35">
      <c r="A856" s="3">
        <v>45086</v>
      </c>
      <c r="B856" s="4">
        <v>-2.5543070914722382E-2</v>
      </c>
      <c r="C856">
        <f ca="1">IF(B856&lt;Monte_Carlo!$AC$2,1,0)</f>
        <v>0</v>
      </c>
      <c r="D856" s="13"/>
      <c r="F856" s="13"/>
      <c r="G856">
        <v>854</v>
      </c>
      <c r="H856" s="4">
        <v>1.0024029427025278E-2</v>
      </c>
      <c r="I856" s="14">
        <f t="shared" si="13"/>
        <v>100240.29427025278</v>
      </c>
    </row>
    <row r="857" spans="1:9" x14ac:dyDescent="0.35">
      <c r="A857" s="3">
        <v>45089</v>
      </c>
      <c r="B857" s="4">
        <v>-5.1824263393315643E-4</v>
      </c>
      <c r="C857">
        <f ca="1">IF(B857&lt;Monte_Carlo!$AC$2,1,0)</f>
        <v>0</v>
      </c>
      <c r="D857" s="13"/>
      <c r="F857" s="13"/>
      <c r="G857">
        <v>855</v>
      </c>
      <c r="H857" s="4">
        <v>5.142379442815999E-3</v>
      </c>
      <c r="I857" s="14">
        <f t="shared" si="13"/>
        <v>51423.794428159992</v>
      </c>
    </row>
    <row r="858" spans="1:9" x14ac:dyDescent="0.35">
      <c r="A858" s="3">
        <v>45090</v>
      </c>
      <c r="B858" s="4">
        <v>4.5677869445151778E-3</v>
      </c>
      <c r="C858">
        <f ca="1">IF(B858&lt;Monte_Carlo!$AC$2,1,0)</f>
        <v>0</v>
      </c>
      <c r="D858" s="13"/>
      <c r="F858" s="13"/>
      <c r="G858">
        <v>856</v>
      </c>
      <c r="H858" s="4">
        <v>-4.0207377520130793E-3</v>
      </c>
      <c r="I858" s="14">
        <f t="shared" si="13"/>
        <v>-40207.377520130794</v>
      </c>
    </row>
    <row r="859" spans="1:9" x14ac:dyDescent="0.35">
      <c r="A859" s="3">
        <v>45091</v>
      </c>
      <c r="B859" s="4">
        <v>-2.1836817133526402E-3</v>
      </c>
      <c r="C859">
        <f ca="1">IF(B859&lt;Monte_Carlo!$AC$2,1,0)</f>
        <v>0</v>
      </c>
      <c r="D859" s="13"/>
      <c r="F859" s="13"/>
      <c r="G859">
        <v>857</v>
      </c>
      <c r="H859" s="4">
        <v>-1.3029583180780797E-2</v>
      </c>
      <c r="I859" s="14">
        <f t="shared" si="13"/>
        <v>-130295.83180780798</v>
      </c>
    </row>
    <row r="860" spans="1:9" x14ac:dyDescent="0.35">
      <c r="A860" s="3">
        <v>45092</v>
      </c>
      <c r="B860" s="4">
        <v>-2.9573778277830706E-3</v>
      </c>
      <c r="C860">
        <f ca="1">IF(B860&lt;Monte_Carlo!$AC$2,1,0)</f>
        <v>0</v>
      </c>
      <c r="D860" s="13"/>
      <c r="F860" s="13"/>
      <c r="G860">
        <v>858</v>
      </c>
      <c r="H860" s="4">
        <v>5.9142608001279788E-3</v>
      </c>
      <c r="I860" s="14">
        <f t="shared" si="13"/>
        <v>59142.60800127979</v>
      </c>
    </row>
    <row r="861" spans="1:9" x14ac:dyDescent="0.35">
      <c r="A861" s="3">
        <v>45093</v>
      </c>
      <c r="B861" s="4">
        <v>3.7468294568667161E-2</v>
      </c>
      <c r="C861">
        <f ca="1">IF(B861&lt;Monte_Carlo!$AC$2,1,0)</f>
        <v>0</v>
      </c>
      <c r="D861" s="13"/>
      <c r="F861" s="13"/>
      <c r="G861">
        <v>859</v>
      </c>
      <c r="H861" s="4">
        <v>2.5560861623021756E-2</v>
      </c>
      <c r="I861" s="14">
        <f t="shared" si="13"/>
        <v>255608.61623021757</v>
      </c>
    </row>
    <row r="862" spans="1:9" x14ac:dyDescent="0.35">
      <c r="A862" s="3">
        <v>45096</v>
      </c>
      <c r="B862" s="4">
        <v>1.2471089979427935E-3</v>
      </c>
      <c r="C862">
        <f ca="1">IF(B862&lt;Monte_Carlo!$AC$2,1,0)</f>
        <v>0</v>
      </c>
      <c r="D862" s="13"/>
      <c r="F862" s="13"/>
      <c r="G862">
        <v>860</v>
      </c>
      <c r="H862" s="4">
        <v>-2.1504269682026959E-2</v>
      </c>
      <c r="I862" s="14">
        <f t="shared" si="13"/>
        <v>-215042.6968202696</v>
      </c>
    </row>
    <row r="863" spans="1:9" x14ac:dyDescent="0.35">
      <c r="A863" s="3">
        <v>45097</v>
      </c>
      <c r="B863" s="4">
        <v>1.8783442100037882E-2</v>
      </c>
      <c r="C863">
        <f ca="1">IF(B863&lt;Monte_Carlo!$AC$2,1,0)</f>
        <v>0</v>
      </c>
      <c r="D863" s="13"/>
      <c r="F863" s="13"/>
      <c r="G863">
        <v>861</v>
      </c>
      <c r="H863" s="4">
        <v>-1.0966977321919089E-5</v>
      </c>
      <c r="I863" s="14">
        <f t="shared" si="13"/>
        <v>-109.66977321919089</v>
      </c>
    </row>
    <row r="864" spans="1:9" x14ac:dyDescent="0.35">
      <c r="A864" s="3">
        <v>45098</v>
      </c>
      <c r="B864" s="4">
        <v>3.0996664192749872E-3</v>
      </c>
      <c r="C864">
        <f ca="1">IF(B864&lt;Monte_Carlo!$AC$2,1,0)</f>
        <v>0</v>
      </c>
      <c r="D864" s="13"/>
      <c r="F864" s="13"/>
      <c r="G864">
        <v>862</v>
      </c>
      <c r="H864" s="4">
        <v>1.0428564395292945E-2</v>
      </c>
      <c r="I864" s="14">
        <f t="shared" si="13"/>
        <v>104285.64395292946</v>
      </c>
    </row>
    <row r="865" spans="1:9" x14ac:dyDescent="0.35">
      <c r="A865" s="3">
        <v>45099</v>
      </c>
      <c r="B865" s="4">
        <v>-1.9159913940071521E-2</v>
      </c>
      <c r="C865">
        <f ca="1">IF(B865&lt;Monte_Carlo!$AC$2,1,0)</f>
        <v>0</v>
      </c>
      <c r="D865" s="13"/>
      <c r="F865" s="13"/>
      <c r="G865">
        <v>863</v>
      </c>
      <c r="H865" s="4">
        <v>-2.6057598039573013E-2</v>
      </c>
      <c r="I865" s="14">
        <f t="shared" si="13"/>
        <v>-260575.98039573012</v>
      </c>
    </row>
    <row r="866" spans="1:9" x14ac:dyDescent="0.35">
      <c r="A866" s="3">
        <v>45100</v>
      </c>
      <c r="B866" s="4">
        <v>-6.9572277465724929E-3</v>
      </c>
      <c r="C866">
        <f ca="1">IF(B866&lt;Monte_Carlo!$AC$2,1,0)</f>
        <v>0</v>
      </c>
      <c r="D866" s="13"/>
      <c r="F866" s="13"/>
      <c r="G866">
        <v>864</v>
      </c>
      <c r="H866" s="4">
        <v>-4.5655929297657178E-3</v>
      </c>
      <c r="I866" s="14">
        <f t="shared" si="13"/>
        <v>-45655.929297657181</v>
      </c>
    </row>
    <row r="867" spans="1:9" x14ac:dyDescent="0.35">
      <c r="A867" s="3">
        <v>45103</v>
      </c>
      <c r="B867" s="4">
        <v>5.6148533490825965E-3</v>
      </c>
      <c r="C867">
        <f ca="1">IF(B867&lt;Monte_Carlo!$AC$2,1,0)</f>
        <v>0</v>
      </c>
      <c r="D867" s="13"/>
      <c r="F867" s="13"/>
      <c r="G867">
        <v>865</v>
      </c>
      <c r="H867" s="4">
        <v>1.3508838382721211E-2</v>
      </c>
      <c r="I867" s="14">
        <f t="shared" si="13"/>
        <v>135088.38382721212</v>
      </c>
    </row>
    <row r="868" spans="1:9" x14ac:dyDescent="0.35">
      <c r="A868" s="3">
        <v>45104</v>
      </c>
      <c r="B868" s="4">
        <v>3.0399025020400882E-2</v>
      </c>
      <c r="C868">
        <f ca="1">IF(B868&lt;Monte_Carlo!$AC$2,1,0)</f>
        <v>0</v>
      </c>
      <c r="D868" s="13"/>
      <c r="F868" s="13"/>
      <c r="G868">
        <v>866</v>
      </c>
      <c r="H868" s="4">
        <v>1.7068316029527908E-2</v>
      </c>
      <c r="I868" s="14">
        <f t="shared" si="13"/>
        <v>170683.16029527909</v>
      </c>
    </row>
    <row r="869" spans="1:9" x14ac:dyDescent="0.35">
      <c r="A869" s="3">
        <v>45105</v>
      </c>
      <c r="B869" s="4">
        <v>2.7147482371359436E-3</v>
      </c>
      <c r="C869">
        <f ca="1">IF(B869&lt;Monte_Carlo!$AC$2,1,0)</f>
        <v>0</v>
      </c>
      <c r="D869" s="13"/>
      <c r="F869" s="13"/>
      <c r="G869">
        <v>867</v>
      </c>
      <c r="H869" s="4">
        <v>1.9962325533085879E-3</v>
      </c>
      <c r="I869" s="14">
        <f t="shared" si="13"/>
        <v>19962.325533085877</v>
      </c>
    </row>
    <row r="870" spans="1:9" x14ac:dyDescent="0.35">
      <c r="A870" s="3">
        <v>45107</v>
      </c>
      <c r="B870" s="4">
        <v>5.9826718255253496E-3</v>
      </c>
      <c r="C870">
        <f ca="1">IF(B870&lt;Monte_Carlo!$AC$2,1,0)</f>
        <v>0</v>
      </c>
      <c r="D870" s="13"/>
      <c r="F870" s="13"/>
      <c r="G870">
        <v>868</v>
      </c>
      <c r="H870" s="4">
        <v>-2.080769688097743E-2</v>
      </c>
      <c r="I870" s="14">
        <f t="shared" si="13"/>
        <v>-208076.96880977429</v>
      </c>
    </row>
    <row r="871" spans="1:9" x14ac:dyDescent="0.35">
      <c r="A871" s="3">
        <v>45110</v>
      </c>
      <c r="B871" s="4">
        <v>-1.7807777825859468E-5</v>
      </c>
      <c r="C871">
        <f ca="1">IF(B871&lt;Monte_Carlo!$AC$2,1,0)</f>
        <v>0</v>
      </c>
      <c r="D871" s="13"/>
      <c r="F871" s="13"/>
      <c r="G871">
        <v>869</v>
      </c>
      <c r="H871" s="4">
        <v>1.6975997043162584E-2</v>
      </c>
      <c r="I871" s="14">
        <f t="shared" si="13"/>
        <v>169759.97043162584</v>
      </c>
    </row>
    <row r="872" spans="1:9" x14ac:dyDescent="0.35">
      <c r="A872" s="3">
        <v>45111</v>
      </c>
      <c r="B872" s="4">
        <v>-1.5403435425960569E-2</v>
      </c>
      <c r="C872">
        <f ca="1">IF(B872&lt;Monte_Carlo!$AC$2,1,0)</f>
        <v>0</v>
      </c>
      <c r="D872" s="13"/>
      <c r="F872" s="13"/>
      <c r="G872">
        <v>870</v>
      </c>
      <c r="H872" s="4">
        <v>-4.886585369691652E-4</v>
      </c>
      <c r="I872" s="14">
        <f t="shared" si="13"/>
        <v>-4886.585369691652</v>
      </c>
    </row>
    <row r="873" spans="1:9" x14ac:dyDescent="0.35">
      <c r="A873" s="3">
        <v>45112</v>
      </c>
      <c r="B873" s="4">
        <v>5.5462336355442468E-3</v>
      </c>
      <c r="C873">
        <f ca="1">IF(B873&lt;Monte_Carlo!$AC$2,1,0)</f>
        <v>0</v>
      </c>
      <c r="D873" s="13"/>
      <c r="F873" s="13"/>
      <c r="G873">
        <v>871</v>
      </c>
      <c r="H873" s="4">
        <v>1.4245211265061539E-2</v>
      </c>
      <c r="I873" s="14">
        <f t="shared" si="13"/>
        <v>142452.1126506154</v>
      </c>
    </row>
    <row r="874" spans="1:9" x14ac:dyDescent="0.35">
      <c r="A874" s="3">
        <v>45113</v>
      </c>
      <c r="B874" s="4">
        <v>1.1510679242877225E-2</v>
      </c>
      <c r="C874">
        <f ca="1">IF(B874&lt;Monte_Carlo!$AC$2,1,0)</f>
        <v>0</v>
      </c>
      <c r="D874" s="13"/>
      <c r="F874" s="13"/>
      <c r="G874">
        <v>872</v>
      </c>
      <c r="H874" s="4">
        <v>-2.8574926047051918E-2</v>
      </c>
      <c r="I874" s="14">
        <f t="shared" si="13"/>
        <v>-285749.26047051919</v>
      </c>
    </row>
    <row r="875" spans="1:9" x14ac:dyDescent="0.35">
      <c r="A875" s="3">
        <v>45114</v>
      </c>
      <c r="B875" s="4">
        <v>-2.8260722789820291E-3</v>
      </c>
      <c r="C875">
        <f ca="1">IF(B875&lt;Monte_Carlo!$AC$2,1,0)</f>
        <v>0</v>
      </c>
      <c r="D875" s="13"/>
      <c r="F875" s="13"/>
      <c r="G875">
        <v>873</v>
      </c>
      <c r="H875" s="4">
        <v>6.7610141574248085E-3</v>
      </c>
      <c r="I875" s="14">
        <f t="shared" si="13"/>
        <v>67610.141574248089</v>
      </c>
    </row>
    <row r="876" spans="1:9" x14ac:dyDescent="0.35">
      <c r="A876" s="3">
        <v>45117</v>
      </c>
      <c r="B876" s="4">
        <v>9.6465246016031059E-3</v>
      </c>
      <c r="C876">
        <f ca="1">IF(B876&lt;Monte_Carlo!$AC$2,1,0)</f>
        <v>0</v>
      </c>
      <c r="D876" s="13"/>
      <c r="F876" s="13"/>
      <c r="G876">
        <v>874</v>
      </c>
      <c r="H876" s="4">
        <v>-1.2258349144374497E-2</v>
      </c>
      <c r="I876" s="14">
        <f t="shared" si="13"/>
        <v>-122583.49144374496</v>
      </c>
    </row>
    <row r="877" spans="1:9" x14ac:dyDescent="0.35">
      <c r="A877" s="3">
        <v>45118</v>
      </c>
      <c r="B877" s="4">
        <v>6.6497171071563943E-4</v>
      </c>
      <c r="C877">
        <f ca="1">IF(B877&lt;Monte_Carlo!$AC$2,1,0)</f>
        <v>0</v>
      </c>
      <c r="D877" s="13"/>
      <c r="F877" s="13"/>
      <c r="G877">
        <v>875</v>
      </c>
      <c r="H877" s="4">
        <v>9.003900130772263E-4</v>
      </c>
      <c r="I877" s="14">
        <f t="shared" si="13"/>
        <v>9003.9001307722629</v>
      </c>
    </row>
    <row r="878" spans="1:9" x14ac:dyDescent="0.35">
      <c r="A878" s="3">
        <v>45119</v>
      </c>
      <c r="B878" s="4">
        <v>5.8601519097563155E-3</v>
      </c>
      <c r="C878">
        <f ca="1">IF(B878&lt;Monte_Carlo!$AC$2,1,0)</f>
        <v>0</v>
      </c>
      <c r="D878" s="13"/>
      <c r="F878" s="13"/>
      <c r="G878">
        <v>876</v>
      </c>
      <c r="H878" s="4">
        <v>9.6354404172252512E-3</v>
      </c>
      <c r="I878" s="14">
        <f t="shared" si="13"/>
        <v>96354.404172252514</v>
      </c>
    </row>
    <row r="879" spans="1:9" x14ac:dyDescent="0.35">
      <c r="A879" s="3">
        <v>45120</v>
      </c>
      <c r="B879" s="4">
        <v>-6.398770432913055E-3</v>
      </c>
      <c r="C879">
        <f ca="1">IF(B879&lt;Monte_Carlo!$AC$2,1,0)</f>
        <v>0</v>
      </c>
      <c r="D879" s="13"/>
      <c r="F879" s="13"/>
      <c r="G879">
        <v>877</v>
      </c>
      <c r="H879" s="4">
        <v>2.8482769309802591E-2</v>
      </c>
      <c r="I879" s="14">
        <f t="shared" si="13"/>
        <v>284827.69309802592</v>
      </c>
    </row>
    <row r="880" spans="1:9" x14ac:dyDescent="0.35">
      <c r="A880" s="3">
        <v>45121</v>
      </c>
      <c r="B880" s="4">
        <v>1.0869993314420177E-2</v>
      </c>
      <c r="C880">
        <f ca="1">IF(B880&lt;Monte_Carlo!$AC$2,1,0)</f>
        <v>0</v>
      </c>
      <c r="D880" s="13"/>
      <c r="F880" s="13"/>
      <c r="G880">
        <v>878</v>
      </c>
      <c r="H880" s="4">
        <v>-1.755010288949815E-2</v>
      </c>
      <c r="I880" s="14">
        <f t="shared" si="13"/>
        <v>-175501.02889498151</v>
      </c>
    </row>
    <row r="881" spans="1:9" x14ac:dyDescent="0.35">
      <c r="A881" s="3">
        <v>45124</v>
      </c>
      <c r="B881" s="4">
        <v>-5.4208325316192222E-3</v>
      </c>
      <c r="C881">
        <f ca="1">IF(B881&lt;Monte_Carlo!$AC$2,1,0)</f>
        <v>0</v>
      </c>
      <c r="D881" s="13"/>
      <c r="F881" s="13"/>
      <c r="G881">
        <v>879</v>
      </c>
      <c r="H881" s="4">
        <v>-2.0449405180192427E-2</v>
      </c>
      <c r="I881" s="14">
        <f t="shared" si="13"/>
        <v>-204494.05180192427</v>
      </c>
    </row>
    <row r="882" spans="1:9" x14ac:dyDescent="0.35">
      <c r="A882" s="3">
        <v>45125</v>
      </c>
      <c r="B882" s="4">
        <v>-5.6314376781386767E-3</v>
      </c>
      <c r="C882">
        <f ca="1">IF(B882&lt;Monte_Carlo!$AC$2,1,0)</f>
        <v>0</v>
      </c>
      <c r="D882" s="13"/>
      <c r="F882" s="13"/>
      <c r="G882">
        <v>880</v>
      </c>
      <c r="H882" s="4">
        <v>1.5581346402703179E-2</v>
      </c>
      <c r="I882" s="14">
        <f t="shared" si="13"/>
        <v>155813.46402703179</v>
      </c>
    </row>
    <row r="883" spans="1:9" x14ac:dyDescent="0.35">
      <c r="A883" s="3">
        <v>45126</v>
      </c>
      <c r="B883" s="4">
        <v>8.4872409529064743E-3</v>
      </c>
      <c r="C883">
        <f ca="1">IF(B883&lt;Monte_Carlo!$AC$2,1,0)</f>
        <v>0</v>
      </c>
      <c r="D883" s="13"/>
      <c r="F883" s="13"/>
      <c r="G883">
        <v>881</v>
      </c>
      <c r="H883" s="4">
        <v>1.8731324384146028E-2</v>
      </c>
      <c r="I883" s="14">
        <f t="shared" si="13"/>
        <v>187313.24384146029</v>
      </c>
    </row>
    <row r="884" spans="1:9" x14ac:dyDescent="0.35">
      <c r="A884" s="3">
        <v>45127</v>
      </c>
      <c r="B884" s="4">
        <v>1.7495939054314635E-2</v>
      </c>
      <c r="C884">
        <f ca="1">IF(B884&lt;Monte_Carlo!$AC$2,1,0)</f>
        <v>0</v>
      </c>
      <c r="D884" s="13"/>
      <c r="F884" s="13"/>
      <c r="G884">
        <v>882</v>
      </c>
      <c r="H884" s="4">
        <v>-2.5987765509106014E-2</v>
      </c>
      <c r="I884" s="14">
        <f t="shared" si="13"/>
        <v>-259877.65509106015</v>
      </c>
    </row>
    <row r="885" spans="1:9" x14ac:dyDescent="0.35">
      <c r="A885" s="3">
        <v>45128</v>
      </c>
      <c r="B885" s="4">
        <v>1.4150147206464965E-2</v>
      </c>
      <c r="C885">
        <f ca="1">IF(B885&lt;Monte_Carlo!$AC$2,1,0)</f>
        <v>0</v>
      </c>
      <c r="D885" s="13"/>
      <c r="F885" s="13"/>
      <c r="G885">
        <v>883</v>
      </c>
      <c r="H885" s="4">
        <v>-2.1909437968020324E-2</v>
      </c>
      <c r="I885" s="14">
        <f t="shared" si="13"/>
        <v>-219094.37968020324</v>
      </c>
    </row>
    <row r="886" spans="1:9" x14ac:dyDescent="0.35">
      <c r="A886" s="3">
        <v>45131</v>
      </c>
      <c r="B886" s="4">
        <v>-5.6706967232114805E-3</v>
      </c>
      <c r="C886">
        <f ca="1">IF(B886&lt;Monte_Carlo!$AC$2,1,0)</f>
        <v>0</v>
      </c>
      <c r="D886" s="13"/>
      <c r="F886" s="13"/>
      <c r="G886">
        <v>884</v>
      </c>
      <c r="H886" s="4">
        <v>1.3898514362839584E-2</v>
      </c>
      <c r="I886" s="14">
        <f t="shared" si="13"/>
        <v>138985.14362839583</v>
      </c>
    </row>
    <row r="887" spans="1:9" x14ac:dyDescent="0.35">
      <c r="A887" s="3">
        <v>45132</v>
      </c>
      <c r="B887" s="4">
        <v>-4.0368153607513967E-3</v>
      </c>
      <c r="C887">
        <f ca="1">IF(B887&lt;Monte_Carlo!$AC$2,1,0)</f>
        <v>0</v>
      </c>
      <c r="D887" s="13"/>
      <c r="F887" s="13"/>
      <c r="G887">
        <v>885</v>
      </c>
      <c r="H887" s="4">
        <v>2.1930587816876602E-2</v>
      </c>
      <c r="I887" s="14">
        <f t="shared" si="13"/>
        <v>219305.87816876604</v>
      </c>
    </row>
    <row r="888" spans="1:9" x14ac:dyDescent="0.35">
      <c r="A888" s="3">
        <v>45133</v>
      </c>
      <c r="B888" s="4">
        <v>-3.0014052575718202E-3</v>
      </c>
      <c r="C888">
        <f ca="1">IF(B888&lt;Monte_Carlo!$AC$2,1,0)</f>
        <v>0</v>
      </c>
      <c r="D888" s="13"/>
      <c r="F888" s="13"/>
      <c r="G888">
        <v>886</v>
      </c>
      <c r="H888" s="4">
        <v>-1.6896740831097871E-2</v>
      </c>
      <c r="I888" s="14">
        <f t="shared" si="13"/>
        <v>-168967.4083109787</v>
      </c>
    </row>
    <row r="889" spans="1:9" x14ac:dyDescent="0.35">
      <c r="A889" s="3">
        <v>45134</v>
      </c>
      <c r="B889" s="4">
        <v>-7.6824681488912791E-3</v>
      </c>
      <c r="C889">
        <f ca="1">IF(B889&lt;Monte_Carlo!$AC$2,1,0)</f>
        <v>0</v>
      </c>
      <c r="D889" s="13"/>
      <c r="F889" s="13"/>
      <c r="G889">
        <v>887</v>
      </c>
      <c r="H889" s="4">
        <v>4.1189029403327741E-3</v>
      </c>
      <c r="I889" s="14">
        <f t="shared" si="13"/>
        <v>41189.029403327739</v>
      </c>
    </row>
    <row r="890" spans="1:9" x14ac:dyDescent="0.35">
      <c r="A890" s="3">
        <v>45135</v>
      </c>
      <c r="B890" s="4">
        <v>5.7789359274646231E-3</v>
      </c>
      <c r="C890">
        <f ca="1">IF(B890&lt;Monte_Carlo!$AC$2,1,0)</f>
        <v>0</v>
      </c>
      <c r="D890" s="13"/>
      <c r="F890" s="13"/>
      <c r="G890">
        <v>888</v>
      </c>
      <c r="H890" s="4">
        <v>5.5014569167771837E-3</v>
      </c>
      <c r="I890" s="14">
        <f t="shared" si="13"/>
        <v>55014.569167771835</v>
      </c>
    </row>
    <row r="891" spans="1:9" x14ac:dyDescent="0.35">
      <c r="A891" s="3">
        <v>45138</v>
      </c>
      <c r="B891" s="4">
        <v>1.4962010438428638E-2</v>
      </c>
      <c r="C891">
        <f ca="1">IF(B891&lt;Monte_Carlo!$AC$2,1,0)</f>
        <v>0</v>
      </c>
      <c r="D891" s="13"/>
      <c r="F891" s="13"/>
      <c r="G891">
        <v>889</v>
      </c>
      <c r="H891" s="4">
        <v>-4.6068224905559483E-3</v>
      </c>
      <c r="I891" s="14">
        <f t="shared" si="13"/>
        <v>-46068.22490555948</v>
      </c>
    </row>
    <row r="892" spans="1:9" x14ac:dyDescent="0.35">
      <c r="A892" s="3">
        <v>45139</v>
      </c>
      <c r="B892" s="4">
        <v>-8.6977028563123976E-3</v>
      </c>
      <c r="C892">
        <f ca="1">IF(B892&lt;Monte_Carlo!$AC$2,1,0)</f>
        <v>0</v>
      </c>
      <c r="D892" s="13"/>
      <c r="F892" s="13"/>
      <c r="G892">
        <v>890</v>
      </c>
      <c r="H892" s="4">
        <v>-2.7948795736127911E-2</v>
      </c>
      <c r="I892" s="14">
        <f t="shared" si="13"/>
        <v>-279487.95736127911</v>
      </c>
    </row>
    <row r="893" spans="1:9" x14ac:dyDescent="0.35">
      <c r="A893" s="3">
        <v>45140</v>
      </c>
      <c r="B893" s="4">
        <v>-6.6499619193767E-3</v>
      </c>
      <c r="C893">
        <f ca="1">IF(B893&lt;Monte_Carlo!$AC$2,1,0)</f>
        <v>0</v>
      </c>
      <c r="D893" s="13"/>
      <c r="F893" s="13"/>
      <c r="G893">
        <v>891</v>
      </c>
      <c r="H893" s="4">
        <v>1.090254529333291E-2</v>
      </c>
      <c r="I893" s="14">
        <f t="shared" si="13"/>
        <v>109025.4529333291</v>
      </c>
    </row>
    <row r="894" spans="1:9" x14ac:dyDescent="0.35">
      <c r="A894" s="3">
        <v>45141</v>
      </c>
      <c r="B894" s="4">
        <v>-5.8117580094502654E-3</v>
      </c>
      <c r="C894">
        <f ca="1">IF(B894&lt;Monte_Carlo!$AC$2,1,0)</f>
        <v>0</v>
      </c>
      <c r="D894" s="13"/>
      <c r="F894" s="13"/>
      <c r="G894">
        <v>892</v>
      </c>
      <c r="H894" s="4">
        <v>5.2043440472787964E-4</v>
      </c>
      <c r="I894" s="14">
        <f t="shared" si="13"/>
        <v>5204.3440472787961</v>
      </c>
    </row>
    <row r="895" spans="1:9" x14ac:dyDescent="0.35">
      <c r="A895" s="3">
        <v>45142</v>
      </c>
      <c r="B895" s="4">
        <v>1.2671876277054368E-2</v>
      </c>
      <c r="C895">
        <f ca="1">IF(B895&lt;Monte_Carlo!$AC$2,1,0)</f>
        <v>0</v>
      </c>
      <c r="D895" s="13"/>
      <c r="F895" s="13"/>
      <c r="G895">
        <v>893</v>
      </c>
      <c r="H895" s="4">
        <v>1.3115603917923562E-2</v>
      </c>
      <c r="I895" s="14">
        <f t="shared" si="13"/>
        <v>131156.03917923561</v>
      </c>
    </row>
    <row r="896" spans="1:9" x14ac:dyDescent="0.35">
      <c r="A896" s="3">
        <v>45145</v>
      </c>
      <c r="B896" s="4">
        <v>1.8437421655889304E-2</v>
      </c>
      <c r="C896">
        <f ca="1">IF(B896&lt;Monte_Carlo!$AC$2,1,0)</f>
        <v>0</v>
      </c>
      <c r="D896" s="13"/>
      <c r="F896" s="13"/>
      <c r="G896">
        <v>894</v>
      </c>
      <c r="H896" s="4">
        <v>1.7603829973832975E-4</v>
      </c>
      <c r="I896" s="14">
        <f t="shared" si="13"/>
        <v>1760.3829973832974</v>
      </c>
    </row>
    <row r="897" spans="1:9" x14ac:dyDescent="0.35">
      <c r="A897" s="3">
        <v>45146</v>
      </c>
      <c r="B897" s="4">
        <v>5.9384221847784847E-3</v>
      </c>
      <c r="C897">
        <f ca="1">IF(B897&lt;Monte_Carlo!$AC$2,1,0)</f>
        <v>0</v>
      </c>
      <c r="D897" s="13"/>
      <c r="F897" s="13"/>
      <c r="G897">
        <v>895</v>
      </c>
      <c r="H897" s="4">
        <v>1.8306142908250406E-2</v>
      </c>
      <c r="I897" s="14">
        <f t="shared" si="13"/>
        <v>183061.42908250407</v>
      </c>
    </row>
    <row r="898" spans="1:9" x14ac:dyDescent="0.35">
      <c r="A898" s="3">
        <v>45147</v>
      </c>
      <c r="B898" s="4">
        <v>-1.1803150769914382E-2</v>
      </c>
      <c r="C898">
        <f ca="1">IF(B898&lt;Monte_Carlo!$AC$2,1,0)</f>
        <v>0</v>
      </c>
      <c r="D898" s="13"/>
      <c r="F898" s="13"/>
      <c r="G898">
        <v>896</v>
      </c>
      <c r="H898" s="4">
        <v>-9.4874392315185598E-3</v>
      </c>
      <c r="I898" s="14">
        <f t="shared" si="13"/>
        <v>-94874.3923151856</v>
      </c>
    </row>
    <row r="899" spans="1:9" x14ac:dyDescent="0.35">
      <c r="A899" s="3">
        <v>45148</v>
      </c>
      <c r="B899" s="4">
        <v>-2.139195986097913E-2</v>
      </c>
      <c r="C899">
        <f ca="1">IF(B899&lt;Monte_Carlo!$AC$2,1,0)</f>
        <v>0</v>
      </c>
      <c r="D899" s="13"/>
      <c r="F899" s="13"/>
      <c r="G899">
        <v>897</v>
      </c>
      <c r="H899" s="4">
        <v>-3.1225820745011575E-3</v>
      </c>
      <c r="I899" s="14">
        <f t="shared" si="13"/>
        <v>-31225.820745011573</v>
      </c>
    </row>
    <row r="900" spans="1:9" x14ac:dyDescent="0.35">
      <c r="A900" s="3">
        <v>45149</v>
      </c>
      <c r="B900" s="4">
        <v>6.133256200304805E-3</v>
      </c>
      <c r="C900">
        <f ca="1">IF(B900&lt;Monte_Carlo!$AC$2,1,0)</f>
        <v>0</v>
      </c>
      <c r="D900" s="13"/>
      <c r="F900" s="13"/>
      <c r="G900">
        <v>898</v>
      </c>
      <c r="H900" s="4">
        <v>-4.6855840679745535E-3</v>
      </c>
      <c r="I900" s="14">
        <f t="shared" si="13"/>
        <v>-46855.840679745532</v>
      </c>
    </row>
    <row r="901" spans="1:9" x14ac:dyDescent="0.35">
      <c r="A901" s="3">
        <v>45152</v>
      </c>
      <c r="B901" s="4">
        <v>-1.6044123966566248E-2</v>
      </c>
      <c r="C901">
        <f ca="1">IF(B901&lt;Monte_Carlo!$AC$2,1,0)</f>
        <v>0</v>
      </c>
      <c r="D901" s="13"/>
      <c r="F901" s="13"/>
      <c r="G901">
        <v>899</v>
      </c>
      <c r="H901" s="4">
        <v>-4.3334708226394091E-2</v>
      </c>
      <c r="I901" s="14">
        <f t="shared" ref="I901:I964" si="14">H901*10000000</f>
        <v>-433347.08226394089</v>
      </c>
    </row>
    <row r="902" spans="1:9" x14ac:dyDescent="0.35">
      <c r="A902" s="3">
        <v>45154</v>
      </c>
      <c r="B902" s="4">
        <v>4.1337964105969934E-3</v>
      </c>
      <c r="C902">
        <f ca="1">IF(B902&lt;Monte_Carlo!$AC$2,1,0)</f>
        <v>0</v>
      </c>
      <c r="D902" s="13"/>
      <c r="F902" s="13"/>
      <c r="G902">
        <v>900</v>
      </c>
      <c r="H902" s="4">
        <v>4.8959182798019418E-2</v>
      </c>
      <c r="I902" s="14">
        <f t="shared" si="14"/>
        <v>489591.82798019418</v>
      </c>
    </row>
    <row r="903" spans="1:9" x14ac:dyDescent="0.35">
      <c r="A903" s="3">
        <v>45155</v>
      </c>
      <c r="B903" s="4">
        <v>-1.6162239651949328E-3</v>
      </c>
      <c r="C903">
        <f ca="1">IF(B903&lt;Monte_Carlo!$AC$2,1,0)</f>
        <v>0</v>
      </c>
      <c r="D903" s="13"/>
      <c r="F903" s="13"/>
      <c r="G903">
        <v>901</v>
      </c>
      <c r="H903" s="4">
        <v>2.3085296617509606E-3</v>
      </c>
      <c r="I903" s="14">
        <f t="shared" si="14"/>
        <v>23085.296617509604</v>
      </c>
    </row>
    <row r="904" spans="1:9" x14ac:dyDescent="0.35">
      <c r="A904" s="3">
        <v>45156</v>
      </c>
      <c r="B904" s="4">
        <v>-9.8674813147300398E-3</v>
      </c>
      <c r="C904">
        <f ca="1">IF(B904&lt;Monte_Carlo!$AC$2,1,0)</f>
        <v>0</v>
      </c>
      <c r="D904" s="13"/>
      <c r="F904" s="13"/>
      <c r="G904">
        <v>902</v>
      </c>
      <c r="H904" s="4">
        <v>-2.0108037675505425E-2</v>
      </c>
      <c r="I904" s="14">
        <f t="shared" si="14"/>
        <v>-201080.37675505425</v>
      </c>
    </row>
    <row r="905" spans="1:9" x14ac:dyDescent="0.35">
      <c r="A905" s="3">
        <v>45159</v>
      </c>
      <c r="B905" s="4">
        <v>3.668831869195973E-3</v>
      </c>
      <c r="C905">
        <f ca="1">IF(B905&lt;Monte_Carlo!$AC$2,1,0)</f>
        <v>0</v>
      </c>
      <c r="D905" s="13"/>
      <c r="F905" s="13"/>
      <c r="G905">
        <v>903</v>
      </c>
      <c r="H905" s="4">
        <v>1.6117048461232734E-2</v>
      </c>
      <c r="I905" s="14">
        <f t="shared" si="14"/>
        <v>161170.48461232733</v>
      </c>
    </row>
    <row r="906" spans="1:9" x14ac:dyDescent="0.35">
      <c r="A906" s="3">
        <v>45160</v>
      </c>
      <c r="B906" s="4">
        <v>1.1086256428843892E-2</v>
      </c>
      <c r="C906">
        <f ca="1">IF(B906&lt;Monte_Carlo!$AC$2,1,0)</f>
        <v>0</v>
      </c>
      <c r="D906" s="13"/>
      <c r="F906" s="13"/>
      <c r="G906">
        <v>904</v>
      </c>
      <c r="H906" s="4">
        <v>-8.7754663965734416E-3</v>
      </c>
      <c r="I906" s="14">
        <f t="shared" si="14"/>
        <v>-87754.66396573442</v>
      </c>
    </row>
    <row r="907" spans="1:9" x14ac:dyDescent="0.35">
      <c r="A907" s="3">
        <v>45161</v>
      </c>
      <c r="B907" s="4">
        <v>-3.0896573714212327E-3</v>
      </c>
      <c r="C907">
        <f ca="1">IF(B907&lt;Monte_Carlo!$AC$2,1,0)</f>
        <v>0</v>
      </c>
      <c r="D907" s="13"/>
      <c r="F907" s="13"/>
      <c r="G907">
        <v>905</v>
      </c>
      <c r="H907" s="4">
        <v>-9.2684504267804765E-3</v>
      </c>
      <c r="I907" s="14">
        <f t="shared" si="14"/>
        <v>-92684.504267804761</v>
      </c>
    </row>
    <row r="908" spans="1:9" x14ac:dyDescent="0.35">
      <c r="A908" s="3">
        <v>45162</v>
      </c>
      <c r="B908" s="4">
        <v>9.4840023755863988E-3</v>
      </c>
      <c r="C908">
        <f ca="1">IF(B908&lt;Monte_Carlo!$AC$2,1,0)</f>
        <v>0</v>
      </c>
      <c r="D908" s="13"/>
      <c r="F908" s="13"/>
      <c r="G908">
        <v>906</v>
      </c>
      <c r="H908" s="4">
        <v>6.3068649778889431E-3</v>
      </c>
      <c r="I908" s="14">
        <f t="shared" si="14"/>
        <v>63068.649778889434</v>
      </c>
    </row>
    <row r="909" spans="1:9" x14ac:dyDescent="0.35">
      <c r="A909" s="3">
        <v>45163</v>
      </c>
      <c r="B909" s="4">
        <v>-7.3170376882428414E-3</v>
      </c>
      <c r="C909">
        <f ca="1">IF(B909&lt;Monte_Carlo!$AC$2,1,0)</f>
        <v>0</v>
      </c>
      <c r="D909" s="13"/>
      <c r="F909" s="13"/>
      <c r="G909">
        <v>907</v>
      </c>
      <c r="H909" s="4">
        <v>3.7048485560407886E-2</v>
      </c>
      <c r="I909" s="14">
        <f t="shared" si="14"/>
        <v>370484.85560407885</v>
      </c>
    </row>
    <row r="910" spans="1:9" x14ac:dyDescent="0.35">
      <c r="A910" s="3">
        <v>45166</v>
      </c>
      <c r="B910" s="4">
        <v>2.9664629453427919E-3</v>
      </c>
      <c r="C910">
        <f ca="1">IF(B910&lt;Monte_Carlo!$AC$2,1,0)</f>
        <v>0</v>
      </c>
      <c r="D910" s="13"/>
      <c r="F910" s="13"/>
      <c r="G910">
        <v>908</v>
      </c>
      <c r="H910" s="4">
        <v>-3.0491692303501936E-2</v>
      </c>
      <c r="I910" s="14">
        <f t="shared" si="14"/>
        <v>-304916.92303501937</v>
      </c>
    </row>
    <row r="911" spans="1:9" x14ac:dyDescent="0.35">
      <c r="A911" s="3">
        <v>45167</v>
      </c>
      <c r="B911" s="4">
        <v>-2.3372620979467493E-3</v>
      </c>
      <c r="C911">
        <f ca="1">IF(B911&lt;Monte_Carlo!$AC$2,1,0)</f>
        <v>0</v>
      </c>
      <c r="D911" s="13"/>
      <c r="F911" s="13"/>
      <c r="G911">
        <v>909</v>
      </c>
      <c r="H911" s="4">
        <v>-2.754542486189477E-2</v>
      </c>
      <c r="I911" s="14">
        <f t="shared" si="14"/>
        <v>-275454.24861894769</v>
      </c>
    </row>
    <row r="912" spans="1:9" x14ac:dyDescent="0.35">
      <c r="A912" s="3">
        <v>45168</v>
      </c>
      <c r="B912" s="4">
        <v>1.4464137090542072E-3</v>
      </c>
      <c r="C912">
        <f ca="1">IF(B912&lt;Monte_Carlo!$AC$2,1,0)</f>
        <v>0</v>
      </c>
      <c r="D912" s="13"/>
      <c r="F912" s="13"/>
      <c r="G912">
        <v>910</v>
      </c>
      <c r="H912" s="4">
        <v>3.4124112961790881E-2</v>
      </c>
      <c r="I912" s="14">
        <f t="shared" si="14"/>
        <v>341241.12961790879</v>
      </c>
    </row>
    <row r="913" spans="1:9" x14ac:dyDescent="0.35">
      <c r="A913" s="3">
        <v>45169</v>
      </c>
      <c r="B913" s="4">
        <v>-7.7457510632525494E-3</v>
      </c>
      <c r="C913">
        <f ca="1">IF(B913&lt;Monte_Carlo!$AC$2,1,0)</f>
        <v>0</v>
      </c>
      <c r="D913" s="13"/>
      <c r="F913" s="13"/>
      <c r="G913">
        <v>911</v>
      </c>
      <c r="H913" s="4">
        <v>-3.8410265631920555E-3</v>
      </c>
      <c r="I913" s="14">
        <f t="shared" si="14"/>
        <v>-38410.265631920556</v>
      </c>
    </row>
    <row r="914" spans="1:9" x14ac:dyDescent="0.35">
      <c r="A914" s="3">
        <v>45170</v>
      </c>
      <c r="B914" s="4">
        <v>1.7727506645858242E-2</v>
      </c>
      <c r="C914">
        <f ca="1">IF(B914&lt;Monte_Carlo!$AC$2,1,0)</f>
        <v>0</v>
      </c>
      <c r="D914" s="13"/>
      <c r="F914" s="13"/>
      <c r="G914">
        <v>912</v>
      </c>
      <c r="H914" s="4">
        <v>2.6058987196888074E-2</v>
      </c>
      <c r="I914" s="14">
        <f t="shared" si="14"/>
        <v>260589.87196888073</v>
      </c>
    </row>
    <row r="915" spans="1:9" x14ac:dyDescent="0.35">
      <c r="A915" s="3">
        <v>45173</v>
      </c>
      <c r="B915" s="4">
        <v>1.6364736597290951E-2</v>
      </c>
      <c r="C915">
        <f ca="1">IF(B915&lt;Monte_Carlo!$AC$2,1,0)</f>
        <v>0</v>
      </c>
      <c r="D915" s="13"/>
      <c r="F915" s="13"/>
      <c r="G915">
        <v>913</v>
      </c>
      <c r="H915" s="4">
        <v>-2.5941980867534773E-2</v>
      </c>
      <c r="I915" s="14">
        <f t="shared" si="14"/>
        <v>-259419.80867534774</v>
      </c>
    </row>
    <row r="916" spans="1:9" x14ac:dyDescent="0.35">
      <c r="A916" s="3">
        <v>45174</v>
      </c>
      <c r="B916" s="4">
        <v>-4.6811307117406607E-3</v>
      </c>
      <c r="C916">
        <f ca="1">IF(B916&lt;Monte_Carlo!$AC$2,1,0)</f>
        <v>0</v>
      </c>
      <c r="D916" s="13"/>
      <c r="F916" s="13"/>
      <c r="G916">
        <v>914</v>
      </c>
      <c r="H916" s="4">
        <v>1.9046106841039611E-3</v>
      </c>
      <c r="I916" s="14">
        <f t="shared" si="14"/>
        <v>19046.106841039611</v>
      </c>
    </row>
    <row r="917" spans="1:9" x14ac:dyDescent="0.35">
      <c r="A917" s="3">
        <v>45175</v>
      </c>
      <c r="B917" s="4">
        <v>1.6149064785876605E-3</v>
      </c>
      <c r="C917">
        <f ca="1">IF(B917&lt;Monte_Carlo!$AC$2,1,0)</f>
        <v>0</v>
      </c>
      <c r="D917" s="13"/>
      <c r="F917" s="13"/>
      <c r="G917">
        <v>915</v>
      </c>
      <c r="H917" s="4">
        <v>1.0615959248816687E-2</v>
      </c>
      <c r="I917" s="14">
        <f t="shared" si="14"/>
        <v>106159.59248816688</v>
      </c>
    </row>
    <row r="918" spans="1:9" x14ac:dyDescent="0.35">
      <c r="A918" s="3">
        <v>45176</v>
      </c>
      <c r="B918" s="4">
        <v>2.4608022457659026E-3</v>
      </c>
      <c r="C918">
        <f ca="1">IF(B918&lt;Monte_Carlo!$AC$2,1,0)</f>
        <v>0</v>
      </c>
      <c r="D918" s="13"/>
      <c r="F918" s="13"/>
      <c r="G918">
        <v>916</v>
      </c>
      <c r="H918" s="4">
        <v>-2.1851968492555024E-2</v>
      </c>
      <c r="I918" s="14">
        <f t="shared" si="14"/>
        <v>-218519.68492555025</v>
      </c>
    </row>
    <row r="919" spans="1:9" x14ac:dyDescent="0.35">
      <c r="A919" s="3">
        <v>45177</v>
      </c>
      <c r="B919" s="4">
        <v>1.5099007660192036E-3</v>
      </c>
      <c r="C919">
        <f ca="1">IF(B919&lt;Monte_Carlo!$AC$2,1,0)</f>
        <v>0</v>
      </c>
      <c r="D919" s="13"/>
      <c r="F919" s="13"/>
      <c r="G919">
        <v>917</v>
      </c>
      <c r="H919" s="4">
        <v>-2.6330883020997753E-3</v>
      </c>
      <c r="I919" s="14">
        <f t="shared" si="14"/>
        <v>-26330.883020997753</v>
      </c>
    </row>
    <row r="920" spans="1:9" x14ac:dyDescent="0.35">
      <c r="A920" s="3">
        <v>45180</v>
      </c>
      <c r="B920" s="4">
        <v>8.4744272643324497E-3</v>
      </c>
      <c r="C920">
        <f ca="1">IF(B920&lt;Monte_Carlo!$AC$2,1,0)</f>
        <v>0</v>
      </c>
      <c r="D920" s="13"/>
      <c r="F920" s="13"/>
      <c r="G920">
        <v>918</v>
      </c>
      <c r="H920" s="4">
        <v>-1.0431488616839131E-2</v>
      </c>
      <c r="I920" s="14">
        <f t="shared" si="14"/>
        <v>-104314.88616839131</v>
      </c>
    </row>
    <row r="921" spans="1:9" x14ac:dyDescent="0.35">
      <c r="A921" s="3">
        <v>45181</v>
      </c>
      <c r="B921" s="4">
        <v>-2.75478091881451E-2</v>
      </c>
      <c r="C921">
        <f ca="1">IF(B921&lt;Monte_Carlo!$AC$2,1,0)</f>
        <v>0</v>
      </c>
      <c r="D921" s="13"/>
      <c r="F921" s="13"/>
      <c r="G921">
        <v>919</v>
      </c>
      <c r="H921" s="4">
        <v>6.3238110320457938E-2</v>
      </c>
      <c r="I921" s="14">
        <f t="shared" si="14"/>
        <v>632381.10320457933</v>
      </c>
    </row>
    <row r="922" spans="1:9" x14ac:dyDescent="0.35">
      <c r="A922" s="3">
        <v>45182</v>
      </c>
      <c r="B922" s="4">
        <v>9.8841371677068409E-3</v>
      </c>
      <c r="C922">
        <f ca="1">IF(B922&lt;Monte_Carlo!$AC$2,1,0)</f>
        <v>0</v>
      </c>
      <c r="D922" s="13"/>
      <c r="F922" s="13"/>
      <c r="G922">
        <v>920</v>
      </c>
      <c r="H922" s="4">
        <v>-3.1489901712713458E-2</v>
      </c>
      <c r="I922" s="14">
        <f t="shared" si="14"/>
        <v>-314899.0171271346</v>
      </c>
    </row>
    <row r="923" spans="1:9" x14ac:dyDescent="0.35">
      <c r="A923" s="3">
        <v>45183</v>
      </c>
      <c r="B923" s="4">
        <v>1.5830358004649315E-2</v>
      </c>
      <c r="C923">
        <f ca="1">IF(B923&lt;Monte_Carlo!$AC$2,1,0)</f>
        <v>0</v>
      </c>
      <c r="D923" s="13"/>
      <c r="F923" s="13"/>
      <c r="G923">
        <v>921</v>
      </c>
      <c r="H923" s="4">
        <v>-3.0932363639747024E-2</v>
      </c>
      <c r="I923" s="14">
        <f t="shared" si="14"/>
        <v>-309323.63639747025</v>
      </c>
    </row>
    <row r="924" spans="1:9" x14ac:dyDescent="0.35">
      <c r="A924" s="3">
        <v>45184</v>
      </c>
      <c r="B924" s="4">
        <v>2.1823633685165416E-2</v>
      </c>
      <c r="C924">
        <f ca="1">IF(B924&lt;Monte_Carlo!$AC$2,1,0)</f>
        <v>0</v>
      </c>
      <c r="D924" s="13"/>
      <c r="F924" s="13"/>
      <c r="G924">
        <v>922</v>
      </c>
      <c r="H924" s="4">
        <v>-5.104404152145507E-3</v>
      </c>
      <c r="I924" s="14">
        <f t="shared" si="14"/>
        <v>-51044.041521455067</v>
      </c>
    </row>
    <row r="925" spans="1:9" x14ac:dyDescent="0.35">
      <c r="A925" s="3">
        <v>45187</v>
      </c>
      <c r="B925" s="4">
        <v>-3.0175158924045809E-3</v>
      </c>
      <c r="C925">
        <f ca="1">IF(B925&lt;Monte_Carlo!$AC$2,1,0)</f>
        <v>0</v>
      </c>
      <c r="D925" s="13"/>
      <c r="F925" s="13"/>
      <c r="G925">
        <v>923</v>
      </c>
      <c r="H925" s="4">
        <v>2.3437503185568771E-2</v>
      </c>
      <c r="I925" s="14">
        <f t="shared" si="14"/>
        <v>234375.0318556877</v>
      </c>
    </row>
    <row r="926" spans="1:9" x14ac:dyDescent="0.35">
      <c r="A926" s="3">
        <v>45189</v>
      </c>
      <c r="B926" s="4">
        <v>-2.4502331183190954E-3</v>
      </c>
      <c r="C926">
        <f ca="1">IF(B926&lt;Monte_Carlo!$AC$2,1,0)</f>
        <v>0</v>
      </c>
      <c r="D926" s="13"/>
      <c r="F926" s="13"/>
      <c r="G926">
        <v>924</v>
      </c>
      <c r="H926" s="4">
        <v>8.36532220579091E-3</v>
      </c>
      <c r="I926" s="14">
        <f t="shared" si="14"/>
        <v>83653.222057909094</v>
      </c>
    </row>
    <row r="927" spans="1:9" x14ac:dyDescent="0.35">
      <c r="A927" s="3">
        <v>45190</v>
      </c>
      <c r="B927" s="4">
        <v>-1.9087018110269079E-2</v>
      </c>
      <c r="C927">
        <f ca="1">IF(B927&lt;Monte_Carlo!$AC$2,1,0)</f>
        <v>0</v>
      </c>
      <c r="D927" s="13"/>
      <c r="F927" s="13"/>
      <c r="G927">
        <v>925</v>
      </c>
      <c r="H927" s="4">
        <v>1.0855884513813845E-2</v>
      </c>
      <c r="I927" s="14">
        <f t="shared" si="14"/>
        <v>108558.84513813845</v>
      </c>
    </row>
    <row r="928" spans="1:9" x14ac:dyDescent="0.35">
      <c r="A928" s="3">
        <v>45191</v>
      </c>
      <c r="B928" s="4">
        <v>-4.2806020426205162E-3</v>
      </c>
      <c r="C928">
        <f ca="1">IF(B928&lt;Monte_Carlo!$AC$2,1,0)</f>
        <v>0</v>
      </c>
      <c r="D928" s="13"/>
      <c r="F928" s="13"/>
      <c r="G928">
        <v>926</v>
      </c>
      <c r="H928" s="4">
        <v>-1.6862450249457334E-2</v>
      </c>
      <c r="I928" s="14">
        <f t="shared" si="14"/>
        <v>-168624.50249457333</v>
      </c>
    </row>
    <row r="929" spans="1:9" x14ac:dyDescent="0.35">
      <c r="A929" s="3">
        <v>45194</v>
      </c>
      <c r="B929" s="4">
        <v>-1.4438700909935645E-2</v>
      </c>
      <c r="C929">
        <f ca="1">IF(B929&lt;Monte_Carlo!$AC$2,1,0)</f>
        <v>0</v>
      </c>
      <c r="D929" s="13"/>
      <c r="F929" s="13"/>
      <c r="G929">
        <v>927</v>
      </c>
      <c r="H929" s="4">
        <v>2.0547049075675981E-2</v>
      </c>
      <c r="I929" s="14">
        <f t="shared" si="14"/>
        <v>205470.4907567598</v>
      </c>
    </row>
    <row r="930" spans="1:9" x14ac:dyDescent="0.35">
      <c r="A930" s="3">
        <v>45195</v>
      </c>
      <c r="B930" s="4">
        <v>-7.5344174609016015E-3</v>
      </c>
      <c r="C930">
        <f ca="1">IF(B930&lt;Monte_Carlo!$AC$2,1,0)</f>
        <v>0</v>
      </c>
      <c r="D930" s="13"/>
      <c r="F930" s="13"/>
      <c r="G930">
        <v>928</v>
      </c>
      <c r="H930" s="4">
        <v>-4.0962511305399019E-2</v>
      </c>
      <c r="I930" s="14">
        <f t="shared" si="14"/>
        <v>-409625.11305399018</v>
      </c>
    </row>
    <row r="931" spans="1:9" x14ac:dyDescent="0.35">
      <c r="A931" s="3">
        <v>45196</v>
      </c>
      <c r="B931" s="4">
        <v>-1.6725278818704866E-3</v>
      </c>
      <c r="C931">
        <f ca="1">IF(B931&lt;Monte_Carlo!$AC$2,1,0)</f>
        <v>0</v>
      </c>
      <c r="D931" s="13"/>
      <c r="F931" s="13"/>
      <c r="G931">
        <v>929</v>
      </c>
      <c r="H931" s="4">
        <v>-8.8758716729444645E-3</v>
      </c>
      <c r="I931" s="14">
        <f t="shared" si="14"/>
        <v>-88758.716729444641</v>
      </c>
    </row>
    <row r="932" spans="1:9" x14ac:dyDescent="0.35">
      <c r="A932" s="3">
        <v>45197</v>
      </c>
      <c r="B932" s="4">
        <v>-1.7398736248716476E-2</v>
      </c>
      <c r="C932">
        <f ca="1">IF(B932&lt;Monte_Carlo!$AC$2,1,0)</f>
        <v>0</v>
      </c>
      <c r="D932" s="13"/>
      <c r="F932" s="13"/>
      <c r="G932">
        <v>930</v>
      </c>
      <c r="H932" s="4">
        <v>1.1035203332605065E-2</v>
      </c>
      <c r="I932" s="14">
        <f t="shared" si="14"/>
        <v>110352.03332605066</v>
      </c>
    </row>
    <row r="933" spans="1:9" x14ac:dyDescent="0.35">
      <c r="A933" s="3">
        <v>45198</v>
      </c>
      <c r="B933" s="4">
        <v>2.2308180147025035E-2</v>
      </c>
      <c r="C933">
        <f ca="1">IF(B933&lt;Monte_Carlo!$AC$2,1,0)</f>
        <v>0</v>
      </c>
      <c r="D933" s="13"/>
      <c r="F933" s="13"/>
      <c r="G933">
        <v>931</v>
      </c>
      <c r="H933" s="4">
        <v>2.9984015175167449E-2</v>
      </c>
      <c r="I933" s="14">
        <f t="shared" si="14"/>
        <v>299840.15175167448</v>
      </c>
    </row>
    <row r="934" spans="1:9" x14ac:dyDescent="0.35">
      <c r="A934" s="3">
        <v>45202</v>
      </c>
      <c r="B934" s="4">
        <v>-4.816163520325034E-3</v>
      </c>
      <c r="C934">
        <f ca="1">IF(B934&lt;Monte_Carlo!$AC$2,1,0)</f>
        <v>0</v>
      </c>
      <c r="D934" s="13"/>
      <c r="F934" s="13"/>
      <c r="G934">
        <v>932</v>
      </c>
      <c r="H934" s="4">
        <v>-2.4620201248436377E-2</v>
      </c>
      <c r="I934" s="14">
        <f t="shared" si="14"/>
        <v>-246202.01248436378</v>
      </c>
    </row>
    <row r="935" spans="1:9" x14ac:dyDescent="0.35">
      <c r="A935" s="3">
        <v>45203</v>
      </c>
      <c r="B935" s="4">
        <v>-7.0226237231850886E-3</v>
      </c>
      <c r="C935">
        <f ca="1">IF(B935&lt;Monte_Carlo!$AC$2,1,0)</f>
        <v>0</v>
      </c>
      <c r="D935" s="13"/>
      <c r="F935" s="13"/>
      <c r="G935">
        <v>933</v>
      </c>
      <c r="H935" s="4">
        <v>-4.4103093044422954E-3</v>
      </c>
      <c r="I935" s="14">
        <f t="shared" si="14"/>
        <v>-44103.093044422953</v>
      </c>
    </row>
    <row r="936" spans="1:9" x14ac:dyDescent="0.35">
      <c r="A936" s="3">
        <v>45204</v>
      </c>
      <c r="B936" s="4">
        <v>-6.9679391967105899E-3</v>
      </c>
      <c r="C936">
        <f ca="1">IF(B936&lt;Monte_Carlo!$AC$2,1,0)</f>
        <v>0</v>
      </c>
      <c r="D936" s="13"/>
      <c r="F936" s="13"/>
      <c r="G936">
        <v>934</v>
      </c>
      <c r="H936" s="4">
        <v>3.5562175335064797E-2</v>
      </c>
      <c r="I936" s="14">
        <f t="shared" si="14"/>
        <v>355621.75335064798</v>
      </c>
    </row>
    <row r="937" spans="1:9" x14ac:dyDescent="0.35">
      <c r="A937" s="3">
        <v>45205</v>
      </c>
      <c r="B937" s="4">
        <v>2.4116421762013712E-2</v>
      </c>
      <c r="C937">
        <f ca="1">IF(B937&lt;Monte_Carlo!$AC$2,1,0)</f>
        <v>0</v>
      </c>
      <c r="D937" s="13"/>
      <c r="F937" s="13"/>
      <c r="G937">
        <v>935</v>
      </c>
      <c r="H937" s="4">
        <v>-3.2969988720389788E-2</v>
      </c>
      <c r="I937" s="14">
        <f t="shared" si="14"/>
        <v>-329699.88720389787</v>
      </c>
    </row>
    <row r="938" spans="1:9" x14ac:dyDescent="0.35">
      <c r="A938" s="3">
        <v>45208</v>
      </c>
      <c r="B938" s="4">
        <v>-2.1440694177908892E-2</v>
      </c>
      <c r="C938">
        <f ca="1">IF(B938&lt;Monte_Carlo!$AC$2,1,0)</f>
        <v>0</v>
      </c>
      <c r="D938" s="13"/>
      <c r="F938" s="13"/>
      <c r="G938">
        <v>936</v>
      </c>
      <c r="H938" s="4">
        <v>3.5840277014892605E-2</v>
      </c>
      <c r="I938" s="14">
        <f t="shared" si="14"/>
        <v>358402.77014892607</v>
      </c>
    </row>
    <row r="939" spans="1:9" x14ac:dyDescent="0.35">
      <c r="A939" s="3">
        <v>45209</v>
      </c>
      <c r="B939" s="4">
        <v>1.322822591172196E-2</v>
      </c>
      <c r="C939">
        <f ca="1">IF(B939&lt;Monte_Carlo!$AC$2,1,0)</f>
        <v>0</v>
      </c>
      <c r="D939" s="13"/>
      <c r="F939" s="13"/>
      <c r="G939">
        <v>937</v>
      </c>
      <c r="H939" s="4">
        <v>-1.5859486308245695E-2</v>
      </c>
      <c r="I939" s="14">
        <f t="shared" si="14"/>
        <v>-158594.86308245696</v>
      </c>
    </row>
    <row r="940" spans="1:9" x14ac:dyDescent="0.35">
      <c r="A940" s="3">
        <v>45210</v>
      </c>
      <c r="B940" s="4">
        <v>6.4526067479522755E-5</v>
      </c>
      <c r="C940">
        <f ca="1">IF(B940&lt;Monte_Carlo!$AC$2,1,0)</f>
        <v>0</v>
      </c>
      <c r="D940" s="13"/>
      <c r="F940" s="13"/>
      <c r="G940">
        <v>938</v>
      </c>
      <c r="H940" s="4">
        <v>-1.1717914533302697E-2</v>
      </c>
      <c r="I940" s="14">
        <f t="shared" si="14"/>
        <v>-117179.14533302697</v>
      </c>
    </row>
    <row r="941" spans="1:9" x14ac:dyDescent="0.35">
      <c r="A941" s="3">
        <v>45211</v>
      </c>
      <c r="B941" s="4">
        <v>9.1181622991126001E-3</v>
      </c>
      <c r="C941">
        <f ca="1">IF(B941&lt;Monte_Carlo!$AC$2,1,0)</f>
        <v>0</v>
      </c>
      <c r="D941" s="13"/>
      <c r="F941" s="13"/>
      <c r="G941">
        <v>939</v>
      </c>
      <c r="H941" s="4">
        <v>9.7884107904340212E-3</v>
      </c>
      <c r="I941" s="14">
        <f t="shared" si="14"/>
        <v>97884.107904340213</v>
      </c>
    </row>
    <row r="942" spans="1:9" x14ac:dyDescent="0.35">
      <c r="A942" s="3">
        <v>45212</v>
      </c>
      <c r="B942" s="4">
        <v>-9.2961693470049889E-3</v>
      </c>
      <c r="C942">
        <f ca="1">IF(B942&lt;Monte_Carlo!$AC$2,1,0)</f>
        <v>0</v>
      </c>
      <c r="D942" s="13"/>
      <c r="F942" s="13"/>
      <c r="G942">
        <v>940</v>
      </c>
      <c r="H942" s="4">
        <v>1.7287516917352708E-3</v>
      </c>
      <c r="I942" s="14">
        <f t="shared" si="14"/>
        <v>17287.516917352707</v>
      </c>
    </row>
    <row r="943" spans="1:9" x14ac:dyDescent="0.35">
      <c r="A943" s="3">
        <v>45215</v>
      </c>
      <c r="B943" s="4">
        <v>1.820064971612359E-2</v>
      </c>
      <c r="C943">
        <f ca="1">IF(B943&lt;Monte_Carlo!$AC$2,1,0)</f>
        <v>0</v>
      </c>
      <c r="D943" s="13"/>
      <c r="F943" s="13"/>
      <c r="G943">
        <v>941</v>
      </c>
      <c r="H943" s="4">
        <v>-1.2568891013830482E-2</v>
      </c>
      <c r="I943" s="14">
        <f t="shared" si="14"/>
        <v>-125688.91013830483</v>
      </c>
    </row>
    <row r="944" spans="1:9" x14ac:dyDescent="0.35">
      <c r="A944" s="3">
        <v>45216</v>
      </c>
      <c r="B944" s="4">
        <v>1.543580607773706E-2</v>
      </c>
      <c r="C944">
        <f ca="1">IF(B944&lt;Monte_Carlo!$AC$2,1,0)</f>
        <v>0</v>
      </c>
      <c r="D944" s="13"/>
      <c r="F944" s="13"/>
      <c r="G944">
        <v>942</v>
      </c>
      <c r="H944" s="4">
        <v>7.3166700430058835E-3</v>
      </c>
      <c r="I944" s="14">
        <f t="shared" si="14"/>
        <v>73166.700430058831</v>
      </c>
    </row>
    <row r="945" spans="1:9" x14ac:dyDescent="0.35">
      <c r="A945" s="3">
        <v>45217</v>
      </c>
      <c r="B945" s="4">
        <v>-3.3490021998083814E-3</v>
      </c>
      <c r="C945">
        <f ca="1">IF(B945&lt;Monte_Carlo!$AC$2,1,0)</f>
        <v>0</v>
      </c>
      <c r="D945" s="13"/>
      <c r="F945" s="13"/>
      <c r="G945">
        <v>943</v>
      </c>
      <c r="H945" s="4">
        <v>-2.8424291012803218E-2</v>
      </c>
      <c r="I945" s="14">
        <f t="shared" si="14"/>
        <v>-284242.91012803215</v>
      </c>
    </row>
    <row r="946" spans="1:9" x14ac:dyDescent="0.35">
      <c r="A946" s="3">
        <v>45218</v>
      </c>
      <c r="B946" s="4">
        <v>9.7756629712285482E-3</v>
      </c>
      <c r="C946">
        <f ca="1">IF(B946&lt;Monte_Carlo!$AC$2,1,0)</f>
        <v>0</v>
      </c>
      <c r="D946" s="13"/>
      <c r="F946" s="13"/>
      <c r="G946">
        <v>944</v>
      </c>
      <c r="H946" s="4">
        <v>1.9215077384842124E-2</v>
      </c>
      <c r="I946" s="14">
        <f t="shared" si="14"/>
        <v>192150.77384842123</v>
      </c>
    </row>
    <row r="947" spans="1:9" x14ac:dyDescent="0.35">
      <c r="A947" s="3">
        <v>45219</v>
      </c>
      <c r="B947" s="4">
        <v>8.9715128117617421E-3</v>
      </c>
      <c r="C947">
        <f ca="1">IF(B947&lt;Monte_Carlo!$AC$2,1,0)</f>
        <v>0</v>
      </c>
      <c r="D947" s="13"/>
      <c r="F947" s="13"/>
      <c r="G947">
        <v>945</v>
      </c>
      <c r="H947" s="4">
        <v>-1.1967983168468702E-2</v>
      </c>
      <c r="I947" s="14">
        <f t="shared" si="14"/>
        <v>-119679.83168468703</v>
      </c>
    </row>
    <row r="948" spans="1:9" x14ac:dyDescent="0.35">
      <c r="A948" s="3">
        <v>45222</v>
      </c>
      <c r="B948" s="4">
        <v>-5.7976644218373195E-3</v>
      </c>
      <c r="C948">
        <f ca="1">IF(B948&lt;Monte_Carlo!$AC$2,1,0)</f>
        <v>0</v>
      </c>
      <c r="D948" s="13"/>
      <c r="F948" s="13"/>
      <c r="G948">
        <v>946</v>
      </c>
      <c r="H948" s="4">
        <v>2.6168751636273056E-2</v>
      </c>
      <c r="I948" s="14">
        <f t="shared" si="14"/>
        <v>261687.51636273056</v>
      </c>
    </row>
    <row r="949" spans="1:9" x14ac:dyDescent="0.35">
      <c r="A949" s="3">
        <v>45224</v>
      </c>
      <c r="B949" s="4">
        <v>-6.0800191517905765E-3</v>
      </c>
      <c r="C949">
        <f ca="1">IF(B949&lt;Monte_Carlo!$AC$2,1,0)</f>
        <v>0</v>
      </c>
      <c r="D949" s="13"/>
      <c r="F949" s="13"/>
      <c r="G949">
        <v>947</v>
      </c>
      <c r="H949" s="4">
        <v>-5.8628729846710572E-3</v>
      </c>
      <c r="I949" s="14">
        <f t="shared" si="14"/>
        <v>-58628.729846710572</v>
      </c>
    </row>
    <row r="950" spans="1:9" x14ac:dyDescent="0.35">
      <c r="A950" s="3">
        <v>45225</v>
      </c>
      <c r="B950" s="4">
        <v>-1.5820260981889912E-2</v>
      </c>
      <c r="C950">
        <f ca="1">IF(B950&lt;Monte_Carlo!$AC$2,1,0)</f>
        <v>0</v>
      </c>
      <c r="D950" s="13"/>
      <c r="F950" s="13"/>
      <c r="G950">
        <v>948</v>
      </c>
      <c r="H950" s="4">
        <v>1.4208720837783033E-2</v>
      </c>
      <c r="I950" s="14">
        <f t="shared" si="14"/>
        <v>142087.20837783033</v>
      </c>
    </row>
    <row r="951" spans="1:9" x14ac:dyDescent="0.35">
      <c r="A951" s="3">
        <v>45226</v>
      </c>
      <c r="B951" s="4">
        <v>1.0479546476898506E-2</v>
      </c>
      <c r="C951">
        <f ca="1">IF(B951&lt;Monte_Carlo!$AC$2,1,0)</f>
        <v>0</v>
      </c>
      <c r="D951" s="13"/>
      <c r="F951" s="13"/>
      <c r="G951">
        <v>949</v>
      </c>
      <c r="H951" s="4">
        <v>-1.2581909666203532E-2</v>
      </c>
      <c r="I951" s="14">
        <f t="shared" si="14"/>
        <v>-125819.09666203531</v>
      </c>
    </row>
    <row r="952" spans="1:9" x14ac:dyDescent="0.35">
      <c r="A952" s="3">
        <v>45229</v>
      </c>
      <c r="B952" s="4">
        <v>-1.8844119655028384E-3</v>
      </c>
      <c r="C952">
        <f ca="1">IF(B952&lt;Monte_Carlo!$AC$2,1,0)</f>
        <v>0</v>
      </c>
      <c r="D952" s="13"/>
      <c r="F952" s="13"/>
      <c r="G952">
        <v>950</v>
      </c>
      <c r="H952" s="4">
        <v>1.4921384375659329E-2</v>
      </c>
      <c r="I952" s="14">
        <f t="shared" si="14"/>
        <v>149213.8437565933</v>
      </c>
    </row>
    <row r="953" spans="1:9" x14ac:dyDescent="0.35">
      <c r="A953" s="3">
        <v>45230</v>
      </c>
      <c r="B953" s="4">
        <v>1.3575176760759837E-2</v>
      </c>
      <c r="C953">
        <f ca="1">IF(B953&lt;Monte_Carlo!$AC$2,1,0)</f>
        <v>0</v>
      </c>
      <c r="D953" s="13"/>
      <c r="F953" s="13"/>
      <c r="G953">
        <v>951</v>
      </c>
      <c r="H953" s="4">
        <v>-3.9701655867303226E-3</v>
      </c>
      <c r="I953" s="14">
        <f t="shared" si="14"/>
        <v>-39701.655867303227</v>
      </c>
    </row>
    <row r="954" spans="1:9" x14ac:dyDescent="0.35">
      <c r="A954" s="3">
        <v>45231</v>
      </c>
      <c r="B954" s="4">
        <v>-9.0933159544684932E-3</v>
      </c>
      <c r="C954">
        <f ca="1">IF(B954&lt;Monte_Carlo!$AC$2,1,0)</f>
        <v>0</v>
      </c>
      <c r="D954" s="13"/>
      <c r="F954" s="13"/>
      <c r="G954">
        <v>952</v>
      </c>
      <c r="H954" s="4">
        <v>9.7076075895510105E-3</v>
      </c>
      <c r="I954" s="14">
        <f t="shared" si="14"/>
        <v>97076.075895510105</v>
      </c>
    </row>
    <row r="955" spans="1:9" x14ac:dyDescent="0.35">
      <c r="A955" s="3">
        <v>45232</v>
      </c>
      <c r="B955" s="4">
        <v>6.6248670598837E-3</v>
      </c>
      <c r="C955">
        <f ca="1">IF(B955&lt;Monte_Carlo!$AC$2,1,0)</f>
        <v>0</v>
      </c>
      <c r="D955" s="13"/>
      <c r="F955" s="13"/>
      <c r="G955">
        <v>953</v>
      </c>
      <c r="H955" s="4">
        <v>-2.4501828571646005E-2</v>
      </c>
      <c r="I955" s="14">
        <f t="shared" si="14"/>
        <v>-245018.28571646006</v>
      </c>
    </row>
    <row r="956" spans="1:9" x14ac:dyDescent="0.35">
      <c r="A956" s="3">
        <v>45233</v>
      </c>
      <c r="B956" s="4">
        <v>-4.9610391960566852E-3</v>
      </c>
      <c r="C956">
        <f ca="1">IF(B956&lt;Monte_Carlo!$AC$2,1,0)</f>
        <v>0</v>
      </c>
      <c r="D956" s="13"/>
      <c r="F956" s="13"/>
      <c r="G956">
        <v>954</v>
      </c>
      <c r="H956" s="4">
        <v>-4.4106511586949233E-3</v>
      </c>
      <c r="I956" s="14">
        <f t="shared" si="14"/>
        <v>-44106.511586949237</v>
      </c>
    </row>
    <row r="957" spans="1:9" x14ac:dyDescent="0.35">
      <c r="A957" s="3">
        <v>45236</v>
      </c>
      <c r="B957" s="4">
        <v>5.7416526282137422E-3</v>
      </c>
      <c r="C957">
        <f ca="1">IF(B957&lt;Monte_Carlo!$AC$2,1,0)</f>
        <v>0</v>
      </c>
      <c r="D957" s="13"/>
      <c r="F957" s="13"/>
      <c r="G957">
        <v>955</v>
      </c>
      <c r="H957" s="4">
        <v>2.0147538276929733E-4</v>
      </c>
      <c r="I957" s="14">
        <f t="shared" si="14"/>
        <v>2014.7538276929733</v>
      </c>
    </row>
    <row r="958" spans="1:9" x14ac:dyDescent="0.35">
      <c r="A958" s="3">
        <v>45237</v>
      </c>
      <c r="B958" s="4">
        <v>5.9840173937561036E-3</v>
      </c>
      <c r="C958">
        <f ca="1">IF(B958&lt;Monte_Carlo!$AC$2,1,0)</f>
        <v>0</v>
      </c>
      <c r="D958" s="13"/>
      <c r="F958" s="13"/>
      <c r="G958">
        <v>956</v>
      </c>
      <c r="H958" s="4">
        <v>1.7478076868914449E-2</v>
      </c>
      <c r="I958" s="14">
        <f t="shared" si="14"/>
        <v>174780.76868914449</v>
      </c>
    </row>
    <row r="959" spans="1:9" x14ac:dyDescent="0.35">
      <c r="A959" s="3">
        <v>45238</v>
      </c>
      <c r="B959" s="4">
        <v>-4.2358996904281725E-3</v>
      </c>
      <c r="C959">
        <f ca="1">IF(B959&lt;Monte_Carlo!$AC$2,1,0)</f>
        <v>0</v>
      </c>
      <c r="D959" s="13"/>
      <c r="F959" s="13"/>
      <c r="G959">
        <v>957</v>
      </c>
      <c r="H959" s="4">
        <v>4.1141530839554656E-4</v>
      </c>
      <c r="I959" s="14">
        <f t="shared" si="14"/>
        <v>4114.1530839554653</v>
      </c>
    </row>
    <row r="960" spans="1:9" x14ac:dyDescent="0.35">
      <c r="A960" s="3">
        <v>45239</v>
      </c>
      <c r="B960" s="4">
        <v>-1.2911036812420337E-2</v>
      </c>
      <c r="C960">
        <f ca="1">IF(B960&lt;Monte_Carlo!$AC$2,1,0)</f>
        <v>0</v>
      </c>
      <c r="D960" s="13"/>
      <c r="F960" s="13"/>
      <c r="G960">
        <v>958</v>
      </c>
      <c r="H960" s="4">
        <v>-2.1218912220569094E-2</v>
      </c>
      <c r="I960" s="14">
        <f t="shared" si="14"/>
        <v>-212189.12220569095</v>
      </c>
    </row>
    <row r="961" spans="1:9" x14ac:dyDescent="0.35">
      <c r="A961" s="3">
        <v>45240</v>
      </c>
      <c r="B961" s="4">
        <v>-6.6928436782751251E-4</v>
      </c>
      <c r="C961">
        <f ca="1">IF(B961&lt;Monte_Carlo!$AC$2,1,0)</f>
        <v>0</v>
      </c>
      <c r="D961" s="13"/>
      <c r="F961" s="13"/>
      <c r="G961">
        <v>959</v>
      </c>
      <c r="H961" s="4">
        <v>6.7186102829261442E-3</v>
      </c>
      <c r="I961" s="14">
        <f t="shared" si="14"/>
        <v>67186.102829261436</v>
      </c>
    </row>
    <row r="962" spans="1:9" x14ac:dyDescent="0.35">
      <c r="A962" s="3">
        <v>45243</v>
      </c>
      <c r="B962" s="4">
        <v>2.8835000885941899E-3</v>
      </c>
      <c r="C962">
        <f ca="1">IF(B962&lt;Monte_Carlo!$AC$2,1,0)</f>
        <v>0</v>
      </c>
      <c r="D962" s="13"/>
      <c r="F962" s="13"/>
      <c r="G962">
        <v>960</v>
      </c>
      <c r="H962" s="4">
        <v>-1.9336429417786655E-2</v>
      </c>
      <c r="I962" s="14">
        <f t="shared" si="14"/>
        <v>-193364.29417786654</v>
      </c>
    </row>
    <row r="963" spans="1:9" x14ac:dyDescent="0.35">
      <c r="A963" s="3">
        <v>45245</v>
      </c>
      <c r="B963" s="4">
        <v>2.1146192866716089E-2</v>
      </c>
      <c r="C963">
        <f ca="1">IF(B963&lt;Monte_Carlo!$AC$2,1,0)</f>
        <v>0</v>
      </c>
      <c r="D963" s="13"/>
      <c r="F963" s="13"/>
      <c r="G963">
        <v>961</v>
      </c>
      <c r="H963" s="4">
        <v>1.377319642028624E-2</v>
      </c>
      <c r="I963" s="14">
        <f t="shared" si="14"/>
        <v>137731.96420286241</v>
      </c>
    </row>
    <row r="964" spans="1:9" x14ac:dyDescent="0.35">
      <c r="A964" s="3">
        <v>45246</v>
      </c>
      <c r="B964" s="4">
        <v>1.8595098467355659E-2</v>
      </c>
      <c r="C964">
        <f ca="1">IF(B964&lt;Monte_Carlo!$AC$2,1,0)</f>
        <v>0</v>
      </c>
      <c r="D964" s="13"/>
      <c r="F964" s="13"/>
      <c r="G964">
        <v>962</v>
      </c>
      <c r="H964" s="4">
        <v>-1.3460913457028935E-2</v>
      </c>
      <c r="I964" s="14">
        <f t="shared" si="14"/>
        <v>-134609.13457028934</v>
      </c>
    </row>
    <row r="965" spans="1:9" x14ac:dyDescent="0.35">
      <c r="A965" s="3">
        <v>45247</v>
      </c>
      <c r="B965" s="4">
        <v>3.9296220888509988E-2</v>
      </c>
      <c r="C965">
        <f ca="1">IF(B965&lt;Monte_Carlo!$AC$2,1,0)</f>
        <v>0</v>
      </c>
      <c r="D965" s="13"/>
      <c r="F965" s="13"/>
      <c r="G965">
        <v>963</v>
      </c>
      <c r="H965" s="4">
        <v>8.9182288121007341E-3</v>
      </c>
      <c r="I965" s="14">
        <f t="shared" ref="I965:I1002" si="15">H965*10000000</f>
        <v>89182.288121007339</v>
      </c>
    </row>
    <row r="966" spans="1:9" x14ac:dyDescent="0.35">
      <c r="A966" s="3">
        <v>45250</v>
      </c>
      <c r="B966" s="4">
        <v>4.0541662243679917E-3</v>
      </c>
      <c r="C966">
        <f ca="1">IF(B966&lt;Monte_Carlo!$AC$2,1,0)</f>
        <v>0</v>
      </c>
      <c r="D966" s="13"/>
      <c r="F966" s="13"/>
      <c r="G966">
        <v>964</v>
      </c>
      <c r="H966" s="4">
        <v>1.9454138140541512E-2</v>
      </c>
      <c r="I966" s="14">
        <f t="shared" si="15"/>
        <v>194541.38140541513</v>
      </c>
    </row>
    <row r="967" spans="1:9" x14ac:dyDescent="0.35">
      <c r="A967" s="3">
        <v>45251</v>
      </c>
      <c r="B967" s="4">
        <v>1.4874924908319369E-2</v>
      </c>
      <c r="C967">
        <f ca="1">IF(B967&lt;Monte_Carlo!$AC$2,1,0)</f>
        <v>0</v>
      </c>
      <c r="D967" s="13"/>
      <c r="F967" s="13"/>
      <c r="G967">
        <v>965</v>
      </c>
      <c r="H967" s="4">
        <v>3.4848462172790149E-3</v>
      </c>
      <c r="I967" s="14">
        <f t="shared" si="15"/>
        <v>34848.462172790147</v>
      </c>
    </row>
    <row r="968" spans="1:9" x14ac:dyDescent="0.35">
      <c r="A968" s="3">
        <v>45252</v>
      </c>
      <c r="B968" s="4">
        <v>-2.5887629937771089E-3</v>
      </c>
      <c r="C968">
        <f ca="1">IF(B968&lt;Monte_Carlo!$AC$2,1,0)</f>
        <v>0</v>
      </c>
      <c r="D968" s="13"/>
      <c r="F968" s="13"/>
      <c r="G968">
        <v>966</v>
      </c>
      <c r="H968" s="4">
        <v>-3.3134820656144245E-2</v>
      </c>
      <c r="I968" s="14">
        <f t="shared" si="15"/>
        <v>-331348.20656144246</v>
      </c>
    </row>
    <row r="969" spans="1:9" x14ac:dyDescent="0.35">
      <c r="A969" s="3">
        <v>45253</v>
      </c>
      <c r="B969" s="4">
        <v>-9.7102376874667589E-3</v>
      </c>
      <c r="C969">
        <f ca="1">IF(B969&lt;Monte_Carlo!$AC$2,1,0)</f>
        <v>0</v>
      </c>
      <c r="D969" s="13"/>
      <c r="F969" s="13"/>
      <c r="G969">
        <v>967</v>
      </c>
      <c r="H969" s="4">
        <v>2.8928550794244862E-2</v>
      </c>
      <c r="I969" s="14">
        <f t="shared" si="15"/>
        <v>289285.5079424486</v>
      </c>
    </row>
    <row r="970" spans="1:9" x14ac:dyDescent="0.35">
      <c r="A970" s="3">
        <v>45254</v>
      </c>
      <c r="B970" s="4">
        <v>3.915912943474531E-2</v>
      </c>
      <c r="C970">
        <f ca="1">IF(B970&lt;Monte_Carlo!$AC$2,1,0)</f>
        <v>0</v>
      </c>
      <c r="D970" s="13"/>
      <c r="F970" s="13"/>
      <c r="G970">
        <v>968</v>
      </c>
      <c r="H970" s="4">
        <v>-1.3707888493801355E-2</v>
      </c>
      <c r="I970" s="14">
        <f t="shared" si="15"/>
        <v>-137078.88493801357</v>
      </c>
    </row>
    <row r="971" spans="1:9" x14ac:dyDescent="0.35">
      <c r="A971" s="3">
        <v>45258</v>
      </c>
      <c r="B971" s="4">
        <v>1.2922349614768678E-2</v>
      </c>
      <c r="C971">
        <f ca="1">IF(B971&lt;Monte_Carlo!$AC$2,1,0)</f>
        <v>0</v>
      </c>
      <c r="D971" s="13"/>
      <c r="F971" s="13"/>
      <c r="G971">
        <v>969</v>
      </c>
      <c r="H971" s="4">
        <v>-2.3779376575890871E-2</v>
      </c>
      <c r="I971" s="14">
        <f t="shared" si="15"/>
        <v>-237793.7657589087</v>
      </c>
    </row>
    <row r="972" spans="1:9" x14ac:dyDescent="0.35">
      <c r="A972" s="3">
        <v>45259</v>
      </c>
      <c r="B972" s="4">
        <v>-8.3896223271398961E-3</v>
      </c>
      <c r="C972">
        <f ca="1">IF(B972&lt;Monte_Carlo!$AC$2,1,0)</f>
        <v>0</v>
      </c>
      <c r="D972" s="13"/>
      <c r="F972" s="13"/>
      <c r="G972">
        <v>970</v>
      </c>
      <c r="H972" s="4">
        <v>5.0191868844145296E-2</v>
      </c>
      <c r="I972" s="14">
        <f t="shared" si="15"/>
        <v>501918.68844145298</v>
      </c>
    </row>
    <row r="973" spans="1:9" x14ac:dyDescent="0.35">
      <c r="A973" s="3">
        <v>45260</v>
      </c>
      <c r="B973" s="4">
        <v>3.4639683429753439E-2</v>
      </c>
      <c r="C973">
        <f ca="1">IF(B973&lt;Monte_Carlo!$AC$2,1,0)</f>
        <v>0</v>
      </c>
      <c r="D973" s="13"/>
      <c r="F973" s="13"/>
      <c r="G973">
        <v>971</v>
      </c>
      <c r="H973" s="4">
        <v>-1.9671758288524684E-2</v>
      </c>
      <c r="I973" s="14">
        <f t="shared" si="15"/>
        <v>-196717.58288524684</v>
      </c>
    </row>
    <row r="974" spans="1:9" x14ac:dyDescent="0.35">
      <c r="A974" s="3">
        <v>45261</v>
      </c>
      <c r="B974" s="4">
        <v>-2.4364870954535874E-2</v>
      </c>
      <c r="C974">
        <f ca="1">IF(B974&lt;Monte_Carlo!$AC$2,1,0)</f>
        <v>0</v>
      </c>
      <c r="D974" s="13"/>
      <c r="F974" s="13"/>
      <c r="G974">
        <v>972</v>
      </c>
      <c r="H974" s="4">
        <v>6.0658314303357573E-3</v>
      </c>
      <c r="I974" s="14">
        <f t="shared" si="15"/>
        <v>60658.314303357576</v>
      </c>
    </row>
    <row r="975" spans="1:9" x14ac:dyDescent="0.35">
      <c r="A975" s="3">
        <v>45264</v>
      </c>
      <c r="B975" s="4">
        <v>1.2088716859154604E-2</v>
      </c>
      <c r="C975">
        <f ca="1">IF(B975&lt;Monte_Carlo!$AC$2,1,0)</f>
        <v>0</v>
      </c>
      <c r="D975" s="13"/>
      <c r="F975" s="13"/>
      <c r="G975">
        <v>973</v>
      </c>
      <c r="H975" s="4">
        <v>1.8982329984074836E-4</v>
      </c>
      <c r="I975" s="14">
        <f t="shared" si="15"/>
        <v>1898.2329984074836</v>
      </c>
    </row>
    <row r="976" spans="1:9" x14ac:dyDescent="0.35">
      <c r="A976" s="3">
        <v>45265</v>
      </c>
      <c r="B976" s="4">
        <v>-7.405900081427593E-3</v>
      </c>
      <c r="C976">
        <f ca="1">IF(B976&lt;Monte_Carlo!$AC$2,1,0)</f>
        <v>0</v>
      </c>
      <c r="D976" s="13"/>
      <c r="F976" s="13"/>
      <c r="G976">
        <v>974</v>
      </c>
      <c r="H976" s="4">
        <v>-2.261094437620265E-2</v>
      </c>
      <c r="I976" s="14">
        <f t="shared" si="15"/>
        <v>-226109.44376202649</v>
      </c>
    </row>
    <row r="977" spans="1:9" x14ac:dyDescent="0.35">
      <c r="A977" s="3">
        <v>45266</v>
      </c>
      <c r="B977" s="4">
        <v>-2.0159382626542953E-2</v>
      </c>
      <c r="C977">
        <f ca="1">IF(B977&lt;Monte_Carlo!$AC$2,1,0)</f>
        <v>0</v>
      </c>
      <c r="D977" s="13"/>
      <c r="F977" s="13"/>
      <c r="G977">
        <v>975</v>
      </c>
      <c r="H977" s="4">
        <v>1.3850404326587924E-2</v>
      </c>
      <c r="I977" s="14">
        <f t="shared" si="15"/>
        <v>138504.04326587924</v>
      </c>
    </row>
    <row r="978" spans="1:9" x14ac:dyDescent="0.35">
      <c r="A978" s="3">
        <v>45267</v>
      </c>
      <c r="B978" s="4">
        <v>1.4945207274825794E-2</v>
      </c>
      <c r="C978">
        <f ca="1">IF(B978&lt;Monte_Carlo!$AC$2,1,0)</f>
        <v>0</v>
      </c>
      <c r="D978" s="13"/>
      <c r="F978" s="13"/>
      <c r="G978">
        <v>976</v>
      </c>
      <c r="H978" s="4">
        <v>-1.8509481066932808E-2</v>
      </c>
      <c r="I978" s="14">
        <f t="shared" si="15"/>
        <v>-185094.81066932809</v>
      </c>
    </row>
    <row r="979" spans="1:9" x14ac:dyDescent="0.35">
      <c r="A979" s="3">
        <v>45268</v>
      </c>
      <c r="B979" s="4">
        <v>-6.0966328813127279E-3</v>
      </c>
      <c r="C979">
        <f ca="1">IF(B979&lt;Monte_Carlo!$AC$2,1,0)</f>
        <v>0</v>
      </c>
      <c r="D979" s="13"/>
      <c r="F979" s="13"/>
      <c r="G979">
        <v>977</v>
      </c>
      <c r="H979" s="4">
        <v>-1.6867012972791168E-4</v>
      </c>
      <c r="I979" s="14">
        <f t="shared" si="15"/>
        <v>-1686.7012972791167</v>
      </c>
    </row>
    <row r="980" spans="1:9" x14ac:dyDescent="0.35">
      <c r="A980" s="3">
        <v>45271</v>
      </c>
      <c r="B980" s="4">
        <v>-8.1866190066774984E-4</v>
      </c>
      <c r="C980">
        <f ca="1">IF(B980&lt;Monte_Carlo!$AC$2,1,0)</f>
        <v>0</v>
      </c>
      <c r="D980" s="13"/>
      <c r="F980" s="13"/>
      <c r="G980">
        <v>978</v>
      </c>
      <c r="H980" s="4">
        <v>2.8782438877847375E-2</v>
      </c>
      <c r="I980" s="14">
        <f t="shared" si="15"/>
        <v>287824.38877847377</v>
      </c>
    </row>
    <row r="981" spans="1:9" x14ac:dyDescent="0.35">
      <c r="A981" s="3">
        <v>45272</v>
      </c>
      <c r="B981" s="4">
        <v>1.0979331897431244E-2</v>
      </c>
      <c r="C981">
        <f ca="1">IF(B981&lt;Monte_Carlo!$AC$2,1,0)</f>
        <v>0</v>
      </c>
      <c r="D981" s="13"/>
      <c r="F981" s="13"/>
      <c r="G981">
        <v>979</v>
      </c>
      <c r="H981" s="4">
        <v>-1.122931364106601E-2</v>
      </c>
      <c r="I981" s="14">
        <f t="shared" si="15"/>
        <v>-112293.13641066011</v>
      </c>
    </row>
    <row r="982" spans="1:9" x14ac:dyDescent="0.35">
      <c r="A982" s="3">
        <v>45273</v>
      </c>
      <c r="B982" s="4">
        <v>-1.352457964570717E-3</v>
      </c>
      <c r="C982">
        <f ca="1">IF(B982&lt;Monte_Carlo!$AC$2,1,0)</f>
        <v>0</v>
      </c>
      <c r="D982" s="13"/>
      <c r="F982" s="13"/>
      <c r="G982">
        <v>980</v>
      </c>
      <c r="H982" s="4">
        <v>5.0101046825092371E-3</v>
      </c>
      <c r="I982" s="14">
        <f t="shared" si="15"/>
        <v>50101.046825092373</v>
      </c>
    </row>
    <row r="983" spans="1:9" x14ac:dyDescent="0.35">
      <c r="A983" s="3">
        <v>45274</v>
      </c>
      <c r="B983" s="4">
        <v>4.3229621729466974E-3</v>
      </c>
      <c r="C983">
        <f ca="1">IF(B983&lt;Monte_Carlo!$AC$2,1,0)</f>
        <v>0</v>
      </c>
      <c r="D983" s="13"/>
      <c r="F983" s="13"/>
      <c r="G983">
        <v>981</v>
      </c>
      <c r="H983" s="4">
        <v>-2.5002411925679265E-4</v>
      </c>
      <c r="I983" s="14">
        <f t="shared" si="15"/>
        <v>-2500.2411925679266</v>
      </c>
    </row>
    <row r="984" spans="1:9" x14ac:dyDescent="0.35">
      <c r="A984" s="3">
        <v>45275</v>
      </c>
      <c r="B984" s="4">
        <v>-3.8430793743810415E-3</v>
      </c>
      <c r="C984">
        <f ca="1">IF(B984&lt;Monte_Carlo!$AC$2,1,0)</f>
        <v>0</v>
      </c>
      <c r="D984" s="13"/>
      <c r="F984" s="13"/>
      <c r="G984">
        <v>982</v>
      </c>
      <c r="H984" s="4">
        <v>3.4783060590908278E-2</v>
      </c>
      <c r="I984" s="14">
        <f t="shared" si="15"/>
        <v>347830.60590908281</v>
      </c>
    </row>
    <row r="985" spans="1:9" x14ac:dyDescent="0.35">
      <c r="A985" s="3">
        <v>45278</v>
      </c>
      <c r="B985" s="4">
        <v>1.0585754967623378E-4</v>
      </c>
      <c r="C985">
        <f ca="1">IF(B985&lt;Monte_Carlo!$AC$2,1,0)</f>
        <v>0</v>
      </c>
      <c r="D985" s="13"/>
      <c r="F985" s="13"/>
      <c r="G985">
        <v>983</v>
      </c>
      <c r="H985" s="4">
        <v>-2.0759622088181707E-2</v>
      </c>
      <c r="I985" s="14">
        <f t="shared" si="15"/>
        <v>-207596.22088181708</v>
      </c>
    </row>
    <row r="986" spans="1:9" x14ac:dyDescent="0.35">
      <c r="A986" s="3">
        <v>45279</v>
      </c>
      <c r="B986" s="4">
        <v>-1.8682109715815825E-3</v>
      </c>
      <c r="C986">
        <f ca="1">IF(B986&lt;Monte_Carlo!$AC$2,1,0)</f>
        <v>0</v>
      </c>
      <c r="D986" s="13"/>
      <c r="F986" s="13"/>
      <c r="G986">
        <v>984</v>
      </c>
      <c r="H986" s="4">
        <v>-2.8849048637445262E-3</v>
      </c>
      <c r="I986" s="14">
        <f t="shared" si="15"/>
        <v>-28849.048637445263</v>
      </c>
    </row>
    <row r="987" spans="1:9" x14ac:dyDescent="0.35">
      <c r="A987" s="3">
        <v>45280</v>
      </c>
      <c r="B987" s="4">
        <v>-2.89374366572159E-2</v>
      </c>
      <c r="C987">
        <f ca="1">IF(B987&lt;Monte_Carlo!$AC$2,1,0)</f>
        <v>0</v>
      </c>
      <c r="D987" s="13"/>
      <c r="F987" s="13"/>
      <c r="G987">
        <v>985</v>
      </c>
      <c r="H987" s="4">
        <v>-1.8021663902543693E-2</v>
      </c>
      <c r="I987" s="14">
        <f t="shared" si="15"/>
        <v>-180216.63902543692</v>
      </c>
    </row>
    <row r="988" spans="1:9" x14ac:dyDescent="0.35">
      <c r="A988" s="3">
        <v>45281</v>
      </c>
      <c r="B988" s="4">
        <v>-7.8464655779294894E-5</v>
      </c>
      <c r="C988">
        <f ca="1">IF(B988&lt;Monte_Carlo!$AC$2,1,0)</f>
        <v>0</v>
      </c>
      <c r="D988" s="13"/>
      <c r="F988" s="13"/>
      <c r="G988">
        <v>986</v>
      </c>
      <c r="H988" s="4">
        <v>2.4102016672323204E-2</v>
      </c>
      <c r="I988" s="14">
        <f t="shared" si="15"/>
        <v>241020.16672323205</v>
      </c>
    </row>
    <row r="989" spans="1:9" x14ac:dyDescent="0.35">
      <c r="A989" s="3">
        <v>45282</v>
      </c>
      <c r="B989" s="4">
        <v>1.1477992751925233E-2</v>
      </c>
      <c r="C989">
        <f ca="1">IF(B989&lt;Monte_Carlo!$AC$2,1,0)</f>
        <v>0</v>
      </c>
      <c r="D989" s="13"/>
      <c r="F989" s="13"/>
      <c r="G989">
        <v>987</v>
      </c>
      <c r="H989" s="4">
        <v>-1.4812071666447407E-2</v>
      </c>
      <c r="I989" s="14">
        <f t="shared" si="15"/>
        <v>-148120.71666447408</v>
      </c>
    </row>
    <row r="990" spans="1:9" x14ac:dyDescent="0.35">
      <c r="A990" s="3">
        <v>45286</v>
      </c>
      <c r="B990" s="4">
        <v>-5.6899680227164842E-3</v>
      </c>
      <c r="C990">
        <f ca="1">IF(B990&lt;Monte_Carlo!$AC$2,1,0)</f>
        <v>0</v>
      </c>
      <c r="D990" s="13"/>
      <c r="F990" s="13"/>
      <c r="G990">
        <v>988</v>
      </c>
      <c r="H990" s="4">
        <v>-2.5653285495027254E-3</v>
      </c>
      <c r="I990" s="14">
        <f t="shared" si="15"/>
        <v>-25653.285495027256</v>
      </c>
    </row>
    <row r="991" spans="1:9" x14ac:dyDescent="0.35">
      <c r="A991" s="3">
        <v>45287</v>
      </c>
      <c r="B991" s="4">
        <v>3.9335950858864171E-4</v>
      </c>
      <c r="C991">
        <f ca="1">IF(B991&lt;Monte_Carlo!$AC$2,1,0)</f>
        <v>0</v>
      </c>
      <c r="D991" s="13"/>
      <c r="F991" s="13"/>
      <c r="G991">
        <v>989</v>
      </c>
      <c r="H991" s="4">
        <v>2.0889315417757369E-2</v>
      </c>
      <c r="I991" s="14">
        <f t="shared" si="15"/>
        <v>208893.15417757368</v>
      </c>
    </row>
    <row r="992" spans="1:9" x14ac:dyDescent="0.35">
      <c r="A992" s="3">
        <v>45288</v>
      </c>
      <c r="B992" s="4">
        <v>1.1790940703522601E-2</v>
      </c>
      <c r="C992">
        <f ca="1">IF(B992&lt;Monte_Carlo!$AC$2,1,0)</f>
        <v>0</v>
      </c>
      <c r="D992" s="13"/>
      <c r="F992" s="13"/>
      <c r="G992">
        <v>990</v>
      </c>
      <c r="H992" s="4">
        <v>-2.8901238018508003E-2</v>
      </c>
      <c r="I992" s="14">
        <f t="shared" si="15"/>
        <v>-289012.38018508005</v>
      </c>
    </row>
    <row r="993" spans="1:9" x14ac:dyDescent="0.35">
      <c r="A993" s="3">
        <v>45289</v>
      </c>
      <c r="B993" s="4">
        <v>-1.3394044934661186E-2</v>
      </c>
      <c r="C993">
        <f ca="1">IF(B993&lt;Monte_Carlo!$AC$2,1,0)</f>
        <v>0</v>
      </c>
      <c r="D993" s="13"/>
      <c r="F993" s="13"/>
      <c r="G993">
        <v>991</v>
      </c>
      <c r="H993" s="4">
        <v>1.8232138283102512E-2</v>
      </c>
      <c r="I993" s="14">
        <f t="shared" si="15"/>
        <v>182321.38283102511</v>
      </c>
    </row>
    <row r="994" spans="1:9" x14ac:dyDescent="0.35">
      <c r="A994" s="3">
        <v>45292</v>
      </c>
      <c r="B994" s="4">
        <v>1.2948208340340148E-2</v>
      </c>
      <c r="C994">
        <f ca="1">IF(B994&lt;Monte_Carlo!$AC$2,1,0)</f>
        <v>0</v>
      </c>
      <c r="D994" s="13"/>
      <c r="F994" s="13"/>
      <c r="G994">
        <v>992</v>
      </c>
      <c r="H994" s="4">
        <v>-1.6581760966670449E-2</v>
      </c>
      <c r="I994" s="14">
        <f t="shared" si="15"/>
        <v>-165817.60966670449</v>
      </c>
    </row>
    <row r="995" spans="1:9" x14ac:dyDescent="0.35">
      <c r="A995" s="3">
        <v>45293</v>
      </c>
      <c r="B995" s="4">
        <v>-1.1546388747700019E-2</v>
      </c>
      <c r="C995">
        <f ca="1">IF(B995&lt;Monte_Carlo!$AC$2,1,0)</f>
        <v>0</v>
      </c>
      <c r="D995" s="13"/>
      <c r="F995" s="13"/>
      <c r="G995">
        <v>993</v>
      </c>
      <c r="H995" s="4">
        <v>3.6887847872933404E-3</v>
      </c>
      <c r="I995" s="14">
        <f t="shared" si="15"/>
        <v>36887.847872933402</v>
      </c>
    </row>
    <row r="996" spans="1:9" x14ac:dyDescent="0.35">
      <c r="A996" s="3">
        <v>45294</v>
      </c>
      <c r="B996" s="4">
        <v>-2.0442141388331444E-2</v>
      </c>
      <c r="C996">
        <f ca="1">IF(B996&lt;Monte_Carlo!$AC$2,1,0)</f>
        <v>0</v>
      </c>
      <c r="D996" s="13"/>
      <c r="F996" s="13"/>
      <c r="G996">
        <v>994</v>
      </c>
      <c r="H996" s="4">
        <v>1.9592502643524514E-3</v>
      </c>
      <c r="I996" s="14">
        <f t="shared" si="15"/>
        <v>19592.502643524513</v>
      </c>
    </row>
    <row r="997" spans="1:9" x14ac:dyDescent="0.35">
      <c r="A997" s="3">
        <v>45295</v>
      </c>
      <c r="B997" s="4">
        <v>1.4119594160479984E-2</v>
      </c>
      <c r="C997">
        <f ca="1">IF(B997&lt;Monte_Carlo!$AC$2,1,0)</f>
        <v>0</v>
      </c>
      <c r="D997" s="13"/>
      <c r="F997" s="13"/>
      <c r="G997">
        <v>995</v>
      </c>
      <c r="H997" s="4">
        <v>-1.3554032323915378E-2</v>
      </c>
      <c r="I997" s="14">
        <f t="shared" si="15"/>
        <v>-135540.32323915377</v>
      </c>
    </row>
    <row r="998" spans="1:9" x14ac:dyDescent="0.35">
      <c r="A998" s="3">
        <v>45296</v>
      </c>
      <c r="B998" s="4">
        <v>7.6334094946122041E-5</v>
      </c>
      <c r="C998">
        <f ca="1">IF(B998&lt;Monte_Carlo!$AC$2,1,0)</f>
        <v>0</v>
      </c>
      <c r="D998" s="13"/>
      <c r="F998" s="13"/>
      <c r="G998">
        <v>996</v>
      </c>
      <c r="H998" s="4">
        <v>-1.418820183137944E-2</v>
      </c>
      <c r="I998" s="14">
        <f t="shared" si="15"/>
        <v>-141882.0183137944</v>
      </c>
    </row>
    <row r="999" spans="1:9" x14ac:dyDescent="0.35">
      <c r="A999" s="3">
        <v>45299</v>
      </c>
      <c r="B999" s="4">
        <v>-3.5410289209580788E-3</v>
      </c>
      <c r="C999">
        <f ca="1">IF(B999&lt;Monte_Carlo!$AC$2,1,0)</f>
        <v>0</v>
      </c>
      <c r="D999" s="13"/>
      <c r="F999" s="13"/>
      <c r="G999">
        <v>997</v>
      </c>
      <c r="H999" s="4">
        <v>3.0310295700765166E-2</v>
      </c>
      <c r="I999" s="14">
        <f t="shared" si="15"/>
        <v>303102.95700765168</v>
      </c>
    </row>
    <row r="1000" spans="1:9" x14ac:dyDescent="0.35">
      <c r="A1000" s="3">
        <v>45300</v>
      </c>
      <c r="B1000" s="4">
        <v>-1.2884732453241623E-3</v>
      </c>
      <c r="C1000">
        <f ca="1">IF(B1000&lt;Monte_Carlo!$AC$2,1,0)</f>
        <v>0</v>
      </c>
      <c r="D1000" s="13"/>
      <c r="F1000" s="13"/>
      <c r="G1000">
        <v>998</v>
      </c>
      <c r="H1000" s="4">
        <v>1.6853311507169677E-2</v>
      </c>
      <c r="I1000" s="14">
        <f t="shared" si="15"/>
        <v>168533.11507169678</v>
      </c>
    </row>
    <row r="1001" spans="1:9" x14ac:dyDescent="0.35">
      <c r="A1001" s="3">
        <v>45301</v>
      </c>
      <c r="B1001" s="4">
        <v>-8.3976320227366844E-3</v>
      </c>
      <c r="C1001">
        <f ca="1">IF(B1001&lt;Monte_Carlo!$AC$2,1,0)</f>
        <v>0</v>
      </c>
      <c r="D1001" s="13"/>
      <c r="F1001" s="13"/>
      <c r="G1001">
        <v>999</v>
      </c>
      <c r="H1001" s="4">
        <v>-8.9698928802847168E-3</v>
      </c>
      <c r="I1001" s="14">
        <f t="shared" si="15"/>
        <v>-89698.928802847164</v>
      </c>
    </row>
    <row r="1002" spans="1:9" x14ac:dyDescent="0.35">
      <c r="A1002" s="3">
        <v>45302</v>
      </c>
      <c r="B1002" s="4">
        <v>1.6579984385480043E-3</v>
      </c>
      <c r="C1002">
        <f ca="1">IF(B1002&lt;Monte_Carlo!$AC$2,1,0)</f>
        <v>0</v>
      </c>
      <c r="D1002" s="13"/>
      <c r="F1002" s="13"/>
      <c r="G1002">
        <v>1000</v>
      </c>
      <c r="H1002" s="4">
        <v>-1.8189628930746521E-2</v>
      </c>
      <c r="I1002" s="14">
        <f t="shared" si="15"/>
        <v>-181896.28930746519</v>
      </c>
    </row>
    <row r="1003" spans="1:9" x14ac:dyDescent="0.35">
      <c r="A1003" s="3">
        <v>45303</v>
      </c>
      <c r="B1003">
        <v>1.9510376614095928E-3</v>
      </c>
      <c r="C1003">
        <f ca="1">IF(B1003&lt;Monte_Carlo!$AC$2,1,0)</f>
        <v>0</v>
      </c>
    </row>
    <row r="1004" spans="1:9" x14ac:dyDescent="0.35">
      <c r="A1004" s="3">
        <v>45306</v>
      </c>
      <c r="B1004">
        <v>-7.4161810580752338E-3</v>
      </c>
      <c r="C1004">
        <f ca="1">IF(B1004&lt;Monte_Carlo!$AC$2,1,0)</f>
        <v>0</v>
      </c>
    </row>
    <row r="1005" spans="1:9" x14ac:dyDescent="0.35">
      <c r="A1005" s="3">
        <v>45307</v>
      </c>
      <c r="B1005">
        <v>1.6814656124125426E-3</v>
      </c>
      <c r="C1005">
        <f ca="1">IF(B1005&lt;Monte_Carlo!$AC$2,1,0)</f>
        <v>0</v>
      </c>
    </row>
    <row r="1006" spans="1:9" x14ac:dyDescent="0.35">
      <c r="A1006" s="3">
        <v>45308</v>
      </c>
      <c r="B1006">
        <v>4.1895814646381847E-2</v>
      </c>
      <c r="C1006">
        <f ca="1">IF(B1006&lt;Monte_Carlo!$AC$2,1,0)</f>
        <v>0</v>
      </c>
    </row>
    <row r="1007" spans="1:9" x14ac:dyDescent="0.35">
      <c r="A1007" s="3">
        <v>45309</v>
      </c>
      <c r="B1007">
        <v>-1.0261655998331646E-2</v>
      </c>
      <c r="C1007">
        <f ca="1">IF(B1007&lt;Monte_Carlo!$AC$2,1,0)</f>
        <v>0</v>
      </c>
    </row>
    <row r="1008" spans="1:9" x14ac:dyDescent="0.35">
      <c r="A1008" s="3">
        <v>45310</v>
      </c>
      <c r="B1008">
        <v>5.912593972469242E-2</v>
      </c>
      <c r="C1008">
        <f ca="1">IF(B1008&lt;Monte_Carlo!$AC$2,1,0)</f>
        <v>0</v>
      </c>
    </row>
    <row r="1009" spans="1:3" x14ac:dyDescent="0.35">
      <c r="A1009" s="3">
        <v>45314</v>
      </c>
      <c r="B1009">
        <v>-1.9943410788276879E-2</v>
      </c>
      <c r="C1009">
        <f ca="1">IF(B1009&lt;Monte_Carlo!$AC$2,1,0)</f>
        <v>0</v>
      </c>
    </row>
    <row r="1010" spans="1:3" x14ac:dyDescent="0.35">
      <c r="A1010" s="3">
        <v>45315</v>
      </c>
      <c r="B1010">
        <v>3.2865808775102194E-2</v>
      </c>
      <c r="C1010">
        <f ca="1">IF(B1010&lt;Monte_Carlo!$AC$2,1,0)</f>
        <v>0</v>
      </c>
    </row>
    <row r="1011" spans="1:3" x14ac:dyDescent="0.35">
      <c r="A1011" s="3">
        <v>45316</v>
      </c>
      <c r="B1011">
        <v>-1.964034634597275E-2</v>
      </c>
      <c r="C1011">
        <f ca="1">IF(B1011&lt;Monte_Carlo!$AC$2,1,0)</f>
        <v>0</v>
      </c>
    </row>
    <row r="1012" spans="1:3" x14ac:dyDescent="0.35">
      <c r="A1012" s="3">
        <v>45320</v>
      </c>
      <c r="B1012">
        <v>1.4497392750939109E-2</v>
      </c>
      <c r="C1012">
        <f ca="1">IF(B1012&lt;Monte_Carlo!$AC$2,1,0)</f>
        <v>0</v>
      </c>
    </row>
    <row r="1013" spans="1:3" x14ac:dyDescent="0.35">
      <c r="A1013" s="3">
        <v>45321</v>
      </c>
      <c r="B1013">
        <v>9.562137341424904E-3</v>
      </c>
      <c r="C1013">
        <f ca="1">IF(B1013&lt;Monte_Carlo!$AC$2,1,0)</f>
        <v>0</v>
      </c>
    </row>
    <row r="1014" spans="1:3" x14ac:dyDescent="0.35">
      <c r="A1014" s="3">
        <v>45322</v>
      </c>
      <c r="B1014">
        <v>-8.8401646846246191E-4</v>
      </c>
      <c r="C1014">
        <f ca="1">IF(B1014&lt;Monte_Carlo!$AC$2,1,0)</f>
        <v>0</v>
      </c>
    </row>
    <row r="1015" spans="1:3" x14ac:dyDescent="0.35">
      <c r="A1015" s="3">
        <v>45323</v>
      </c>
      <c r="B1015">
        <v>2.6848371701524315E-3</v>
      </c>
      <c r="C1015">
        <f ca="1">IF(B1015&lt;Monte_Carlo!$AC$2,1,0)</f>
        <v>0</v>
      </c>
    </row>
    <row r="1016" spans="1:3" x14ac:dyDescent="0.35">
      <c r="A1016" s="3">
        <v>45324</v>
      </c>
      <c r="B1016">
        <v>-1.7036768030332173E-3</v>
      </c>
      <c r="C1016">
        <f ca="1">IF(B1016&lt;Monte_Carlo!$AC$2,1,0)</f>
        <v>0</v>
      </c>
    </row>
    <row r="1017" spans="1:3" x14ac:dyDescent="0.35">
      <c r="A1017" s="3">
        <v>45327</v>
      </c>
      <c r="B1017">
        <v>3.0306390841731243E-2</v>
      </c>
      <c r="C1017">
        <f ca="1">IF(B1017&lt;Monte_Carlo!$AC$2,1,0)</f>
        <v>0</v>
      </c>
    </row>
    <row r="1018" spans="1:3" x14ac:dyDescent="0.35">
      <c r="A1018" s="3">
        <v>45328</v>
      </c>
      <c r="B1018">
        <v>3.655144630052104E-2</v>
      </c>
      <c r="C1018">
        <f ca="1">IF(B1018&lt;Monte_Carlo!$AC$2,1,0)</f>
        <v>0</v>
      </c>
    </row>
    <row r="1019" spans="1:3" x14ac:dyDescent="0.35">
      <c r="A1019" s="3">
        <v>45329</v>
      </c>
      <c r="B1019">
        <v>1.31316087830027E-2</v>
      </c>
      <c r="C1019">
        <f ca="1">IF(B1019&lt;Monte_Carlo!$AC$2,1,0)</f>
        <v>0</v>
      </c>
    </row>
    <row r="1020" spans="1:3" x14ac:dyDescent="0.35">
      <c r="A1020" s="3">
        <v>45330</v>
      </c>
      <c r="B1020">
        <v>2.1168380801150997E-2</v>
      </c>
      <c r="C1020">
        <f ca="1">IF(B1020&lt;Monte_Carlo!$AC$2,1,0)</f>
        <v>0</v>
      </c>
    </row>
    <row r="1021" spans="1:3" x14ac:dyDescent="0.35">
      <c r="A1021" s="3">
        <v>45331</v>
      </c>
      <c r="B1021">
        <v>-1.111979412772642E-2</v>
      </c>
      <c r="C1021">
        <f ca="1">IF(B1021&lt;Monte_Carlo!$AC$2,1,0)</f>
        <v>0</v>
      </c>
    </row>
    <row r="1022" spans="1:3" x14ac:dyDescent="0.35">
      <c r="A1022" s="3">
        <v>45334</v>
      </c>
      <c r="B1022">
        <v>-4.9893519545214801E-2</v>
      </c>
      <c r="C1022">
        <f ca="1">IF(B1022&lt;Monte_Carlo!$AC$2,1,0)</f>
        <v>1</v>
      </c>
    </row>
    <row r="1023" spans="1:3" x14ac:dyDescent="0.35">
      <c r="A1023" s="3">
        <v>45335</v>
      </c>
      <c r="B1023">
        <v>1.3770432498707958E-2</v>
      </c>
      <c r="C1023">
        <f ca="1">IF(B1023&lt;Monte_Carlo!$AC$2,1,0)</f>
        <v>0</v>
      </c>
    </row>
    <row r="1024" spans="1:3" x14ac:dyDescent="0.35">
      <c r="A1024" s="3">
        <v>45336</v>
      </c>
      <c r="B1024">
        <v>1.6611473219088381E-2</v>
      </c>
      <c r="C1024">
        <f ca="1">IF(B1024&lt;Monte_Carlo!$AC$2,1,0)</f>
        <v>0</v>
      </c>
    </row>
    <row r="1025" spans="1:3" x14ac:dyDescent="0.35">
      <c r="A1025" s="3">
        <v>45337</v>
      </c>
      <c r="B1025">
        <v>6.6347390846162148E-3</v>
      </c>
      <c r="C1025">
        <f ca="1">IF(B1025&lt;Monte_Carlo!$AC$2,1,0)</f>
        <v>0</v>
      </c>
    </row>
    <row r="1026" spans="1:3" x14ac:dyDescent="0.35">
      <c r="A1026" s="3">
        <v>45338</v>
      </c>
      <c r="B1026">
        <v>2.5853234351245827E-2</v>
      </c>
      <c r="C1026">
        <f ca="1">IF(B1026&lt;Monte_Carlo!$AC$2,1,0)</f>
        <v>0</v>
      </c>
    </row>
    <row r="1027" spans="1:3" x14ac:dyDescent="0.35">
      <c r="A1027" s="3">
        <v>45341</v>
      </c>
      <c r="B1027">
        <v>-6.0588800659847823E-4</v>
      </c>
      <c r="C1027">
        <f ca="1">IF(B1027&lt;Monte_Carlo!$AC$2,1,0)</f>
        <v>0</v>
      </c>
    </row>
    <row r="1028" spans="1:3" x14ac:dyDescent="0.35">
      <c r="A1028" s="3">
        <v>45342</v>
      </c>
      <c r="B1028">
        <v>-8.3203566388831366E-3</v>
      </c>
      <c r="C1028">
        <f ca="1">IF(B1028&lt;Monte_Carlo!$AC$2,1,0)</f>
        <v>0</v>
      </c>
    </row>
    <row r="1029" spans="1:3" x14ac:dyDescent="0.35">
      <c r="A1029" s="3">
        <v>45343</v>
      </c>
      <c r="B1029">
        <v>6.5253191515464914E-3</v>
      </c>
      <c r="C1029">
        <f ca="1">IF(B1029&lt;Monte_Carlo!$AC$2,1,0)</f>
        <v>0</v>
      </c>
    </row>
    <row r="1030" spans="1:3" x14ac:dyDescent="0.35">
      <c r="A1030" s="3">
        <v>45344</v>
      </c>
      <c r="B1030">
        <v>3.3059062396760047E-3</v>
      </c>
      <c r="C1030">
        <f ca="1">IF(B1030&lt;Monte_Carlo!$AC$2,1,0)</f>
        <v>0</v>
      </c>
    </row>
    <row r="1031" spans="1:3" x14ac:dyDescent="0.35">
      <c r="A1031" s="3">
        <v>45345</v>
      </c>
      <c r="B1031">
        <v>-7.6310336315753664E-3</v>
      </c>
      <c r="C1031">
        <f ca="1">IF(B1031&lt;Monte_Carlo!$AC$2,1,0)</f>
        <v>0</v>
      </c>
    </row>
    <row r="1032" spans="1:3" x14ac:dyDescent="0.35">
      <c r="A1032" s="3">
        <v>45348</v>
      </c>
      <c r="B1032">
        <v>-6.7376985132904773E-3</v>
      </c>
      <c r="C1032">
        <f ca="1">IF(B1032&lt;Monte_Carlo!$AC$2,1,0)</f>
        <v>0</v>
      </c>
    </row>
    <row r="1033" spans="1:3" x14ac:dyDescent="0.35">
      <c r="A1033" s="3">
        <v>45349</v>
      </c>
      <c r="B1033">
        <v>3.7858872641817941E-2</v>
      </c>
      <c r="C1033">
        <f ca="1">IF(B1033&lt;Monte_Carlo!$AC$2,1,0)</f>
        <v>0</v>
      </c>
    </row>
    <row r="1034" spans="1:3" x14ac:dyDescent="0.35">
      <c r="A1034" s="3">
        <v>45350</v>
      </c>
      <c r="B1034">
        <v>-1.3569534935829818E-2</v>
      </c>
      <c r="C1034">
        <f ca="1">IF(B1034&lt;Monte_Carlo!$AC$2,1,0)</f>
        <v>0</v>
      </c>
    </row>
    <row r="1035" spans="1:3" x14ac:dyDescent="0.35">
      <c r="A1035" s="3">
        <v>45351</v>
      </c>
      <c r="B1035">
        <v>-9.5058719097034419E-3</v>
      </c>
      <c r="C1035">
        <f ca="1">IF(B1035&lt;Monte_Carlo!$AC$2,1,0)</f>
        <v>0</v>
      </c>
    </row>
    <row r="1036" spans="1:3" x14ac:dyDescent="0.35">
      <c r="A1036" s="3">
        <v>45352</v>
      </c>
      <c r="B1036">
        <v>-2.4562015724652435E-2</v>
      </c>
      <c r="C1036">
        <f ca="1">IF(B1036&lt;Monte_Carlo!$AC$2,1,0)</f>
        <v>0</v>
      </c>
    </row>
    <row r="1037" spans="1:3" x14ac:dyDescent="0.35">
      <c r="A1037" s="3">
        <v>45355</v>
      </c>
      <c r="B1037">
        <v>1.0134293926131124E-2</v>
      </c>
      <c r="C1037">
        <f ca="1">IF(B1037&lt;Monte_Carlo!$AC$2,1,0)</f>
        <v>0</v>
      </c>
    </row>
    <row r="1038" spans="1:3" x14ac:dyDescent="0.35">
      <c r="A1038" s="3">
        <v>45356</v>
      </c>
      <c r="B1038">
        <v>-3.1585130810130525E-3</v>
      </c>
      <c r="C1038">
        <f ca="1">IF(B1038&lt;Monte_Carlo!$AC$2,1,0)</f>
        <v>0</v>
      </c>
    </row>
    <row r="1039" spans="1:3" x14ac:dyDescent="0.35">
      <c r="A1039" s="3">
        <v>45357</v>
      </c>
      <c r="B1039">
        <v>-1.0731058744226432E-2</v>
      </c>
      <c r="C1039">
        <f ca="1">IF(B1039&lt;Monte_Carlo!$AC$2,1,0)</f>
        <v>0</v>
      </c>
    </row>
    <row r="1040" spans="1:3" x14ac:dyDescent="0.35">
      <c r="A1040" s="3">
        <v>45358</v>
      </c>
      <c r="B1040">
        <v>9.0283739302374981E-4</v>
      </c>
      <c r="C1040">
        <f ca="1">IF(B1040&lt;Monte_Carlo!$AC$2,1,0)</f>
        <v>0</v>
      </c>
    </row>
    <row r="1041" spans="1:3" x14ac:dyDescent="0.35">
      <c r="A1041" s="3">
        <v>45362</v>
      </c>
      <c r="B1041">
        <v>-1.2424375541630289E-2</v>
      </c>
      <c r="C1041">
        <f ca="1">IF(B1041&lt;Monte_Carlo!$AC$2,1,0)</f>
        <v>0</v>
      </c>
    </row>
    <row r="1042" spans="1:3" x14ac:dyDescent="0.35">
      <c r="A1042" s="3">
        <v>45363</v>
      </c>
      <c r="B1042">
        <v>-6.4927917236669835E-3</v>
      </c>
      <c r="C1042">
        <f ca="1">IF(B1042&lt;Monte_Carlo!$AC$2,1,0)</f>
        <v>0</v>
      </c>
    </row>
    <row r="1043" spans="1:3" x14ac:dyDescent="0.35">
      <c r="A1043" s="3">
        <v>45364</v>
      </c>
      <c r="B1043">
        <v>-2.8738159971701531E-2</v>
      </c>
      <c r="C1043">
        <f ca="1">IF(B1043&lt;Monte_Carlo!$AC$2,1,0)</f>
        <v>0</v>
      </c>
    </row>
    <row r="1044" spans="1:3" x14ac:dyDescent="0.35">
      <c r="A1044" s="3">
        <v>45365</v>
      </c>
      <c r="B1044">
        <v>2.4827627254189258E-2</v>
      </c>
      <c r="C1044">
        <f ca="1">IF(B1044&lt;Monte_Carlo!$AC$2,1,0)</f>
        <v>0</v>
      </c>
    </row>
    <row r="1045" spans="1:3" x14ac:dyDescent="0.35">
      <c r="A1045" s="3">
        <v>45366</v>
      </c>
      <c r="B1045">
        <v>-7.558782875325778E-3</v>
      </c>
      <c r="C1045">
        <f ca="1">IF(B1045&lt;Monte_Carlo!$AC$2,1,0)</f>
        <v>0</v>
      </c>
    </row>
    <row r="1046" spans="1:3" x14ac:dyDescent="0.35">
      <c r="A1046" s="3">
        <v>45369</v>
      </c>
      <c r="B1046">
        <v>1.8919429546203532E-3</v>
      </c>
      <c r="C1046">
        <f ca="1">IF(B1046&lt;Monte_Carlo!$AC$2,1,0)</f>
        <v>0</v>
      </c>
    </row>
    <row r="1047" spans="1:3" x14ac:dyDescent="0.35">
      <c r="A1047" s="3">
        <v>45370</v>
      </c>
      <c r="B1047">
        <v>-5.8750526976575649E-3</v>
      </c>
      <c r="C1047">
        <f ca="1">IF(B1047&lt;Monte_Carlo!$AC$2,1,0)</f>
        <v>0</v>
      </c>
    </row>
    <row r="1048" spans="1:3" x14ac:dyDescent="0.35">
      <c r="A1048" s="3">
        <v>45371</v>
      </c>
      <c r="B1048">
        <v>-5.9118904472883855E-3</v>
      </c>
      <c r="C1048">
        <f ca="1">IF(B1048&lt;Monte_Carlo!$AC$2,1,0)</f>
        <v>0</v>
      </c>
    </row>
    <row r="1049" spans="1:3" x14ac:dyDescent="0.35">
      <c r="A1049" s="3">
        <v>45372</v>
      </c>
      <c r="B1049">
        <v>2.1761684280742617E-2</v>
      </c>
      <c r="C1049">
        <f ca="1">IF(B1049&lt;Monte_Carlo!$AC$2,1,0)</f>
        <v>0</v>
      </c>
    </row>
    <row r="1050" spans="1:3" x14ac:dyDescent="0.35">
      <c r="A1050" s="3">
        <v>45373</v>
      </c>
      <c r="B1050">
        <v>-2.9645825065403404E-3</v>
      </c>
      <c r="C1050">
        <f ca="1">IF(B1050&lt;Monte_Carlo!$AC$2,1,0)</f>
        <v>0</v>
      </c>
    </row>
    <row r="1051" spans="1:3" x14ac:dyDescent="0.35">
      <c r="A1051" s="3">
        <v>45377</v>
      </c>
      <c r="B1051">
        <v>-1.6073869686099456E-2</v>
      </c>
      <c r="C1051">
        <f ca="1">IF(B1051&lt;Monte_Carlo!$AC$2,1,0)</f>
        <v>0</v>
      </c>
    </row>
    <row r="1052" spans="1:3" x14ac:dyDescent="0.35">
      <c r="A1052" s="3">
        <v>45378</v>
      </c>
      <c r="B1052">
        <v>1.023526957189484E-2</v>
      </c>
      <c r="C1052">
        <f ca="1">IF(B1052&lt;Monte_Carlo!$AC$2,1,0)</f>
        <v>0</v>
      </c>
    </row>
    <row r="1053" spans="1:3" x14ac:dyDescent="0.35">
      <c r="A1053" s="3">
        <v>45379</v>
      </c>
      <c r="B1053">
        <v>7.9956091821601523E-3</v>
      </c>
      <c r="C1053">
        <f ca="1">IF(B1053&lt;Monte_Carlo!$AC$2,1,0)</f>
        <v>0</v>
      </c>
    </row>
    <row r="1054" spans="1:3" x14ac:dyDescent="0.35">
      <c r="A1054" s="3">
        <v>45383</v>
      </c>
      <c r="B1054">
        <v>1.7343541921515E-2</v>
      </c>
      <c r="C1054">
        <f ca="1">IF(B1054&lt;Monte_Carlo!$AC$2,1,0)</f>
        <v>0</v>
      </c>
    </row>
    <row r="1055" spans="1:3" x14ac:dyDescent="0.35">
      <c r="A1055" s="3">
        <v>45384</v>
      </c>
      <c r="B1055">
        <v>-7.1587111033015278E-3</v>
      </c>
      <c r="C1055">
        <f ca="1">IF(B1055&lt;Monte_Carlo!$AC$2,1,0)</f>
        <v>0</v>
      </c>
    </row>
    <row r="1056" spans="1:3" x14ac:dyDescent="0.35">
      <c r="A1056" s="3">
        <v>45385</v>
      </c>
      <c r="B1056">
        <v>3.0663604686786109E-3</v>
      </c>
      <c r="C1056">
        <f ca="1">IF(B1056&lt;Monte_Carlo!$AC$2,1,0)</f>
        <v>0</v>
      </c>
    </row>
    <row r="1057" spans="1:3" x14ac:dyDescent="0.35">
      <c r="A1057" s="3">
        <v>45386</v>
      </c>
      <c r="B1057">
        <v>-2.5243169785883559E-2</v>
      </c>
      <c r="C1057">
        <f ca="1">IF(B1057&lt;Monte_Carlo!$AC$2,1,0)</f>
        <v>0</v>
      </c>
    </row>
    <row r="1058" spans="1:3" x14ac:dyDescent="0.35">
      <c r="A1058" s="3">
        <v>45387</v>
      </c>
      <c r="B1058">
        <v>3.638425731087315E-2</v>
      </c>
      <c r="C1058">
        <f ca="1">IF(B1058&lt;Monte_Carlo!$AC$2,1,0)</f>
        <v>0</v>
      </c>
    </row>
    <row r="1059" spans="1:3" x14ac:dyDescent="0.35">
      <c r="A1059" s="3">
        <v>45390</v>
      </c>
      <c r="B1059">
        <v>-6.9437101824773384E-3</v>
      </c>
      <c r="C1059">
        <f ca="1">IF(B1059&lt;Monte_Carlo!$AC$2,1,0)</f>
        <v>0</v>
      </c>
    </row>
    <row r="1060" spans="1:3" x14ac:dyDescent="0.35">
      <c r="A1060" s="3">
        <v>45391</v>
      </c>
      <c r="B1060">
        <v>-5.5377853375385925E-3</v>
      </c>
      <c r="C1060">
        <f ca="1">IF(B1060&lt;Monte_Carlo!$AC$2,1,0)</f>
        <v>0</v>
      </c>
    </row>
    <row r="1061" spans="1:3" x14ac:dyDescent="0.35">
      <c r="A1061" s="3">
        <v>45392</v>
      </c>
      <c r="B1061">
        <v>-1.0806317335903103E-2</v>
      </c>
      <c r="C1061">
        <f ca="1">IF(B1061&lt;Monte_Carlo!$AC$2,1,0)</f>
        <v>0</v>
      </c>
    </row>
    <row r="1062" spans="1:3" x14ac:dyDescent="0.35">
      <c r="A1062" s="3">
        <v>45394</v>
      </c>
      <c r="B1062">
        <v>-1.2462296378760496E-2</v>
      </c>
      <c r="C1062">
        <f ca="1">IF(B1062&lt;Monte_Carlo!$AC$2,1,0)</f>
        <v>0</v>
      </c>
    </row>
    <row r="1063" spans="1:3" x14ac:dyDescent="0.35">
      <c r="A1063" s="3">
        <v>45397</v>
      </c>
      <c r="B1063">
        <v>-1.7755707397481051E-2</v>
      </c>
      <c r="C1063">
        <f ca="1">IF(B1063&lt;Monte_Carlo!$AC$2,1,0)</f>
        <v>0</v>
      </c>
    </row>
    <row r="1064" spans="1:3" x14ac:dyDescent="0.35">
      <c r="A1064" s="3">
        <v>45398</v>
      </c>
      <c r="B1064">
        <v>1.0824854004224501E-2</v>
      </c>
      <c r="C1064">
        <f ca="1">IF(B1064&lt;Monte_Carlo!$AC$2,1,0)</f>
        <v>0</v>
      </c>
    </row>
    <row r="1065" spans="1:3" x14ac:dyDescent="0.35">
      <c r="A1065" s="3">
        <v>45400</v>
      </c>
      <c r="B1065">
        <v>2.8895878984986963E-2</v>
      </c>
      <c r="C1065">
        <f ca="1">IF(B1065&lt;Monte_Carlo!$AC$2,1,0)</f>
        <v>0</v>
      </c>
    </row>
    <row r="1066" spans="1:3" x14ac:dyDescent="0.35">
      <c r="A1066" s="3">
        <v>45401</v>
      </c>
      <c r="B1066">
        <v>-1.3220546333857943E-2</v>
      </c>
      <c r="C1066">
        <f ca="1">IF(B1066&lt;Monte_Carlo!$AC$2,1,0)</f>
        <v>0</v>
      </c>
    </row>
    <row r="1067" spans="1:3" x14ac:dyDescent="0.35">
      <c r="A1067" s="3">
        <v>45404</v>
      </c>
      <c r="B1067">
        <v>1.6570544470492186E-3</v>
      </c>
      <c r="C1067">
        <f ca="1">IF(B1067&lt;Monte_Carlo!$AC$2,1,0)</f>
        <v>0</v>
      </c>
    </row>
    <row r="1068" spans="1:3" x14ac:dyDescent="0.35">
      <c r="A1068" s="3">
        <v>45405</v>
      </c>
      <c r="B1068">
        <v>4.2481076781040669E-3</v>
      </c>
      <c r="C1068">
        <f ca="1">IF(B1068&lt;Monte_Carlo!$AC$2,1,0)</f>
        <v>0</v>
      </c>
    </row>
    <row r="1069" spans="1:3" x14ac:dyDescent="0.35">
      <c r="A1069" s="3">
        <v>45406</v>
      </c>
      <c r="B1069">
        <v>2.0422291632932804E-3</v>
      </c>
      <c r="C1069">
        <f ca="1">IF(B1069&lt;Monte_Carlo!$AC$2,1,0)</f>
        <v>0</v>
      </c>
    </row>
    <row r="1070" spans="1:3" x14ac:dyDescent="0.35">
      <c r="A1070" s="3">
        <v>45407</v>
      </c>
      <c r="B1070">
        <v>5.3438632832157641E-3</v>
      </c>
      <c r="C1070">
        <f ca="1">IF(B1070&lt;Monte_Carlo!$AC$2,1,0)</f>
        <v>0</v>
      </c>
    </row>
    <row r="1071" spans="1:3" x14ac:dyDescent="0.35">
      <c r="A1071" s="3">
        <v>45408</v>
      </c>
      <c r="B1071">
        <v>3.3942489821248336E-3</v>
      </c>
      <c r="C1071">
        <f ca="1">IF(B1071&lt;Monte_Carlo!$AC$2,1,0)</f>
        <v>0</v>
      </c>
    </row>
    <row r="1072" spans="1:3" x14ac:dyDescent="0.35">
      <c r="A1072" s="3">
        <v>45411</v>
      </c>
      <c r="B1072">
        <v>1.4625377080498386E-2</v>
      </c>
      <c r="C1072">
        <f ca="1">IF(B1072&lt;Monte_Carlo!$AC$2,1,0)</f>
        <v>0</v>
      </c>
    </row>
    <row r="1073" spans="1:3" x14ac:dyDescent="0.35">
      <c r="A1073" s="3">
        <v>45412</v>
      </c>
      <c r="B1073">
        <v>-3.4001369748392378E-3</v>
      </c>
      <c r="C1073">
        <f ca="1">IF(B1073&lt;Monte_Carlo!$AC$2,1,0)</f>
        <v>0</v>
      </c>
    </row>
    <row r="1074" spans="1:3" x14ac:dyDescent="0.35">
      <c r="A1074" s="3">
        <v>45414</v>
      </c>
      <c r="B1074">
        <v>-9.0751342650422315E-3</v>
      </c>
      <c r="C1074">
        <f ca="1">IF(B1074&lt;Monte_Carlo!$AC$2,1,0)</f>
        <v>0</v>
      </c>
    </row>
    <row r="1075" spans="1:3" x14ac:dyDescent="0.35">
      <c r="A1075" s="3">
        <v>45415</v>
      </c>
      <c r="B1075">
        <v>-1.4021613075680926E-2</v>
      </c>
      <c r="C1075">
        <f ca="1">IF(B1075&lt;Monte_Carlo!$AC$2,1,0)</f>
        <v>0</v>
      </c>
    </row>
    <row r="1076" spans="1:3" x14ac:dyDescent="0.35">
      <c r="A1076" s="3">
        <v>45418</v>
      </c>
      <c r="B1076">
        <v>-2.1569177480277521E-3</v>
      </c>
      <c r="C1076">
        <f ca="1">IF(B1076&lt;Monte_Carlo!$AC$2,1,0)</f>
        <v>0</v>
      </c>
    </row>
    <row r="1077" spans="1:3" x14ac:dyDescent="0.35">
      <c r="A1077" s="3">
        <v>45419</v>
      </c>
      <c r="B1077">
        <v>-3.9047791036519747E-3</v>
      </c>
      <c r="C1077">
        <f ca="1">IF(B1077&lt;Monte_Carlo!$AC$2,1,0)</f>
        <v>0</v>
      </c>
    </row>
    <row r="1078" spans="1:3" x14ac:dyDescent="0.35">
      <c r="A1078" s="3">
        <v>45420</v>
      </c>
      <c r="B1078">
        <v>1.6589568429053465E-2</v>
      </c>
      <c r="C1078">
        <f ca="1">IF(B1078&lt;Monte_Carlo!$AC$2,1,0)</f>
        <v>0</v>
      </c>
    </row>
    <row r="1079" spans="1:3" x14ac:dyDescent="0.35">
      <c r="A1079" s="3">
        <v>45421</v>
      </c>
      <c r="B1079">
        <v>-3.5101862565506424E-2</v>
      </c>
      <c r="C1079">
        <f ca="1">IF(B1079&lt;Monte_Carlo!$AC$2,1,0)</f>
        <v>0</v>
      </c>
    </row>
    <row r="1080" spans="1:3" x14ac:dyDescent="0.35">
      <c r="A1080" s="3">
        <v>45422</v>
      </c>
      <c r="B1080">
        <v>5.4321748661619379E-3</v>
      </c>
      <c r="C1080">
        <f ca="1">IF(B1080&lt;Monte_Carlo!$AC$2,1,0)</f>
        <v>0</v>
      </c>
    </row>
    <row r="1081" spans="1:3" x14ac:dyDescent="0.35">
      <c r="A1081" s="3">
        <v>45425</v>
      </c>
      <c r="B1081">
        <v>1.0702622235222047E-2</v>
      </c>
      <c r="C1081">
        <f ca="1">IF(B1081&lt;Monte_Carlo!$AC$2,1,0)</f>
        <v>0</v>
      </c>
    </row>
    <row r="1082" spans="1:3" x14ac:dyDescent="0.35">
      <c r="A1082" s="3">
        <v>45426</v>
      </c>
      <c r="B1082">
        <v>5.523794607739661E-3</v>
      </c>
      <c r="C1082">
        <f ca="1">IF(B1082&lt;Monte_Carlo!$AC$2,1,0)</f>
        <v>0</v>
      </c>
    </row>
    <row r="1083" spans="1:3" x14ac:dyDescent="0.35">
      <c r="A1083" s="3">
        <v>45427</v>
      </c>
      <c r="B1083">
        <v>-5.3933590135000964E-3</v>
      </c>
      <c r="C1083">
        <f ca="1">IF(B1083&lt;Monte_Carlo!$AC$2,1,0)</f>
        <v>0</v>
      </c>
    </row>
    <row r="1084" spans="1:3" x14ac:dyDescent="0.35">
      <c r="A1084" s="3">
        <v>45428</v>
      </c>
      <c r="B1084">
        <v>8.6534467949879769E-3</v>
      </c>
      <c r="C1084">
        <f ca="1">IF(B1084&lt;Monte_Carlo!$AC$2,1,0)</f>
        <v>0</v>
      </c>
    </row>
    <row r="1085" spans="1:3" x14ac:dyDescent="0.35">
      <c r="A1085" s="3">
        <v>45429</v>
      </c>
      <c r="B1085">
        <v>-1.6927303035926028E-4</v>
      </c>
      <c r="C1085">
        <f ca="1">IF(B1085&lt;Monte_Carlo!$AC$2,1,0)</f>
        <v>0</v>
      </c>
    </row>
    <row r="1086" spans="1:3" x14ac:dyDescent="0.35">
      <c r="A1086" s="3">
        <v>45433</v>
      </c>
      <c r="B1086">
        <v>-9.0643107456708869E-3</v>
      </c>
      <c r="C1086">
        <f ca="1">IF(B1086&lt;Monte_Carlo!$AC$2,1,0)</f>
        <v>0</v>
      </c>
    </row>
    <row r="1087" spans="1:3" x14ac:dyDescent="0.35">
      <c r="A1087" s="3">
        <v>45434</v>
      </c>
      <c r="B1087">
        <v>2.1874539852071107E-2</v>
      </c>
      <c r="C1087">
        <f ca="1">IF(B1087&lt;Monte_Carlo!$AC$2,1,0)</f>
        <v>0</v>
      </c>
    </row>
    <row r="1088" spans="1:3" x14ac:dyDescent="0.35">
      <c r="A1088" s="3">
        <v>45435</v>
      </c>
      <c r="B1088">
        <v>7.8608280890764305E-3</v>
      </c>
      <c r="C1088">
        <f ca="1">IF(B1088&lt;Monte_Carlo!$AC$2,1,0)</f>
        <v>0</v>
      </c>
    </row>
    <row r="1089" spans="1:3" x14ac:dyDescent="0.35">
      <c r="A1089" s="3">
        <v>45436</v>
      </c>
      <c r="B1089">
        <v>-9.1064429594631714E-3</v>
      </c>
      <c r="C1089">
        <f ca="1">IF(B1089&lt;Monte_Carlo!$AC$2,1,0)</f>
        <v>0</v>
      </c>
    </row>
    <row r="1090" spans="1:3" x14ac:dyDescent="0.35">
      <c r="A1090" s="3">
        <v>45439</v>
      </c>
      <c r="B1090">
        <v>-2.0270833061004769E-2</v>
      </c>
      <c r="C1090">
        <f ca="1">IF(B1090&lt;Monte_Carlo!$AC$2,1,0)</f>
        <v>0</v>
      </c>
    </row>
    <row r="1091" spans="1:3" x14ac:dyDescent="0.35">
      <c r="A1091" s="3">
        <v>45440</v>
      </c>
      <c r="B1091">
        <v>9.4743173134747118E-4</v>
      </c>
      <c r="C1091">
        <f ca="1">IF(B1091&lt;Monte_Carlo!$AC$2,1,0)</f>
        <v>0</v>
      </c>
    </row>
    <row r="1092" spans="1:3" x14ac:dyDescent="0.35">
      <c r="A1092" s="3">
        <v>45441</v>
      </c>
      <c r="B1092">
        <v>-1.8383673834120512E-2</v>
      </c>
      <c r="C1092">
        <f ca="1">IF(B1092&lt;Monte_Carlo!$AC$2,1,0)</f>
        <v>0</v>
      </c>
    </row>
    <row r="1093" spans="1:3" x14ac:dyDescent="0.35">
      <c r="A1093" s="3">
        <v>45442</v>
      </c>
      <c r="B1093">
        <v>-5.6982929122660671E-3</v>
      </c>
      <c r="C1093">
        <f ca="1">IF(B1093&lt;Monte_Carlo!$AC$2,1,0)</f>
        <v>0</v>
      </c>
    </row>
    <row r="1094" spans="1:3" x14ac:dyDescent="0.35">
      <c r="A1094" s="3">
        <v>45443</v>
      </c>
      <c r="B1094">
        <v>-2.5717928957874584E-3</v>
      </c>
      <c r="C1094">
        <f ca="1">IF(B1094&lt;Monte_Carlo!$AC$2,1,0)</f>
        <v>0</v>
      </c>
    </row>
    <row r="1095" spans="1:3" x14ac:dyDescent="0.35">
      <c r="A1095" s="3">
        <v>45446</v>
      </c>
      <c r="B1095">
        <v>1.9249145972377014E-2</v>
      </c>
      <c r="C1095">
        <f ca="1">IF(B1095&lt;Monte_Carlo!$AC$2,1,0)</f>
        <v>0</v>
      </c>
    </row>
    <row r="1096" spans="1:3" x14ac:dyDescent="0.35">
      <c r="A1096" s="3">
        <v>45447</v>
      </c>
      <c r="B1096">
        <v>-5.0958761751303497E-2</v>
      </c>
      <c r="C1096">
        <f ca="1">IF(B1096&lt;Monte_Carlo!$AC$2,1,0)</f>
        <v>1</v>
      </c>
    </row>
    <row r="1097" spans="1:3" x14ac:dyDescent="0.35">
      <c r="A1097" s="3">
        <v>45448</v>
      </c>
      <c r="B1097">
        <v>4.4337346768676955E-2</v>
      </c>
      <c r="C1097">
        <f ca="1">IF(B1097&lt;Monte_Carlo!$AC$2,1,0)</f>
        <v>0</v>
      </c>
    </row>
    <row r="1098" spans="1:3" x14ac:dyDescent="0.35">
      <c r="A1098" s="3">
        <v>45449</v>
      </c>
      <c r="B1098">
        <v>1.7157483675502173E-2</v>
      </c>
      <c r="C1098">
        <f ca="1">IF(B1098&lt;Monte_Carlo!$AC$2,1,0)</f>
        <v>0</v>
      </c>
    </row>
    <row r="1099" spans="1:3" x14ac:dyDescent="0.35">
      <c r="A1099" s="3">
        <v>45450</v>
      </c>
      <c r="B1099">
        <v>1.0197270968982626E-2</v>
      </c>
      <c r="C1099">
        <f ca="1">IF(B1099&lt;Monte_Carlo!$AC$2,1,0)</f>
        <v>0</v>
      </c>
    </row>
    <row r="1100" spans="1:3" x14ac:dyDescent="0.35">
      <c r="A1100" s="3">
        <v>45453</v>
      </c>
      <c r="B1100">
        <v>2.3892869879992364E-2</v>
      </c>
      <c r="C1100">
        <f ca="1">IF(B1100&lt;Monte_Carlo!$AC$2,1,0)</f>
        <v>0</v>
      </c>
    </row>
    <row r="1101" spans="1:3" x14ac:dyDescent="0.35">
      <c r="A1101" s="3">
        <v>45454</v>
      </c>
      <c r="B1101">
        <v>-1.1871659850139781E-2</v>
      </c>
      <c r="C1101">
        <f ca="1">IF(B1101&lt;Monte_Carlo!$AC$2,1,0)</f>
        <v>0</v>
      </c>
    </row>
    <row r="1102" spans="1:3" x14ac:dyDescent="0.35">
      <c r="A1102" s="3">
        <v>45455</v>
      </c>
      <c r="B1102">
        <v>5.4279162168895962E-3</v>
      </c>
      <c r="C1102">
        <f ca="1">IF(B1102&lt;Monte_Carlo!$AC$2,1,0)</f>
        <v>0</v>
      </c>
    </row>
    <row r="1103" spans="1:3" x14ac:dyDescent="0.35">
      <c r="A1103" s="3">
        <v>45456</v>
      </c>
      <c r="B1103">
        <v>4.3597953875283875E-3</v>
      </c>
      <c r="C1103">
        <f ca="1">IF(B1103&lt;Monte_Carlo!$AC$2,1,0)</f>
        <v>0</v>
      </c>
    </row>
    <row r="1104" spans="1:3" x14ac:dyDescent="0.35">
      <c r="A1104" s="3">
        <v>45457</v>
      </c>
      <c r="B1104">
        <v>3.235155953724133E-2</v>
      </c>
      <c r="C1104">
        <f ca="1">IF(B1104&lt;Monte_Carlo!$AC$2,1,0)</f>
        <v>0</v>
      </c>
    </row>
    <row r="1105" spans="1:3" x14ac:dyDescent="0.35">
      <c r="A1105" s="3">
        <v>45461</v>
      </c>
      <c r="B1105">
        <v>2.7638948453118234E-3</v>
      </c>
      <c r="C1105">
        <f ca="1">IF(B1105&lt;Monte_Carlo!$AC$2,1,0)</f>
        <v>0</v>
      </c>
    </row>
    <row r="1106" spans="1:3" x14ac:dyDescent="0.35">
      <c r="A1106" s="3">
        <v>45462</v>
      </c>
      <c r="B1106">
        <v>1.8180315208729608E-3</v>
      </c>
      <c r="C1106">
        <f ca="1">IF(B1106&lt;Monte_Carlo!$AC$2,1,0)</f>
        <v>0</v>
      </c>
    </row>
    <row r="1107" spans="1:3" x14ac:dyDescent="0.35">
      <c r="A1107" s="3">
        <v>45463</v>
      </c>
      <c r="B1107">
        <v>1.2773659404442961E-3</v>
      </c>
      <c r="C1107">
        <f ca="1">IF(B1107&lt;Monte_Carlo!$AC$2,1,0)</f>
        <v>0</v>
      </c>
    </row>
    <row r="1108" spans="1:3" x14ac:dyDescent="0.35">
      <c r="A1108" s="3">
        <v>45464</v>
      </c>
      <c r="B1108">
        <v>1.3280303282249429E-2</v>
      </c>
      <c r="C1108">
        <f ca="1">IF(B1108&lt;Monte_Carlo!$AC$2,1,0)</f>
        <v>0</v>
      </c>
    </row>
    <row r="1109" spans="1:3" x14ac:dyDescent="0.35">
      <c r="A1109" s="3">
        <v>45467</v>
      </c>
      <c r="B1109">
        <v>1.2835673653655726E-4</v>
      </c>
      <c r="C1109">
        <f ca="1">IF(B1109&lt;Monte_Carlo!$AC$2,1,0)</f>
        <v>0</v>
      </c>
    </row>
    <row r="1110" spans="1:3" x14ac:dyDescent="0.35">
      <c r="A1110" s="3">
        <v>45468</v>
      </c>
      <c r="B1110">
        <v>-9.5672788239018532E-4</v>
      </c>
      <c r="C1110">
        <f ca="1">IF(B1110&lt;Monte_Carlo!$AC$2,1,0)</f>
        <v>0</v>
      </c>
    </row>
    <row r="1111" spans="1:3" x14ac:dyDescent="0.35">
      <c r="A1111" s="3">
        <v>45469</v>
      </c>
      <c r="B1111">
        <v>6.2482473654551182E-4</v>
      </c>
      <c r="C1111">
        <f ca="1">IF(B1111&lt;Monte_Carlo!$AC$2,1,0)</f>
        <v>0</v>
      </c>
    </row>
    <row r="1112" spans="1:3" x14ac:dyDescent="0.35">
      <c r="A1112" s="3">
        <v>45470</v>
      </c>
      <c r="B1112">
        <v>-3.1458139639650687E-3</v>
      </c>
      <c r="C1112">
        <f ca="1">IF(B1112&lt;Monte_Carlo!$AC$2,1,0)</f>
        <v>0</v>
      </c>
    </row>
    <row r="1113" spans="1:3" x14ac:dyDescent="0.35">
      <c r="A1113" s="3">
        <v>45471</v>
      </c>
      <c r="B1113">
        <v>2.3845117240698689E-5</v>
      </c>
      <c r="C1113">
        <f ca="1">IF(B1113&lt;Monte_Carlo!$AC$2,1,0)</f>
        <v>0</v>
      </c>
    </row>
    <row r="1114" spans="1:3" x14ac:dyDescent="0.35">
      <c r="A1114" s="3">
        <v>45474</v>
      </c>
      <c r="B1114">
        <v>1.1492117284301523E-2</v>
      </c>
      <c r="C1114">
        <f ca="1">IF(B1114&lt;Monte_Carlo!$AC$2,1,0)</f>
        <v>0</v>
      </c>
    </row>
    <row r="1115" spans="1:3" x14ac:dyDescent="0.35">
      <c r="A1115" s="3">
        <v>45475</v>
      </c>
      <c r="B1115">
        <v>-9.1812712374728534E-4</v>
      </c>
      <c r="C1115">
        <f ca="1">IF(B1115&lt;Monte_Carlo!$AC$2,1,0)</f>
        <v>0</v>
      </c>
    </row>
    <row r="1116" spans="1:3" x14ac:dyDescent="0.35">
      <c r="A1116" s="3">
        <v>45476</v>
      </c>
      <c r="B1116">
        <v>2.1064224412841032E-2</v>
      </c>
      <c r="C1116">
        <f ca="1">IF(B1116&lt;Monte_Carlo!$AC$2,1,0)</f>
        <v>0</v>
      </c>
    </row>
    <row r="1117" spans="1:3" x14ac:dyDescent="0.35">
      <c r="A1117" s="3">
        <v>45477</v>
      </c>
      <c r="B1117">
        <v>-8.4948362370325589E-3</v>
      </c>
      <c r="C1117">
        <f ca="1">IF(B1117&lt;Monte_Carlo!$AC$2,1,0)</f>
        <v>0</v>
      </c>
    </row>
    <row r="1118" spans="1:3" x14ac:dyDescent="0.35">
      <c r="A1118" s="3">
        <v>45478</v>
      </c>
      <c r="B1118">
        <v>2.7238398295673275E-2</v>
      </c>
      <c r="C1118">
        <f ca="1">IF(B1118&lt;Monte_Carlo!$AC$2,1,0)</f>
        <v>0</v>
      </c>
    </row>
    <row r="1119" spans="1:3" x14ac:dyDescent="0.35">
      <c r="A1119" s="3">
        <v>45481</v>
      </c>
      <c r="B1119">
        <v>-3.0458169343128404E-3</v>
      </c>
      <c r="C1119">
        <f ca="1">IF(B1119&lt;Monte_Carlo!$AC$2,1,0)</f>
        <v>0</v>
      </c>
    </row>
    <row r="1120" spans="1:3" x14ac:dyDescent="0.35">
      <c r="A1120" s="3">
        <v>45482</v>
      </c>
      <c r="B1120">
        <v>6.667898240414593E-3</v>
      </c>
      <c r="C1120">
        <f ca="1">IF(B1120&lt;Monte_Carlo!$AC$2,1,0)</f>
        <v>0</v>
      </c>
    </row>
    <row r="1121" spans="1:3" x14ac:dyDescent="0.35">
      <c r="A1121" s="3">
        <v>45483</v>
      </c>
      <c r="B1121">
        <v>6.4644028899476852E-3</v>
      </c>
      <c r="C1121">
        <f ca="1">IF(B1121&lt;Monte_Carlo!$AC$2,1,0)</f>
        <v>0</v>
      </c>
    </row>
    <row r="1122" spans="1:3" x14ac:dyDescent="0.35">
      <c r="A1122" s="3">
        <v>45484</v>
      </c>
      <c r="B1122">
        <v>7.0270065003510767E-4</v>
      </c>
      <c r="C1122">
        <f ca="1">IF(B1122&lt;Monte_Carlo!$AC$2,1,0)</f>
        <v>0</v>
      </c>
    </row>
    <row r="1123" spans="1:3" x14ac:dyDescent="0.35">
      <c r="A1123" s="3">
        <v>45485</v>
      </c>
      <c r="B1123">
        <v>-8.211333494279955E-3</v>
      </c>
      <c r="C1123">
        <f ca="1">IF(B1123&lt;Monte_Carlo!$AC$2,1,0)</f>
        <v>0</v>
      </c>
    </row>
    <row r="1124" spans="1:3" x14ac:dyDescent="0.35">
      <c r="A1124" s="3">
        <v>45488</v>
      </c>
      <c r="B1124">
        <v>7.0075970872147545E-3</v>
      </c>
      <c r="C1124">
        <f ca="1">IF(B1124&lt;Monte_Carlo!$AC$2,1,0)</f>
        <v>0</v>
      </c>
    </row>
    <row r="1125" spans="1:3" x14ac:dyDescent="0.35">
      <c r="A1125" s="3">
        <v>45489</v>
      </c>
      <c r="B1125">
        <v>3.5100465381946409E-3</v>
      </c>
      <c r="C1125">
        <f ca="1">IF(B1125&lt;Monte_Carlo!$AC$2,1,0)</f>
        <v>0</v>
      </c>
    </row>
    <row r="1126" spans="1:3" x14ac:dyDescent="0.35">
      <c r="A1126" s="3">
        <v>45491</v>
      </c>
      <c r="B1126">
        <v>8.2054283312962793E-3</v>
      </c>
      <c r="C1126">
        <f ca="1">IF(B1126&lt;Monte_Carlo!$AC$2,1,0)</f>
        <v>0</v>
      </c>
    </row>
    <row r="1127" spans="1:3" x14ac:dyDescent="0.35">
      <c r="A1127" s="3">
        <v>45492</v>
      </c>
      <c r="B1127">
        <v>-2.5331628599819814E-2</v>
      </c>
      <c r="C1127">
        <f ca="1">IF(B1127&lt;Monte_Carlo!$AC$2,1,0)</f>
        <v>0</v>
      </c>
    </row>
    <row r="1128" spans="1:3" x14ac:dyDescent="0.35">
      <c r="A1128" s="3">
        <v>45495</v>
      </c>
      <c r="B1128">
        <v>1.0380523452726683E-2</v>
      </c>
      <c r="C1128">
        <f ca="1">IF(B1128&lt;Monte_Carlo!$AC$2,1,0)</f>
        <v>0</v>
      </c>
    </row>
    <row r="1129" spans="1:3" x14ac:dyDescent="0.35">
      <c r="A1129" s="3">
        <v>45496</v>
      </c>
      <c r="B1129">
        <v>-1.7381785079695265E-2</v>
      </c>
      <c r="C1129">
        <f ca="1">IF(B1129&lt;Monte_Carlo!$AC$2,1,0)</f>
        <v>0</v>
      </c>
    </row>
    <row r="1130" spans="1:3" x14ac:dyDescent="0.35">
      <c r="A1130" s="3">
        <v>45497</v>
      </c>
      <c r="B1130">
        <v>1.3049573446985131E-2</v>
      </c>
      <c r="C1130">
        <f ca="1">IF(B1130&lt;Monte_Carlo!$AC$2,1,0)</f>
        <v>0</v>
      </c>
    </row>
    <row r="1131" spans="1:3" x14ac:dyDescent="0.35">
      <c r="A1131" s="3">
        <v>45498</v>
      </c>
      <c r="B1131">
        <v>1.6903267364056767E-2</v>
      </c>
      <c r="C1131">
        <f ca="1">IF(B1131&lt;Monte_Carlo!$AC$2,1,0)</f>
        <v>0</v>
      </c>
    </row>
    <row r="1132" spans="1:3" x14ac:dyDescent="0.35">
      <c r="A1132" s="3">
        <v>45499</v>
      </c>
      <c r="B1132">
        <v>2.8170096539690853E-2</v>
      </c>
      <c r="C1132">
        <f ca="1">IF(B1132&lt;Monte_Carlo!$AC$2,1,0)</f>
        <v>0</v>
      </c>
    </row>
    <row r="1133" spans="1:3" x14ac:dyDescent="0.35">
      <c r="A1133" s="3">
        <v>45502</v>
      </c>
      <c r="B1133">
        <v>-5.1469483108352032E-3</v>
      </c>
      <c r="C1133">
        <f ca="1">IF(B1133&lt;Monte_Carlo!$AC$2,1,0)</f>
        <v>0</v>
      </c>
    </row>
    <row r="1134" spans="1:3" x14ac:dyDescent="0.35">
      <c r="A1134" s="3">
        <v>45503</v>
      </c>
      <c r="B1134">
        <v>5.6997249490835979E-3</v>
      </c>
      <c r="C1134">
        <f ca="1">IF(B1134&lt;Monte_Carlo!$AC$2,1,0)</f>
        <v>0</v>
      </c>
    </row>
    <row r="1135" spans="1:3" x14ac:dyDescent="0.35">
      <c r="A1135" s="3">
        <v>45504</v>
      </c>
      <c r="B1135">
        <v>2.4182874367221135E-2</v>
      </c>
      <c r="C1135">
        <f ca="1">IF(B1135&lt;Monte_Carlo!$AC$2,1,0)</f>
        <v>0</v>
      </c>
    </row>
    <row r="1136" spans="1:3" x14ac:dyDescent="0.35">
      <c r="A1136" s="3">
        <v>45505</v>
      </c>
      <c r="B1136">
        <v>-1.2078691661954541E-2</v>
      </c>
      <c r="C1136">
        <f ca="1">IF(B1136&lt;Monte_Carlo!$AC$2,1,0)</f>
        <v>0</v>
      </c>
    </row>
    <row r="1137" spans="1:3" x14ac:dyDescent="0.35">
      <c r="A1137" s="3">
        <v>45506</v>
      </c>
      <c r="B1137">
        <v>-9.1075141850797785E-3</v>
      </c>
      <c r="C1137">
        <f ca="1">IF(B1137&lt;Monte_Carlo!$AC$2,1,0)</f>
        <v>0</v>
      </c>
    </row>
    <row r="1138" spans="1:3" x14ac:dyDescent="0.35">
      <c r="A1138" s="3">
        <v>45509</v>
      </c>
      <c r="B1138">
        <v>-3.2175522103967062E-2</v>
      </c>
      <c r="C1138">
        <f ca="1">IF(B1138&lt;Monte_Carlo!$AC$2,1,0)</f>
        <v>0</v>
      </c>
    </row>
    <row r="1139" spans="1:3" x14ac:dyDescent="0.35">
      <c r="A1139" s="3">
        <v>45510</v>
      </c>
      <c r="B1139">
        <v>-1.6646629748916664E-2</v>
      </c>
      <c r="C1139">
        <f ca="1">IF(B1139&lt;Monte_Carlo!$AC$2,1,0)</f>
        <v>0</v>
      </c>
    </row>
    <row r="1140" spans="1:3" x14ac:dyDescent="0.35">
      <c r="A1140" s="3">
        <v>45511</v>
      </c>
      <c r="B1140">
        <v>1.7529889896045918E-2</v>
      </c>
      <c r="C1140">
        <f ca="1">IF(B1140&lt;Monte_Carlo!$AC$2,1,0)</f>
        <v>0</v>
      </c>
    </row>
    <row r="1141" spans="1:3" x14ac:dyDescent="0.35">
      <c r="A1141" s="3">
        <v>45512</v>
      </c>
      <c r="B1141">
        <v>1.344396379597796E-2</v>
      </c>
      <c r="C1141">
        <f ca="1">IF(B1141&lt;Monte_Carlo!$AC$2,1,0)</f>
        <v>0</v>
      </c>
    </row>
    <row r="1142" spans="1:3" x14ac:dyDescent="0.35">
      <c r="A1142" s="3">
        <v>45513</v>
      </c>
      <c r="B1142">
        <v>-3.9908795441575629E-3</v>
      </c>
      <c r="C1142">
        <f ca="1">IF(B1142&lt;Monte_Carlo!$AC$2,1,0)</f>
        <v>0</v>
      </c>
    </row>
    <row r="1143" spans="1:3" x14ac:dyDescent="0.35">
      <c r="A1143" s="3">
        <v>45516</v>
      </c>
      <c r="B1143">
        <v>-2.4694177712031051E-3</v>
      </c>
      <c r="C1143">
        <f ca="1">IF(B1143&lt;Monte_Carlo!$AC$2,1,0)</f>
        <v>0</v>
      </c>
    </row>
    <row r="1144" spans="1:3" x14ac:dyDescent="0.35">
      <c r="A1144" s="3">
        <v>45517</v>
      </c>
      <c r="B1144">
        <v>-7.9113524112022528E-3</v>
      </c>
      <c r="C1144">
        <f ca="1">IF(B1144&lt;Monte_Carlo!$AC$2,1,0)</f>
        <v>0</v>
      </c>
    </row>
    <row r="1145" spans="1:3" x14ac:dyDescent="0.35">
      <c r="A1145" s="3">
        <v>45518</v>
      </c>
      <c r="B1145">
        <v>6.6562025310111681E-3</v>
      </c>
      <c r="C1145">
        <f ca="1">IF(B1145&lt;Monte_Carlo!$AC$2,1,0)</f>
        <v>0</v>
      </c>
    </row>
    <row r="1146" spans="1:3" x14ac:dyDescent="0.35">
      <c r="A1146" s="3">
        <v>45520</v>
      </c>
      <c r="B1146">
        <v>2.4853942616520214E-2</v>
      </c>
      <c r="C1146">
        <f ca="1">IF(B1146&lt;Monte_Carlo!$AC$2,1,0)</f>
        <v>0</v>
      </c>
    </row>
    <row r="1147" spans="1:3" x14ac:dyDescent="0.35">
      <c r="A1147" s="3">
        <v>45523</v>
      </c>
      <c r="B1147">
        <v>2.1707327208035157E-3</v>
      </c>
      <c r="C1147">
        <f ca="1">IF(B1147&lt;Monte_Carlo!$AC$2,1,0)</f>
        <v>0</v>
      </c>
    </row>
    <row r="1148" spans="1:3" x14ac:dyDescent="0.35">
      <c r="A1148" s="3">
        <v>45524</v>
      </c>
      <c r="B1148">
        <v>2.3379872411661045E-2</v>
      </c>
      <c r="C1148">
        <f ca="1">IF(B1148&lt;Monte_Carlo!$AC$2,1,0)</f>
        <v>0</v>
      </c>
    </row>
    <row r="1149" spans="1:3" x14ac:dyDescent="0.35">
      <c r="A1149" s="3">
        <v>45525</v>
      </c>
      <c r="B1149">
        <v>3.6901087010632857E-3</v>
      </c>
      <c r="C1149">
        <f ca="1">IF(B1149&lt;Monte_Carlo!$AC$2,1,0)</f>
        <v>0</v>
      </c>
    </row>
    <row r="1150" spans="1:3" x14ac:dyDescent="0.35">
      <c r="A1150" s="3">
        <v>45526</v>
      </c>
      <c r="B1150">
        <v>5.1087847819022729E-3</v>
      </c>
      <c r="C1150">
        <f ca="1">IF(B1150&lt;Monte_Carlo!$AC$2,1,0)</f>
        <v>0</v>
      </c>
    </row>
    <row r="1151" spans="1:3" x14ac:dyDescent="0.35">
      <c r="A1151" s="3">
        <v>45527</v>
      </c>
      <c r="B1151">
        <v>4.3969891567986691E-3</v>
      </c>
      <c r="C1151">
        <f ca="1">IF(B1151&lt;Monte_Carlo!$AC$2,1,0)</f>
        <v>0</v>
      </c>
    </row>
    <row r="1152" spans="1:3" x14ac:dyDescent="0.35">
      <c r="A1152" s="3">
        <v>45530</v>
      </c>
      <c r="B1152">
        <v>9.0798131603663235E-3</v>
      </c>
      <c r="C1152">
        <f ca="1">IF(B1152&lt;Monte_Carlo!$AC$2,1,0)</f>
        <v>0</v>
      </c>
    </row>
    <row r="1153" spans="1:3" x14ac:dyDescent="0.35">
      <c r="A1153" s="3">
        <v>45531</v>
      </c>
      <c r="B1153">
        <v>1.50247991706664E-2</v>
      </c>
      <c r="C1153">
        <f ca="1">IF(B1153&lt;Monte_Carlo!$AC$2,1,0)</f>
        <v>0</v>
      </c>
    </row>
    <row r="1154" spans="1:3" x14ac:dyDescent="0.35">
      <c r="A1154" s="3">
        <v>45532</v>
      </c>
      <c r="B1154">
        <v>-2.6343123007780281E-3</v>
      </c>
      <c r="C1154">
        <f ca="1">IF(B1154&lt;Monte_Carlo!$AC$2,1,0)</f>
        <v>0</v>
      </c>
    </row>
    <row r="1155" spans="1:3" x14ac:dyDescent="0.35">
      <c r="A1155" s="3">
        <v>45533</v>
      </c>
      <c r="B1155">
        <v>-8.7804837823175705E-3</v>
      </c>
      <c r="C1155">
        <f ca="1">IF(B1155&lt;Monte_Carlo!$AC$2,1,0)</f>
        <v>0</v>
      </c>
    </row>
    <row r="1156" spans="1:3" x14ac:dyDescent="0.35">
      <c r="A1156" s="3">
        <v>45534</v>
      </c>
      <c r="B1156">
        <v>3.9127145405682363E-3</v>
      </c>
      <c r="C1156">
        <f ca="1">IF(B1156&lt;Monte_Carlo!$AC$2,1,0)</f>
        <v>0</v>
      </c>
    </row>
    <row r="1157" spans="1:3" x14ac:dyDescent="0.35">
      <c r="A1157" s="3">
        <v>45537</v>
      </c>
      <c r="B1157">
        <v>2.1701377783204145E-2</v>
      </c>
      <c r="C1157">
        <f ca="1">IF(B1157&lt;Monte_Carlo!$AC$2,1,0)</f>
        <v>0</v>
      </c>
    </row>
    <row r="1158" spans="1:3" x14ac:dyDescent="0.35">
      <c r="A1158" s="3">
        <v>45538</v>
      </c>
      <c r="B1158">
        <v>7.9063274347028374E-3</v>
      </c>
      <c r="C1158">
        <f ca="1">IF(B1158&lt;Monte_Carlo!$AC$2,1,0)</f>
        <v>0</v>
      </c>
    </row>
    <row r="1159" spans="1:3" x14ac:dyDescent="0.35">
      <c r="A1159" s="3">
        <v>45539</v>
      </c>
      <c r="B1159">
        <v>1.7080853975923991E-3</v>
      </c>
      <c r="C1159">
        <f ca="1">IF(B1159&lt;Monte_Carlo!$AC$2,1,0)</f>
        <v>0</v>
      </c>
    </row>
    <row r="1160" spans="1:3" x14ac:dyDescent="0.35">
      <c r="A1160" s="3">
        <v>45540</v>
      </c>
      <c r="B1160">
        <v>1.9090291208149631E-3</v>
      </c>
      <c r="C1160">
        <f ca="1">IF(B1160&lt;Monte_Carlo!$AC$2,1,0)</f>
        <v>0</v>
      </c>
    </row>
    <row r="1161" spans="1:3" x14ac:dyDescent="0.35">
      <c r="A1161" s="3">
        <v>45541</v>
      </c>
      <c r="B1161">
        <v>-7.6270099805413041E-3</v>
      </c>
      <c r="C1161">
        <f ca="1">IF(B1161&lt;Monte_Carlo!$AC$2,1,0)</f>
        <v>0</v>
      </c>
    </row>
    <row r="1162" spans="1:3" x14ac:dyDescent="0.35">
      <c r="A1162" s="3">
        <v>45544</v>
      </c>
      <c r="B1162">
        <v>1.4142373903586927E-3</v>
      </c>
      <c r="C1162">
        <f ca="1">IF(B1162&lt;Monte_Carlo!$AC$2,1,0)</f>
        <v>0</v>
      </c>
    </row>
    <row r="1163" spans="1:3" x14ac:dyDescent="0.35">
      <c r="A1163" s="3">
        <v>45545</v>
      </c>
      <c r="B1163">
        <v>-2.9320697143026576E-2</v>
      </c>
      <c r="C1163">
        <f ca="1">IF(B1163&lt;Monte_Carlo!$AC$2,1,0)</f>
        <v>0</v>
      </c>
    </row>
    <row r="1164" spans="1:3" x14ac:dyDescent="0.35">
      <c r="A1164" s="3">
        <v>45546</v>
      </c>
      <c r="B1164">
        <v>-1.364208844280417E-2</v>
      </c>
      <c r="C1164">
        <f ca="1">IF(B1164&lt;Monte_Carlo!$AC$2,1,0)</f>
        <v>0</v>
      </c>
    </row>
    <row r="1165" spans="1:3" x14ac:dyDescent="0.35">
      <c r="A1165" s="3">
        <v>45547</v>
      </c>
      <c r="B1165">
        <v>2.7945911897609916E-3</v>
      </c>
      <c r="C1165">
        <f ca="1">IF(B1165&lt;Monte_Carlo!$AC$2,1,0)</f>
        <v>0</v>
      </c>
    </row>
    <row r="1166" spans="1:3" x14ac:dyDescent="0.35">
      <c r="A1166" s="3">
        <v>45548</v>
      </c>
      <c r="B1166">
        <v>-4.4258209612773689E-3</v>
      </c>
      <c r="C1166">
        <f ca="1">IF(B1166&lt;Monte_Carlo!$AC$2,1,0)</f>
        <v>0</v>
      </c>
    </row>
    <row r="1167" spans="1:3" x14ac:dyDescent="0.35">
      <c r="A1167" s="3">
        <v>45551</v>
      </c>
      <c r="B1167">
        <v>-5.0861176887046552E-3</v>
      </c>
      <c r="C1167">
        <f ca="1">IF(B1167&lt;Monte_Carlo!$AC$2,1,0)</f>
        <v>0</v>
      </c>
    </row>
    <row r="1168" spans="1:3" x14ac:dyDescent="0.35">
      <c r="A1168" s="3">
        <v>45552</v>
      </c>
      <c r="B1168">
        <v>2.2631642065675697E-3</v>
      </c>
      <c r="C1168">
        <f ca="1">IF(B1168&lt;Monte_Carlo!$AC$2,1,0)</f>
        <v>0</v>
      </c>
    </row>
    <row r="1169" spans="1:3" x14ac:dyDescent="0.35">
      <c r="A1169" s="3">
        <v>45553</v>
      </c>
      <c r="B1169">
        <v>1.2413340910468742E-2</v>
      </c>
      <c r="C1169">
        <f ca="1">IF(B1169&lt;Monte_Carlo!$AC$2,1,0)</f>
        <v>0</v>
      </c>
    </row>
    <row r="1170" spans="1:3" x14ac:dyDescent="0.35">
      <c r="A1170" s="3">
        <v>45554</v>
      </c>
      <c r="B1170">
        <v>1.482860634912104E-2</v>
      </c>
      <c r="C1170">
        <f ca="1">IF(B1170&lt;Monte_Carlo!$AC$2,1,0)</f>
        <v>0</v>
      </c>
    </row>
    <row r="1171" spans="1:3" x14ac:dyDescent="0.35">
      <c r="A1171" s="3">
        <v>45555</v>
      </c>
      <c r="B1171">
        <v>1.6454862997241505E-2</v>
      </c>
      <c r="C1171">
        <f ca="1">IF(B1171&lt;Monte_Carlo!$AC$2,1,0)</f>
        <v>0</v>
      </c>
    </row>
    <row r="1172" spans="1:3" x14ac:dyDescent="0.35">
      <c r="A1172" s="3">
        <v>45558</v>
      </c>
      <c r="B1172">
        <v>1.6633059515676257E-2</v>
      </c>
      <c r="C1172">
        <f ca="1">IF(B1172&lt;Monte_Carlo!$AC$2,1,0)</f>
        <v>0</v>
      </c>
    </row>
    <row r="1173" spans="1:3" x14ac:dyDescent="0.35">
      <c r="A1173" s="3">
        <v>45559</v>
      </c>
      <c r="B1173">
        <v>-1.7444695076069959E-2</v>
      </c>
      <c r="C1173">
        <f ca="1">IF(B1173&lt;Monte_Carlo!$AC$2,1,0)</f>
        <v>0</v>
      </c>
    </row>
    <row r="1174" spans="1:3" x14ac:dyDescent="0.35">
      <c r="A1174" s="3">
        <v>45560</v>
      </c>
      <c r="B1174">
        <v>1.5375403083332529E-2</v>
      </c>
      <c r="C1174">
        <f ca="1">IF(B1174&lt;Monte_Carlo!$AC$2,1,0)</f>
        <v>0</v>
      </c>
    </row>
    <row r="1175" spans="1:3" x14ac:dyDescent="0.35">
      <c r="A1175" s="3">
        <v>45561</v>
      </c>
      <c r="B1175">
        <v>-2.9521256782905026E-3</v>
      </c>
      <c r="C1175">
        <f ca="1">IF(B1175&lt;Monte_Carlo!$AC$2,1,0)</f>
        <v>0</v>
      </c>
    </row>
    <row r="1176" spans="1:3" x14ac:dyDescent="0.35">
      <c r="A1176" s="3">
        <v>45562</v>
      </c>
      <c r="B1176">
        <v>-6.2982719715952646E-3</v>
      </c>
      <c r="C1176">
        <f ca="1">IF(B1176&lt;Monte_Carlo!$AC$2,1,0)</f>
        <v>0</v>
      </c>
    </row>
    <row r="1177" spans="1:3" x14ac:dyDescent="0.35">
      <c r="A1177" s="3">
        <v>45565</v>
      </c>
      <c r="B1177">
        <v>-2.5194785123500815E-2</v>
      </c>
      <c r="C1177">
        <f ca="1">IF(B1177&lt;Monte_Carlo!$AC$2,1,0)</f>
        <v>0</v>
      </c>
    </row>
    <row r="1178" spans="1:3" x14ac:dyDescent="0.35">
      <c r="A1178" s="3">
        <v>45566</v>
      </c>
      <c r="B1178">
        <v>-7.2575559807594369E-3</v>
      </c>
      <c r="C1178">
        <f ca="1">IF(B1178&lt;Monte_Carlo!$AC$2,1,0)</f>
        <v>0</v>
      </c>
    </row>
    <row r="1179" spans="1:3" x14ac:dyDescent="0.35">
      <c r="A1179" s="3">
        <v>45568</v>
      </c>
      <c r="B1179">
        <v>-1.3612190275984619E-2</v>
      </c>
      <c r="C1179">
        <f ca="1">IF(B1179&lt;Monte_Carlo!$AC$2,1,0)</f>
        <v>0</v>
      </c>
    </row>
    <row r="1180" spans="1:3" x14ac:dyDescent="0.35">
      <c r="A1180" s="3">
        <v>45569</v>
      </c>
      <c r="B1180">
        <v>-3.8538604163965359E-3</v>
      </c>
      <c r="C1180">
        <f ca="1">IF(B1180&lt;Monte_Carlo!$AC$2,1,0)</f>
        <v>0</v>
      </c>
    </row>
    <row r="1181" spans="1:3" x14ac:dyDescent="0.35">
      <c r="A1181" s="3">
        <v>45572</v>
      </c>
      <c r="B1181">
        <v>-2.3970666295095609E-2</v>
      </c>
      <c r="C1181">
        <f ca="1">IF(B1181&lt;Monte_Carlo!$AC$2,1,0)</f>
        <v>0</v>
      </c>
    </row>
    <row r="1182" spans="1:3" x14ac:dyDescent="0.35">
      <c r="A1182" s="3">
        <v>45573</v>
      </c>
      <c r="B1182">
        <v>3.7433417928954566E-3</v>
      </c>
      <c r="C1182">
        <f ca="1">IF(B1182&lt;Monte_Carlo!$AC$2,1,0)</f>
        <v>0</v>
      </c>
    </row>
    <row r="1183" spans="1:3" x14ac:dyDescent="0.35">
      <c r="A1183" s="3">
        <v>45574</v>
      </c>
      <c r="B1183">
        <v>6.2947581876988679E-3</v>
      </c>
      <c r="C1183">
        <f ca="1">IF(B1183&lt;Monte_Carlo!$AC$2,1,0)</f>
        <v>0</v>
      </c>
    </row>
    <row r="1184" spans="1:3" x14ac:dyDescent="0.35">
      <c r="A1184" s="3">
        <v>45575</v>
      </c>
      <c r="B1184">
        <v>-2.2468531188811558E-3</v>
      </c>
      <c r="C1184">
        <f ca="1">IF(B1184&lt;Monte_Carlo!$AC$2,1,0)</f>
        <v>0</v>
      </c>
    </row>
    <row r="1185" spans="1:3" x14ac:dyDescent="0.35">
      <c r="A1185" s="3">
        <v>45576</v>
      </c>
      <c r="B1185">
        <v>-4.3234535048303933E-3</v>
      </c>
      <c r="C1185">
        <f ca="1">IF(B1185&lt;Monte_Carlo!$AC$2,1,0)</f>
        <v>0</v>
      </c>
    </row>
    <row r="1186" spans="1:3" x14ac:dyDescent="0.35">
      <c r="A1186" s="3">
        <v>45579</v>
      </c>
      <c r="B1186">
        <v>1.4126247305628436E-2</v>
      </c>
      <c r="C1186">
        <f ca="1">IF(B1186&lt;Monte_Carlo!$AC$2,1,0)</f>
        <v>0</v>
      </c>
    </row>
    <row r="1187" spans="1:3" x14ac:dyDescent="0.35">
      <c r="A1187" s="3">
        <v>45580</v>
      </c>
      <c r="B1187">
        <v>2.3751429663376356E-3</v>
      </c>
      <c r="C1187">
        <f ca="1">IF(B1187&lt;Monte_Carlo!$AC$2,1,0)</f>
        <v>0</v>
      </c>
    </row>
    <row r="1188" spans="1:3" x14ac:dyDescent="0.35">
      <c r="A1188" s="3">
        <v>45581</v>
      </c>
      <c r="B1188">
        <v>-1.0663304658546553E-2</v>
      </c>
      <c r="C1188">
        <f ca="1">IF(B1188&lt;Monte_Carlo!$AC$2,1,0)</f>
        <v>0</v>
      </c>
    </row>
    <row r="1189" spans="1:3" x14ac:dyDescent="0.35">
      <c r="A1189" s="3">
        <v>45582</v>
      </c>
      <c r="B1189">
        <v>-1.4687541955738254E-2</v>
      </c>
      <c r="C1189">
        <f ca="1">IF(B1189&lt;Monte_Carlo!$AC$2,1,0)</f>
        <v>0</v>
      </c>
    </row>
    <row r="1190" spans="1:3" x14ac:dyDescent="0.35">
      <c r="A1190" s="3">
        <v>45583</v>
      </c>
      <c r="B1190">
        <v>-9.7021343346727594E-3</v>
      </c>
      <c r="C1190">
        <f ca="1">IF(B1190&lt;Monte_Carlo!$AC$2,1,0)</f>
        <v>0</v>
      </c>
    </row>
    <row r="1191" spans="1:3" x14ac:dyDescent="0.35">
      <c r="A1191" s="3">
        <v>45586</v>
      </c>
      <c r="B1191">
        <v>-1.9671364498498396E-3</v>
      </c>
      <c r="C1191">
        <f ca="1">IF(B1191&lt;Monte_Carlo!$AC$2,1,0)</f>
        <v>0</v>
      </c>
    </row>
    <row r="1192" spans="1:3" x14ac:dyDescent="0.35">
      <c r="A1192" s="3">
        <v>45587</v>
      </c>
      <c r="B1192">
        <v>-2.8191143915600222E-2</v>
      </c>
      <c r="C1192">
        <f ca="1">IF(B1192&lt;Monte_Carlo!$AC$2,1,0)</f>
        <v>0</v>
      </c>
    </row>
    <row r="1193" spans="1:3" x14ac:dyDescent="0.35">
      <c r="A1193" s="3">
        <v>45588</v>
      </c>
      <c r="B1193">
        <v>-1.0073413104925639E-2</v>
      </c>
      <c r="C1193">
        <f ca="1">IF(B1193&lt;Monte_Carlo!$AC$2,1,0)</f>
        <v>0</v>
      </c>
    </row>
    <row r="1194" spans="1:3" x14ac:dyDescent="0.35">
      <c r="A1194" s="3">
        <v>45589</v>
      </c>
      <c r="B1194">
        <v>-1.8947207268823027E-3</v>
      </c>
      <c r="C1194">
        <f ca="1">IF(B1194&lt;Monte_Carlo!$AC$2,1,0)</f>
        <v>0</v>
      </c>
    </row>
    <row r="1195" spans="1:3" x14ac:dyDescent="0.35">
      <c r="A1195" s="3">
        <v>45590</v>
      </c>
      <c r="B1195">
        <v>-1.8584640302076964E-2</v>
      </c>
      <c r="C1195">
        <f ca="1">IF(B1195&lt;Monte_Carlo!$AC$2,1,0)</f>
        <v>0</v>
      </c>
    </row>
    <row r="1196" spans="1:3" x14ac:dyDescent="0.35">
      <c r="A1196" s="3">
        <v>45593</v>
      </c>
      <c r="B1196">
        <v>-3.4833753511375929E-3</v>
      </c>
      <c r="C1196">
        <f ca="1">IF(B1196&lt;Monte_Carlo!$AC$2,1,0)</f>
        <v>0</v>
      </c>
    </row>
    <row r="1197" spans="1:3" x14ac:dyDescent="0.35">
      <c r="A1197" s="3">
        <v>45594</v>
      </c>
      <c r="B1197">
        <v>9.8834380616282958E-3</v>
      </c>
      <c r="C1197">
        <f ca="1">IF(B1197&lt;Monte_Carlo!$AC$2,1,0)</f>
        <v>0</v>
      </c>
    </row>
    <row r="1198" spans="1:3" x14ac:dyDescent="0.35">
      <c r="A1198" s="3">
        <v>45595</v>
      </c>
      <c r="B1198">
        <v>1.0633801346123718E-2</v>
      </c>
      <c r="C1198">
        <f ca="1">IF(B1198&lt;Monte_Carlo!$AC$2,1,0)</f>
        <v>0</v>
      </c>
    </row>
    <row r="1199" spans="1:3" x14ac:dyDescent="0.35">
      <c r="A1199" s="3">
        <v>45596</v>
      </c>
      <c r="B1199">
        <v>-6.6875914383236002E-3</v>
      </c>
      <c r="C1199">
        <f ca="1">IF(B1199&lt;Monte_Carlo!$AC$2,1,0)</f>
        <v>0</v>
      </c>
    </row>
    <row r="1200" spans="1:3" x14ac:dyDescent="0.35">
      <c r="A1200" s="3">
        <v>45597</v>
      </c>
      <c r="B1200">
        <v>1.4922201257879684E-3</v>
      </c>
      <c r="C1200">
        <f ca="1">IF(B1200&lt;Monte_Carlo!$AC$2,1,0)</f>
        <v>0</v>
      </c>
    </row>
    <row r="1201" spans="1:3" x14ac:dyDescent="0.35">
      <c r="A1201" s="3">
        <v>45600</v>
      </c>
      <c r="B1201">
        <v>-2.4775443284187307E-2</v>
      </c>
      <c r="C1201">
        <f ca="1">IF(B1201&lt;Monte_Carlo!$AC$2,1,0)</f>
        <v>0</v>
      </c>
    </row>
    <row r="1202" spans="1:3" x14ac:dyDescent="0.35">
      <c r="A1202" s="3">
        <v>45601</v>
      </c>
      <c r="B1202">
        <v>2.2102047310215388E-2</v>
      </c>
      <c r="C1202">
        <f ca="1">IF(B1202&lt;Monte_Carlo!$AC$2,1,0)</f>
        <v>0</v>
      </c>
    </row>
    <row r="1203" spans="1:3" x14ac:dyDescent="0.35">
      <c r="A1203" s="3">
        <v>45602</v>
      </c>
      <c r="B1203">
        <v>1.4179158447729422E-2</v>
      </c>
      <c r="C1203">
        <f ca="1">IF(B1203&lt;Monte_Carlo!$AC$2,1,0)</f>
        <v>0</v>
      </c>
    </row>
    <row r="1204" spans="1:3" x14ac:dyDescent="0.35">
      <c r="A1204" s="3">
        <v>45603</v>
      </c>
      <c r="B1204">
        <v>-1.0669179515793638E-2</v>
      </c>
      <c r="C1204">
        <f ca="1">IF(B1204&lt;Monte_Carlo!$AC$2,1,0)</f>
        <v>0</v>
      </c>
    </row>
    <row r="1205" spans="1:3" x14ac:dyDescent="0.35">
      <c r="A1205" s="3">
        <v>45604</v>
      </c>
      <c r="B1205">
        <v>-1.039459923170305E-2</v>
      </c>
      <c r="C1205">
        <f ca="1">IF(B1205&lt;Monte_Carlo!$AC$2,1,0)</f>
        <v>0</v>
      </c>
    </row>
    <row r="1206" spans="1:3" x14ac:dyDescent="0.35">
      <c r="A1206" s="3">
        <v>45607</v>
      </c>
      <c r="B1206">
        <v>5.9376407319019029E-3</v>
      </c>
      <c r="C1206">
        <f ca="1">IF(B1206&lt;Monte_Carlo!$AC$2,1,0)</f>
        <v>0</v>
      </c>
    </row>
    <row r="1207" spans="1:3" x14ac:dyDescent="0.35">
      <c r="A1207" s="3">
        <v>45608</v>
      </c>
      <c r="B1207">
        <v>-1.3247091344853742E-2</v>
      </c>
      <c r="C1207">
        <f ca="1">IF(B1207&lt;Monte_Carlo!$AC$2,1,0)</f>
        <v>0</v>
      </c>
    </row>
    <row r="1208" spans="1:3" x14ac:dyDescent="0.35">
      <c r="A1208" s="3">
        <v>45609</v>
      </c>
      <c r="B1208">
        <v>-2.133519335529805E-2</v>
      </c>
      <c r="C1208">
        <f ca="1">IF(B1208&lt;Monte_Carlo!$AC$2,1,0)</f>
        <v>0</v>
      </c>
    </row>
    <row r="1209" spans="1:3" x14ac:dyDescent="0.35">
      <c r="A1209" s="3">
        <v>45610</v>
      </c>
      <c r="B1209">
        <v>1.7027651954299289E-3</v>
      </c>
      <c r="C1209">
        <f ca="1">IF(B1209&lt;Monte_Carlo!$AC$2,1,0)</f>
        <v>0</v>
      </c>
    </row>
    <row r="1210" spans="1:3" x14ac:dyDescent="0.35">
      <c r="A1210" s="3">
        <v>45614</v>
      </c>
      <c r="B1210">
        <v>-7.7434360307415909E-3</v>
      </c>
      <c r="C1210">
        <f ca="1">IF(B1210&lt;Monte_Carlo!$AC$2,1,0)</f>
        <v>0</v>
      </c>
    </row>
    <row r="1211" spans="1:3" x14ac:dyDescent="0.35">
      <c r="A1211" s="3">
        <v>45615</v>
      </c>
      <c r="B1211">
        <v>8.1453332167641165E-3</v>
      </c>
      <c r="C1211">
        <f ca="1">IF(B1211&lt;Monte_Carlo!$AC$2,1,0)</f>
        <v>0</v>
      </c>
    </row>
    <row r="1212" spans="1:3" x14ac:dyDescent="0.35">
      <c r="A1212" s="3">
        <v>45617</v>
      </c>
      <c r="B1212">
        <v>-1.9193631430453727E-2</v>
      </c>
      <c r="C1212">
        <f ca="1">IF(B1212&lt;Monte_Carlo!$AC$2,1,0)</f>
        <v>0</v>
      </c>
    </row>
    <row r="1213" spans="1:3" x14ac:dyDescent="0.35">
      <c r="A1213" s="3">
        <v>45618</v>
      </c>
      <c r="B1213">
        <v>2.1394581700007725E-2</v>
      </c>
      <c r="C1213">
        <f ca="1">IF(B1213&lt;Monte_Carlo!$AC$2,1,0)</f>
        <v>0</v>
      </c>
    </row>
    <row r="1214" spans="1:3" x14ac:dyDescent="0.35">
      <c r="A1214" s="3">
        <v>45621</v>
      </c>
      <c r="B1214">
        <v>9.2781357491808908E-3</v>
      </c>
      <c r="C1214">
        <f ca="1">IF(B1214&lt;Monte_Carlo!$AC$2,1,0)</f>
        <v>0</v>
      </c>
    </row>
    <row r="1215" spans="1:3" x14ac:dyDescent="0.35">
      <c r="A1215" s="3">
        <v>45622</v>
      </c>
      <c r="B1215">
        <v>1.1469490194590811E-2</v>
      </c>
      <c r="C1215">
        <f ca="1">IF(B1215&lt;Monte_Carlo!$AC$2,1,0)</f>
        <v>0</v>
      </c>
    </row>
    <row r="1216" spans="1:3" x14ac:dyDescent="0.35">
      <c r="A1216" s="3">
        <v>45623</v>
      </c>
      <c r="B1216">
        <v>3.0336292034346089E-3</v>
      </c>
      <c r="C1216">
        <f ca="1">IF(B1216&lt;Monte_Carlo!$AC$2,1,0)</f>
        <v>0</v>
      </c>
    </row>
    <row r="1217" spans="1:3" x14ac:dyDescent="0.35">
      <c r="A1217" s="3">
        <v>45624</v>
      </c>
      <c r="B1217">
        <v>4.5228375791635496E-3</v>
      </c>
      <c r="C1217">
        <f ca="1">IF(B1217&lt;Monte_Carlo!$AC$2,1,0)</f>
        <v>0</v>
      </c>
    </row>
    <row r="1218" spans="1:3" x14ac:dyDescent="0.35">
      <c r="A1218" s="3">
        <v>45625</v>
      </c>
      <c r="B1218">
        <v>-2.5539709407001324E-3</v>
      </c>
      <c r="C1218">
        <f ca="1">IF(B1218&lt;Monte_Carlo!$AC$2,1,0)</f>
        <v>0</v>
      </c>
    </row>
    <row r="1219" spans="1:3" x14ac:dyDescent="0.35">
      <c r="A1219" s="3">
        <v>45628</v>
      </c>
      <c r="B1219">
        <v>-9.2824629825180079E-3</v>
      </c>
      <c r="C1219">
        <f ca="1">IF(B1219&lt;Monte_Carlo!$AC$2,1,0)</f>
        <v>0</v>
      </c>
    </row>
    <row r="1220" spans="1:3" x14ac:dyDescent="0.35">
      <c r="A1220" s="3">
        <v>45629</v>
      </c>
      <c r="B1220">
        <v>2.7338132252878306E-2</v>
      </c>
      <c r="C1220">
        <f ca="1">IF(B1220&lt;Monte_Carlo!$AC$2,1,0)</f>
        <v>0</v>
      </c>
    </row>
    <row r="1221" spans="1:3" x14ac:dyDescent="0.35">
      <c r="A1221" s="3">
        <v>45630</v>
      </c>
      <c r="B1221">
        <v>2.5452094579065228E-2</v>
      </c>
      <c r="C1221">
        <f ca="1">IF(B1221&lt;Monte_Carlo!$AC$2,1,0)</f>
        <v>0</v>
      </c>
    </row>
    <row r="1222" spans="1:3" x14ac:dyDescent="0.35">
      <c r="A1222" s="3">
        <v>45631</v>
      </c>
      <c r="B1222">
        <v>-6.4503777114061295E-3</v>
      </c>
      <c r="C1222">
        <f ca="1">IF(B1222&lt;Monte_Carlo!$AC$2,1,0)</f>
        <v>0</v>
      </c>
    </row>
    <row r="1223" spans="1:3" x14ac:dyDescent="0.35">
      <c r="A1223" s="3">
        <v>45632</v>
      </c>
      <c r="B1223">
        <v>7.5871217218406364E-3</v>
      </c>
      <c r="C1223">
        <f ca="1">IF(B1223&lt;Monte_Carlo!$AC$2,1,0)</f>
        <v>0</v>
      </c>
    </row>
    <row r="1224" spans="1:3" x14ac:dyDescent="0.35">
      <c r="A1224" s="3">
        <v>45635</v>
      </c>
      <c r="B1224">
        <v>5.2017099770646511E-3</v>
      </c>
      <c r="C1224">
        <f ca="1">IF(B1224&lt;Monte_Carlo!$AC$2,1,0)</f>
        <v>0</v>
      </c>
    </row>
    <row r="1225" spans="1:3" x14ac:dyDescent="0.35">
      <c r="A1225" s="3">
        <v>45636</v>
      </c>
      <c r="B1225">
        <v>-1.0243359912405609E-3</v>
      </c>
      <c r="C1225">
        <f ca="1">IF(B1225&lt;Monte_Carlo!$AC$2,1,0)</f>
        <v>0</v>
      </c>
    </row>
    <row r="1226" spans="1:3" x14ac:dyDescent="0.35">
      <c r="A1226" s="3">
        <v>45637</v>
      </c>
      <c r="B1226">
        <v>1.6830147340658875E-3</v>
      </c>
      <c r="C1226">
        <f ca="1">IF(B1226&lt;Monte_Carlo!$AC$2,1,0)</f>
        <v>0</v>
      </c>
    </row>
    <row r="1227" spans="1:3" x14ac:dyDescent="0.35">
      <c r="A1227" s="3">
        <v>45638</v>
      </c>
      <c r="B1227">
        <v>6.372476952741399E-3</v>
      </c>
      <c r="C1227">
        <f ca="1">IF(B1227&lt;Monte_Carlo!$AC$2,1,0)</f>
        <v>0</v>
      </c>
    </row>
    <row r="1228" spans="1:3" x14ac:dyDescent="0.35">
      <c r="A1228" s="3">
        <v>45639</v>
      </c>
      <c r="B1228">
        <v>7.1654279722833539E-3</v>
      </c>
      <c r="C1228">
        <f ca="1">IF(B1228&lt;Monte_Carlo!$AC$2,1,0)</f>
        <v>0</v>
      </c>
    </row>
    <row r="1229" spans="1:3" x14ac:dyDescent="0.35">
      <c r="A1229" s="3">
        <v>45642</v>
      </c>
      <c r="B1229">
        <v>9.4088195930250957E-4</v>
      </c>
      <c r="C1229">
        <f ca="1">IF(B1229&lt;Monte_Carlo!$AC$2,1,0)</f>
        <v>0</v>
      </c>
    </row>
    <row r="1230" spans="1:3" x14ac:dyDescent="0.35">
      <c r="A1230" s="3">
        <v>45643</v>
      </c>
      <c r="B1230">
        <v>-2.013881319242684E-2</v>
      </c>
      <c r="C1230">
        <f ca="1">IF(B1230&lt;Monte_Carlo!$AC$2,1,0)</f>
        <v>0</v>
      </c>
    </row>
    <row r="1231" spans="1:3" x14ac:dyDescent="0.35">
      <c r="A1231" s="3">
        <v>45644</v>
      </c>
      <c r="B1231">
        <v>-1.2863656058615182E-2</v>
      </c>
      <c r="C1231">
        <f ca="1">IF(B1231&lt;Monte_Carlo!$AC$2,1,0)</f>
        <v>0</v>
      </c>
    </row>
    <row r="1232" spans="1:3" x14ac:dyDescent="0.35">
      <c r="A1232" s="3">
        <v>45645</v>
      </c>
      <c r="B1232">
        <v>5.4999162616319935E-3</v>
      </c>
      <c r="C1232">
        <f ca="1">IF(B1232&lt;Monte_Carlo!$AC$2,1,0)</f>
        <v>0</v>
      </c>
    </row>
    <row r="1233" spans="1:3" x14ac:dyDescent="0.35">
      <c r="A1233" s="3">
        <v>45646</v>
      </c>
      <c r="B1233">
        <v>2.8504945845823523E-2</v>
      </c>
      <c r="C1233">
        <f ca="1">IF(B1233&lt;Monte_Carlo!$AC$2,1,0)</f>
        <v>0</v>
      </c>
    </row>
    <row r="1234" spans="1:3" x14ac:dyDescent="0.35">
      <c r="A1234" s="3">
        <v>45649</v>
      </c>
      <c r="B1234">
        <v>-2.7135049647083388E-2</v>
      </c>
      <c r="C1234">
        <f ca="1">IF(B1234&lt;Monte_Carlo!$AC$2,1,0)</f>
        <v>0</v>
      </c>
    </row>
    <row r="1235" spans="1:3" x14ac:dyDescent="0.35">
      <c r="A1235" s="3">
        <v>45650</v>
      </c>
      <c r="B1235">
        <v>-3.1687915609305921E-3</v>
      </c>
      <c r="C1235">
        <f ca="1">IF(B1235&lt;Monte_Carlo!$AC$2,1,0)</f>
        <v>0</v>
      </c>
    </row>
    <row r="1236" spans="1:3" x14ac:dyDescent="0.35">
      <c r="A1236" s="3">
        <v>45652</v>
      </c>
      <c r="B1236">
        <v>-2.5102538550768666E-3</v>
      </c>
      <c r="C1236">
        <f ca="1">IF(B1236&lt;Monte_Carlo!$AC$2,1,0)</f>
        <v>0</v>
      </c>
    </row>
    <row r="1237" spans="1:3" x14ac:dyDescent="0.35">
      <c r="A1237" s="3">
        <v>45653</v>
      </c>
      <c r="B1237">
        <v>-8.1165812756902513E-3</v>
      </c>
      <c r="C1237">
        <f ca="1">IF(B1237&lt;Monte_Carlo!$AC$2,1,0)</f>
        <v>0</v>
      </c>
    </row>
    <row r="1238" spans="1:3" x14ac:dyDescent="0.35">
      <c r="A1238" s="3">
        <v>45656</v>
      </c>
      <c r="B1238">
        <v>-2.4958500124808887E-2</v>
      </c>
      <c r="C1238">
        <f ca="1">IF(B1238&lt;Monte_Carlo!$AC$2,1,0)</f>
        <v>0</v>
      </c>
    </row>
    <row r="1239" spans="1:3" x14ac:dyDescent="0.35">
      <c r="A1239" s="3">
        <v>45657</v>
      </c>
      <c r="B1239">
        <v>-7.4331559182549359E-3</v>
      </c>
      <c r="C1239">
        <f ca="1">IF(B1239&lt;Monte_Carlo!$AC$2,1,0)</f>
        <v>0</v>
      </c>
    </row>
    <row r="1240" spans="1:3" x14ac:dyDescent="0.35">
      <c r="A1240" s="3">
        <v>45658</v>
      </c>
      <c r="B1240">
        <v>1.6393887573459536E-2</v>
      </c>
      <c r="C1240">
        <f ca="1">IF(B1240&lt;Monte_Carlo!$AC$2,1,0)</f>
        <v>0</v>
      </c>
    </row>
    <row r="1241" spans="1:3" x14ac:dyDescent="0.35">
      <c r="A1241" s="3">
        <v>45659</v>
      </c>
      <c r="B1241">
        <v>6.3161182882170751E-3</v>
      </c>
      <c r="C1241">
        <f ca="1">IF(B1241&lt;Monte_Carlo!$AC$2,1,0)</f>
        <v>0</v>
      </c>
    </row>
    <row r="1242" spans="1:3" x14ac:dyDescent="0.35">
      <c r="A1242" s="3">
        <v>45660</v>
      </c>
      <c r="B1242">
        <v>4.6605183152225223E-3</v>
      </c>
      <c r="C1242">
        <f ca="1">IF(B1242&lt;Monte_Carlo!$AC$2,1,0)</f>
        <v>0</v>
      </c>
    </row>
    <row r="1243" spans="1:3" x14ac:dyDescent="0.35">
      <c r="A1243" s="3">
        <v>45663</v>
      </c>
      <c r="B1243">
        <v>-2.3133346749626631E-2</v>
      </c>
      <c r="C1243">
        <f ca="1">IF(B1243&lt;Monte_Carlo!$AC$2,1,0)</f>
        <v>0</v>
      </c>
    </row>
    <row r="1244" spans="1:3" x14ac:dyDescent="0.35">
      <c r="A1244" s="3">
        <v>45664</v>
      </c>
      <c r="B1244">
        <v>3.7630723486595484E-2</v>
      </c>
      <c r="C1244">
        <f ca="1">IF(B1244&lt;Monte_Carlo!$AC$2,1,0)</f>
        <v>0</v>
      </c>
    </row>
    <row r="1245" spans="1:3" x14ac:dyDescent="0.35">
      <c r="A1245" s="3">
        <v>45665</v>
      </c>
      <c r="B1245">
        <v>-1.3336737448058062E-2</v>
      </c>
      <c r="C1245">
        <f ca="1">IF(B1245&lt;Monte_Carlo!$AC$2,1,0)</f>
        <v>0</v>
      </c>
    </row>
    <row r="1246" spans="1:3" x14ac:dyDescent="0.35">
      <c r="A1246" s="3">
        <v>45666</v>
      </c>
      <c r="B1246">
        <v>1.9861190077495035E-2</v>
      </c>
      <c r="C1246">
        <f ca="1">IF(B1246&lt;Monte_Carlo!$AC$2,1,0)</f>
        <v>0</v>
      </c>
    </row>
    <row r="1247" spans="1:3" x14ac:dyDescent="0.35">
      <c r="A1247" s="3">
        <v>45667</v>
      </c>
      <c r="B1247">
        <v>-2.1768979058572963E-2</v>
      </c>
      <c r="C1247">
        <f ca="1">IF(B1247&lt;Monte_Carlo!$AC$2,1,0)</f>
        <v>0</v>
      </c>
    </row>
    <row r="1248" spans="1:3" x14ac:dyDescent="0.35">
      <c r="A1248" s="3">
        <v>45670</v>
      </c>
      <c r="B1248">
        <v>-3.0911222756655511E-2</v>
      </c>
      <c r="C1248">
        <f ca="1">IF(B1248&lt;Monte_Carlo!$AC$2,1,0)</f>
        <v>0</v>
      </c>
    </row>
    <row r="1249" spans="1:3" x14ac:dyDescent="0.35">
      <c r="A1249" s="3">
        <v>45671</v>
      </c>
      <c r="B1249">
        <v>9.7196180470126466E-3</v>
      </c>
      <c r="C1249">
        <f ca="1">IF(B1249&lt;Monte_Carlo!$AC$2,1,0)</f>
        <v>0</v>
      </c>
    </row>
    <row r="1250" spans="1:3" x14ac:dyDescent="0.35">
      <c r="A1250" s="3">
        <v>45672</v>
      </c>
      <c r="B1250">
        <v>2.0827680152244704E-2</v>
      </c>
      <c r="C1250">
        <f ca="1">IF(B1250&lt;Monte_Carlo!$AC$2,1,0)</f>
        <v>0</v>
      </c>
    </row>
    <row r="1251" spans="1:3" x14ac:dyDescent="0.35">
      <c r="A1251" s="3">
        <v>45673</v>
      </c>
      <c r="B1251">
        <v>1.3563105721314996E-2</v>
      </c>
      <c r="C1251">
        <f ca="1">IF(B1251&lt;Monte_Carlo!$AC$2,1,0)</f>
        <v>0</v>
      </c>
    </row>
    <row r="1252" spans="1:3" x14ac:dyDescent="0.35">
      <c r="A1252" s="3">
        <v>45674</v>
      </c>
      <c r="B1252">
        <v>1.9655880923897764E-2</v>
      </c>
      <c r="C1252">
        <f ca="1">IF(B1252&lt;Monte_Carlo!$AC$2,1,0)</f>
        <v>0</v>
      </c>
    </row>
    <row r="1253" spans="1:3" x14ac:dyDescent="0.35">
      <c r="A1253" s="3">
        <v>45677</v>
      </c>
      <c r="B1253">
        <v>-3.2908118272037632E-3</v>
      </c>
      <c r="C1253">
        <f ca="1">IF(B1253&lt;Monte_Carlo!$AC$2,1,0)</f>
        <v>0</v>
      </c>
    </row>
    <row r="1254" spans="1:3" x14ac:dyDescent="0.35">
      <c r="A1254" s="3">
        <v>45678</v>
      </c>
      <c r="B1254">
        <v>-1.6730657183346306E-2</v>
      </c>
      <c r="C1254">
        <f ca="1">IF(B1254&lt;Monte_Carlo!$AC$2,1,0)</f>
        <v>0</v>
      </c>
    </row>
    <row r="1255" spans="1:3" x14ac:dyDescent="0.35">
      <c r="A1255" s="3">
        <v>45679</v>
      </c>
      <c r="B1255">
        <v>-2.7665951872149139E-2</v>
      </c>
      <c r="C1255">
        <f ca="1">IF(B1255&lt;Monte_Carlo!$AC$2,1,0)</f>
        <v>0</v>
      </c>
    </row>
    <row r="1256" spans="1:3" x14ac:dyDescent="0.35">
      <c r="A1256" s="3">
        <v>45680</v>
      </c>
      <c r="B1256">
        <v>2.2157453884811759E-3</v>
      </c>
      <c r="C1256">
        <f ca="1">IF(B1256&lt;Monte_Carlo!$AC$2,1,0)</f>
        <v>0</v>
      </c>
    </row>
    <row r="1257" spans="1:3" x14ac:dyDescent="0.35">
      <c r="A1257" s="3">
        <v>45681</v>
      </c>
      <c r="B1257">
        <v>-1.7921435980722496E-2</v>
      </c>
      <c r="C1257">
        <f ca="1">IF(B1257&lt;Monte_Carlo!$AC$2,1,0)</f>
        <v>0</v>
      </c>
    </row>
    <row r="1258" spans="1:3" x14ac:dyDescent="0.35">
      <c r="A1258" s="3">
        <v>45684</v>
      </c>
      <c r="B1258">
        <v>-2.8801559961949202E-2</v>
      </c>
      <c r="C1258">
        <f ca="1">IF(B1258&lt;Monte_Carlo!$AC$2,1,0)</f>
        <v>0</v>
      </c>
    </row>
    <row r="1259" spans="1:3" x14ac:dyDescent="0.35">
      <c r="A1259" s="3">
        <v>45685</v>
      </c>
      <c r="B1259">
        <v>-6.5468388065429853E-3</v>
      </c>
      <c r="C1259">
        <f ca="1">IF(B1259&lt;Monte_Carlo!$AC$2,1,0)</f>
        <v>0</v>
      </c>
    </row>
    <row r="1260" spans="1:3" x14ac:dyDescent="0.35">
      <c r="A1260" s="3">
        <v>45686</v>
      </c>
      <c r="B1260">
        <v>3.549144128735586E-2</v>
      </c>
      <c r="C1260">
        <f ca="1">IF(B1260&lt;Monte_Carlo!$AC$2,1,0)</f>
        <v>0</v>
      </c>
    </row>
    <row r="1261" spans="1:3" x14ac:dyDescent="0.35">
      <c r="A1261" s="3">
        <v>45687</v>
      </c>
      <c r="B1261">
        <v>6.0178851530023436E-4</v>
      </c>
      <c r="C1261">
        <f ca="1">IF(B1261&lt;Monte_Carlo!$AC$2,1,0)</f>
        <v>0</v>
      </c>
    </row>
    <row r="1262" spans="1:3" x14ac:dyDescent="0.35">
      <c r="A1262" s="3">
        <v>45688</v>
      </c>
      <c r="B1262">
        <v>1.1680513864921638E-2</v>
      </c>
      <c r="C1262">
        <f ca="1">IF(B1262&lt;Monte_Carlo!$AC$2,1,0)</f>
        <v>0</v>
      </c>
    </row>
    <row r="1263" spans="1:3" x14ac:dyDescent="0.35">
      <c r="A1263" s="3">
        <v>45689</v>
      </c>
      <c r="B1263">
        <v>4.2958451036460453E-3</v>
      </c>
      <c r="C1263">
        <f ca="1">IF(B1263&lt;Monte_Carlo!$AC$2,1,0)</f>
        <v>0</v>
      </c>
    </row>
    <row r="1264" spans="1:3" x14ac:dyDescent="0.35">
      <c r="A1264" s="3">
        <v>45691</v>
      </c>
      <c r="B1264">
        <v>-7.2765216056265621E-3</v>
      </c>
      <c r="C1264">
        <f ca="1">IF(B1264&lt;Monte_Carlo!$AC$2,1,0)</f>
        <v>0</v>
      </c>
    </row>
    <row r="1265" spans="1:3" x14ac:dyDescent="0.35">
      <c r="A1265" s="3">
        <v>45692</v>
      </c>
      <c r="B1265">
        <v>3.0152765932576278E-3</v>
      </c>
      <c r="C1265">
        <f ca="1">IF(B1265&lt;Monte_Carlo!$AC$2,1,0)</f>
        <v>0</v>
      </c>
    </row>
    <row r="1266" spans="1:3" x14ac:dyDescent="0.35">
      <c r="A1266" s="3">
        <v>45693</v>
      </c>
      <c r="B1266">
        <v>-4.271321835494819E-3</v>
      </c>
      <c r="C1266">
        <f ca="1">IF(B1266&lt;Monte_Carlo!$AC$2,1,0)</f>
        <v>0</v>
      </c>
    </row>
    <row r="1267" spans="1:3" x14ac:dyDescent="0.35">
      <c r="A1267" s="3">
        <v>45694</v>
      </c>
      <c r="B1267">
        <v>-7.3338852337585742E-3</v>
      </c>
      <c r="C1267">
        <f ca="1">IF(B1267&lt;Monte_Carlo!$AC$2,1,0)</f>
        <v>0</v>
      </c>
    </row>
    <row r="1268" spans="1:3" x14ac:dyDescent="0.35">
      <c r="A1268" s="3">
        <v>45695</v>
      </c>
      <c r="B1268">
        <v>5.5554689072478795E-4</v>
      </c>
      <c r="C1268">
        <f ca="1">IF(B1268&lt;Monte_Carlo!$AC$2,1,0)</f>
        <v>0</v>
      </c>
    </row>
    <row r="1269" spans="1:3" x14ac:dyDescent="0.35">
      <c r="A1269" s="3">
        <v>45698</v>
      </c>
      <c r="B1269">
        <v>-9.0458320220300637E-3</v>
      </c>
      <c r="C1269">
        <f ca="1">IF(B1269&lt;Monte_Carlo!$AC$2,1,0)</f>
        <v>0</v>
      </c>
    </row>
    <row r="1270" spans="1:3" x14ac:dyDescent="0.35">
      <c r="A1270" s="3">
        <v>45699</v>
      </c>
      <c r="B1270">
        <v>-2.6437228165518037E-2</v>
      </c>
      <c r="C1270">
        <f ca="1">IF(B1270&lt;Monte_Carlo!$AC$2,1,0)</f>
        <v>0</v>
      </c>
    </row>
    <row r="1271" spans="1:3" x14ac:dyDescent="0.35">
      <c r="A1271" s="3">
        <v>45700</v>
      </c>
      <c r="B1271">
        <v>-1.5081550865363896E-2</v>
      </c>
      <c r="C1271">
        <f ca="1">IF(B1271&lt;Monte_Carlo!$AC$2,1,0)</f>
        <v>0</v>
      </c>
    </row>
    <row r="1272" spans="1:3" x14ac:dyDescent="0.35">
      <c r="A1272" s="3">
        <v>45701</v>
      </c>
      <c r="B1272">
        <v>9.7634825213860407E-3</v>
      </c>
      <c r="C1272">
        <f ca="1">IF(B1272&lt;Monte_Carlo!$AC$2,1,0)</f>
        <v>0</v>
      </c>
    </row>
    <row r="1273" spans="1:3" x14ac:dyDescent="0.35">
      <c r="A1273" s="3">
        <v>45702</v>
      </c>
      <c r="B1273">
        <v>-2.7978227525314231E-2</v>
      </c>
      <c r="C1273">
        <f ca="1">IF(B1273&lt;Monte_Carlo!$AC$2,1,0)</f>
        <v>0</v>
      </c>
    </row>
    <row r="1274" spans="1:3" x14ac:dyDescent="0.35">
      <c r="A1274" s="3">
        <v>45705</v>
      </c>
      <c r="B1274">
        <v>-1.0481168817078623E-2</v>
      </c>
      <c r="C1274">
        <f ca="1">IF(B1274&lt;Monte_Carlo!$AC$2,1,0)</f>
        <v>0</v>
      </c>
    </row>
    <row r="1275" spans="1:3" x14ac:dyDescent="0.35">
      <c r="A1275" s="3">
        <v>45706</v>
      </c>
      <c r="B1275">
        <v>1.4895485086948941E-2</v>
      </c>
      <c r="C1275">
        <f ca="1">IF(B1275&lt;Monte_Carlo!$AC$2,1,0)</f>
        <v>0</v>
      </c>
    </row>
    <row r="1276" spans="1:3" x14ac:dyDescent="0.35">
      <c r="A1276" s="3">
        <v>45707</v>
      </c>
      <c r="B1276">
        <v>2.7674081694932019E-4</v>
      </c>
      <c r="C1276">
        <f ca="1">IF(B1276&lt;Monte_Carlo!$AC$2,1,0)</f>
        <v>0</v>
      </c>
    </row>
    <row r="1277" spans="1:3" x14ac:dyDescent="0.35">
      <c r="A1277" s="3">
        <v>45708</v>
      </c>
      <c r="B1277">
        <v>2.0149727255058961E-3</v>
      </c>
      <c r="C1277">
        <f ca="1">IF(B1277&lt;Monte_Carlo!$AC$2,1,0)</f>
        <v>0</v>
      </c>
    </row>
    <row r="1278" spans="1:3" x14ac:dyDescent="0.35">
      <c r="A1278" s="3">
        <v>45709</v>
      </c>
      <c r="B1278">
        <v>1.2899536986816598E-3</v>
      </c>
      <c r="C1278">
        <f ca="1">IF(B1278&lt;Monte_Carlo!$AC$2,1,0)</f>
        <v>0</v>
      </c>
    </row>
    <row r="1279" spans="1:3" x14ac:dyDescent="0.35">
      <c r="A1279" s="3">
        <v>45712</v>
      </c>
      <c r="B1279">
        <v>-8.5749428128022668E-3</v>
      </c>
      <c r="C1279">
        <f ca="1">IF(B1279&lt;Monte_Carlo!$AC$2,1,0)</f>
        <v>0</v>
      </c>
    </row>
    <row r="1280" spans="1:3" x14ac:dyDescent="0.35">
      <c r="A1280" s="3">
        <v>45713</v>
      </c>
      <c r="B1280">
        <v>-9.5398082983906771E-3</v>
      </c>
      <c r="C1280">
        <f ca="1">IF(B1280&lt;Monte_Carlo!$AC$2,1,0)</f>
        <v>0</v>
      </c>
    </row>
    <row r="1281" spans="1:3" x14ac:dyDescent="0.35">
      <c r="A1281" s="3">
        <v>45715</v>
      </c>
      <c r="B1281">
        <v>3.7005906785286301E-3</v>
      </c>
      <c r="C1281">
        <f ca="1">IF(B1281&lt;Monte_Carlo!$AC$2,1,0)</f>
        <v>0</v>
      </c>
    </row>
    <row r="1282" spans="1:3" x14ac:dyDescent="0.35">
      <c r="A1282" s="3">
        <v>45716</v>
      </c>
      <c r="B1282">
        <v>-1.8724432041046995E-2</v>
      </c>
      <c r="C1282">
        <f ca="1">IF(B1282&lt;Monte_Carlo!$AC$2,1,0)</f>
        <v>0</v>
      </c>
    </row>
    <row r="1283" spans="1:3" x14ac:dyDescent="0.35">
      <c r="A1283" s="3">
        <v>45719</v>
      </c>
      <c r="B1283">
        <v>-1.5230117366285406E-2</v>
      </c>
      <c r="C1283">
        <f ca="1">IF(B1283&lt;Monte_Carlo!$AC$2,1,0)</f>
        <v>0</v>
      </c>
    </row>
    <row r="1284" spans="1:3" x14ac:dyDescent="0.35">
      <c r="A1284" s="3">
        <v>45720</v>
      </c>
      <c r="B1284">
        <v>-2.4202295731656662E-4</v>
      </c>
      <c r="C1284">
        <f ca="1">IF(B1284&lt;Monte_Carlo!$AC$2,1,0)</f>
        <v>0</v>
      </c>
    </row>
    <row r="1285" spans="1:3" x14ac:dyDescent="0.35">
      <c r="A1285" s="3">
        <v>45721</v>
      </c>
      <c r="B1285">
        <v>2.3466977686327432E-2</v>
      </c>
      <c r="C1285">
        <f ca="1">IF(B1285&lt;Monte_Carlo!$AC$2,1,0)</f>
        <v>0</v>
      </c>
    </row>
    <row r="1286" spans="1:3" x14ac:dyDescent="0.35">
      <c r="A1286" s="3">
        <v>45722</v>
      </c>
      <c r="B1286">
        <v>1.0713186858958756E-2</v>
      </c>
      <c r="C1286">
        <f ca="1">IF(B1286&lt;Monte_Carlo!$AC$2,1,0)</f>
        <v>0</v>
      </c>
    </row>
    <row r="1287" spans="1:3" x14ac:dyDescent="0.35">
      <c r="A1287" s="3">
        <v>45723</v>
      </c>
      <c r="B1287">
        <v>-9.9905280333683795E-3</v>
      </c>
      <c r="C1287">
        <f ca="1">IF(B1287&lt;Monte_Carlo!$AC$2,1,0)</f>
        <v>0</v>
      </c>
    </row>
    <row r="1288" spans="1:3" x14ac:dyDescent="0.35">
      <c r="A1288" s="3">
        <v>45726</v>
      </c>
      <c r="B1288">
        <v>1.5067119230796648E-3</v>
      </c>
      <c r="C1288">
        <f ca="1">IF(B1288&lt;Monte_Carlo!$AC$2,1,0)</f>
        <v>0</v>
      </c>
    </row>
    <row r="1289" spans="1:3" x14ac:dyDescent="0.35">
      <c r="A1289" s="3">
        <v>45727</v>
      </c>
      <c r="B1289">
        <v>-9.4464509447601916E-4</v>
      </c>
      <c r="C1289">
        <f ca="1">IF(B1289&lt;Monte_Carlo!$AC$2,1,0)</f>
        <v>0</v>
      </c>
    </row>
    <row r="1290" spans="1:3" x14ac:dyDescent="0.35">
      <c r="A1290" s="3">
        <v>45728</v>
      </c>
      <c r="B1290">
        <v>-1.436393994111909E-2</v>
      </c>
      <c r="C1290">
        <f ca="1">IF(B1290&lt;Monte_Carlo!$AC$2,1,0)</f>
        <v>0</v>
      </c>
    </row>
    <row r="1291" spans="1:3" x14ac:dyDescent="0.35">
      <c r="A1291" s="3">
        <v>45729</v>
      </c>
      <c r="B1291">
        <v>8.6404940469307669E-3</v>
      </c>
      <c r="C1291">
        <f ca="1">IF(B1291&lt;Monte_Carlo!$AC$2,1,0)</f>
        <v>0</v>
      </c>
    </row>
    <row r="1292" spans="1:3" x14ac:dyDescent="0.35">
      <c r="A1292" s="3">
        <v>45733</v>
      </c>
      <c r="B1292">
        <v>2.3502161999819707E-2</v>
      </c>
      <c r="C1292">
        <f ca="1">IF(B1292&lt;Monte_Carlo!$AC$2,1,0)</f>
        <v>0</v>
      </c>
    </row>
    <row r="1293" spans="1:3" x14ac:dyDescent="0.35">
      <c r="A1293" s="3">
        <v>45734</v>
      </c>
      <c r="B1293">
        <v>0</v>
      </c>
      <c r="C1293">
        <f ca="1">IF(B1293&lt;Monte_Carlo!$AC$2,1,0)</f>
        <v>0</v>
      </c>
    </row>
    <row r="1294" spans="1:3" x14ac:dyDescent="0.35">
      <c r="A1294" s="3">
        <v>45735</v>
      </c>
      <c r="B1294">
        <v>3.0266158675902016E-2</v>
      </c>
      <c r="C1294">
        <f ca="1">IF(B1294&lt;Monte_Carlo!$AC$2,1,0)</f>
        <v>0</v>
      </c>
    </row>
    <row r="1295" spans="1:3" x14ac:dyDescent="0.35">
      <c r="A1295" s="3">
        <v>45736</v>
      </c>
      <c r="B1295">
        <v>-1.7847918550761489E-2</v>
      </c>
      <c r="C1295">
        <f ca="1">IF(B1295&lt;Monte_Carlo!$AC$2,1,0)</f>
        <v>0</v>
      </c>
    </row>
    <row r="1296" spans="1:3" x14ac:dyDescent="0.35">
      <c r="A1296" s="3">
        <v>45737</v>
      </c>
      <c r="B1296">
        <v>1.9699385314766237E-2</v>
      </c>
      <c r="C1296">
        <f ca="1">IF(B1296&lt;Monte_Carlo!$AC$2,1,0)</f>
        <v>0</v>
      </c>
    </row>
    <row r="1297" spans="1:3" x14ac:dyDescent="0.35">
      <c r="A1297" s="3">
        <v>45740</v>
      </c>
      <c r="B1297">
        <v>2.5090427660323204E-2</v>
      </c>
      <c r="C1297">
        <f ca="1">IF(B1297&lt;Monte_Carlo!$AC$2,1,0)</f>
        <v>0</v>
      </c>
    </row>
    <row r="1298" spans="1:3" x14ac:dyDescent="0.35">
      <c r="A1298" s="3">
        <v>45741</v>
      </c>
      <c r="B1298">
        <v>-1.0500497435093263E-2</v>
      </c>
      <c r="C1298">
        <f ca="1">IF(B1298&lt;Monte_Carlo!$AC$2,1,0)</f>
        <v>0</v>
      </c>
    </row>
    <row r="1299" spans="1:3" x14ac:dyDescent="0.35">
      <c r="A1299" s="3">
        <v>45742</v>
      </c>
      <c r="B1299">
        <v>-7.1010859901264435E-3</v>
      </c>
      <c r="C1299">
        <f ca="1">IF(B1299&lt;Monte_Carlo!$AC$2,1,0)</f>
        <v>0</v>
      </c>
    </row>
    <row r="1300" spans="1:3" x14ac:dyDescent="0.35">
      <c r="A1300" s="3">
        <v>45743</v>
      </c>
      <c r="B1300">
        <v>7.5654868529473496E-3</v>
      </c>
      <c r="C1300">
        <f ca="1">IF(B1300&lt;Monte_Carlo!$AC$2,1,0)</f>
        <v>0</v>
      </c>
    </row>
    <row r="1301" spans="1:3" x14ac:dyDescent="0.35">
      <c r="A1301" s="3">
        <v>45744</v>
      </c>
      <c r="B1301">
        <v>2.6716044679043127E-4</v>
      </c>
      <c r="C1301">
        <f ca="1">IF(B1301&lt;Monte_Carlo!$AC$2,1,0)</f>
        <v>0</v>
      </c>
    </row>
    <row r="1302" spans="1:3" x14ac:dyDescent="0.35">
      <c r="A1302" s="3">
        <v>45748</v>
      </c>
      <c r="B1302">
        <v>-2.5237922585349877E-3</v>
      </c>
      <c r="C1302">
        <f ca="1">IF(B1302&lt;Monte_Carlo!$AC$2,1,0)</f>
        <v>0</v>
      </c>
    </row>
    <row r="1303" spans="1:3" x14ac:dyDescent="0.35">
      <c r="A1303" s="3">
        <v>45749</v>
      </c>
      <c r="B1303">
        <v>1.8817737457026876E-2</v>
      </c>
      <c r="C1303">
        <f ca="1">IF(B1303&lt;Monte_Carlo!$AC$2,1,0)</f>
        <v>0</v>
      </c>
    </row>
    <row r="1304" spans="1:3" x14ac:dyDescent="0.35">
      <c r="A1304" s="3">
        <v>45750</v>
      </c>
      <c r="B1304">
        <v>6.2555437992314541E-3</v>
      </c>
      <c r="C1304">
        <f ca="1">IF(B1304&lt;Monte_Carlo!$AC$2,1,0)</f>
        <v>0</v>
      </c>
    </row>
    <row r="1305" spans="1:3" x14ac:dyDescent="0.35">
      <c r="A1305" s="3">
        <v>45751</v>
      </c>
      <c r="B1305">
        <v>-1.4944015365816934E-2</v>
      </c>
      <c r="C1305">
        <f ca="1">IF(B1305&lt;Monte_Carlo!$AC$2,1,0)</f>
        <v>0</v>
      </c>
    </row>
    <row r="1306" spans="1:3" x14ac:dyDescent="0.35">
      <c r="A1306" s="3">
        <v>45754</v>
      </c>
      <c r="B1306">
        <v>-4.7446046418088729E-2</v>
      </c>
      <c r="C1306">
        <f ca="1">IF(B1306&lt;Monte_Carlo!$AC$2,1,0)</f>
        <v>0</v>
      </c>
    </row>
    <row r="1307" spans="1:3" x14ac:dyDescent="0.35">
      <c r="A1307" s="3">
        <v>45755</v>
      </c>
      <c r="B1307">
        <v>2.3116866781209829E-2</v>
      </c>
      <c r="C1307">
        <f ca="1">IF(B1307&lt;Monte_Carlo!$AC$2,1,0)</f>
        <v>0</v>
      </c>
    </row>
    <row r="1308" spans="1:3" x14ac:dyDescent="0.35">
      <c r="A1308" s="3">
        <v>45756</v>
      </c>
      <c r="B1308">
        <v>1.456261840774538E-3</v>
      </c>
      <c r="C1308">
        <f ca="1">IF(B1308&lt;Monte_Carlo!$AC$2,1,0)</f>
        <v>0</v>
      </c>
    </row>
    <row r="1309" spans="1:3" x14ac:dyDescent="0.35">
      <c r="A1309" s="3">
        <v>45758</v>
      </c>
      <c r="B1309">
        <v>-2.7541602588772248E-2</v>
      </c>
      <c r="C1309">
        <f ca="1">IF(B1309&lt;Monte_Carlo!$AC$2,1,0)</f>
        <v>0</v>
      </c>
    </row>
    <row r="1310" spans="1:3" x14ac:dyDescent="0.35">
      <c r="A1310" s="3">
        <v>45762</v>
      </c>
      <c r="B1310">
        <v>5.2845197204273067E-2</v>
      </c>
      <c r="C1310">
        <f ca="1">IF(B1310&lt;Monte_Carlo!$AC$2,1,0)</f>
        <v>0</v>
      </c>
    </row>
    <row r="1311" spans="1:3" x14ac:dyDescent="0.35">
      <c r="A1311" s="3">
        <v>45763</v>
      </c>
      <c r="B1311">
        <v>-1.4108124547111125E-4</v>
      </c>
      <c r="C1311">
        <f ca="1">IF(B1311&lt;Monte_Carlo!$AC$2,1,0)</f>
        <v>0</v>
      </c>
    </row>
    <row r="1312" spans="1:3" x14ac:dyDescent="0.35">
      <c r="A1312" s="3">
        <v>45764</v>
      </c>
      <c r="B1312">
        <v>-4.177555022684418E-4</v>
      </c>
      <c r="C1312">
        <f ca="1">IF(B1312&lt;Monte_Carlo!$AC$2,1,0)</f>
        <v>0</v>
      </c>
    </row>
    <row r="1313" spans="1:3" x14ac:dyDescent="0.35">
      <c r="A1313" s="3">
        <v>45768</v>
      </c>
      <c r="B1313">
        <v>1.926597310307997E-2</v>
      </c>
      <c r="C1313">
        <f ca="1">IF(B1313&lt;Monte_Carlo!$AC$2,1,0)</f>
        <v>0</v>
      </c>
    </row>
    <row r="1314" spans="1:3" x14ac:dyDescent="0.35">
      <c r="A1314" s="3">
        <v>45769</v>
      </c>
      <c r="B1314">
        <v>1.1105659014973429E-3</v>
      </c>
      <c r="C1314">
        <f ca="1">IF(B1314&lt;Monte_Carlo!$AC$2,1,0)</f>
        <v>0</v>
      </c>
    </row>
    <row r="1315" spans="1:3" x14ac:dyDescent="0.35">
      <c r="A1315" s="3">
        <v>45770</v>
      </c>
      <c r="B1315">
        <v>1.3518829050231686E-2</v>
      </c>
      <c r="C1315">
        <f ca="1">IF(B1315&lt;Monte_Carlo!$AC$2,1,0)</f>
        <v>0</v>
      </c>
    </row>
    <row r="1316" spans="1:3" x14ac:dyDescent="0.35">
      <c r="A1316" s="3">
        <v>45771</v>
      </c>
      <c r="B1316">
        <v>7.2118571485546166E-4</v>
      </c>
      <c r="C1316">
        <f ca="1">IF(B1316&lt;Monte_Carlo!$AC$2,1,0)</f>
        <v>0</v>
      </c>
    </row>
    <row r="1317" spans="1:3" x14ac:dyDescent="0.35">
      <c r="A1317" s="3">
        <v>45772</v>
      </c>
      <c r="B1317">
        <v>-1.1328787316520992E-2</v>
      </c>
      <c r="C1317">
        <f ca="1">IF(B1317&lt;Monte_Carlo!$AC$2,1,0)</f>
        <v>0</v>
      </c>
    </row>
    <row r="1318" spans="1:3" x14ac:dyDescent="0.35">
      <c r="A1318" s="3">
        <v>45775</v>
      </c>
      <c r="B1318">
        <v>-9.1317419034401084E-4</v>
      </c>
      <c r="C1318">
        <f ca="1">IF(B1318&lt;Monte_Carlo!$AC$2,1,0)</f>
        <v>0</v>
      </c>
    </row>
    <row r="1319" spans="1:3" x14ac:dyDescent="0.35">
      <c r="A1319" s="3">
        <v>45776</v>
      </c>
      <c r="B1319">
        <v>5.1899616758178113E-3</v>
      </c>
      <c r="C1319">
        <f ca="1">IF(B1319&lt;Monte_Carlo!$AC$2,1,0)</f>
        <v>0</v>
      </c>
    </row>
    <row r="1320" spans="1:3" x14ac:dyDescent="0.35">
      <c r="A1320" s="3">
        <v>45777</v>
      </c>
      <c r="B1320">
        <v>6.4564377056739548E-4</v>
      </c>
      <c r="C1320">
        <f ca="1">IF(B1320&lt;Monte_Carlo!$AC$2,1,0)</f>
        <v>0</v>
      </c>
    </row>
    <row r="1321" spans="1:3" x14ac:dyDescent="0.35">
      <c r="A1321" s="3">
        <v>45779</v>
      </c>
      <c r="B1321">
        <v>-6.7917142868976921E-3</v>
      </c>
      <c r="C1321">
        <f ca="1">IF(B1321&lt;Monte_Carlo!$AC$2,1,0)</f>
        <v>0</v>
      </c>
    </row>
    <row r="1322" spans="1:3" x14ac:dyDescent="0.35">
      <c r="A1322" s="3">
        <v>45782</v>
      </c>
      <c r="B1322">
        <v>1.4788761037183402E-3</v>
      </c>
      <c r="C1322">
        <f ca="1">IF(B1322&lt;Monte_Carlo!$AC$2,1,0)</f>
        <v>0</v>
      </c>
    </row>
    <row r="1323" spans="1:3" x14ac:dyDescent="0.35">
      <c r="A1323" s="3">
        <v>45783</v>
      </c>
      <c r="B1323">
        <v>-3.3975619176700431E-2</v>
      </c>
      <c r="C1323">
        <f ca="1">IF(B1323&lt;Monte_Carlo!$AC$2,1,0)</f>
        <v>0</v>
      </c>
    </row>
    <row r="1324" spans="1:3" x14ac:dyDescent="0.35">
      <c r="A1324" s="3">
        <v>45784</v>
      </c>
      <c r="B1324">
        <v>1.401144077195669E-2</v>
      </c>
      <c r="C1324">
        <f ca="1">IF(B1324&lt;Monte_Carlo!$AC$2,1,0)</f>
        <v>0</v>
      </c>
    </row>
    <row r="1325" spans="1:3" x14ac:dyDescent="0.35">
      <c r="A1325" s="3">
        <v>45785</v>
      </c>
      <c r="B1325">
        <v>-1.8597288406669066E-2</v>
      </c>
      <c r="C1325">
        <f ca="1">IF(B1325&lt;Monte_Carlo!$AC$2,1,0)</f>
        <v>0</v>
      </c>
    </row>
    <row r="1326" spans="1:3" x14ac:dyDescent="0.35">
      <c r="A1326" s="3">
        <v>45786</v>
      </c>
      <c r="B1326">
        <v>-9.5240409476660612E-3</v>
      </c>
      <c r="C1326">
        <f ca="1">IF(B1326&lt;Monte_Carlo!$AC$2,1,0)</f>
        <v>0</v>
      </c>
    </row>
    <row r="1327" spans="1:3" x14ac:dyDescent="0.35">
      <c r="A1327" s="3">
        <v>45789</v>
      </c>
      <c r="B1327">
        <v>3.4751798287748693E-2</v>
      </c>
      <c r="C1327">
        <f ca="1">IF(B1327&lt;Monte_Carlo!$AC$2,1,0)</f>
        <v>0</v>
      </c>
    </row>
    <row r="1328" spans="1:3" x14ac:dyDescent="0.35">
      <c r="A1328" s="3">
        <v>45790</v>
      </c>
      <c r="B1328">
        <v>1.4483596531346489E-2</v>
      </c>
      <c r="C1328">
        <f ca="1">IF(B1328&lt;Monte_Carlo!$AC$2,1,0)</f>
        <v>0</v>
      </c>
    </row>
    <row r="1329" spans="1:3" x14ac:dyDescent="0.35">
      <c r="A1329" s="3">
        <v>45791</v>
      </c>
      <c r="B1329">
        <v>-5.7256116906640574E-3</v>
      </c>
      <c r="C1329">
        <f ca="1">IF(B1329&lt;Monte_Carlo!$AC$2,1,0)</f>
        <v>0</v>
      </c>
    </row>
    <row r="1330" spans="1:3" x14ac:dyDescent="0.35">
      <c r="A1330" s="3">
        <v>45792</v>
      </c>
      <c r="B1330">
        <v>1.0877188696819367E-2</v>
      </c>
      <c r="C1330">
        <f ca="1">IF(B1330&lt;Monte_Carlo!$AC$2,1,0)</f>
        <v>0</v>
      </c>
    </row>
    <row r="1331" spans="1:3" x14ac:dyDescent="0.35">
      <c r="A1331" s="3">
        <v>45793</v>
      </c>
      <c r="B1331">
        <v>-9.3444122809165E-4</v>
      </c>
      <c r="C1331">
        <f ca="1">IF(B1331&lt;Monte_Carlo!$AC$2,1,0)</f>
        <v>0</v>
      </c>
    </row>
    <row r="1332" spans="1:3" x14ac:dyDescent="0.35">
      <c r="A1332" s="3">
        <v>45796</v>
      </c>
      <c r="B1332">
        <v>1.34123553728359E-2</v>
      </c>
      <c r="C1332">
        <f ca="1">IF(B1332&lt;Monte_Carlo!$AC$2,1,0)</f>
        <v>0</v>
      </c>
    </row>
    <row r="1333" spans="1:3" x14ac:dyDescent="0.35">
      <c r="A1333" s="3">
        <v>45797</v>
      </c>
      <c r="B1333">
        <v>-6.2177368089508652E-3</v>
      </c>
      <c r="C1333">
        <f ca="1">IF(B1333&lt;Monte_Carlo!$AC$2,1,0)</f>
        <v>0</v>
      </c>
    </row>
    <row r="1334" spans="1:3" x14ac:dyDescent="0.35">
      <c r="A1334" s="3">
        <v>45798</v>
      </c>
      <c r="B1334">
        <v>4.4183085791647328E-3</v>
      </c>
      <c r="C1334">
        <f ca="1">IF(B1334&lt;Monte_Carlo!$AC$2,1,0)</f>
        <v>0</v>
      </c>
    </row>
    <row r="1335" spans="1:3" x14ac:dyDescent="0.35">
      <c r="A1335" s="3">
        <v>45799</v>
      </c>
      <c r="B1335">
        <v>-1.192358367067646E-2</v>
      </c>
      <c r="C1335">
        <f ca="1">IF(B1335&lt;Monte_Carlo!$AC$2,1,0)</f>
        <v>0</v>
      </c>
    </row>
    <row r="1336" spans="1:3" x14ac:dyDescent="0.35">
      <c r="A1336" s="3">
        <v>45800</v>
      </c>
      <c r="B1336">
        <v>1.5266358036753792E-2</v>
      </c>
      <c r="C1336">
        <f ca="1">IF(B1336&lt;Monte_Carlo!$AC$2,1,0)</f>
        <v>0</v>
      </c>
    </row>
    <row r="1337" spans="1:3" x14ac:dyDescent="0.35">
      <c r="A1337" s="3">
        <v>45803</v>
      </c>
      <c r="B1337">
        <v>-1.8245507688152654E-2</v>
      </c>
      <c r="C1337">
        <f ca="1">IF(B1337&lt;Monte_Carlo!$AC$2,1,0)</f>
        <v>0</v>
      </c>
    </row>
    <row r="1338" spans="1:3" x14ac:dyDescent="0.35">
      <c r="A1338" s="3">
        <v>45804</v>
      </c>
      <c r="B1338">
        <v>-8.5157186168943293E-3</v>
      </c>
      <c r="C1338">
        <f ca="1">IF(B1338&lt;Monte_Carlo!$AC$2,1,0)</f>
        <v>0</v>
      </c>
    </row>
    <row r="1339" spans="1:3" x14ac:dyDescent="0.35">
      <c r="A1339" s="3">
        <v>45805</v>
      </c>
      <c r="B1339">
        <v>1.750561182146742E-3</v>
      </c>
      <c r="C1339">
        <f ca="1">IF(B1339&lt;Monte_Carlo!$AC$2,1,0)</f>
        <v>0</v>
      </c>
    </row>
    <row r="1340" spans="1:3" x14ac:dyDescent="0.35">
      <c r="A1340" s="3">
        <v>45806</v>
      </c>
      <c r="B1340">
        <v>1.5076298719001687E-3</v>
      </c>
      <c r="C1340">
        <f ca="1">IF(B1340&lt;Monte_Carlo!$AC$2,1,0)</f>
        <v>0</v>
      </c>
    </row>
    <row r="1341" spans="1:3" x14ac:dyDescent="0.35">
      <c r="A1341" s="3">
        <v>45807</v>
      </c>
      <c r="B1341">
        <v>9.3546920327026786E-3</v>
      </c>
      <c r="C1341">
        <f ca="1">IF(B1341&lt;Monte_Carlo!$AC$2,1,0)</f>
        <v>0</v>
      </c>
    </row>
    <row r="1342" spans="1:3" x14ac:dyDescent="0.35">
      <c r="A1342" s="3">
        <v>45810</v>
      </c>
      <c r="B1342">
        <v>-5.8738605013163867E-3</v>
      </c>
      <c r="C1342">
        <f ca="1">IF(B1342&lt;Monte_Carlo!$AC$2,1,0)</f>
        <v>0</v>
      </c>
    </row>
    <row r="1343" spans="1:3" x14ac:dyDescent="0.35">
      <c r="A1343" s="3">
        <v>45811</v>
      </c>
      <c r="B1343">
        <v>-4.239995852216614E-3</v>
      </c>
      <c r="C1343">
        <f ca="1">IF(B1343&lt;Monte_Carlo!$AC$2,1,0)</f>
        <v>0</v>
      </c>
    </row>
    <row r="1344" spans="1:3" x14ac:dyDescent="0.35">
      <c r="A1344" s="3">
        <v>45812</v>
      </c>
      <c r="B1344">
        <v>2.8280731423826334E-3</v>
      </c>
      <c r="C1344">
        <f ca="1">IF(B1344&lt;Monte_Carlo!$AC$2,1,0)</f>
        <v>0</v>
      </c>
    </row>
    <row r="1345" spans="1:3" x14ac:dyDescent="0.35">
      <c r="A1345" s="3">
        <v>45813</v>
      </c>
      <c r="B1345">
        <v>2.4045331079509775E-3</v>
      </c>
      <c r="C1345">
        <f ca="1">IF(B1345&lt;Monte_Carlo!$AC$2,1,0)</f>
        <v>0</v>
      </c>
    </row>
    <row r="1346" spans="1:3" x14ac:dyDescent="0.35">
      <c r="A1346" s="3">
        <v>45814</v>
      </c>
      <c r="B1346">
        <v>5.3959896652548446E-2</v>
      </c>
      <c r="C1346">
        <f ca="1">IF(B1346&lt;Monte_Carlo!$AC$2,1,0)</f>
        <v>0</v>
      </c>
    </row>
    <row r="1347" spans="1:3" x14ac:dyDescent="0.35">
      <c r="A1347" s="3">
        <v>45817</v>
      </c>
      <c r="B1347">
        <v>9.6869181647162954E-3</v>
      </c>
      <c r="C1347">
        <f ca="1">IF(B1347&lt;Monte_Carlo!$AC$2,1,0)</f>
        <v>0</v>
      </c>
    </row>
    <row r="1348" spans="1:3" x14ac:dyDescent="0.35">
      <c r="A1348" s="3">
        <v>45818</v>
      </c>
      <c r="B1348">
        <v>-1.4984809341193171E-2</v>
      </c>
      <c r="C1348">
        <f ca="1">IF(B1348&lt;Monte_Carlo!$AC$2,1,0)</f>
        <v>0</v>
      </c>
    </row>
    <row r="1349" spans="1:3" x14ac:dyDescent="0.35">
      <c r="A1349" s="3">
        <v>45819</v>
      </c>
      <c r="B1349">
        <v>-1.4893891984152811E-2</v>
      </c>
      <c r="C1349">
        <f ca="1">IF(B1349&lt;Monte_Carlo!$AC$2,1,0)</f>
        <v>0</v>
      </c>
    </row>
    <row r="1350" spans="1:3" x14ac:dyDescent="0.35">
      <c r="A1350" s="3">
        <v>45820</v>
      </c>
      <c r="B1350">
        <v>-2.2952187658800065E-2</v>
      </c>
      <c r="C1350">
        <f ca="1">IF(B1350&lt;Monte_Carlo!$AC$2,1,0)</f>
        <v>0</v>
      </c>
    </row>
    <row r="1351" spans="1:3" x14ac:dyDescent="0.35">
      <c r="A1351" s="3">
        <v>45821</v>
      </c>
      <c r="B1351">
        <v>1.2583591622212785E-2</v>
      </c>
      <c r="C1351">
        <f ca="1">IF(B1351&lt;Monte_Carlo!$AC$2,1,0)</f>
        <v>0</v>
      </c>
    </row>
    <row r="1352" spans="1:3" x14ac:dyDescent="0.35">
      <c r="A1352" s="3">
        <v>45824</v>
      </c>
      <c r="B1352">
        <v>-6.7011128317755859E-4</v>
      </c>
      <c r="C1352">
        <f ca="1">IF(B1352&lt;Monte_Carlo!$AC$2,1,0)</f>
        <v>0</v>
      </c>
    </row>
    <row r="1353" spans="1:3" x14ac:dyDescent="0.35">
      <c r="A1353" s="3">
        <v>45825</v>
      </c>
      <c r="B1353">
        <v>-1.590589566281337E-2</v>
      </c>
      <c r="C1353">
        <f ca="1">IF(B1353&lt;Monte_Carlo!$AC$2,1,0)</f>
        <v>0</v>
      </c>
    </row>
    <row r="1354" spans="1:3" x14ac:dyDescent="0.35">
      <c r="A1354" s="3">
        <v>45826</v>
      </c>
      <c r="B1354">
        <v>1.7053913351545436E-3</v>
      </c>
      <c r="C1354">
        <f ca="1">IF(B1354&lt;Monte_Carlo!$AC$2,1,0)</f>
        <v>0</v>
      </c>
    </row>
    <row r="1355" spans="1:3" x14ac:dyDescent="0.35">
      <c r="A1355" s="3">
        <v>45827</v>
      </c>
      <c r="B1355">
        <v>-3.4853519987000569E-3</v>
      </c>
      <c r="C1355">
        <f ca="1">IF(B1355&lt;Monte_Carlo!$AC$2,1,0)</f>
        <v>0</v>
      </c>
    </row>
    <row r="1356" spans="1:3" x14ac:dyDescent="0.35">
      <c r="A1356" s="3">
        <v>45828</v>
      </c>
      <c r="B1356">
        <v>2.2252386683085764E-2</v>
      </c>
      <c r="C1356">
        <f ca="1">IF(B1356&lt;Monte_Carlo!$AC$2,1,0)</f>
        <v>0</v>
      </c>
    </row>
    <row r="1357" spans="1:3" x14ac:dyDescent="0.35">
      <c r="A1357" s="3">
        <v>45831</v>
      </c>
      <c r="B1357">
        <v>3.7740968554919829E-4</v>
      </c>
      <c r="C1357">
        <f ca="1">IF(B1357&lt;Monte_Carlo!$AC$2,1,0)</f>
        <v>0</v>
      </c>
    </row>
    <row r="1358" spans="1:3" x14ac:dyDescent="0.35">
      <c r="A1358" s="3">
        <v>45832</v>
      </c>
      <c r="B1358">
        <v>7.9378721517889585E-3</v>
      </c>
      <c r="C1358">
        <f ca="1">IF(B1358&lt;Monte_Carlo!$AC$2,1,0)</f>
        <v>0</v>
      </c>
    </row>
    <row r="1359" spans="1:3" x14ac:dyDescent="0.35">
      <c r="A1359" s="3">
        <v>45833</v>
      </c>
      <c r="B1359">
        <v>1.1931123553408241E-2</v>
      </c>
      <c r="C1359">
        <f ca="1">IF(B1359&lt;Monte_Carlo!$AC$2,1,0)</f>
        <v>0</v>
      </c>
    </row>
    <row r="1360" spans="1:3" x14ac:dyDescent="0.35">
      <c r="A1360" s="3">
        <v>45834</v>
      </c>
      <c r="B1360">
        <v>-5.4567093920067692E-4</v>
      </c>
      <c r="C1360">
        <f ca="1">IF(B1360&lt;Monte_Carlo!$AC$2,1,0)</f>
        <v>0</v>
      </c>
    </row>
    <row r="1361" spans="1:3" x14ac:dyDescent="0.35">
      <c r="A1361" s="3">
        <v>45835</v>
      </c>
      <c r="B1361">
        <v>2.1671828535302163E-3</v>
      </c>
      <c r="C1361">
        <f ca="1">IF(B1361&lt;Monte_Carlo!$AC$2,1,0)</f>
        <v>0</v>
      </c>
    </row>
    <row r="1362" spans="1:3" x14ac:dyDescent="0.35">
      <c r="A1362" s="3">
        <v>45838</v>
      </c>
      <c r="B1362">
        <v>1.0088530440886673E-2</v>
      </c>
      <c r="C1362">
        <f ca="1">IF(B1362&lt;Monte_Carlo!$AC$2,1,0)</f>
        <v>0</v>
      </c>
    </row>
    <row r="1363" spans="1:3" x14ac:dyDescent="0.35">
      <c r="A1363" s="3">
        <v>45839</v>
      </c>
      <c r="B1363">
        <v>6.4752195882451773E-3</v>
      </c>
      <c r="C1363">
        <f ca="1">IF(B1363&lt;Monte_Carlo!$AC$2,1,0)</f>
        <v>0</v>
      </c>
    </row>
    <row r="1364" spans="1:3" x14ac:dyDescent="0.35">
      <c r="A1364" s="3">
        <v>45840</v>
      </c>
      <c r="B1364">
        <v>-8.6650833300683586E-3</v>
      </c>
      <c r="C1364">
        <f ca="1">IF(B1364&lt;Monte_Carlo!$AC$2,1,0)</f>
        <v>0</v>
      </c>
    </row>
    <row r="1365" spans="1:3" x14ac:dyDescent="0.35">
      <c r="A1365" s="3">
        <v>45841</v>
      </c>
      <c r="B1365">
        <v>-5.5713493772361804E-3</v>
      </c>
      <c r="C1365">
        <f ca="1">IF(B1365&lt;Monte_Carlo!$AC$2,1,0)</f>
        <v>0</v>
      </c>
    </row>
    <row r="1366" spans="1:3" x14ac:dyDescent="0.35">
      <c r="A1366" s="3">
        <v>45842</v>
      </c>
      <c r="B1366">
        <v>1.6167298161150932E-3</v>
      </c>
      <c r="C1366">
        <f ca="1">IF(B1366&lt;Monte_Carlo!$AC$2,1,0)</f>
        <v>0</v>
      </c>
    </row>
    <row r="1367" spans="1:3" x14ac:dyDescent="0.35">
      <c r="A1367" s="3">
        <v>45845</v>
      </c>
      <c r="B1367">
        <v>-4.1908723207072091E-3</v>
      </c>
      <c r="C1367">
        <f ca="1">IF(B1367&lt;Monte_Carlo!$AC$2,1,0)</f>
        <v>0</v>
      </c>
    </row>
    <row r="1368" spans="1:3" x14ac:dyDescent="0.35">
      <c r="A1368" s="3">
        <v>45846</v>
      </c>
      <c r="B1368">
        <v>2.5882643412317068E-3</v>
      </c>
      <c r="C1368">
        <f ca="1">IF(B1368&lt;Monte_Carlo!$AC$2,1,0)</f>
        <v>0</v>
      </c>
    </row>
    <row r="1369" spans="1:3" x14ac:dyDescent="0.35">
      <c r="A1369" s="3">
        <v>45847</v>
      </c>
      <c r="B1369">
        <v>-7.1424839871634671E-3</v>
      </c>
      <c r="C1369">
        <f ca="1">IF(B1369&lt;Monte_Carlo!$AC$2,1,0)</f>
        <v>0</v>
      </c>
    </row>
    <row r="1370" spans="1:3" x14ac:dyDescent="0.35">
      <c r="A1370" s="3">
        <v>45848</v>
      </c>
      <c r="B1370">
        <v>-7.9362604705734592E-3</v>
      </c>
      <c r="C1370">
        <f ca="1">IF(B1370&lt;Monte_Carlo!$AC$2,1,0)</f>
        <v>0</v>
      </c>
    </row>
    <row r="1371" spans="1:3" x14ac:dyDescent="0.35">
      <c r="A1371" s="3">
        <v>45849</v>
      </c>
      <c r="B1371">
        <v>4.8924826406273854E-3</v>
      </c>
      <c r="C1371">
        <f ca="1">IF(B1371&lt;Monte_Carlo!$AC$2,1,0)</f>
        <v>0</v>
      </c>
    </row>
    <row r="1372" spans="1:3" x14ac:dyDescent="0.35">
      <c r="A1372" s="3">
        <v>45852</v>
      </c>
      <c r="B1372">
        <v>6.7520846384614436E-3</v>
      </c>
      <c r="C1372">
        <f ca="1">IF(B1372&lt;Monte_Carlo!$AC$2,1,0)</f>
        <v>0</v>
      </c>
    </row>
    <row r="1373" spans="1:3" x14ac:dyDescent="0.35">
      <c r="A1373" s="3">
        <v>45853</v>
      </c>
      <c r="B1373">
        <v>-4.6097175920702142E-3</v>
      </c>
      <c r="C1373">
        <f ca="1">IF(B1373&lt;Monte_Carlo!$AC$2,1,0)</f>
        <v>0</v>
      </c>
    </row>
    <row r="1374" spans="1:3" x14ac:dyDescent="0.35">
      <c r="A1374" s="3">
        <v>45854</v>
      </c>
      <c r="B1374">
        <v>-7.7802618470896338E-3</v>
      </c>
      <c r="C1374">
        <f ca="1">IF(B1374&lt;Monte_Carlo!$AC$2,1,0)</f>
        <v>0</v>
      </c>
    </row>
    <row r="1375" spans="1:3" x14ac:dyDescent="0.35">
      <c r="A1375" s="3">
        <v>45855</v>
      </c>
      <c r="B1375">
        <v>-1.1624778881847601E-2</v>
      </c>
      <c r="C1375">
        <f ca="1">IF(B1375&lt;Monte_Carlo!$AC$2,1,0)</f>
        <v>0</v>
      </c>
    </row>
    <row r="1376" spans="1:3" x14ac:dyDescent="0.35">
      <c r="A1376" s="3">
        <v>45856</v>
      </c>
      <c r="B1376">
        <v>-1.6433007850566124E-2</v>
      </c>
      <c r="C1376">
        <f ca="1">IF(B1376&lt;Monte_Carlo!$AC$2,1,0)</f>
        <v>0</v>
      </c>
    </row>
    <row r="1377" spans="1:3" x14ac:dyDescent="0.35">
      <c r="A1377" s="3">
        <v>45859</v>
      </c>
      <c r="B1377">
        <v>1.4058242421347809E-2</v>
      </c>
      <c r="C1377">
        <f ca="1">IF(B1377&lt;Monte_Carlo!$AC$2,1,0)</f>
        <v>0</v>
      </c>
    </row>
    <row r="1378" spans="1:3" x14ac:dyDescent="0.35">
      <c r="A1378" s="3">
        <v>45860</v>
      </c>
      <c r="B1378">
        <v>5.4674671596906923E-3</v>
      </c>
      <c r="C1378">
        <f ca="1">IF(B1378&lt;Monte_Carlo!$AC$2,1,0)</f>
        <v>0</v>
      </c>
    </row>
    <row r="1379" spans="1:3" x14ac:dyDescent="0.35">
      <c r="A1379" s="3">
        <v>45861</v>
      </c>
      <c r="B1379">
        <v>-1.1206732213516073E-2</v>
      </c>
      <c r="C1379">
        <f ca="1">IF(B1379&lt;Monte_Carlo!$AC$2,1,0)</f>
        <v>0</v>
      </c>
    </row>
    <row r="1380" spans="1:3" x14ac:dyDescent="0.35">
      <c r="A1380" s="3">
        <v>45862</v>
      </c>
      <c r="B1380">
        <v>-1.1857434320008001E-2</v>
      </c>
      <c r="C1380">
        <f ca="1">IF(B1380&lt;Monte_Carlo!$AC$2,1,0)</f>
        <v>0</v>
      </c>
    </row>
    <row r="1381" spans="1:3" x14ac:dyDescent="0.35">
      <c r="A1381" s="3">
        <v>45863</v>
      </c>
      <c r="B1381">
        <v>6.9298045213994988E-4</v>
      </c>
      <c r="C1381">
        <f ca="1">IF(B1381&lt;Monte_Carlo!$AC$2,1,0)</f>
        <v>0</v>
      </c>
    </row>
    <row r="1382" spans="1:3" x14ac:dyDescent="0.35">
      <c r="A1382" s="3">
        <v>45866</v>
      </c>
      <c r="B1382">
        <v>-1.0068197117867805E-2</v>
      </c>
      <c r="C1382">
        <f ca="1">IF(B1382&lt;Monte_Carlo!$AC$2,1,0)</f>
        <v>0</v>
      </c>
    </row>
    <row r="1383" spans="1:3" x14ac:dyDescent="0.35">
      <c r="A1383" s="3">
        <v>45867</v>
      </c>
      <c r="B1383">
        <v>4.8212850266479076E-3</v>
      </c>
      <c r="C1383">
        <f ca="1">IF(B1383&lt;Monte_Carlo!$AC$2,1,0)</f>
        <v>0</v>
      </c>
    </row>
    <row r="1384" spans="1:3" x14ac:dyDescent="0.35">
      <c r="A1384" s="3">
        <v>45868</v>
      </c>
      <c r="B1384">
        <v>1.5575248279987124E-2</v>
      </c>
      <c r="C1384">
        <f ca="1">IF(B1384&lt;Monte_Carlo!$AC$2,1,0)</f>
        <v>0</v>
      </c>
    </row>
    <row r="1385" spans="1:3" x14ac:dyDescent="0.35">
      <c r="A1385" s="3">
        <v>45869</v>
      </c>
      <c r="B1385">
        <v>6.7165971830506731E-3</v>
      </c>
      <c r="C1385">
        <f ca="1">IF(B1385&lt;Monte_Carlo!$AC$2,1,0)</f>
        <v>0</v>
      </c>
    </row>
    <row r="1386" spans="1:3" x14ac:dyDescent="0.35">
      <c r="A1386" s="3">
        <v>45870</v>
      </c>
      <c r="B1386">
        <v>-3.0741350049189597E-2</v>
      </c>
      <c r="C1386">
        <f ca="1">IF(B1386&lt;Monte_Carlo!$AC$2,1,0)</f>
        <v>0</v>
      </c>
    </row>
    <row r="1387" spans="1:3" x14ac:dyDescent="0.35">
      <c r="A1387" s="3">
        <v>45873</v>
      </c>
      <c r="B1387">
        <v>1.0659724223127338E-2</v>
      </c>
      <c r="C1387">
        <f ca="1">IF(B1387&lt;Monte_Carlo!$AC$2,1,0)</f>
        <v>0</v>
      </c>
    </row>
    <row r="1388" spans="1:3" x14ac:dyDescent="0.35">
      <c r="A1388" s="3">
        <v>45874</v>
      </c>
      <c r="B1388">
        <v>4.6017487086038329E-3</v>
      </c>
      <c r="C1388">
        <f ca="1">IF(B1388&lt;Monte_Carlo!$AC$2,1,0)</f>
        <v>0</v>
      </c>
    </row>
    <row r="1389" spans="1:3" x14ac:dyDescent="0.35">
      <c r="A1389" s="3">
        <v>45875</v>
      </c>
      <c r="B1389">
        <v>-9.9598806896387601E-3</v>
      </c>
      <c r="C1389">
        <f ca="1">IF(B1389&lt;Monte_Carlo!$AC$2,1,0)</f>
        <v>0</v>
      </c>
    </row>
    <row r="1390" spans="1:3" x14ac:dyDescent="0.35">
      <c r="A1390" s="3">
        <v>45876</v>
      </c>
      <c r="B1390">
        <v>7.1954252941197989E-3</v>
      </c>
      <c r="C1390">
        <f ca="1">IF(B1390&lt;Monte_Carlo!$AC$2,1,0)</f>
        <v>0</v>
      </c>
    </row>
    <row r="1391" spans="1:3" x14ac:dyDescent="0.35">
      <c r="A1391" s="3">
        <v>45877</v>
      </c>
      <c r="B1391">
        <v>3.8412002136360779E-3</v>
      </c>
      <c r="C1391">
        <f ca="1">IF(B1391&lt;Monte_Carlo!$AC$2,1,0)</f>
        <v>0</v>
      </c>
    </row>
    <row r="1392" spans="1:3" x14ac:dyDescent="0.35">
      <c r="A1392" s="3">
        <v>45880</v>
      </c>
      <c r="B1392">
        <v>5.3002616184876063E-3</v>
      </c>
      <c r="C1392">
        <f ca="1">IF(B1392&lt;Monte_Carlo!$AC$2,1,0)</f>
        <v>0</v>
      </c>
    </row>
    <row r="1393" spans="1:3" x14ac:dyDescent="0.35">
      <c r="A1393" s="3">
        <v>45881</v>
      </c>
      <c r="B1393">
        <v>-3.1981433931730033E-3</v>
      </c>
      <c r="C1393">
        <f ca="1">IF(B1393&lt;Monte_Carlo!$AC$2,1,0)</f>
        <v>0</v>
      </c>
    </row>
    <row r="1394" spans="1:3" x14ac:dyDescent="0.35">
      <c r="A1394" s="3">
        <v>45882</v>
      </c>
      <c r="B1394">
        <v>4.0551147122315535E-3</v>
      </c>
      <c r="C1394">
        <f ca="1">IF(B1394&lt;Monte_Carlo!$AC$2,1,0)</f>
        <v>0</v>
      </c>
    </row>
    <row r="1395" spans="1:3" x14ac:dyDescent="0.35">
      <c r="A1395" s="3">
        <v>45883</v>
      </c>
      <c r="B1395">
        <v>-1.0017777579342965E-2</v>
      </c>
      <c r="C1395">
        <f ca="1">IF(B1395&lt;Monte_Carlo!$AC$2,1,0)</f>
        <v>0</v>
      </c>
    </row>
    <row r="1396" spans="1:3" x14ac:dyDescent="0.35">
      <c r="A1396" s="3">
        <v>45887</v>
      </c>
      <c r="B1396">
        <v>2.299318156343216E-2</v>
      </c>
      <c r="C1396">
        <f ca="1">IF(B1396&lt;Monte_Carlo!$AC$2,1,0)</f>
        <v>0</v>
      </c>
    </row>
    <row r="1397" spans="1:3" x14ac:dyDescent="0.35">
      <c r="A1397" s="3">
        <v>45888</v>
      </c>
      <c r="B1397">
        <v>2.644100868387803E-3</v>
      </c>
      <c r="C1397">
        <f ca="1">IF(B1397&lt;Monte_Carlo!$AC$2,1,0)</f>
        <v>0</v>
      </c>
    </row>
    <row r="1398" spans="1:3" x14ac:dyDescent="0.35">
      <c r="A1398" s="3">
        <v>45889</v>
      </c>
      <c r="B1398">
        <v>4.2340252230488864E-3</v>
      </c>
      <c r="C1398">
        <f ca="1">IF(B1398&lt;Monte_Carlo!$AC$2,1,0)</f>
        <v>0</v>
      </c>
    </row>
    <row r="1399" spans="1:3" x14ac:dyDescent="0.35">
      <c r="A1399" s="3">
        <v>45890</v>
      </c>
      <c r="B1399">
        <v>-1.1285115285748905E-3</v>
      </c>
      <c r="C1399">
        <f ca="1">IF(B1399&lt;Monte_Carlo!$AC$2,1,0)</f>
        <v>0</v>
      </c>
    </row>
    <row r="1400" spans="1:3" x14ac:dyDescent="0.35">
      <c r="A1400" s="3">
        <v>45891</v>
      </c>
      <c r="B1400">
        <v>-2.3632033792434042E-2</v>
      </c>
      <c r="C1400">
        <f ca="1">IF(B1400&lt;Monte_Carlo!$AC$2,1,0)</f>
        <v>0</v>
      </c>
    </row>
    <row r="1401" spans="1:3" x14ac:dyDescent="0.35">
      <c r="A1401" s="3">
        <v>45894</v>
      </c>
      <c r="B1401">
        <v>1.8120106377203231E-3</v>
      </c>
      <c r="C1401">
        <f ca="1">IF(B1401&lt;Monte_Carlo!$AC$2,1,0)</f>
        <v>0</v>
      </c>
    </row>
    <row r="1402" spans="1:3" x14ac:dyDescent="0.35">
      <c r="A1402" s="3">
        <v>45895</v>
      </c>
      <c r="B1402">
        <v>-2.2410228001368417E-2</v>
      </c>
      <c r="C1402">
        <f ca="1">IF(B1402&lt;Monte_Carlo!$AC$2,1,0)</f>
        <v>0</v>
      </c>
    </row>
    <row r="1403" spans="1:3" x14ac:dyDescent="0.35">
      <c r="A1403" s="3">
        <v>45897</v>
      </c>
      <c r="B1403">
        <v>-8.1817885906992748E-3</v>
      </c>
      <c r="C1403">
        <f ca="1">IF(B1403&lt;Monte_Carlo!$AC$2,1,0)</f>
        <v>0</v>
      </c>
    </row>
    <row r="1404" spans="1:3" x14ac:dyDescent="0.35">
      <c r="A1404" s="3">
        <v>45898</v>
      </c>
      <c r="B1404">
        <v>-1.0920243810666613E-2</v>
      </c>
      <c r="C1404">
        <f ca="1">IF(B1404&lt;Monte_Carlo!$AC$2,1,0)</f>
        <v>0</v>
      </c>
    </row>
    <row r="1405" spans="1:3" x14ac:dyDescent="0.35">
      <c r="A1405" s="3">
        <v>45901</v>
      </c>
      <c r="B1405">
        <v>4.8633241192436441E-3</v>
      </c>
      <c r="C1405">
        <f ca="1">IF(B1405&lt;Monte_Carlo!$AC$2,1,0)</f>
        <v>0</v>
      </c>
    </row>
    <row r="1406" spans="1:3" x14ac:dyDescent="0.35">
      <c r="A1406" s="3">
        <v>45902</v>
      </c>
      <c r="B1406">
        <v>-6.6301698302467472E-3</v>
      </c>
      <c r="C1406">
        <f ca="1">IF(B1406&lt;Monte_Carlo!$AC$2,1,0)</f>
        <v>0</v>
      </c>
    </row>
    <row r="1407" spans="1:3" x14ac:dyDescent="0.35">
      <c r="A1407" s="3">
        <v>45903</v>
      </c>
      <c r="B1407">
        <v>2.3427395582781064E-3</v>
      </c>
      <c r="C1407">
        <f ca="1">IF(B1407&lt;Monte_Carlo!$AC$2,1,0)</f>
        <v>0</v>
      </c>
    </row>
    <row r="1408" spans="1:3" x14ac:dyDescent="0.35">
      <c r="A1408" s="3">
        <v>45904</v>
      </c>
      <c r="B1408">
        <v>2.283592007567491E-2</v>
      </c>
      <c r="C1408">
        <f ca="1">IF(B1408&lt;Monte_Carlo!$AC$2,1,0)</f>
        <v>0</v>
      </c>
    </row>
    <row r="1409" spans="1:3" x14ac:dyDescent="0.35">
      <c r="A1409" s="3">
        <v>45905</v>
      </c>
      <c r="B1409">
        <v>-1.3499329867071468E-2</v>
      </c>
      <c r="C1409">
        <f ca="1">IF(B1409&lt;Monte_Carlo!$AC$2,1,0)</f>
        <v>0</v>
      </c>
    </row>
    <row r="1410" spans="1:3" x14ac:dyDescent="0.35">
      <c r="A1410" s="3">
        <v>45908</v>
      </c>
      <c r="B1410">
        <v>-3.9377040508657259E-3</v>
      </c>
      <c r="C1410">
        <f ca="1">IF(B1410&lt;Monte_Carlo!$AC$2,1,0)</f>
        <v>0</v>
      </c>
    </row>
    <row r="1411" spans="1:3" x14ac:dyDescent="0.35">
      <c r="A1411" s="3">
        <v>45909</v>
      </c>
      <c r="B1411">
        <v>-2.0944084606559343E-5</v>
      </c>
      <c r="C1411">
        <f ca="1">IF(B1411&lt;Monte_Carlo!$AC$2,1,0)</f>
        <v>0</v>
      </c>
    </row>
    <row r="1412" spans="1:3" x14ac:dyDescent="0.35">
      <c r="A1412" s="3">
        <v>45910</v>
      </c>
      <c r="B1412">
        <v>9.5561059589401205E-3</v>
      </c>
      <c r="C1412">
        <f ca="1">IF(B1412&lt;Monte_Carlo!$AC$2,1,0)</f>
        <v>0</v>
      </c>
    </row>
    <row r="1413" spans="1:3" x14ac:dyDescent="0.35">
      <c r="A1413" s="3">
        <v>45911</v>
      </c>
      <c r="B1413">
        <v>7.683339780133757E-3</v>
      </c>
      <c r="C1413">
        <f ca="1">IF(B1413&lt;Monte_Carlo!$AC$2,1,0)</f>
        <v>0</v>
      </c>
    </row>
    <row r="1414" spans="1:3" x14ac:dyDescent="0.35">
      <c r="A1414" s="3">
        <v>45912</v>
      </c>
      <c r="B1414">
        <v>8.643949995293122E-3</v>
      </c>
      <c r="C1414">
        <f ca="1">IF(B1414&lt;Monte_Carlo!$AC$2,1,0)</f>
        <v>0</v>
      </c>
    </row>
    <row r="1415" spans="1:3" x14ac:dyDescent="0.35">
      <c r="A1415" s="3">
        <v>45915</v>
      </c>
      <c r="B1415">
        <v>5.3750957414080746E-3</v>
      </c>
      <c r="C1415">
        <f ca="1">IF(B1415&lt;Monte_Carlo!$AC$2,1,0)</f>
        <v>0</v>
      </c>
    </row>
    <row r="1416" spans="1:3" x14ac:dyDescent="0.35">
      <c r="A1416" s="3">
        <v>45916</v>
      </c>
      <c r="B1416">
        <v>2.3220065037881945E-3</v>
      </c>
      <c r="C1416">
        <f ca="1">IF(B1416&lt;Monte_Carlo!$AC$2,1,0)</f>
        <v>0</v>
      </c>
    </row>
    <row r="1417" spans="1:3" x14ac:dyDescent="0.35">
      <c r="A1417" s="3">
        <v>45917</v>
      </c>
      <c r="B1417">
        <v>-1.8127286804531108E-2</v>
      </c>
      <c r="C1417">
        <f ca="1">IF(B1417&lt;Monte_Carlo!$AC$2,1,0)</f>
        <v>0</v>
      </c>
    </row>
    <row r="1418" spans="1:3" x14ac:dyDescent="0.35">
      <c r="A1418" s="3">
        <v>45918</v>
      </c>
      <c r="B1418">
        <v>5.4103697105396193E-3</v>
      </c>
      <c r="C1418">
        <f ca="1">IF(B1418&lt;Monte_Carlo!$AC$2,1,0)</f>
        <v>0</v>
      </c>
    </row>
    <row r="1419" spans="1:3" x14ac:dyDescent="0.35">
      <c r="A1419" s="3">
        <v>45919</v>
      </c>
      <c r="B1419">
        <v>-6.7076902423862791E-3</v>
      </c>
      <c r="C1419">
        <f ca="1">IF(B1419&lt;Monte_Carlo!$AC$2,1,0)</f>
        <v>0</v>
      </c>
    </row>
    <row r="1420" spans="1:3" x14ac:dyDescent="0.35">
      <c r="A1420" s="3">
        <v>45922</v>
      </c>
      <c r="B1420">
        <v>7.0102216819523493E-3</v>
      </c>
      <c r="C1420">
        <f ca="1">IF(B1420&lt;Monte_Carlo!$AC$2,1,0)</f>
        <v>0</v>
      </c>
    </row>
    <row r="1421" spans="1:3" x14ac:dyDescent="0.35">
      <c r="A1421" s="3">
        <v>45923</v>
      </c>
      <c r="B1421">
        <v>2.9221571356022784E-3</v>
      </c>
      <c r="C1421">
        <f ca="1">IF(B1421&lt;Monte_Carlo!$AC$2,1,0)</f>
        <v>0</v>
      </c>
    </row>
    <row r="1422" spans="1:3" x14ac:dyDescent="0.35">
      <c r="A1422" s="3">
        <v>45924</v>
      </c>
      <c r="B1422">
        <v>-6.9510692505758446E-3</v>
      </c>
      <c r="C1422">
        <f ca="1">IF(B1422&lt;Monte_Carlo!$AC$2,1,0)</f>
        <v>0</v>
      </c>
    </row>
    <row r="1423" spans="1:3" x14ac:dyDescent="0.35">
      <c r="A1423" s="3">
        <v>45925</v>
      </c>
      <c r="B1423">
        <v>-4.9959580966045156E-4</v>
      </c>
      <c r="C1423">
        <f ca="1">IF(B1423&lt;Monte_Carlo!$AC$2,1,0)</f>
        <v>0</v>
      </c>
    </row>
    <row r="1424" spans="1:3" x14ac:dyDescent="0.35">
      <c r="A1424" s="3">
        <v>45926</v>
      </c>
      <c r="B1424">
        <v>2.8943869540469201E-3</v>
      </c>
      <c r="C1424">
        <f ca="1">IF(B1424&lt;Monte_Carlo!$AC$2,1,0)</f>
        <v>0</v>
      </c>
    </row>
    <row r="1425" spans="1:3" x14ac:dyDescent="0.35">
      <c r="A1425" s="3">
        <v>45929</v>
      </c>
      <c r="B1425">
        <v>5.9841580697551529E-3</v>
      </c>
      <c r="C1425">
        <f ca="1">IF(B1425&lt;Monte_Carlo!$AC$2,1,0)</f>
        <v>0</v>
      </c>
    </row>
    <row r="1426" spans="1:3" x14ac:dyDescent="0.35">
      <c r="A1426" s="3">
        <v>45930</v>
      </c>
      <c r="B1426">
        <v>-2.4287092946449298E-3</v>
      </c>
      <c r="C1426">
        <f ca="1">IF(B1426&lt;Monte_Carlo!$AC$2,1,0)</f>
        <v>0</v>
      </c>
    </row>
    <row r="1427" spans="1:3" x14ac:dyDescent="0.35">
      <c r="A1427" s="3">
        <v>45931</v>
      </c>
      <c r="B1427">
        <v>4.5499073303367455E-3</v>
      </c>
      <c r="C1427">
        <f ca="1">IF(B1427&lt;Monte_Carlo!$AC$2,1,0)</f>
        <v>0</v>
      </c>
    </row>
    <row r="1428" spans="1:3" x14ac:dyDescent="0.35">
      <c r="A1428" s="3">
        <v>45933</v>
      </c>
      <c r="B1428">
        <v>2.9805703857109889E-3</v>
      </c>
      <c r="C1428">
        <f ca="1">IF(B1428&lt;Monte_Carlo!$AC$2,1,0)</f>
        <v>0</v>
      </c>
    </row>
    <row r="1429" spans="1:3" x14ac:dyDescent="0.35">
      <c r="A1429" s="3">
        <v>45936</v>
      </c>
      <c r="B1429">
        <v>1.422708749333524E-2</v>
      </c>
      <c r="C1429">
        <f ca="1">IF(B1429&lt;Monte_Carlo!$AC$2,1,0)</f>
        <v>0</v>
      </c>
    </row>
    <row r="1430" spans="1:3" x14ac:dyDescent="0.35">
      <c r="A1430" s="3">
        <v>45937</v>
      </c>
      <c r="B1430">
        <v>-6.8544347358297439E-3</v>
      </c>
      <c r="C1430">
        <f ca="1">IF(B1430&lt;Monte_Carlo!$AC$2,1,0)</f>
        <v>0</v>
      </c>
    </row>
    <row r="1431" spans="1:3" x14ac:dyDescent="0.35">
      <c r="A1431" s="3">
        <v>45938</v>
      </c>
      <c r="B1431">
        <v>-1.6358123759201565E-2</v>
      </c>
      <c r="C1431">
        <f ca="1">IF(B1431&lt;Monte_Carlo!$AC$2,1,0)</f>
        <v>0</v>
      </c>
    </row>
    <row r="1432" spans="1:3" x14ac:dyDescent="0.35">
      <c r="A1432" s="3">
        <v>45939</v>
      </c>
      <c r="B1432">
        <v>3.8030422400218964E-3</v>
      </c>
      <c r="C1432">
        <f ca="1">IF(B1432&lt;Monte_Carlo!$AC$2,1,0)</f>
        <v>0</v>
      </c>
    </row>
    <row r="1433" spans="1:3" x14ac:dyDescent="0.35">
      <c r="A1433" s="3">
        <v>45940</v>
      </c>
      <c r="B1433">
        <v>-4.1139314373834562E-3</v>
      </c>
      <c r="C1433">
        <f ca="1">IF(B1433&lt;Monte_Carlo!$AC$2,1,0)</f>
        <v>0</v>
      </c>
    </row>
    <row r="1434" spans="1:3" x14ac:dyDescent="0.35">
      <c r="A1434" s="3">
        <v>45943</v>
      </c>
      <c r="B1434">
        <v>-1.1738315505915675E-2</v>
      </c>
      <c r="C1434">
        <f ca="1">IF(B1434&lt;Monte_Carlo!$AC$2,1,0)</f>
        <v>0</v>
      </c>
    </row>
    <row r="1435" spans="1:3" x14ac:dyDescent="0.35">
      <c r="A1435" s="3">
        <v>45944</v>
      </c>
      <c r="B1435">
        <v>3.7993362403723578E-3</v>
      </c>
      <c r="C1435">
        <f ca="1">IF(B1435&lt;Monte_Carlo!$AC$2,1,0)</f>
        <v>0</v>
      </c>
    </row>
    <row r="1436" spans="1:3" x14ac:dyDescent="0.35">
      <c r="A1436" s="3">
        <v>45945</v>
      </c>
      <c r="B1436">
        <v>6.7135506770809303E-2</v>
      </c>
      <c r="C1436">
        <f ca="1">IF(B1436&lt;Monte_Carlo!$AC$2,1,0)</f>
        <v>0</v>
      </c>
    </row>
    <row r="1437" spans="1:3" x14ac:dyDescent="0.35">
      <c r="A1437" s="3">
        <v>45946</v>
      </c>
      <c r="B1437">
        <v>-1.8284299485557703E-3</v>
      </c>
      <c r="C1437">
        <f ca="1">IF(B1437&lt;Monte_Carlo!$AC$2,1,0)</f>
        <v>0</v>
      </c>
    </row>
    <row r="1438" spans="1:3" x14ac:dyDescent="0.35">
      <c r="A1438" s="3">
        <v>45947</v>
      </c>
      <c r="B1438">
        <v>-5.301521935844297E-3</v>
      </c>
      <c r="C1438">
        <f ca="1">IF(B1438&lt;Monte_Carlo!$AC$2,1,0)</f>
        <v>0</v>
      </c>
    </row>
    <row r="1439" spans="1:3" x14ac:dyDescent="0.35">
      <c r="A1439" s="3">
        <v>45950</v>
      </c>
      <c r="B1439">
        <v>5.9412502689452145E-3</v>
      </c>
      <c r="C1439">
        <f ca="1">IF(B1439&lt;Monte_Carlo!$AC$2,1,0)</f>
        <v>0</v>
      </c>
    </row>
    <row r="1440" spans="1:3" x14ac:dyDescent="0.35">
      <c r="A1440" s="3">
        <v>45951</v>
      </c>
      <c r="B1440">
        <v>-1.9996168980442172E-3</v>
      </c>
      <c r="C1440">
        <f ca="1">IF(B1440&lt;Monte_Carlo!$AC$2,1,0)</f>
        <v>0</v>
      </c>
    </row>
    <row r="1441" spans="1:3" x14ac:dyDescent="0.35">
      <c r="A1441" s="3">
        <v>45953</v>
      </c>
      <c r="B1441">
        <v>-7.1185274263769367E-3</v>
      </c>
      <c r="C1441">
        <f ca="1">IF(B1441&lt;Monte_Carlo!$AC$2,1,0)</f>
        <v>0</v>
      </c>
    </row>
    <row r="1442" spans="1:3" x14ac:dyDescent="0.35">
      <c r="A1442" s="3">
        <v>45954</v>
      </c>
      <c r="B1442">
        <v>4.2201231926051221E-3</v>
      </c>
      <c r="C1442">
        <f ca="1">IF(B1442&lt;Monte_Carlo!$AC$2,1,0)</f>
        <v>0</v>
      </c>
    </row>
    <row r="1443" spans="1:3" x14ac:dyDescent="0.35">
      <c r="A1443" s="3">
        <v>45957</v>
      </c>
      <c r="B1443">
        <v>-2.0814339140071553E-3</v>
      </c>
      <c r="C1443">
        <f ca="1">IF(B1443&lt;Monte_Carlo!$AC$2,1,0)</f>
        <v>0</v>
      </c>
    </row>
    <row r="1444" spans="1:3" x14ac:dyDescent="0.35">
      <c r="A1444" s="3">
        <v>45958</v>
      </c>
      <c r="B1444">
        <v>1.0663578562575561E-2</v>
      </c>
      <c r="C1444">
        <f ca="1">IF(B1444&lt;Monte_Carlo!$AC$2,1,0)</f>
        <v>0</v>
      </c>
    </row>
    <row r="1445" spans="1:3" x14ac:dyDescent="0.35">
      <c r="A1445" s="3">
        <v>45959</v>
      </c>
      <c r="B1445">
        <v>6.0210931944208197E-3</v>
      </c>
      <c r="C1445">
        <f ca="1">IF(B1445&lt;Monte_Carlo!$AC$2,1,0)</f>
        <v>0</v>
      </c>
    </row>
    <row r="1446" spans="1:3" x14ac:dyDescent="0.35">
      <c r="A1446" s="3">
        <v>45960</v>
      </c>
      <c r="B1446">
        <v>-8.0224704664048196E-3</v>
      </c>
      <c r="C1446">
        <f ca="1">IF(B1446&lt;Monte_Carlo!$AC$2,1,0)</f>
        <v>0</v>
      </c>
    </row>
    <row r="1447" spans="1:3" x14ac:dyDescent="0.35">
      <c r="A1447" s="3">
        <v>45961</v>
      </c>
      <c r="B1447">
        <v>-1.2849449563057721E-2</v>
      </c>
      <c r="C1447">
        <f ca="1">IF(B1447&lt;Monte_Carlo!$AC$2,1,0)</f>
        <v>0</v>
      </c>
    </row>
    <row r="1448" spans="1:3" x14ac:dyDescent="0.35">
      <c r="A1448" s="3">
        <v>45964</v>
      </c>
      <c r="B1448">
        <v>6.9590958448881596E-3</v>
      </c>
      <c r="C1448">
        <f ca="1">IF(B1448&lt;Monte_Carlo!$AC$2,1,0)</f>
        <v>0</v>
      </c>
    </row>
    <row r="1449" spans="1:3" x14ac:dyDescent="0.35">
      <c r="A1449" s="3">
        <v>45965</v>
      </c>
      <c r="B1449">
        <v>9.8587680763736266E-3</v>
      </c>
      <c r="C1449">
        <f ca="1">IF(B1449&lt;Monte_Carlo!$AC$2,1,0)</f>
        <v>0</v>
      </c>
    </row>
    <row r="1450" spans="1:3" x14ac:dyDescent="0.35">
      <c r="A1450" s="3">
        <v>45966</v>
      </c>
      <c r="B1450">
        <v>0</v>
      </c>
      <c r="C1450">
        <f ca="1">IF(B1450&lt;Monte_Carlo!$AC$2,1,0)</f>
        <v>0</v>
      </c>
    </row>
    <row r="1451" spans="1:3" x14ac:dyDescent="0.35">
      <c r="A1451" s="3">
        <v>45967</v>
      </c>
      <c r="B1451">
        <v>-1.5406269901337248E-2</v>
      </c>
      <c r="C1451">
        <f ca="1">IF(B1451&lt;Monte_Carlo!$AC$2,1,0)</f>
        <v>0</v>
      </c>
    </row>
    <row r="1452" spans="1:3" x14ac:dyDescent="0.35">
      <c r="A1452" s="3">
        <v>45968</v>
      </c>
      <c r="B1452">
        <v>9.7451243801940195E-3</v>
      </c>
      <c r="C1452">
        <f ca="1">IF(B1452&lt;Monte_Carlo!$AC$2,1,0)</f>
        <v>0</v>
      </c>
    </row>
    <row r="1453" spans="1:3" x14ac:dyDescent="0.35">
      <c r="A1453" s="3">
        <v>45971</v>
      </c>
      <c r="B1453">
        <v>1.9255121587257E-3</v>
      </c>
      <c r="C1453">
        <f ca="1">IF(B1453&lt;Monte_Carlo!$AC$2,1,0)</f>
        <v>0</v>
      </c>
    </row>
    <row r="1454" spans="1:3" x14ac:dyDescent="0.35">
      <c r="A1454" s="3">
        <v>45972</v>
      </c>
      <c r="B1454">
        <v>-7.7837020693610126E-3</v>
      </c>
      <c r="C1454">
        <f ca="1">IF(B1454&lt;Monte_Carlo!$AC$2,1,0)</f>
        <v>0</v>
      </c>
    </row>
    <row r="1455" spans="1:3" x14ac:dyDescent="0.35">
      <c r="A1455" s="3">
        <v>45973</v>
      </c>
      <c r="B1455">
        <v>1.3912659650561463E-2</v>
      </c>
      <c r="C1455">
        <f ca="1">IF(B1455&lt;Monte_Carlo!$AC$2,1,0)</f>
        <v>0</v>
      </c>
    </row>
    <row r="1456" spans="1:3" x14ac:dyDescent="0.35">
      <c r="A1456" s="3">
        <v>45974</v>
      </c>
      <c r="B1456">
        <v>4.2333357620684452E-3</v>
      </c>
      <c r="C1456">
        <f ca="1">IF(B1456&lt;Monte_Carlo!$AC$2,1,0)</f>
        <v>0</v>
      </c>
    </row>
    <row r="1457" spans="1:3" x14ac:dyDescent="0.35">
      <c r="A1457" s="3">
        <v>45975</v>
      </c>
      <c r="B1457">
        <v>-1.125596610239951E-2</v>
      </c>
      <c r="C1457">
        <f ca="1">IF(B1457&lt;Monte_Carlo!$AC$2,1,0)</f>
        <v>0</v>
      </c>
    </row>
    <row r="1458" spans="1:3" x14ac:dyDescent="0.35">
      <c r="A1458" s="3">
        <v>45978</v>
      </c>
      <c r="B1458">
        <v>1.5304440015516944E-2</v>
      </c>
      <c r="C1458">
        <f ca="1">IF(B1458&lt;Monte_Carlo!$AC$2,1,0)</f>
        <v>0</v>
      </c>
    </row>
    <row r="1459" spans="1:3" x14ac:dyDescent="0.35">
      <c r="A1459" s="3">
        <v>45979</v>
      </c>
      <c r="B1459">
        <v>-6.8772347382066801E-3</v>
      </c>
      <c r="C1459">
        <f ca="1">IF(B1459&lt;Monte_Carlo!$AC$2,1,0)</f>
        <v>0</v>
      </c>
    </row>
    <row r="1460" spans="1:3" x14ac:dyDescent="0.35">
      <c r="A1460" s="3">
        <v>45980</v>
      </c>
      <c r="B1460">
        <v>2.2067696350791684E-3</v>
      </c>
      <c r="C1460">
        <f ca="1">IF(B1460&lt;Monte_Carlo!$AC$2,1,0)</f>
        <v>0</v>
      </c>
    </row>
    <row r="1461" spans="1:3" x14ac:dyDescent="0.35">
      <c r="A1461" s="3">
        <v>45981</v>
      </c>
      <c r="B1461">
        <v>-3.2852432290083021E-3</v>
      </c>
      <c r="C1461">
        <f ca="1">IF(B1461&lt;Monte_Carlo!$AC$2,1,0)</f>
        <v>0</v>
      </c>
    </row>
    <row r="1462" spans="1:3" x14ac:dyDescent="0.35">
      <c r="A1462" s="3">
        <v>45982</v>
      </c>
      <c r="B1462">
        <v>-1.6000314349181182E-2</v>
      </c>
      <c r="C1462">
        <f ca="1">IF(B1462&lt;Monte_Carlo!$AC$2,1,0)</f>
        <v>0</v>
      </c>
    </row>
    <row r="1463" spans="1:3" x14ac:dyDescent="0.35">
      <c r="A1463" s="3">
        <v>45985</v>
      </c>
      <c r="B1463">
        <v>-3.9568339462361804E-3</v>
      </c>
      <c r="C1463">
        <f ca="1">IF(B1463&lt;Monte_Carlo!$AC$2,1,0)</f>
        <v>0</v>
      </c>
    </row>
    <row r="1464" spans="1:3" x14ac:dyDescent="0.35">
      <c r="A1464" s="3">
        <v>45986</v>
      </c>
      <c r="B1464">
        <v>2.7192522611318025E-3</v>
      </c>
      <c r="C1464">
        <f ca="1">IF(B1464&lt;Monte_Carlo!$AC$2,1,0)</f>
        <v>0</v>
      </c>
    </row>
    <row r="1465" spans="1:3" x14ac:dyDescent="0.35">
      <c r="A1465" s="3">
        <v>45987</v>
      </c>
      <c r="B1465">
        <v>9.6433482281174723E-3</v>
      </c>
      <c r="C1465">
        <f ca="1">IF(B1465&lt;Monte_Carlo!$AC$2,1,0)</f>
        <v>0</v>
      </c>
    </row>
    <row r="1466" spans="1:3" x14ac:dyDescent="0.35">
      <c r="A1466" s="3">
        <v>45988</v>
      </c>
      <c r="B1466">
        <v>-1.5754727301172073E-2</v>
      </c>
      <c r="C1466">
        <f ca="1">IF(B1466&lt;Monte_Carlo!$AC$2,1,0)</f>
        <v>0</v>
      </c>
    </row>
    <row r="1467" spans="1:3" x14ac:dyDescent="0.35">
      <c r="A1467" s="3">
        <v>45989</v>
      </c>
      <c r="B1467">
        <v>-2.7001219777194954E-3</v>
      </c>
      <c r="C1467">
        <f ca="1">IF(B1467&lt;Monte_Carlo!$AC$2,1,0)</f>
        <v>0</v>
      </c>
    </row>
    <row r="1468" spans="1:3" x14ac:dyDescent="0.35">
      <c r="A1468" s="3">
        <v>45992</v>
      </c>
      <c r="B1468">
        <v>8.107717520830969E-3</v>
      </c>
      <c r="C1468">
        <f ca="1">IF(B1468&lt;Monte_Carlo!$AC$2,1,0)</f>
        <v>0</v>
      </c>
    </row>
    <row r="1469" spans="1:3" x14ac:dyDescent="0.35">
      <c r="A1469" s="3">
        <v>45993</v>
      </c>
      <c r="B1469">
        <v>-2.5831467718130455E-3</v>
      </c>
      <c r="C1469">
        <f ca="1">IF(B1469&lt;Monte_Carlo!$AC$2,1,0)</f>
        <v>0</v>
      </c>
    </row>
    <row r="1470" spans="1:3" x14ac:dyDescent="0.35">
      <c r="A1470" s="3">
        <v>45994</v>
      </c>
      <c r="B1470">
        <v>-6.9312529860904937E-3</v>
      </c>
      <c r="C1470">
        <f ca="1">IF(B1470&lt;Monte_Carlo!$AC$2,1,0)</f>
        <v>0</v>
      </c>
    </row>
    <row r="1471" spans="1:3" x14ac:dyDescent="0.35">
      <c r="A1471" s="3">
        <v>45995</v>
      </c>
      <c r="B1471">
        <v>2.5314631953640299E-3</v>
      </c>
      <c r="C1471">
        <f ca="1">IF(B1471&lt;Monte_Carlo!$AC$2,1,0)</f>
        <v>0</v>
      </c>
    </row>
    <row r="1472" spans="1:3" x14ac:dyDescent="0.35">
      <c r="A1472" s="3">
        <v>45996</v>
      </c>
      <c r="B1472">
        <v>-5.8160180047743416E-3</v>
      </c>
      <c r="C1472">
        <f ca="1">IF(B1472&lt;Monte_Carlo!$AC$2,1,0)</f>
        <v>0</v>
      </c>
    </row>
    <row r="1473" spans="1:3" x14ac:dyDescent="0.35">
      <c r="A1473" s="3">
        <v>45999</v>
      </c>
      <c r="B1473">
        <v>-9.0367344579349532E-3</v>
      </c>
      <c r="C1473">
        <f ca="1">IF(B1473&lt;Monte_Carlo!$AC$2,1,0)</f>
        <v>0</v>
      </c>
    </row>
    <row r="1474" spans="1:3" x14ac:dyDescent="0.35">
      <c r="A1474" s="3">
        <v>46000</v>
      </c>
      <c r="B1474">
        <v>-4.1390059896694335E-3</v>
      </c>
      <c r="C1474">
        <f ca="1">IF(B1474&lt;Monte_Carlo!$AC$2,1,0)</f>
        <v>0</v>
      </c>
    </row>
    <row r="1475" spans="1:3" x14ac:dyDescent="0.35">
      <c r="A1475" s="3">
        <v>46001</v>
      </c>
      <c r="B1475">
        <v>-2.6042006143120622E-3</v>
      </c>
      <c r="C1475">
        <f ca="1">IF(B1475&lt;Monte_Carlo!$AC$2,1,0)</f>
        <v>0</v>
      </c>
    </row>
    <row r="1476" spans="1:3" x14ac:dyDescent="0.35">
      <c r="A1476" s="3">
        <v>46002</v>
      </c>
      <c r="B1476">
        <v>-1.5319977702298341E-4</v>
      </c>
      <c r="C1476">
        <f ca="1">IF(B1476&lt;Monte_Carlo!$AC$2,1,0)</f>
        <v>0</v>
      </c>
    </row>
    <row r="1477" spans="1:3" x14ac:dyDescent="0.35">
      <c r="A1477" s="3">
        <v>46003</v>
      </c>
      <c r="B1477">
        <v>5.939576363370289E-3</v>
      </c>
      <c r="C1477">
        <f ca="1">IF(B1477&lt;Monte_Carlo!$AC$2,1,0)</f>
        <v>0</v>
      </c>
    </row>
    <row r="1478" spans="1:3" x14ac:dyDescent="0.35">
      <c r="A1478" s="3">
        <v>46006</v>
      </c>
      <c r="B1478">
        <v>3.8588099659777218E-3</v>
      </c>
      <c r="C1478">
        <f ca="1">IF(B1478&lt;Monte_Carlo!$AC$2,1,0)</f>
        <v>0</v>
      </c>
    </row>
    <row r="1479" spans="1:3" x14ac:dyDescent="0.35">
      <c r="A1479" s="3">
        <v>46007</v>
      </c>
      <c r="B1479">
        <v>-2.8295731978510174E-3</v>
      </c>
      <c r="C1479">
        <f ca="1">IF(B1479&lt;Monte_Carlo!$AC$2,1,0)</f>
        <v>0</v>
      </c>
    </row>
    <row r="1480" spans="1:3" x14ac:dyDescent="0.35">
      <c r="A1480" s="3">
        <v>46008</v>
      </c>
      <c r="B1480">
        <v>-7.9080914292835765E-3</v>
      </c>
      <c r="C1480">
        <f ca="1">IF(B1480&lt;Monte_Carlo!$AC$2,1,0)</f>
        <v>0</v>
      </c>
    </row>
    <row r="1481" spans="1:3" x14ac:dyDescent="0.35">
      <c r="A1481" s="3">
        <v>46009</v>
      </c>
      <c r="B1481">
        <v>-3.1523288421453186E-3</v>
      </c>
      <c r="C1481">
        <f ca="1">IF(B1481&lt;Monte_Carlo!$AC$2,1,0)</f>
        <v>0</v>
      </c>
    </row>
    <row r="1482" spans="1:3" x14ac:dyDescent="0.35">
      <c r="A1482" s="3">
        <v>46010</v>
      </c>
      <c r="B1482">
        <v>2.4459744126213521E-3</v>
      </c>
      <c r="C1482">
        <f ca="1">IF(B1482&lt;Monte_Carlo!$AC$2,1,0)</f>
        <v>0</v>
      </c>
    </row>
    <row r="1483" spans="1:3" x14ac:dyDescent="0.35">
      <c r="A1483" s="3">
        <v>46013</v>
      </c>
      <c r="B1483">
        <v>1.3686171157546358E-3</v>
      </c>
      <c r="C1483">
        <f ca="1">IF(B1483&lt;Monte_Carlo!$AC$2,1,0)</f>
        <v>0</v>
      </c>
    </row>
    <row r="1484" spans="1:3" x14ac:dyDescent="0.35">
      <c r="A1484" s="3">
        <v>46014</v>
      </c>
      <c r="B1484">
        <v>1.596002879931247E-3</v>
      </c>
      <c r="C1484">
        <f ca="1">IF(B1484&lt;Monte_Carlo!$AC$2,1,0)</f>
        <v>0</v>
      </c>
    </row>
    <row r="1485" spans="1:3" x14ac:dyDescent="0.35">
      <c r="A1485" s="3">
        <v>46015</v>
      </c>
      <c r="B1485">
        <v>1.0703547475365465E-3</v>
      </c>
      <c r="C1485">
        <f ca="1">IF(B1485&lt;Monte_Carlo!$AC$2,1,0)</f>
        <v>0</v>
      </c>
    </row>
    <row r="1486" spans="1:3" x14ac:dyDescent="0.35">
      <c r="A1486" s="3">
        <v>46017</v>
      </c>
      <c r="B1486">
        <v>-3.1337050447454795E-3</v>
      </c>
      <c r="C1486">
        <f ca="1">IF(B1486&lt;Monte_Carlo!$AC$2,1,0)</f>
        <v>0</v>
      </c>
    </row>
    <row r="1487" spans="1:3" x14ac:dyDescent="0.35">
      <c r="A1487" s="3">
        <v>46020</v>
      </c>
      <c r="B1487">
        <v>-3.913737701927056E-3</v>
      </c>
      <c r="C1487">
        <f ca="1">IF(B1487&lt;Monte_Carlo!$AC$2,1,0)</f>
        <v>0</v>
      </c>
    </row>
    <row r="1488" spans="1:3" x14ac:dyDescent="0.35">
      <c r="A1488" s="3">
        <v>46021</v>
      </c>
      <c r="B1488">
        <v>1.251456041396222E-2</v>
      </c>
      <c r="C1488">
        <f ca="1">IF(B1488&lt;Monte_Carlo!$AC$2,1,0)</f>
        <v>0</v>
      </c>
    </row>
  </sheetData>
  <mergeCells count="5">
    <mergeCell ref="G1:K1"/>
    <mergeCell ref="A1:E1"/>
    <mergeCell ref="M1:O1"/>
    <mergeCell ref="V1:W1"/>
    <mergeCell ref="Q1:T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5CB37-B136-460B-9BC9-973C73BE31E2}">
  <dimension ref="B1:V1002"/>
  <sheetViews>
    <sheetView tabSelected="1" zoomScale="90" workbookViewId="0">
      <selection activeCell="J3" sqref="J2:J3"/>
    </sheetView>
  </sheetViews>
  <sheetFormatPr defaultRowHeight="14.5" x14ac:dyDescent="0.35"/>
  <cols>
    <col min="1" max="1" width="1.7265625" customWidth="1"/>
    <col min="2" max="2" width="14" bestFit="1" customWidth="1"/>
    <col min="3" max="3" width="9.90625" bestFit="1" customWidth="1"/>
    <col min="4" max="4" width="7.7265625" bestFit="1" customWidth="1"/>
    <col min="5" max="5" width="11.54296875" bestFit="1" customWidth="1"/>
    <col min="6" max="6" width="9.36328125" bestFit="1" customWidth="1"/>
    <col min="7" max="7" width="11" bestFit="1" customWidth="1"/>
    <col min="8" max="8" width="8.81640625" bestFit="1" customWidth="1"/>
    <col min="9" max="9" width="1.7265625" customWidth="1"/>
    <col min="10" max="10" width="15.08984375" bestFit="1" customWidth="1"/>
    <col min="11" max="11" width="1.7265625" customWidth="1"/>
    <col min="12" max="12" width="9.90625" bestFit="1" customWidth="1"/>
    <col min="13" max="13" width="7.81640625" bestFit="1" customWidth="1"/>
    <col min="14" max="14" width="9" bestFit="1" customWidth="1"/>
    <col min="15" max="15" width="6.90625" bestFit="1" customWidth="1"/>
    <col min="16" max="16" width="11" bestFit="1" customWidth="1"/>
    <col min="17" max="17" width="8.90625" bestFit="1" customWidth="1"/>
    <col min="18" max="18" width="1.7265625" customWidth="1"/>
    <col min="22" max="23" width="22.7265625" bestFit="1" customWidth="1"/>
  </cols>
  <sheetData>
    <row r="1" spans="2:22" x14ac:dyDescent="0.35">
      <c r="B1" s="30" t="s">
        <v>91</v>
      </c>
      <c r="C1" s="30"/>
      <c r="D1" s="30"/>
      <c r="E1" s="30"/>
      <c r="F1" s="30"/>
      <c r="G1" s="30"/>
      <c r="H1" s="30"/>
      <c r="J1" s="26" t="s">
        <v>84</v>
      </c>
      <c r="L1" s="30" t="s">
        <v>85</v>
      </c>
      <c r="M1" s="30"/>
      <c r="N1" s="30"/>
      <c r="O1" s="30"/>
      <c r="P1" s="30"/>
      <c r="Q1" s="30"/>
      <c r="S1" s="30" t="s">
        <v>89</v>
      </c>
      <c r="T1" s="30"/>
      <c r="U1" s="30"/>
      <c r="V1" s="30"/>
    </row>
    <row r="2" spans="2:22" x14ac:dyDescent="0.35">
      <c r="B2" s="16" t="s">
        <v>74</v>
      </c>
      <c r="C2" s="16" t="s">
        <v>75</v>
      </c>
      <c r="D2" s="16" t="s">
        <v>76</v>
      </c>
      <c r="E2" s="16" t="s">
        <v>80</v>
      </c>
      <c r="F2" s="16" t="s">
        <v>81</v>
      </c>
      <c r="G2" s="16" t="s">
        <v>82</v>
      </c>
      <c r="H2" s="16" t="s">
        <v>83</v>
      </c>
      <c r="J2" t="s">
        <v>77</v>
      </c>
      <c r="L2" s="16" t="s">
        <v>75</v>
      </c>
      <c r="M2" s="16" t="s">
        <v>76</v>
      </c>
      <c r="N2" s="16" t="s">
        <v>87</v>
      </c>
      <c r="O2" s="16" t="s">
        <v>88</v>
      </c>
      <c r="P2" s="16" t="s">
        <v>82</v>
      </c>
      <c r="Q2" s="16" t="s">
        <v>83</v>
      </c>
      <c r="S2" s="16" t="s">
        <v>86</v>
      </c>
      <c r="T2" s="16" t="s">
        <v>90</v>
      </c>
      <c r="U2" s="16" t="s">
        <v>3</v>
      </c>
      <c r="V2" s="16" t="s">
        <v>92</v>
      </c>
    </row>
    <row r="3" spans="2:22" x14ac:dyDescent="0.35">
      <c r="B3" s="16" t="s">
        <v>77</v>
      </c>
      <c r="C3" s="12">
        <v>5.0000000000000001E-4</v>
      </c>
      <c r="D3" s="12">
        <v>1.4999999999999999E-2</v>
      </c>
      <c r="E3" s="12">
        <v>4.0000000000000002E-4</v>
      </c>
      <c r="F3" s="12">
        <v>1.7999999999999999E-2</v>
      </c>
      <c r="G3" s="12">
        <v>2.9999999999999997E-4</v>
      </c>
      <c r="H3" s="12">
        <v>0.02</v>
      </c>
      <c r="J3" t="s">
        <v>77</v>
      </c>
      <c r="L3" s="12">
        <f>VLOOKUP($J$2,$B$3:$H$5,2,FALSE)</f>
        <v>5.0000000000000001E-4</v>
      </c>
      <c r="M3" s="12">
        <f>VLOOKUP($J$2,$B$3:$H$5,3,FALSE)</f>
        <v>1.4999999999999999E-2</v>
      </c>
      <c r="N3" s="12">
        <f>VLOOKUP($J$2,$B$3:$H$5,4,FALSE)</f>
        <v>4.0000000000000002E-4</v>
      </c>
      <c r="O3" s="12">
        <f>VLOOKUP($J$2,$B$3:$H$5,5,FALSE)</f>
        <v>1.7999999999999999E-2</v>
      </c>
      <c r="P3" s="12">
        <f>VLOOKUP($J$2,$B$3:$H$5,6,FALSE)</f>
        <v>2.9999999999999997E-4</v>
      </c>
      <c r="Q3" s="12">
        <f>VLOOKUP($J$2,$B$3:$H$5,7,FALSE)</f>
        <v>0.02</v>
      </c>
      <c r="S3">
        <f ca="1">_xlfn.NORM.INV(RAND(),$L$3,$M$3)</f>
        <v>2.4376601508669872E-3</v>
      </c>
      <c r="T3">
        <f ca="1">_xlfn.NORM.INV(RAND(),$N$3,$O$3)</f>
        <v>-6.8653770322353903E-3</v>
      </c>
      <c r="U3">
        <f ca="1">_xlfn.NORM.INV(RAND(),$P$3,$Q$3)</f>
        <v>2.7004884513811604E-2</v>
      </c>
      <c r="V3">
        <f ca="1">(0.75*S3)+(0.2*T3)+(0.05*U3)</f>
        <v>1.8054139323937428E-3</v>
      </c>
    </row>
    <row r="4" spans="2:22" x14ac:dyDescent="0.35">
      <c r="B4" s="16" t="s">
        <v>78</v>
      </c>
      <c r="C4" s="12">
        <v>5.0000000000000001E-4</v>
      </c>
      <c r="D4" s="12">
        <v>1.4999999999999999E-2</v>
      </c>
      <c r="E4" s="25">
        <v>2.0000000000000001E-4</v>
      </c>
      <c r="F4" s="25">
        <v>2.7E-2</v>
      </c>
      <c r="G4" s="12">
        <v>2.9999999999999997E-4</v>
      </c>
      <c r="H4" s="12">
        <v>0.02</v>
      </c>
      <c r="L4" s="16"/>
      <c r="S4">
        <f t="shared" ref="S4:S67" ca="1" si="0">_xlfn.NORM.INV(RAND(),$L$3,$M$3)</f>
        <v>1.4855784180587812E-2</v>
      </c>
      <c r="T4">
        <f t="shared" ref="T4:T67" ca="1" si="1">_xlfn.NORM.INV(RAND(),$N$3,$O$3)</f>
        <v>5.1423615898171619E-3</v>
      </c>
      <c r="U4">
        <f t="shared" ref="U4:U67" ca="1" si="2">_xlfn.NORM.INV(RAND(),$P$3,$Q$3)</f>
        <v>1.6981883492395298E-2</v>
      </c>
      <c r="V4">
        <f t="shared" ref="V4:V67" ca="1" si="3">(0.75*S4)+(0.2*T4)+(0.05*U4)</f>
        <v>1.3019404628024056E-2</v>
      </c>
    </row>
    <row r="5" spans="2:22" x14ac:dyDescent="0.35">
      <c r="B5" s="16" t="s">
        <v>79</v>
      </c>
      <c r="C5" s="12">
        <v>5.9999999999999995E-4</v>
      </c>
      <c r="D5" s="12">
        <v>1.4999999999999999E-2</v>
      </c>
      <c r="E5" s="12">
        <v>4.0000000000000002E-4</v>
      </c>
      <c r="F5" s="12">
        <v>1.7999999999999999E-2</v>
      </c>
      <c r="G5" s="12">
        <v>5.0000000000000001E-4</v>
      </c>
      <c r="H5" s="12">
        <v>1.7999999999999999E-2</v>
      </c>
      <c r="S5">
        <f t="shared" ca="1" si="0"/>
        <v>2.2625260973253389E-2</v>
      </c>
      <c r="T5">
        <f t="shared" ca="1" si="1"/>
        <v>-3.4313736199341888E-2</v>
      </c>
      <c r="U5">
        <f t="shared" ca="1" si="2"/>
        <v>3.1449626060839654E-2</v>
      </c>
      <c r="V5">
        <f t="shared" ca="1" si="3"/>
        <v>1.1678679793113647E-2</v>
      </c>
    </row>
    <row r="6" spans="2:22" x14ac:dyDescent="0.35">
      <c r="S6">
        <f t="shared" ca="1" si="0"/>
        <v>-6.7267629484514518E-3</v>
      </c>
      <c r="T6">
        <f t="shared" ca="1" si="1"/>
        <v>-1.6593051070065763E-2</v>
      </c>
      <c r="U6">
        <f t="shared" ca="1" si="2"/>
        <v>1.8587487865422029E-2</v>
      </c>
      <c r="V6">
        <f t="shared" ca="1" si="3"/>
        <v>-7.4343080320806391E-3</v>
      </c>
    </row>
    <row r="7" spans="2:22" x14ac:dyDescent="0.35">
      <c r="S7">
        <f t="shared" ca="1" si="0"/>
        <v>1.5664942103162233E-2</v>
      </c>
      <c r="T7">
        <f t="shared" ca="1" si="1"/>
        <v>6.2731753560768076E-3</v>
      </c>
      <c r="U7">
        <f t="shared" ca="1" si="2"/>
        <v>1.7459326332719315E-2</v>
      </c>
      <c r="V7">
        <f t="shared" ca="1" si="3"/>
        <v>1.3876307965223003E-2</v>
      </c>
    </row>
    <row r="8" spans="2:22" x14ac:dyDescent="0.35">
      <c r="S8">
        <f t="shared" ca="1" si="0"/>
        <v>-3.8983022271623295E-3</v>
      </c>
      <c r="T8">
        <f t="shared" ca="1" si="1"/>
        <v>-1.9589125692009907E-3</v>
      </c>
      <c r="U8">
        <f t="shared" ca="1" si="2"/>
        <v>-1.9459833536869777E-2</v>
      </c>
      <c r="V8">
        <f t="shared" ca="1" si="3"/>
        <v>-4.2885008610554342E-3</v>
      </c>
    </row>
    <row r="9" spans="2:22" x14ac:dyDescent="0.35">
      <c r="S9">
        <f t="shared" ca="1" si="0"/>
        <v>6.4613891480141215E-3</v>
      </c>
      <c r="T9">
        <f t="shared" ca="1" si="1"/>
        <v>5.6156682055238816E-3</v>
      </c>
      <c r="U9">
        <f t="shared" ca="1" si="2"/>
        <v>-3.1485028808733006E-3</v>
      </c>
      <c r="V9">
        <f t="shared" ca="1" si="3"/>
        <v>5.8117503580717026E-3</v>
      </c>
    </row>
    <row r="10" spans="2:22" x14ac:dyDescent="0.35">
      <c r="S10">
        <f t="shared" ca="1" si="0"/>
        <v>-4.5105093247990048E-3</v>
      </c>
      <c r="T10">
        <f t="shared" ca="1" si="1"/>
        <v>2.8017549616183701E-2</v>
      </c>
      <c r="U10">
        <f t="shared" ca="1" si="2"/>
        <v>-2.9987711728025261E-3</v>
      </c>
      <c r="V10">
        <f t="shared" ca="1" si="3"/>
        <v>2.0706893709973601E-3</v>
      </c>
    </row>
    <row r="11" spans="2:22" x14ac:dyDescent="0.35">
      <c r="S11">
        <f t="shared" ca="1" si="0"/>
        <v>-1.2316210359506644E-2</v>
      </c>
      <c r="T11">
        <f t="shared" ca="1" si="1"/>
        <v>3.3696084511705394E-2</v>
      </c>
      <c r="U11">
        <f t="shared" ca="1" si="2"/>
        <v>-1.0287524966906332E-2</v>
      </c>
      <c r="V11">
        <f t="shared" ca="1" si="3"/>
        <v>-3.012317115634221E-3</v>
      </c>
    </row>
    <row r="12" spans="2:22" x14ac:dyDescent="0.35">
      <c r="S12">
        <f t="shared" ca="1" si="0"/>
        <v>1.4591562377250598E-2</v>
      </c>
      <c r="T12">
        <f t="shared" ca="1" si="1"/>
        <v>-1.4611903035545907E-2</v>
      </c>
      <c r="U12">
        <f t="shared" ca="1" si="2"/>
        <v>2.1277726105824762E-2</v>
      </c>
      <c r="V12">
        <f t="shared" ca="1" si="3"/>
        <v>9.0851774811200065E-3</v>
      </c>
    </row>
    <row r="13" spans="2:22" x14ac:dyDescent="0.35">
      <c r="S13">
        <f t="shared" ca="1" si="0"/>
        <v>-2.059774202994788E-2</v>
      </c>
      <c r="T13">
        <f t="shared" ca="1" si="1"/>
        <v>-1.4899942021639702E-2</v>
      </c>
      <c r="U13">
        <f t="shared" ca="1" si="2"/>
        <v>-2.8053767098351289E-2</v>
      </c>
      <c r="V13">
        <f t="shared" ca="1" si="3"/>
        <v>-1.9830983281706415E-2</v>
      </c>
    </row>
    <row r="14" spans="2:22" x14ac:dyDescent="0.35">
      <c r="S14">
        <f t="shared" ca="1" si="0"/>
        <v>1.8968078493467636E-3</v>
      </c>
      <c r="T14">
        <f t="shared" ca="1" si="1"/>
        <v>1.6804835781213574E-2</v>
      </c>
      <c r="U14">
        <f t="shared" ca="1" si="2"/>
        <v>-9.5718403809016018E-3</v>
      </c>
      <c r="V14">
        <f t="shared" ca="1" si="3"/>
        <v>4.3049810242077081E-3</v>
      </c>
    </row>
    <row r="15" spans="2:22" x14ac:dyDescent="0.35">
      <c r="S15">
        <f t="shared" ca="1" si="0"/>
        <v>3.8183570765983948E-3</v>
      </c>
      <c r="T15">
        <f t="shared" ca="1" si="1"/>
        <v>2.9520088963466855E-2</v>
      </c>
      <c r="U15">
        <f t="shared" ca="1" si="2"/>
        <v>-1.1099363993504132E-2</v>
      </c>
      <c r="V15">
        <f t="shared" ca="1" si="3"/>
        <v>8.2128174004669607E-3</v>
      </c>
    </row>
    <row r="16" spans="2:22" x14ac:dyDescent="0.35">
      <c r="S16">
        <f t="shared" ca="1" si="0"/>
        <v>-1.2945200178785749E-2</v>
      </c>
      <c r="T16">
        <f t="shared" ca="1" si="1"/>
        <v>4.3717052456047518E-3</v>
      </c>
      <c r="U16">
        <f t="shared" ca="1" si="2"/>
        <v>1.0331331247773468E-2</v>
      </c>
      <c r="V16">
        <f t="shared" ca="1" si="3"/>
        <v>-8.3179925225796876E-3</v>
      </c>
    </row>
    <row r="17" spans="19:22" x14ac:dyDescent="0.35">
      <c r="S17">
        <f t="shared" ca="1" si="0"/>
        <v>-1.269042812979506E-2</v>
      </c>
      <c r="T17">
        <f t="shared" ca="1" si="1"/>
        <v>-1.2256132864590499E-2</v>
      </c>
      <c r="U17">
        <f t="shared" ca="1" si="2"/>
        <v>-2.3851895872610392E-2</v>
      </c>
      <c r="V17">
        <f t="shared" ca="1" si="3"/>
        <v>-1.3161642463894917E-2</v>
      </c>
    </row>
    <row r="18" spans="19:22" x14ac:dyDescent="0.35">
      <c r="S18">
        <f t="shared" ca="1" si="0"/>
        <v>-1.6589970786168255E-2</v>
      </c>
      <c r="T18">
        <f t="shared" ca="1" si="1"/>
        <v>7.5903803385288689E-3</v>
      </c>
      <c r="U18">
        <f t="shared" ca="1" si="2"/>
        <v>9.0298252712279884E-4</v>
      </c>
      <c r="V18">
        <f t="shared" ca="1" si="3"/>
        <v>-1.0879252895564278E-2</v>
      </c>
    </row>
    <row r="19" spans="19:22" x14ac:dyDescent="0.35">
      <c r="S19">
        <f t="shared" ca="1" si="0"/>
        <v>-1.2062573268688663E-2</v>
      </c>
      <c r="T19">
        <f t="shared" ca="1" si="1"/>
        <v>4.1021313997322076E-2</v>
      </c>
      <c r="U19">
        <f t="shared" ca="1" si="2"/>
        <v>4.2930902540797733E-2</v>
      </c>
      <c r="V19">
        <f t="shared" ca="1" si="3"/>
        <v>1.3038779749878038E-3</v>
      </c>
    </row>
    <row r="20" spans="19:22" x14ac:dyDescent="0.35">
      <c r="S20">
        <f t="shared" ca="1" si="0"/>
        <v>-1.395762297387431E-2</v>
      </c>
      <c r="T20">
        <f t="shared" ca="1" si="1"/>
        <v>7.2173201442294636E-3</v>
      </c>
      <c r="U20">
        <f t="shared" ca="1" si="2"/>
        <v>2.5588734692158242E-2</v>
      </c>
      <c r="V20">
        <f t="shared" ca="1" si="3"/>
        <v>-7.745316466951928E-3</v>
      </c>
    </row>
    <row r="21" spans="19:22" x14ac:dyDescent="0.35">
      <c r="S21">
        <f t="shared" ca="1" si="0"/>
        <v>-1.8179355964318277E-3</v>
      </c>
      <c r="T21">
        <f t="shared" ca="1" si="1"/>
        <v>6.9095948495858346E-3</v>
      </c>
      <c r="U21">
        <f t="shared" ca="1" si="2"/>
        <v>2.3873749444995478E-2</v>
      </c>
      <c r="V21">
        <f t="shared" ca="1" si="3"/>
        <v>1.21215474484307E-3</v>
      </c>
    </row>
    <row r="22" spans="19:22" x14ac:dyDescent="0.35">
      <c r="S22">
        <f t="shared" ca="1" si="0"/>
        <v>-3.3328441574469209E-2</v>
      </c>
      <c r="T22">
        <f t="shared" ca="1" si="1"/>
        <v>-1.4287378188099817E-2</v>
      </c>
      <c r="U22">
        <f t="shared" ca="1" si="2"/>
        <v>-1.9166216450643748E-2</v>
      </c>
      <c r="V22">
        <f t="shared" ca="1" si="3"/>
        <v>-2.8812117641004057E-2</v>
      </c>
    </row>
    <row r="23" spans="19:22" x14ac:dyDescent="0.35">
      <c r="S23">
        <f t="shared" ca="1" si="0"/>
        <v>1.4689226152681126E-2</v>
      </c>
      <c r="T23">
        <f t="shared" ca="1" si="1"/>
        <v>4.634118899864155E-3</v>
      </c>
      <c r="U23">
        <f t="shared" ca="1" si="2"/>
        <v>-3.3037998975153464E-2</v>
      </c>
      <c r="V23">
        <f t="shared" ca="1" si="3"/>
        <v>1.0291843445726003E-2</v>
      </c>
    </row>
    <row r="24" spans="19:22" x14ac:dyDescent="0.35">
      <c r="S24">
        <f t="shared" ca="1" si="0"/>
        <v>9.5637286743701297E-3</v>
      </c>
      <c r="T24">
        <f t="shared" ca="1" si="1"/>
        <v>-8.6579327304098664E-3</v>
      </c>
      <c r="U24">
        <f t="shared" ca="1" si="2"/>
        <v>1.156863876997022E-2</v>
      </c>
      <c r="V24">
        <f t="shared" ca="1" si="3"/>
        <v>6.0196418981941346E-3</v>
      </c>
    </row>
    <row r="25" spans="19:22" x14ac:dyDescent="0.35">
      <c r="S25">
        <f t="shared" ca="1" si="0"/>
        <v>-3.136352899266435E-3</v>
      </c>
      <c r="T25">
        <f t="shared" ca="1" si="1"/>
        <v>-2.7944811905140643E-2</v>
      </c>
      <c r="U25">
        <f t="shared" ca="1" si="2"/>
        <v>-4.5864719085669482E-3</v>
      </c>
      <c r="V25">
        <f t="shared" ca="1" si="3"/>
        <v>-8.1705506509063015E-3</v>
      </c>
    </row>
    <row r="26" spans="19:22" x14ac:dyDescent="0.35">
      <c r="S26">
        <f t="shared" ca="1" si="0"/>
        <v>-7.5242684491296681E-3</v>
      </c>
      <c r="T26">
        <f t="shared" ca="1" si="1"/>
        <v>6.8589685340061232E-3</v>
      </c>
      <c r="U26">
        <f t="shared" ca="1" si="2"/>
        <v>1.5986730781256484E-2</v>
      </c>
      <c r="V26">
        <f t="shared" ca="1" si="3"/>
        <v>-3.4720710909832021E-3</v>
      </c>
    </row>
    <row r="27" spans="19:22" x14ac:dyDescent="0.35">
      <c r="S27">
        <f t="shared" ca="1" si="0"/>
        <v>-1.4698013883821304E-2</v>
      </c>
      <c r="T27">
        <f t="shared" ca="1" si="1"/>
        <v>-2.9792038571649606E-2</v>
      </c>
      <c r="U27">
        <f t="shared" ca="1" si="2"/>
        <v>7.3865330178555146E-3</v>
      </c>
      <c r="V27">
        <f t="shared" ca="1" si="3"/>
        <v>-1.6612591476303121E-2</v>
      </c>
    </row>
    <row r="28" spans="19:22" x14ac:dyDescent="0.35">
      <c r="S28">
        <f t="shared" ca="1" si="0"/>
        <v>-5.2923048343564219E-3</v>
      </c>
      <c r="T28">
        <f t="shared" ca="1" si="1"/>
        <v>1.0023228274888584E-2</v>
      </c>
      <c r="U28">
        <f t="shared" ca="1" si="2"/>
        <v>-3.5718268008852666E-2</v>
      </c>
      <c r="V28">
        <f t="shared" ca="1" si="3"/>
        <v>-3.7504963712322332E-3</v>
      </c>
    </row>
    <row r="29" spans="19:22" x14ac:dyDescent="0.35">
      <c r="S29">
        <f t="shared" ca="1" si="0"/>
        <v>-9.6191375310871099E-3</v>
      </c>
      <c r="T29">
        <f t="shared" ca="1" si="1"/>
        <v>-1.9767419554084491E-3</v>
      </c>
      <c r="U29">
        <f t="shared" ca="1" si="2"/>
        <v>-3.0596381089447167E-2</v>
      </c>
      <c r="V29">
        <f t="shared" ca="1" si="3"/>
        <v>-9.1395205938693807E-3</v>
      </c>
    </row>
    <row r="30" spans="19:22" x14ac:dyDescent="0.35">
      <c r="S30">
        <f t="shared" ca="1" si="0"/>
        <v>1.2932274739172989E-2</v>
      </c>
      <c r="T30">
        <f t="shared" ca="1" si="1"/>
        <v>1.2447115455963982E-2</v>
      </c>
      <c r="U30">
        <f t="shared" ca="1" si="2"/>
        <v>1.579533345779836E-2</v>
      </c>
      <c r="V30">
        <f t="shared" ca="1" si="3"/>
        <v>1.2978395818462458E-2</v>
      </c>
    </row>
    <row r="31" spans="19:22" x14ac:dyDescent="0.35">
      <c r="S31">
        <f t="shared" ca="1" si="0"/>
        <v>-1.1837181746707838E-2</v>
      </c>
      <c r="T31">
        <f t="shared" ca="1" si="1"/>
        <v>-1.9182862676873896E-2</v>
      </c>
      <c r="U31">
        <f t="shared" ca="1" si="2"/>
        <v>-1.3638934994613598E-3</v>
      </c>
      <c r="V31">
        <f t="shared" ca="1" si="3"/>
        <v>-1.2782653520378726E-2</v>
      </c>
    </row>
    <row r="32" spans="19:22" x14ac:dyDescent="0.35">
      <c r="S32">
        <f t="shared" ca="1" si="0"/>
        <v>-1.7932678476819106E-3</v>
      </c>
      <c r="T32">
        <f t="shared" ca="1" si="1"/>
        <v>5.9323879395540629E-3</v>
      </c>
      <c r="U32">
        <f t="shared" ca="1" si="2"/>
        <v>-1.1990954390541982E-2</v>
      </c>
      <c r="V32">
        <f t="shared" ca="1" si="3"/>
        <v>-7.5802101737771949E-4</v>
      </c>
    </row>
    <row r="33" spans="19:22" x14ac:dyDescent="0.35">
      <c r="S33">
        <f t="shared" ca="1" si="0"/>
        <v>-6.3305978690208244E-3</v>
      </c>
      <c r="T33">
        <f t="shared" ca="1" si="1"/>
        <v>1.5769298284784992E-2</v>
      </c>
      <c r="U33">
        <f t="shared" ca="1" si="2"/>
        <v>2.4606677575560967E-2</v>
      </c>
      <c r="V33">
        <f t="shared" ca="1" si="3"/>
        <v>-3.6375486603057124E-4</v>
      </c>
    </row>
    <row r="34" spans="19:22" x14ac:dyDescent="0.35">
      <c r="S34">
        <f t="shared" ca="1" si="0"/>
        <v>1.756360527721338E-2</v>
      </c>
      <c r="T34">
        <f t="shared" ca="1" si="1"/>
        <v>1.6300151168171975E-2</v>
      </c>
      <c r="U34">
        <f t="shared" ca="1" si="2"/>
        <v>-1.0534430766100838E-3</v>
      </c>
      <c r="V34">
        <f t="shared" ca="1" si="3"/>
        <v>1.6380062037713927E-2</v>
      </c>
    </row>
    <row r="35" spans="19:22" x14ac:dyDescent="0.35">
      <c r="S35">
        <f t="shared" ca="1" si="0"/>
        <v>1.3741294640739355E-2</v>
      </c>
      <c r="T35">
        <f t="shared" ca="1" si="1"/>
        <v>-2.4439021891935836E-2</v>
      </c>
      <c r="U35">
        <f t="shared" ca="1" si="2"/>
        <v>-2.180840363783797E-2</v>
      </c>
      <c r="V35">
        <f t="shared" ca="1" si="3"/>
        <v>4.3277464202754502E-3</v>
      </c>
    </row>
    <row r="36" spans="19:22" x14ac:dyDescent="0.35">
      <c r="S36">
        <f t="shared" ca="1" si="0"/>
        <v>1.3955756120697035E-2</v>
      </c>
      <c r="T36">
        <f t="shared" ca="1" si="1"/>
        <v>2.2121743017052629E-2</v>
      </c>
      <c r="U36">
        <f t="shared" ca="1" si="2"/>
        <v>1.4185074690416695E-2</v>
      </c>
      <c r="V36">
        <f t="shared" ca="1" si="3"/>
        <v>1.5600419428454138E-2</v>
      </c>
    </row>
    <row r="37" spans="19:22" x14ac:dyDescent="0.35">
      <c r="S37">
        <f t="shared" ca="1" si="0"/>
        <v>1.7304557871287589E-2</v>
      </c>
      <c r="T37">
        <f t="shared" ca="1" si="1"/>
        <v>-4.2248432892828475E-3</v>
      </c>
      <c r="U37">
        <f t="shared" ca="1" si="2"/>
        <v>-1.2629838826358056E-2</v>
      </c>
      <c r="V37">
        <f t="shared" ca="1" si="3"/>
        <v>1.1501957804291219E-2</v>
      </c>
    </row>
    <row r="38" spans="19:22" x14ac:dyDescent="0.35">
      <c r="S38">
        <f t="shared" ca="1" si="0"/>
        <v>-4.5504476290664925E-3</v>
      </c>
      <c r="T38">
        <f t="shared" ca="1" si="1"/>
        <v>-5.097498256916453E-2</v>
      </c>
      <c r="U38">
        <f t="shared" ca="1" si="2"/>
        <v>-9.5204676627418591E-3</v>
      </c>
      <c r="V38">
        <f t="shared" ca="1" si="3"/>
        <v>-1.4083855618769868E-2</v>
      </c>
    </row>
    <row r="39" spans="19:22" x14ac:dyDescent="0.35">
      <c r="S39">
        <f t="shared" ca="1" si="0"/>
        <v>4.2302128007371204E-4</v>
      </c>
      <c r="T39">
        <f t="shared" ca="1" si="1"/>
        <v>1.5673775205527735E-2</v>
      </c>
      <c r="U39">
        <f t="shared" ca="1" si="2"/>
        <v>-1.0417026316860412E-3</v>
      </c>
      <c r="V39">
        <f t="shared" ca="1" si="3"/>
        <v>3.3999358695765295E-3</v>
      </c>
    </row>
    <row r="40" spans="19:22" x14ac:dyDescent="0.35">
      <c r="S40">
        <f t="shared" ca="1" si="0"/>
        <v>-2.1894074704654756E-3</v>
      </c>
      <c r="T40">
        <f t="shared" ca="1" si="1"/>
        <v>1.3918328340881587E-3</v>
      </c>
      <c r="U40">
        <f t="shared" ca="1" si="2"/>
        <v>1.1847395132634458E-3</v>
      </c>
      <c r="V40">
        <f t="shared" ca="1" si="3"/>
        <v>-1.3044520603683026E-3</v>
      </c>
    </row>
    <row r="41" spans="19:22" x14ac:dyDescent="0.35">
      <c r="S41">
        <f t="shared" ca="1" si="0"/>
        <v>-2.2822051355255873E-2</v>
      </c>
      <c r="T41">
        <f t="shared" ca="1" si="1"/>
        <v>-2.033646029334641E-4</v>
      </c>
      <c r="U41">
        <f t="shared" ca="1" si="2"/>
        <v>6.5598263115820496E-3</v>
      </c>
      <c r="V41">
        <f t="shared" ca="1" si="3"/>
        <v>-1.6829220121449495E-2</v>
      </c>
    </row>
    <row r="42" spans="19:22" x14ac:dyDescent="0.35">
      <c r="S42">
        <f t="shared" ca="1" si="0"/>
        <v>-2.1212962435027752E-3</v>
      </c>
      <c r="T42">
        <f t="shared" ca="1" si="1"/>
        <v>5.9810859446815254E-3</v>
      </c>
      <c r="U42">
        <f t="shared" ca="1" si="2"/>
        <v>1.1254176599981206E-2</v>
      </c>
      <c r="V42">
        <f t="shared" ca="1" si="3"/>
        <v>1.6795383630828422E-4</v>
      </c>
    </row>
    <row r="43" spans="19:22" x14ac:dyDescent="0.35">
      <c r="S43">
        <f t="shared" ca="1" si="0"/>
        <v>1.1850586143056023E-2</v>
      </c>
      <c r="T43">
        <f t="shared" ca="1" si="1"/>
        <v>-2.9401465627595533E-2</v>
      </c>
      <c r="U43">
        <f t="shared" ca="1" si="2"/>
        <v>-2.2622156499553982E-2</v>
      </c>
      <c r="V43">
        <f t="shared" ca="1" si="3"/>
        <v>1.8765386567952116E-3</v>
      </c>
    </row>
    <row r="44" spans="19:22" x14ac:dyDescent="0.35">
      <c r="S44">
        <f t="shared" ca="1" si="0"/>
        <v>-3.1814326764453477E-3</v>
      </c>
      <c r="T44">
        <f t="shared" ca="1" si="1"/>
        <v>-3.901527155592787E-2</v>
      </c>
      <c r="U44">
        <f t="shared" ca="1" si="2"/>
        <v>-1.3689038254949722E-2</v>
      </c>
      <c r="V44">
        <f t="shared" ca="1" si="3"/>
        <v>-1.087358073126707E-2</v>
      </c>
    </row>
    <row r="45" spans="19:22" x14ac:dyDescent="0.35">
      <c r="S45">
        <f t="shared" ca="1" si="0"/>
        <v>2.7647880556382239E-2</v>
      </c>
      <c r="T45">
        <f t="shared" ca="1" si="1"/>
        <v>4.3558853473606392E-2</v>
      </c>
      <c r="U45">
        <f t="shared" ca="1" si="2"/>
        <v>-3.6032363016007601E-3</v>
      </c>
      <c r="V45">
        <f t="shared" ca="1" si="3"/>
        <v>2.9267519296927925E-2</v>
      </c>
    </row>
    <row r="46" spans="19:22" x14ac:dyDescent="0.35">
      <c r="S46">
        <f t="shared" ca="1" si="0"/>
        <v>7.3074928630464681E-3</v>
      </c>
      <c r="T46">
        <f t="shared" ca="1" si="1"/>
        <v>1.4409508455902787E-2</v>
      </c>
      <c r="U46">
        <f t="shared" ca="1" si="2"/>
        <v>2.7608766665703905E-2</v>
      </c>
      <c r="V46">
        <f t="shared" ca="1" si="3"/>
        <v>9.7429596717506055E-3</v>
      </c>
    </row>
    <row r="47" spans="19:22" x14ac:dyDescent="0.35">
      <c r="S47">
        <f t="shared" ca="1" si="0"/>
        <v>1.9135552810361021E-2</v>
      </c>
      <c r="T47">
        <f t="shared" ca="1" si="1"/>
        <v>-5.7110908375394166E-3</v>
      </c>
      <c r="U47">
        <f t="shared" ca="1" si="2"/>
        <v>-1.7437220426631355E-2</v>
      </c>
      <c r="V47">
        <f t="shared" ca="1" si="3"/>
        <v>1.2337585418931315E-2</v>
      </c>
    </row>
    <row r="48" spans="19:22" x14ac:dyDescent="0.35">
      <c r="S48">
        <f t="shared" ca="1" si="0"/>
        <v>7.4208907787050669E-3</v>
      </c>
      <c r="T48">
        <f t="shared" ca="1" si="1"/>
        <v>6.9850181194205862E-3</v>
      </c>
      <c r="U48">
        <f t="shared" ca="1" si="2"/>
        <v>9.8662316195729099E-3</v>
      </c>
      <c r="V48">
        <f t="shared" ca="1" si="3"/>
        <v>7.4559832888915628E-3</v>
      </c>
    </row>
    <row r="49" spans="19:22" x14ac:dyDescent="0.35">
      <c r="S49">
        <f t="shared" ca="1" si="0"/>
        <v>2.3648238674117892E-2</v>
      </c>
      <c r="T49">
        <f t="shared" ca="1" si="1"/>
        <v>-7.6674040765523756E-3</v>
      </c>
      <c r="U49">
        <f t="shared" ca="1" si="2"/>
        <v>-3.9981189663769928E-2</v>
      </c>
      <c r="V49">
        <f t="shared" ca="1" si="3"/>
        <v>1.4203638707089447E-2</v>
      </c>
    </row>
    <row r="50" spans="19:22" x14ac:dyDescent="0.35">
      <c r="S50">
        <f t="shared" ca="1" si="0"/>
        <v>1.7775713068919247E-2</v>
      </c>
      <c r="T50">
        <f t="shared" ca="1" si="1"/>
        <v>1.5959466484509637E-3</v>
      </c>
      <c r="U50">
        <f t="shared" ca="1" si="2"/>
        <v>1.1784599936425645E-2</v>
      </c>
      <c r="V50">
        <f t="shared" ca="1" si="3"/>
        <v>1.4240204128200911E-2</v>
      </c>
    </row>
    <row r="51" spans="19:22" x14ac:dyDescent="0.35">
      <c r="S51">
        <f t="shared" ca="1" si="0"/>
        <v>-8.2960301978904968E-6</v>
      </c>
      <c r="T51">
        <f t="shared" ca="1" si="1"/>
        <v>-1.002726826927579E-2</v>
      </c>
      <c r="U51">
        <f t="shared" ca="1" si="2"/>
        <v>6.4328010626109912E-3</v>
      </c>
      <c r="V51">
        <f t="shared" ca="1" si="3"/>
        <v>-1.6900356233730263E-3</v>
      </c>
    </row>
    <row r="52" spans="19:22" x14ac:dyDescent="0.35">
      <c r="S52">
        <f t="shared" ca="1" si="0"/>
        <v>-5.4409673051810802E-4</v>
      </c>
      <c r="T52">
        <f t="shared" ca="1" si="1"/>
        <v>-2.3200549124052672E-2</v>
      </c>
      <c r="U52">
        <f t="shared" ca="1" si="2"/>
        <v>3.5260374793117638E-2</v>
      </c>
      <c r="V52">
        <f t="shared" ca="1" si="3"/>
        <v>-3.2851636330432335E-3</v>
      </c>
    </row>
    <row r="53" spans="19:22" x14ac:dyDescent="0.35">
      <c r="S53">
        <f t="shared" ca="1" si="0"/>
        <v>5.1737904340845662E-3</v>
      </c>
      <c r="T53">
        <f t="shared" ca="1" si="1"/>
        <v>-1.573940808455496E-2</v>
      </c>
      <c r="U53">
        <f t="shared" ca="1" si="2"/>
        <v>-1.9430247601164588E-2</v>
      </c>
      <c r="V53">
        <f t="shared" ca="1" si="3"/>
        <v>-2.3905117140579711E-4</v>
      </c>
    </row>
    <row r="54" spans="19:22" x14ac:dyDescent="0.35">
      <c r="S54">
        <f t="shared" ca="1" si="0"/>
        <v>3.1115399699519438E-3</v>
      </c>
      <c r="T54">
        <f t="shared" ca="1" si="1"/>
        <v>6.9309496965037987E-3</v>
      </c>
      <c r="U54">
        <f t="shared" ca="1" si="2"/>
        <v>2.6111769900869749E-3</v>
      </c>
      <c r="V54">
        <f t="shared" ca="1" si="3"/>
        <v>3.8504037662690665E-3</v>
      </c>
    </row>
    <row r="55" spans="19:22" x14ac:dyDescent="0.35">
      <c r="S55">
        <f t="shared" ca="1" si="0"/>
        <v>4.1679171404890841E-3</v>
      </c>
      <c r="T55">
        <f t="shared" ca="1" si="1"/>
        <v>-8.1267698226765613E-3</v>
      </c>
      <c r="U55">
        <f t="shared" ca="1" si="2"/>
        <v>4.1632313135787767E-2</v>
      </c>
      <c r="V55">
        <f t="shared" ca="1" si="3"/>
        <v>3.5821995476208891E-3</v>
      </c>
    </row>
    <row r="56" spans="19:22" x14ac:dyDescent="0.35">
      <c r="S56">
        <f t="shared" ca="1" si="0"/>
        <v>-1.0907843612186666E-2</v>
      </c>
      <c r="T56">
        <f t="shared" ca="1" si="1"/>
        <v>8.8548073241251635E-3</v>
      </c>
      <c r="U56">
        <f t="shared" ca="1" si="2"/>
        <v>4.3419012484643256E-2</v>
      </c>
      <c r="V56">
        <f t="shared" ca="1" si="3"/>
        <v>-4.2389706200828053E-3</v>
      </c>
    </row>
    <row r="57" spans="19:22" x14ac:dyDescent="0.35">
      <c r="S57">
        <f t="shared" ca="1" si="0"/>
        <v>3.316085642879006E-3</v>
      </c>
      <c r="T57">
        <f t="shared" ca="1" si="1"/>
        <v>2.1531207264845663E-2</v>
      </c>
      <c r="U57">
        <f t="shared" ca="1" si="2"/>
        <v>8.6711739262811619E-3</v>
      </c>
      <c r="V57">
        <f t="shared" ca="1" si="3"/>
        <v>7.2268643814424448E-3</v>
      </c>
    </row>
    <row r="58" spans="19:22" x14ac:dyDescent="0.35">
      <c r="S58">
        <f t="shared" ca="1" si="0"/>
        <v>8.7897573571778867E-3</v>
      </c>
      <c r="T58">
        <f t="shared" ca="1" si="1"/>
        <v>-1.2386581709090065E-2</v>
      </c>
      <c r="U58">
        <f t="shared" ca="1" si="2"/>
        <v>-1.4737760997000854E-2</v>
      </c>
      <c r="V58">
        <f t="shared" ca="1" si="3"/>
        <v>3.3781136262153589E-3</v>
      </c>
    </row>
    <row r="59" spans="19:22" x14ac:dyDescent="0.35">
      <c r="S59">
        <f t="shared" ca="1" si="0"/>
        <v>-2.609238812984558E-4</v>
      </c>
      <c r="T59">
        <f t="shared" ca="1" si="1"/>
        <v>-2.9716075197770336E-2</v>
      </c>
      <c r="U59">
        <f t="shared" ca="1" si="2"/>
        <v>-3.2048155120689946E-2</v>
      </c>
      <c r="V59">
        <f t="shared" ca="1" si="3"/>
        <v>-7.7413157065624062E-3</v>
      </c>
    </row>
    <row r="60" spans="19:22" x14ac:dyDescent="0.35">
      <c r="S60">
        <f t="shared" ca="1" si="0"/>
        <v>-1.3054660579479797E-2</v>
      </c>
      <c r="T60">
        <f t="shared" ca="1" si="1"/>
        <v>2.5878652702529148E-2</v>
      </c>
      <c r="U60">
        <f t="shared" ca="1" si="2"/>
        <v>2.3854873441648615E-3</v>
      </c>
      <c r="V60">
        <f t="shared" ca="1" si="3"/>
        <v>-4.4959905268957753E-3</v>
      </c>
    </row>
    <row r="61" spans="19:22" x14ac:dyDescent="0.35">
      <c r="S61">
        <f t="shared" ca="1" si="0"/>
        <v>-8.4901835396887786E-4</v>
      </c>
      <c r="T61">
        <f t="shared" ca="1" si="1"/>
        <v>-1.7273190383625469E-2</v>
      </c>
      <c r="U61">
        <f t="shared" ca="1" si="2"/>
        <v>-1.2876933244223898E-2</v>
      </c>
      <c r="V61">
        <f t="shared" ca="1" si="3"/>
        <v>-4.7352485044129472E-3</v>
      </c>
    </row>
    <row r="62" spans="19:22" x14ac:dyDescent="0.35">
      <c r="S62">
        <f t="shared" ca="1" si="0"/>
        <v>-1.8822536245327606E-2</v>
      </c>
      <c r="T62">
        <f t="shared" ca="1" si="1"/>
        <v>-2.7705910011704825E-2</v>
      </c>
      <c r="U62">
        <f t="shared" ca="1" si="2"/>
        <v>-1.0232509888697117E-2</v>
      </c>
      <c r="V62">
        <f t="shared" ca="1" si="3"/>
        <v>-2.0169709680771527E-2</v>
      </c>
    </row>
    <row r="63" spans="19:22" x14ac:dyDescent="0.35">
      <c r="S63">
        <f t="shared" ca="1" si="0"/>
        <v>4.2210497319007719E-3</v>
      </c>
      <c r="T63">
        <f t="shared" ca="1" si="1"/>
        <v>-1.0264039106330388E-2</v>
      </c>
      <c r="U63">
        <f t="shared" ca="1" si="2"/>
        <v>-2.2715902070089822E-2</v>
      </c>
      <c r="V63">
        <f t="shared" ca="1" si="3"/>
        <v>-2.2815625844989796E-5</v>
      </c>
    </row>
    <row r="64" spans="19:22" x14ac:dyDescent="0.35">
      <c r="S64">
        <f t="shared" ca="1" si="0"/>
        <v>4.1645311355737596E-3</v>
      </c>
      <c r="T64">
        <f t="shared" ca="1" si="1"/>
        <v>6.488740518090833E-3</v>
      </c>
      <c r="U64">
        <f t="shared" ca="1" si="2"/>
        <v>1.6719998449594643E-2</v>
      </c>
      <c r="V64">
        <f t="shared" ca="1" si="3"/>
        <v>5.2571463777782183E-3</v>
      </c>
    </row>
    <row r="65" spans="19:22" x14ac:dyDescent="0.35">
      <c r="S65">
        <f t="shared" ca="1" si="0"/>
        <v>1.2054133974282546E-3</v>
      </c>
      <c r="T65">
        <f t="shared" ca="1" si="1"/>
        <v>-3.0927452360267203E-2</v>
      </c>
      <c r="U65">
        <f t="shared" ca="1" si="2"/>
        <v>9.8258211043305219E-3</v>
      </c>
      <c r="V65">
        <f t="shared" ca="1" si="3"/>
        <v>-4.7901393687657234E-3</v>
      </c>
    </row>
    <row r="66" spans="19:22" x14ac:dyDescent="0.35">
      <c r="S66">
        <f t="shared" ca="1" si="0"/>
        <v>-2.3859142824861859E-2</v>
      </c>
      <c r="T66">
        <f t="shared" ca="1" si="1"/>
        <v>6.939274798829706E-3</v>
      </c>
      <c r="U66">
        <f t="shared" ca="1" si="2"/>
        <v>3.2767597404329427E-2</v>
      </c>
      <c r="V66">
        <f t="shared" ca="1" si="3"/>
        <v>-1.4868122288663983E-2</v>
      </c>
    </row>
    <row r="67" spans="19:22" x14ac:dyDescent="0.35">
      <c r="S67">
        <f t="shared" ca="1" si="0"/>
        <v>1.8030445712327746E-3</v>
      </c>
      <c r="T67">
        <f t="shared" ca="1" si="1"/>
        <v>-6.2494968218746692E-3</v>
      </c>
      <c r="U67">
        <f t="shared" ca="1" si="2"/>
        <v>-1.7885021825028206E-2</v>
      </c>
      <c r="V67">
        <f t="shared" ca="1" si="3"/>
        <v>-7.9186702720176344E-4</v>
      </c>
    </row>
    <row r="68" spans="19:22" x14ac:dyDescent="0.35">
      <c r="S68">
        <f t="shared" ref="S68:S131" ca="1" si="4">_xlfn.NORM.INV(RAND(),$L$3,$M$3)</f>
        <v>-2.0545108912846125E-2</v>
      </c>
      <c r="T68">
        <f t="shared" ref="T68:T131" ca="1" si="5">_xlfn.NORM.INV(RAND(),$N$3,$O$3)</f>
        <v>-4.6576611722843296E-3</v>
      </c>
      <c r="U68">
        <f t="shared" ref="U68:U131" ca="1" si="6">_xlfn.NORM.INV(RAND(),$P$3,$Q$3)</f>
        <v>8.3715418232285631E-3</v>
      </c>
      <c r="V68">
        <f t="shared" ref="V68:V131" ca="1" si="7">(0.75*S68)+(0.2*T68)+(0.05*U68)</f>
        <v>-1.592178682793003E-2</v>
      </c>
    </row>
    <row r="69" spans="19:22" x14ac:dyDescent="0.35">
      <c r="S69">
        <f t="shared" ca="1" si="4"/>
        <v>1.6068706613463737E-2</v>
      </c>
      <c r="T69">
        <f t="shared" ca="1" si="5"/>
        <v>-8.3349319070055838E-3</v>
      </c>
      <c r="U69">
        <f t="shared" ca="1" si="6"/>
        <v>-8.1537144074359386E-3</v>
      </c>
      <c r="V69">
        <f t="shared" ca="1" si="7"/>
        <v>9.9768578583248873E-3</v>
      </c>
    </row>
    <row r="70" spans="19:22" x14ac:dyDescent="0.35">
      <c r="S70">
        <f t="shared" ca="1" si="4"/>
        <v>4.2108806765824805E-4</v>
      </c>
      <c r="T70">
        <f t="shared" ca="1" si="5"/>
        <v>7.8233186263782315E-3</v>
      </c>
      <c r="U70">
        <f t="shared" ca="1" si="6"/>
        <v>7.1515037659663277E-3</v>
      </c>
      <c r="V70">
        <f t="shared" ca="1" si="7"/>
        <v>2.2380549643176489E-3</v>
      </c>
    </row>
    <row r="71" spans="19:22" x14ac:dyDescent="0.35">
      <c r="S71">
        <f t="shared" ca="1" si="4"/>
        <v>-2.4865714212689307E-3</v>
      </c>
      <c r="T71">
        <f t="shared" ca="1" si="5"/>
        <v>3.1659142047241835E-3</v>
      </c>
      <c r="U71">
        <f t="shared" ca="1" si="6"/>
        <v>1.1112461327270942E-2</v>
      </c>
      <c r="V71">
        <f t="shared" ca="1" si="7"/>
        <v>-6.7612265864331407E-4</v>
      </c>
    </row>
    <row r="72" spans="19:22" x14ac:dyDescent="0.35">
      <c r="S72">
        <f t="shared" ca="1" si="4"/>
        <v>-6.3469349115735166E-3</v>
      </c>
      <c r="T72">
        <f t="shared" ca="1" si="5"/>
        <v>-5.4056564091795583E-3</v>
      </c>
      <c r="U72">
        <f t="shared" ca="1" si="6"/>
        <v>-3.597057644432754E-3</v>
      </c>
      <c r="V72">
        <f t="shared" ca="1" si="7"/>
        <v>-6.0211853477376868E-3</v>
      </c>
    </row>
    <row r="73" spans="19:22" x14ac:dyDescent="0.35">
      <c r="S73">
        <f t="shared" ca="1" si="4"/>
        <v>2.9044665054460461E-2</v>
      </c>
      <c r="T73">
        <f t="shared" ca="1" si="5"/>
        <v>1.3873473262491113E-2</v>
      </c>
      <c r="U73">
        <f t="shared" ca="1" si="6"/>
        <v>-1.7511835132949312E-3</v>
      </c>
      <c r="V73">
        <f t="shared" ca="1" si="7"/>
        <v>2.4470634267678822E-2</v>
      </c>
    </row>
    <row r="74" spans="19:22" x14ac:dyDescent="0.35">
      <c r="S74">
        <f t="shared" ca="1" si="4"/>
        <v>5.0539737245044649E-3</v>
      </c>
      <c r="T74">
        <f t="shared" ca="1" si="5"/>
        <v>9.5459250965477943E-3</v>
      </c>
      <c r="U74">
        <f t="shared" ca="1" si="6"/>
        <v>5.7446333787487093E-3</v>
      </c>
      <c r="V74">
        <f t="shared" ca="1" si="7"/>
        <v>5.9868969816253437E-3</v>
      </c>
    </row>
    <row r="75" spans="19:22" x14ac:dyDescent="0.35">
      <c r="S75">
        <f t="shared" ca="1" si="4"/>
        <v>-2.0627332615030233E-2</v>
      </c>
      <c r="T75">
        <f t="shared" ca="1" si="5"/>
        <v>-3.3012630081752016E-2</v>
      </c>
      <c r="U75">
        <f t="shared" ca="1" si="6"/>
        <v>1.8670937977822728E-2</v>
      </c>
      <c r="V75">
        <f t="shared" ca="1" si="7"/>
        <v>-2.1139478578731944E-2</v>
      </c>
    </row>
    <row r="76" spans="19:22" x14ac:dyDescent="0.35">
      <c r="S76">
        <f t="shared" ca="1" si="4"/>
        <v>1.8879626649191086E-2</v>
      </c>
      <c r="T76">
        <f t="shared" ca="1" si="5"/>
        <v>2.9865347289393763E-2</v>
      </c>
      <c r="U76">
        <f t="shared" ca="1" si="6"/>
        <v>3.597780225227751E-3</v>
      </c>
      <c r="V76">
        <f t="shared" ca="1" si="7"/>
        <v>2.0312678456033455E-2</v>
      </c>
    </row>
    <row r="77" spans="19:22" x14ac:dyDescent="0.35">
      <c r="S77">
        <f t="shared" ca="1" si="4"/>
        <v>1.8093332827617169E-2</v>
      </c>
      <c r="T77">
        <f t="shared" ca="1" si="5"/>
        <v>1.1997028979721018E-2</v>
      </c>
      <c r="U77">
        <f t="shared" ca="1" si="6"/>
        <v>-4.0293153592300505E-3</v>
      </c>
      <c r="V77">
        <f t="shared" ca="1" si="7"/>
        <v>1.5767939648695578E-2</v>
      </c>
    </row>
    <row r="78" spans="19:22" x14ac:dyDescent="0.35">
      <c r="S78">
        <f t="shared" ca="1" si="4"/>
        <v>7.5100868050211669E-3</v>
      </c>
      <c r="T78">
        <f t="shared" ca="1" si="5"/>
        <v>-8.3706334551573417E-4</v>
      </c>
      <c r="U78">
        <f t="shared" ca="1" si="6"/>
        <v>3.2276725082745192E-2</v>
      </c>
      <c r="V78">
        <f t="shared" ca="1" si="7"/>
        <v>7.078988688799988E-3</v>
      </c>
    </row>
    <row r="79" spans="19:22" x14ac:dyDescent="0.35">
      <c r="S79">
        <f t="shared" ca="1" si="4"/>
        <v>-1.0864600756762618E-2</v>
      </c>
      <c r="T79">
        <f t="shared" ca="1" si="5"/>
        <v>1.3062134048434317E-2</v>
      </c>
      <c r="U79">
        <f t="shared" ca="1" si="6"/>
        <v>1.5425673514820794E-2</v>
      </c>
      <c r="V79">
        <f t="shared" ca="1" si="7"/>
        <v>-4.7647400821440597E-3</v>
      </c>
    </row>
    <row r="80" spans="19:22" x14ac:dyDescent="0.35">
      <c r="S80">
        <f t="shared" ca="1" si="4"/>
        <v>-4.3442299178915379E-2</v>
      </c>
      <c r="T80">
        <f t="shared" ca="1" si="5"/>
        <v>-1.4222237280271596E-3</v>
      </c>
      <c r="U80">
        <f t="shared" ca="1" si="6"/>
        <v>-9.8247985218970005E-3</v>
      </c>
      <c r="V80">
        <f t="shared" ca="1" si="7"/>
        <v>-3.3357409055886821E-2</v>
      </c>
    </row>
    <row r="81" spans="19:22" x14ac:dyDescent="0.35">
      <c r="S81">
        <f t="shared" ca="1" si="4"/>
        <v>-5.2670241048886363E-3</v>
      </c>
      <c r="T81">
        <f t="shared" ca="1" si="5"/>
        <v>5.6305396440426902E-3</v>
      </c>
      <c r="U81">
        <f t="shared" ca="1" si="6"/>
        <v>-1.4524578367596177E-2</v>
      </c>
      <c r="V81">
        <f t="shared" ca="1" si="7"/>
        <v>-3.5503890682377485E-3</v>
      </c>
    </row>
    <row r="82" spans="19:22" x14ac:dyDescent="0.35">
      <c r="S82">
        <f t="shared" ca="1" si="4"/>
        <v>-1.4183725554064474E-2</v>
      </c>
      <c r="T82">
        <f t="shared" ca="1" si="5"/>
        <v>-7.3617671664289539E-3</v>
      </c>
      <c r="U82">
        <f t="shared" ca="1" si="6"/>
        <v>8.183139326139342E-4</v>
      </c>
      <c r="V82">
        <f t="shared" ca="1" si="7"/>
        <v>-1.2069231902203451E-2</v>
      </c>
    </row>
    <row r="83" spans="19:22" x14ac:dyDescent="0.35">
      <c r="S83">
        <f t="shared" ca="1" si="4"/>
        <v>-6.6356013668935291E-3</v>
      </c>
      <c r="T83">
        <f t="shared" ca="1" si="5"/>
        <v>2.5275348993641322E-2</v>
      </c>
      <c r="U83">
        <f t="shared" ca="1" si="6"/>
        <v>-9.6343533450767831E-3</v>
      </c>
      <c r="V83">
        <f t="shared" ca="1" si="7"/>
        <v>-4.033488936957218E-4</v>
      </c>
    </row>
    <row r="84" spans="19:22" x14ac:dyDescent="0.35">
      <c r="S84">
        <f t="shared" ca="1" si="4"/>
        <v>2.2786080861830399E-2</v>
      </c>
      <c r="T84">
        <f t="shared" ca="1" si="5"/>
        <v>1.2707782392500736E-2</v>
      </c>
      <c r="U84">
        <f t="shared" ca="1" si="6"/>
        <v>6.1291739846168133E-3</v>
      </c>
      <c r="V84">
        <f t="shared" ca="1" si="7"/>
        <v>1.9937575824103784E-2</v>
      </c>
    </row>
    <row r="85" spans="19:22" x14ac:dyDescent="0.35">
      <c r="S85">
        <f t="shared" ca="1" si="4"/>
        <v>3.4669277863183809E-3</v>
      </c>
      <c r="T85">
        <f t="shared" ca="1" si="5"/>
        <v>-4.4735182973468955E-3</v>
      </c>
      <c r="U85">
        <f t="shared" ca="1" si="6"/>
        <v>1.0663947976430881E-3</v>
      </c>
      <c r="V85">
        <f t="shared" ca="1" si="7"/>
        <v>1.7588119201515614E-3</v>
      </c>
    </row>
    <row r="86" spans="19:22" x14ac:dyDescent="0.35">
      <c r="S86">
        <f t="shared" ca="1" si="4"/>
        <v>3.1516474354343842E-2</v>
      </c>
      <c r="T86">
        <f t="shared" ca="1" si="5"/>
        <v>-6.9404147246390603E-3</v>
      </c>
      <c r="U86">
        <f t="shared" ca="1" si="6"/>
        <v>1.2836009094460777E-2</v>
      </c>
      <c r="V86">
        <f t="shared" ca="1" si="7"/>
        <v>2.2891073275553106E-2</v>
      </c>
    </row>
    <row r="87" spans="19:22" x14ac:dyDescent="0.35">
      <c r="S87">
        <f t="shared" ca="1" si="4"/>
        <v>-1.8489956981429466E-3</v>
      </c>
      <c r="T87">
        <f t="shared" ca="1" si="5"/>
        <v>-3.3656689894031406E-3</v>
      </c>
      <c r="U87">
        <f t="shared" ca="1" si="6"/>
        <v>7.800893194171603E-3</v>
      </c>
      <c r="V87">
        <f t="shared" ca="1" si="7"/>
        <v>-1.6698359117792577E-3</v>
      </c>
    </row>
    <row r="88" spans="19:22" x14ac:dyDescent="0.35">
      <c r="S88">
        <f t="shared" ca="1" si="4"/>
        <v>9.5022623166097393E-3</v>
      </c>
      <c r="T88">
        <f t="shared" ca="1" si="5"/>
        <v>1.9225629532156046E-2</v>
      </c>
      <c r="U88">
        <f t="shared" ca="1" si="6"/>
        <v>-2.0213680102894999E-2</v>
      </c>
      <c r="V88">
        <f t="shared" ca="1" si="7"/>
        <v>9.9611386387437641E-3</v>
      </c>
    </row>
    <row r="89" spans="19:22" x14ac:dyDescent="0.35">
      <c r="S89">
        <f t="shared" ca="1" si="4"/>
        <v>1.040310016651958E-2</v>
      </c>
      <c r="T89">
        <f t="shared" ca="1" si="5"/>
        <v>4.5231997407862941E-2</v>
      </c>
      <c r="U89">
        <f t="shared" ca="1" si="6"/>
        <v>-8.6370072668482453E-3</v>
      </c>
      <c r="V89">
        <f t="shared" ca="1" si="7"/>
        <v>1.6416874243119859E-2</v>
      </c>
    </row>
    <row r="90" spans="19:22" x14ac:dyDescent="0.35">
      <c r="S90">
        <f t="shared" ca="1" si="4"/>
        <v>2.3981152262245911E-2</v>
      </c>
      <c r="T90">
        <f t="shared" ca="1" si="5"/>
        <v>-1.8697018851539703E-2</v>
      </c>
      <c r="U90">
        <f t="shared" ca="1" si="6"/>
        <v>-1.0353559301165983E-2</v>
      </c>
      <c r="V90">
        <f t="shared" ca="1" si="7"/>
        <v>1.3728782461318194E-2</v>
      </c>
    </row>
    <row r="91" spans="19:22" x14ac:dyDescent="0.35">
      <c r="S91">
        <f t="shared" ca="1" si="4"/>
        <v>-2.229721853814412E-2</v>
      </c>
      <c r="T91">
        <f t="shared" ca="1" si="5"/>
        <v>-7.0795647274275141E-3</v>
      </c>
      <c r="U91">
        <f t="shared" ca="1" si="6"/>
        <v>-1.5570410310764391E-2</v>
      </c>
      <c r="V91">
        <f t="shared" ca="1" si="7"/>
        <v>-1.8917347364631815E-2</v>
      </c>
    </row>
    <row r="92" spans="19:22" x14ac:dyDescent="0.35">
      <c r="S92">
        <f t="shared" ca="1" si="4"/>
        <v>2.7487673615226747E-3</v>
      </c>
      <c r="T92">
        <f t="shared" ca="1" si="5"/>
        <v>3.0704723996426802E-2</v>
      </c>
      <c r="U92">
        <f t="shared" ca="1" si="6"/>
        <v>-7.0117027644644387E-3</v>
      </c>
      <c r="V92">
        <f t="shared" ca="1" si="7"/>
        <v>7.851935182204145E-3</v>
      </c>
    </row>
    <row r="93" spans="19:22" x14ac:dyDescent="0.35">
      <c r="S93">
        <f t="shared" ca="1" si="4"/>
        <v>1.0127891006920561E-2</v>
      </c>
      <c r="T93">
        <f t="shared" ca="1" si="5"/>
        <v>1.3122773685710265E-2</v>
      </c>
      <c r="U93">
        <f t="shared" ca="1" si="6"/>
        <v>-9.5975878592005036E-3</v>
      </c>
      <c r="V93">
        <f t="shared" ca="1" si="7"/>
        <v>9.7405935993724498E-3</v>
      </c>
    </row>
    <row r="94" spans="19:22" x14ac:dyDescent="0.35">
      <c r="S94">
        <f t="shared" ca="1" si="4"/>
        <v>7.2017337122461025E-3</v>
      </c>
      <c r="T94">
        <f t="shared" ca="1" si="5"/>
        <v>9.1445747238685701E-3</v>
      </c>
      <c r="U94">
        <f t="shared" ca="1" si="6"/>
        <v>-6.7555459837661137E-3</v>
      </c>
      <c r="V94">
        <f t="shared" ca="1" si="7"/>
        <v>6.8924379297699845E-3</v>
      </c>
    </row>
    <row r="95" spans="19:22" x14ac:dyDescent="0.35">
      <c r="S95">
        <f t="shared" ca="1" si="4"/>
        <v>-3.9114164776922044E-3</v>
      </c>
      <c r="T95">
        <f t="shared" ca="1" si="5"/>
        <v>-2.3021079389143016E-2</v>
      </c>
      <c r="U95">
        <f t="shared" ca="1" si="6"/>
        <v>5.9811727724491427E-3</v>
      </c>
      <c r="V95">
        <f t="shared" ca="1" si="7"/>
        <v>-7.2387195974752986E-3</v>
      </c>
    </row>
    <row r="96" spans="19:22" x14ac:dyDescent="0.35">
      <c r="S96">
        <f t="shared" ca="1" si="4"/>
        <v>2.3433658755876097E-2</v>
      </c>
      <c r="T96">
        <f t="shared" ca="1" si="5"/>
        <v>-1.9754597985636103E-2</v>
      </c>
      <c r="U96">
        <f t="shared" ca="1" si="6"/>
        <v>1.8065543317172937E-2</v>
      </c>
      <c r="V96">
        <f t="shared" ca="1" si="7"/>
        <v>1.4527601635638501E-2</v>
      </c>
    </row>
    <row r="97" spans="19:22" x14ac:dyDescent="0.35">
      <c r="S97">
        <f t="shared" ca="1" si="4"/>
        <v>5.6821057032473881E-5</v>
      </c>
      <c r="T97">
        <f t="shared" ca="1" si="5"/>
        <v>5.5692585583257178E-3</v>
      </c>
      <c r="U97">
        <f t="shared" ca="1" si="6"/>
        <v>2.374729658220846E-2</v>
      </c>
      <c r="V97">
        <f t="shared" ca="1" si="7"/>
        <v>2.3438323335499222E-3</v>
      </c>
    </row>
    <row r="98" spans="19:22" x14ac:dyDescent="0.35">
      <c r="S98">
        <f t="shared" ca="1" si="4"/>
        <v>-5.5463254522365064E-3</v>
      </c>
      <c r="T98">
        <f t="shared" ca="1" si="5"/>
        <v>-7.5175432577741751E-4</v>
      </c>
      <c r="U98">
        <f t="shared" ca="1" si="6"/>
        <v>-1.192679980380002E-2</v>
      </c>
      <c r="V98">
        <f t="shared" ca="1" si="7"/>
        <v>-4.9064349445228639E-3</v>
      </c>
    </row>
    <row r="99" spans="19:22" x14ac:dyDescent="0.35">
      <c r="S99">
        <f t="shared" ca="1" si="4"/>
        <v>1.0139866991947211E-2</v>
      </c>
      <c r="T99">
        <f t="shared" ca="1" si="5"/>
        <v>-5.0963591917567988E-3</v>
      </c>
      <c r="U99">
        <f t="shared" ca="1" si="6"/>
        <v>8.3460372987633098E-4</v>
      </c>
      <c r="V99">
        <f t="shared" ca="1" si="7"/>
        <v>6.6273585921028649E-3</v>
      </c>
    </row>
    <row r="100" spans="19:22" x14ac:dyDescent="0.35">
      <c r="S100">
        <f t="shared" ca="1" si="4"/>
        <v>5.3074986847962847E-3</v>
      </c>
      <c r="T100">
        <f t="shared" ca="1" si="5"/>
        <v>3.1928180606660667E-2</v>
      </c>
      <c r="U100">
        <f t="shared" ca="1" si="6"/>
        <v>-1.3200549615720793E-2</v>
      </c>
      <c r="V100">
        <f t="shared" ca="1" si="7"/>
        <v>9.7062326541433076E-3</v>
      </c>
    </row>
    <row r="101" spans="19:22" x14ac:dyDescent="0.35">
      <c r="S101">
        <f t="shared" ca="1" si="4"/>
        <v>-1.7280043010755399E-3</v>
      </c>
      <c r="T101">
        <f t="shared" ca="1" si="5"/>
        <v>-2.1297532040171672E-3</v>
      </c>
      <c r="U101">
        <f t="shared" ca="1" si="6"/>
        <v>-2.5011865171734725E-2</v>
      </c>
      <c r="V101">
        <f t="shared" ca="1" si="7"/>
        <v>-2.972547125196825E-3</v>
      </c>
    </row>
    <row r="102" spans="19:22" x14ac:dyDescent="0.35">
      <c r="S102">
        <f t="shared" ca="1" si="4"/>
        <v>-4.971671670293833E-3</v>
      </c>
      <c r="T102">
        <f t="shared" ca="1" si="5"/>
        <v>9.8435144015991752E-3</v>
      </c>
      <c r="U102">
        <f t="shared" ca="1" si="6"/>
        <v>-1.7976052684139277E-3</v>
      </c>
      <c r="V102">
        <f t="shared" ca="1" si="7"/>
        <v>-1.8499311358212362E-3</v>
      </c>
    </row>
    <row r="103" spans="19:22" x14ac:dyDescent="0.35">
      <c r="S103">
        <f t="shared" ca="1" si="4"/>
        <v>-3.2585672453339841E-2</v>
      </c>
      <c r="T103">
        <f t="shared" ca="1" si="5"/>
        <v>1.3682587341460231E-2</v>
      </c>
      <c r="U103">
        <f t="shared" ca="1" si="6"/>
        <v>-4.1016772450036446E-2</v>
      </c>
      <c r="V103">
        <f t="shared" ca="1" si="7"/>
        <v>-2.3753575494214658E-2</v>
      </c>
    </row>
    <row r="104" spans="19:22" x14ac:dyDescent="0.35">
      <c r="S104">
        <f t="shared" ca="1" si="4"/>
        <v>-5.4365898481914289E-2</v>
      </c>
      <c r="T104">
        <f t="shared" ca="1" si="5"/>
        <v>2.6179067958670144E-2</v>
      </c>
      <c r="U104">
        <f t="shared" ca="1" si="6"/>
        <v>-4.1280685716649935E-3</v>
      </c>
      <c r="V104">
        <f t="shared" ca="1" si="7"/>
        <v>-3.5745013698284943E-2</v>
      </c>
    </row>
    <row r="105" spans="19:22" x14ac:dyDescent="0.35">
      <c r="S105">
        <f t="shared" ca="1" si="4"/>
        <v>1.6202840485137517E-2</v>
      </c>
      <c r="T105">
        <f t="shared" ca="1" si="5"/>
        <v>-2.6903798518131624E-2</v>
      </c>
      <c r="U105">
        <f t="shared" ca="1" si="6"/>
        <v>7.5962424119231957E-4</v>
      </c>
      <c r="V105">
        <f t="shared" ca="1" si="7"/>
        <v>6.8093518722864279E-3</v>
      </c>
    </row>
    <row r="106" spans="19:22" x14ac:dyDescent="0.35">
      <c r="S106">
        <f t="shared" ca="1" si="4"/>
        <v>-2.779672651844934E-2</v>
      </c>
      <c r="T106">
        <f t="shared" ca="1" si="5"/>
        <v>1.0629980028424491E-2</v>
      </c>
      <c r="U106">
        <f t="shared" ca="1" si="6"/>
        <v>1.5432468705123764E-2</v>
      </c>
      <c r="V106">
        <f t="shared" ca="1" si="7"/>
        <v>-1.794992544789592E-2</v>
      </c>
    </row>
    <row r="107" spans="19:22" x14ac:dyDescent="0.35">
      <c r="S107">
        <f t="shared" ca="1" si="4"/>
        <v>-1.8302534759221573E-2</v>
      </c>
      <c r="T107">
        <f t="shared" ca="1" si="5"/>
        <v>2.2381905524611272E-2</v>
      </c>
      <c r="U107">
        <f t="shared" ca="1" si="6"/>
        <v>1.5246096153728083E-2</v>
      </c>
      <c r="V107">
        <f t="shared" ca="1" si="7"/>
        <v>-8.4882151568075222E-3</v>
      </c>
    </row>
    <row r="108" spans="19:22" x14ac:dyDescent="0.35">
      <c r="S108">
        <f t="shared" ca="1" si="4"/>
        <v>1.6063985826861664E-3</v>
      </c>
      <c r="T108">
        <f t="shared" ca="1" si="5"/>
        <v>-7.7343980910491083E-3</v>
      </c>
      <c r="U108">
        <f t="shared" ca="1" si="6"/>
        <v>-2.1396359364353988E-2</v>
      </c>
      <c r="V108">
        <f t="shared" ca="1" si="7"/>
        <v>-1.4118986494128965E-3</v>
      </c>
    </row>
    <row r="109" spans="19:22" x14ac:dyDescent="0.35">
      <c r="S109">
        <f t="shared" ca="1" si="4"/>
        <v>-1.8512498584716982E-2</v>
      </c>
      <c r="T109">
        <f t="shared" ca="1" si="5"/>
        <v>-2.5322701543439596E-3</v>
      </c>
      <c r="U109">
        <f t="shared" ca="1" si="6"/>
        <v>-2.6948699623467597E-2</v>
      </c>
      <c r="V109">
        <f t="shared" ca="1" si="7"/>
        <v>-1.5738262950579906E-2</v>
      </c>
    </row>
    <row r="110" spans="19:22" x14ac:dyDescent="0.35">
      <c r="S110">
        <f t="shared" ca="1" si="4"/>
        <v>-4.8726511779406817E-3</v>
      </c>
      <c r="T110">
        <f t="shared" ca="1" si="5"/>
        <v>3.1395905303264983E-4</v>
      </c>
      <c r="U110">
        <f t="shared" ca="1" si="6"/>
        <v>5.2179049518727861E-3</v>
      </c>
      <c r="V110">
        <f t="shared" ca="1" si="7"/>
        <v>-3.3308013252553422E-3</v>
      </c>
    </row>
    <row r="111" spans="19:22" x14ac:dyDescent="0.35">
      <c r="S111">
        <f t="shared" ca="1" si="4"/>
        <v>-5.9308462253796438E-3</v>
      </c>
      <c r="T111">
        <f t="shared" ca="1" si="5"/>
        <v>-2.2799524114944229E-2</v>
      </c>
      <c r="U111">
        <f t="shared" ca="1" si="6"/>
        <v>5.4797128889069362E-3</v>
      </c>
      <c r="V111">
        <f t="shared" ca="1" si="7"/>
        <v>-8.7340538475782336E-3</v>
      </c>
    </row>
    <row r="112" spans="19:22" x14ac:dyDescent="0.35">
      <c r="S112">
        <f t="shared" ca="1" si="4"/>
        <v>-4.5757618614531946E-3</v>
      </c>
      <c r="T112">
        <f t="shared" ca="1" si="5"/>
        <v>2.7979978355969315E-3</v>
      </c>
      <c r="U112">
        <f t="shared" ca="1" si="6"/>
        <v>-1.9920314218380281E-2</v>
      </c>
      <c r="V112">
        <f t="shared" ca="1" si="7"/>
        <v>-3.8682375398895238E-3</v>
      </c>
    </row>
    <row r="113" spans="19:22" x14ac:dyDescent="0.35">
      <c r="S113">
        <f t="shared" ca="1" si="4"/>
        <v>1.2020286173290512E-2</v>
      </c>
      <c r="T113">
        <f t="shared" ca="1" si="5"/>
        <v>2.4694170297269731E-2</v>
      </c>
      <c r="U113">
        <f t="shared" ca="1" si="6"/>
        <v>7.481916146007116E-3</v>
      </c>
      <c r="V113">
        <f t="shared" ca="1" si="7"/>
        <v>1.4328144496722187E-2</v>
      </c>
    </row>
    <row r="114" spans="19:22" x14ac:dyDescent="0.35">
      <c r="S114">
        <f t="shared" ca="1" si="4"/>
        <v>-2.1653021701758573E-2</v>
      </c>
      <c r="T114">
        <f t="shared" ca="1" si="5"/>
        <v>1.685331036818765E-2</v>
      </c>
      <c r="U114">
        <f t="shared" ca="1" si="6"/>
        <v>-5.5790934383035057E-4</v>
      </c>
      <c r="V114">
        <f t="shared" ca="1" si="7"/>
        <v>-1.2896999669872917E-2</v>
      </c>
    </row>
    <row r="115" spans="19:22" x14ac:dyDescent="0.35">
      <c r="S115">
        <f t="shared" ca="1" si="4"/>
        <v>-9.1177984349051569E-3</v>
      </c>
      <c r="T115">
        <f t="shared" ca="1" si="5"/>
        <v>-1.9953413717723717E-2</v>
      </c>
      <c r="U115">
        <f t="shared" ca="1" si="6"/>
        <v>5.9822709857793371E-3</v>
      </c>
      <c r="V115">
        <f t="shared" ca="1" si="7"/>
        <v>-1.0529918020434645E-2</v>
      </c>
    </row>
    <row r="116" spans="19:22" x14ac:dyDescent="0.35">
      <c r="S116">
        <f t="shared" ca="1" si="4"/>
        <v>1.1784894246744806E-2</v>
      </c>
      <c r="T116">
        <f t="shared" ca="1" si="5"/>
        <v>1.0687558812409183E-2</v>
      </c>
      <c r="U116">
        <f t="shared" ca="1" si="6"/>
        <v>-9.4279720993883567E-3</v>
      </c>
      <c r="V116">
        <f t="shared" ca="1" si="7"/>
        <v>1.0504783842571022E-2</v>
      </c>
    </row>
    <row r="117" spans="19:22" x14ac:dyDescent="0.35">
      <c r="S117">
        <f t="shared" ca="1" si="4"/>
        <v>2.0074502226833664E-2</v>
      </c>
      <c r="T117">
        <f t="shared" ca="1" si="5"/>
        <v>1.8348787745876942E-2</v>
      </c>
      <c r="U117">
        <f t="shared" ca="1" si="6"/>
        <v>3.1252706085741246E-2</v>
      </c>
      <c r="V117">
        <f t="shared" ca="1" si="7"/>
        <v>2.0288269523587699E-2</v>
      </c>
    </row>
    <row r="118" spans="19:22" x14ac:dyDescent="0.35">
      <c r="S118">
        <f t="shared" ca="1" si="4"/>
        <v>-8.7224852821655308E-3</v>
      </c>
      <c r="T118">
        <f t="shared" ca="1" si="5"/>
        <v>5.2305919207198699E-3</v>
      </c>
      <c r="U118">
        <f t="shared" ca="1" si="6"/>
        <v>1.025033185358477E-2</v>
      </c>
      <c r="V118">
        <f t="shared" ca="1" si="7"/>
        <v>-4.9832289848009362E-3</v>
      </c>
    </row>
    <row r="119" spans="19:22" x14ac:dyDescent="0.35">
      <c r="S119">
        <f t="shared" ca="1" si="4"/>
        <v>-1.5901989230631415E-2</v>
      </c>
      <c r="T119">
        <f t="shared" ca="1" si="5"/>
        <v>-1.8344476826164049E-2</v>
      </c>
      <c r="U119">
        <f t="shared" ca="1" si="6"/>
        <v>2.3683235754566812E-2</v>
      </c>
      <c r="V119">
        <f t="shared" ca="1" si="7"/>
        <v>-1.441122550047803E-2</v>
      </c>
    </row>
    <row r="120" spans="19:22" x14ac:dyDescent="0.35">
      <c r="S120">
        <f t="shared" ca="1" si="4"/>
        <v>-1.5793039724527017E-2</v>
      </c>
      <c r="T120">
        <f t="shared" ca="1" si="5"/>
        <v>2.4609755443855855E-2</v>
      </c>
      <c r="U120">
        <f t="shared" ca="1" si="6"/>
        <v>1.3080255851266365E-2</v>
      </c>
      <c r="V120">
        <f t="shared" ca="1" si="7"/>
        <v>-6.268815912060772E-3</v>
      </c>
    </row>
    <row r="121" spans="19:22" x14ac:dyDescent="0.35">
      <c r="S121">
        <f t="shared" ca="1" si="4"/>
        <v>2.2823930614504381E-2</v>
      </c>
      <c r="T121">
        <f t="shared" ca="1" si="5"/>
        <v>-1.2508275015904898E-2</v>
      </c>
      <c r="U121">
        <f t="shared" ca="1" si="6"/>
        <v>5.8033242390899496E-3</v>
      </c>
      <c r="V121">
        <f t="shared" ca="1" si="7"/>
        <v>1.4906459169651802E-2</v>
      </c>
    </row>
    <row r="122" spans="19:22" x14ac:dyDescent="0.35">
      <c r="S122">
        <f t="shared" ca="1" si="4"/>
        <v>3.9408276540100831E-2</v>
      </c>
      <c r="T122">
        <f t="shared" ca="1" si="5"/>
        <v>2.1209337448431873E-2</v>
      </c>
      <c r="U122">
        <f t="shared" ca="1" si="6"/>
        <v>-2.9040493214148356E-2</v>
      </c>
      <c r="V122">
        <f t="shared" ca="1" si="7"/>
        <v>3.2346050234054582E-2</v>
      </c>
    </row>
    <row r="123" spans="19:22" x14ac:dyDescent="0.35">
      <c r="S123">
        <f t="shared" ca="1" si="4"/>
        <v>-8.4001344333917184E-3</v>
      </c>
      <c r="T123">
        <f t="shared" ca="1" si="5"/>
        <v>1.4434837428272382E-2</v>
      </c>
      <c r="U123">
        <f t="shared" ca="1" si="6"/>
        <v>1.3770685859038352E-2</v>
      </c>
      <c r="V123">
        <f t="shared" ca="1" si="7"/>
        <v>-2.7245990464373946E-3</v>
      </c>
    </row>
    <row r="124" spans="19:22" x14ac:dyDescent="0.35">
      <c r="S124">
        <f t="shared" ca="1" si="4"/>
        <v>5.4970063101260889E-4</v>
      </c>
      <c r="T124">
        <f t="shared" ca="1" si="5"/>
        <v>9.005154306389318E-3</v>
      </c>
      <c r="U124">
        <f t="shared" ca="1" si="6"/>
        <v>-1.1432069479573174E-3</v>
      </c>
      <c r="V124">
        <f t="shared" ca="1" si="7"/>
        <v>2.1561459871394543E-3</v>
      </c>
    </row>
    <row r="125" spans="19:22" x14ac:dyDescent="0.35">
      <c r="S125">
        <f t="shared" ca="1" si="4"/>
        <v>7.263185742595369E-3</v>
      </c>
      <c r="T125">
        <f t="shared" ca="1" si="5"/>
        <v>-8.7718499925338415E-3</v>
      </c>
      <c r="U125">
        <f t="shared" ca="1" si="6"/>
        <v>-1.5759749041392435E-2</v>
      </c>
      <c r="V125">
        <f t="shared" ca="1" si="7"/>
        <v>2.9050318563701369E-3</v>
      </c>
    </row>
    <row r="126" spans="19:22" x14ac:dyDescent="0.35">
      <c r="S126">
        <f t="shared" ca="1" si="4"/>
        <v>-1.8733469206421161E-3</v>
      </c>
      <c r="T126">
        <f t="shared" ca="1" si="5"/>
        <v>1.889139443031251E-3</v>
      </c>
      <c r="U126">
        <f t="shared" ca="1" si="6"/>
        <v>4.2902640641494655E-2</v>
      </c>
      <c r="V126">
        <f t="shared" ca="1" si="7"/>
        <v>1.117949730199396E-3</v>
      </c>
    </row>
    <row r="127" spans="19:22" x14ac:dyDescent="0.35">
      <c r="S127">
        <f t="shared" ca="1" si="4"/>
        <v>1.1621759679806566E-2</v>
      </c>
      <c r="T127">
        <f t="shared" ca="1" si="5"/>
        <v>4.1038297984512294E-3</v>
      </c>
      <c r="U127">
        <f t="shared" ca="1" si="6"/>
        <v>9.3530688818699251E-3</v>
      </c>
      <c r="V127">
        <f t="shared" ca="1" si="7"/>
        <v>1.0004739163638667E-2</v>
      </c>
    </row>
    <row r="128" spans="19:22" x14ac:dyDescent="0.35">
      <c r="S128">
        <f t="shared" ca="1" si="4"/>
        <v>5.9260226467409676E-3</v>
      </c>
      <c r="T128">
        <f t="shared" ca="1" si="5"/>
        <v>3.2102116408903182E-2</v>
      </c>
      <c r="U128">
        <f t="shared" ca="1" si="6"/>
        <v>-1.6363553518063293E-2</v>
      </c>
      <c r="V128">
        <f t="shared" ca="1" si="7"/>
        <v>1.0046762590933197E-2</v>
      </c>
    </row>
    <row r="129" spans="19:22" x14ac:dyDescent="0.35">
      <c r="S129">
        <f t="shared" ca="1" si="4"/>
        <v>-1.1176671438086786E-2</v>
      </c>
      <c r="T129">
        <f t="shared" ca="1" si="5"/>
        <v>-2.3802546347708148E-2</v>
      </c>
      <c r="U129">
        <f t="shared" ca="1" si="6"/>
        <v>1.571650305726608E-2</v>
      </c>
      <c r="V129">
        <f t="shared" ca="1" si="7"/>
        <v>-1.2357187695243415E-2</v>
      </c>
    </row>
    <row r="130" spans="19:22" x14ac:dyDescent="0.35">
      <c r="S130">
        <f t="shared" ca="1" si="4"/>
        <v>1.4575672243719709E-2</v>
      </c>
      <c r="T130">
        <f t="shared" ca="1" si="5"/>
        <v>-1.2169948991766282E-3</v>
      </c>
      <c r="U130">
        <f t="shared" ca="1" si="6"/>
        <v>-2.1211187549633145E-3</v>
      </c>
      <c r="V130">
        <f t="shared" ca="1" si="7"/>
        <v>1.0582299265206289E-2</v>
      </c>
    </row>
    <row r="131" spans="19:22" x14ac:dyDescent="0.35">
      <c r="S131">
        <f t="shared" ca="1" si="4"/>
        <v>3.8416192780990938E-3</v>
      </c>
      <c r="T131">
        <f t="shared" ca="1" si="5"/>
        <v>8.5472072385226849E-4</v>
      </c>
      <c r="U131">
        <f t="shared" ca="1" si="6"/>
        <v>-5.2748832534507207E-3</v>
      </c>
      <c r="V131">
        <f t="shared" ca="1" si="7"/>
        <v>2.7884144406722378E-3</v>
      </c>
    </row>
    <row r="132" spans="19:22" x14ac:dyDescent="0.35">
      <c r="S132">
        <f t="shared" ref="S132:S195" ca="1" si="8">_xlfn.NORM.INV(RAND(),$L$3,$M$3)</f>
        <v>-1.268415518874679E-2</v>
      </c>
      <c r="T132">
        <f t="shared" ref="T132:T195" ca="1" si="9">_xlfn.NORM.INV(RAND(),$N$3,$O$3)</f>
        <v>9.9630242827471426E-3</v>
      </c>
      <c r="U132">
        <f t="shared" ref="U132:U195" ca="1" si="10">_xlfn.NORM.INV(RAND(),$P$3,$Q$3)</f>
        <v>-8.8966856943006323E-3</v>
      </c>
      <c r="V132">
        <f t="shared" ref="V132:V195" ca="1" si="11">(0.75*S132)+(0.2*T132)+(0.05*U132)</f>
        <v>-7.965345819725694E-3</v>
      </c>
    </row>
    <row r="133" spans="19:22" x14ac:dyDescent="0.35">
      <c r="S133">
        <f t="shared" ca="1" si="8"/>
        <v>7.8700198280904476E-3</v>
      </c>
      <c r="T133">
        <f t="shared" ca="1" si="9"/>
        <v>1.6057535798480922E-2</v>
      </c>
      <c r="U133">
        <f t="shared" ca="1" si="10"/>
        <v>-2.504624819636753E-2</v>
      </c>
      <c r="V133">
        <f t="shared" ca="1" si="11"/>
        <v>7.8617096209456436E-3</v>
      </c>
    </row>
    <row r="134" spans="19:22" x14ac:dyDescent="0.35">
      <c r="S134">
        <f t="shared" ca="1" si="8"/>
        <v>-6.7701170591961892E-4</v>
      </c>
      <c r="T134">
        <f t="shared" ca="1" si="9"/>
        <v>5.9592704169011664E-3</v>
      </c>
      <c r="U134">
        <f t="shared" ca="1" si="10"/>
        <v>1.3862691385212768E-2</v>
      </c>
      <c r="V134">
        <f t="shared" ca="1" si="11"/>
        <v>1.3772298732011574E-3</v>
      </c>
    </row>
    <row r="135" spans="19:22" x14ac:dyDescent="0.35">
      <c r="S135">
        <f t="shared" ca="1" si="8"/>
        <v>5.7503095515592084E-3</v>
      </c>
      <c r="T135">
        <f t="shared" ca="1" si="9"/>
        <v>-6.0229000913726849E-3</v>
      </c>
      <c r="U135">
        <f t="shared" ca="1" si="10"/>
        <v>-1.6456110432716241E-2</v>
      </c>
      <c r="V135">
        <f t="shared" ca="1" si="11"/>
        <v>2.2853466237590567E-3</v>
      </c>
    </row>
    <row r="136" spans="19:22" x14ac:dyDescent="0.35">
      <c r="S136">
        <f t="shared" ca="1" si="8"/>
        <v>-2.7568062469743011E-4</v>
      </c>
      <c r="T136">
        <f t="shared" ca="1" si="9"/>
        <v>2.0255219218033117E-2</v>
      </c>
      <c r="U136">
        <f t="shared" ca="1" si="10"/>
        <v>-7.170520895225325E-3</v>
      </c>
      <c r="V136">
        <f t="shared" ca="1" si="11"/>
        <v>3.4857573303222846E-3</v>
      </c>
    </row>
    <row r="137" spans="19:22" x14ac:dyDescent="0.35">
      <c r="S137">
        <f t="shared" ca="1" si="8"/>
        <v>-2.07425679866329E-2</v>
      </c>
      <c r="T137">
        <f t="shared" ca="1" si="9"/>
        <v>-1.1329931211057707E-3</v>
      </c>
      <c r="U137">
        <f t="shared" ca="1" si="10"/>
        <v>2.6444910209165777E-2</v>
      </c>
      <c r="V137">
        <f t="shared" ca="1" si="11"/>
        <v>-1.446127910373754E-2</v>
      </c>
    </row>
    <row r="138" spans="19:22" x14ac:dyDescent="0.35">
      <c r="S138">
        <f t="shared" ca="1" si="8"/>
        <v>-1.2304578166041856E-2</v>
      </c>
      <c r="T138">
        <f t="shared" ca="1" si="9"/>
        <v>3.9841056337728475E-3</v>
      </c>
      <c r="U138">
        <f t="shared" ca="1" si="10"/>
        <v>2.1627160664173709E-2</v>
      </c>
      <c r="V138">
        <f t="shared" ca="1" si="11"/>
        <v>-7.3502544645681362E-3</v>
      </c>
    </row>
    <row r="139" spans="19:22" x14ac:dyDescent="0.35">
      <c r="S139">
        <f t="shared" ca="1" si="8"/>
        <v>-6.7654317948077445E-3</v>
      </c>
      <c r="T139">
        <f t="shared" ca="1" si="9"/>
        <v>-1.8462198610666194E-2</v>
      </c>
      <c r="U139">
        <f t="shared" ca="1" si="10"/>
        <v>1.1827738577715619E-2</v>
      </c>
      <c r="V139">
        <f t="shared" ca="1" si="11"/>
        <v>-8.1751266393532661E-3</v>
      </c>
    </row>
    <row r="140" spans="19:22" x14ac:dyDescent="0.35">
      <c r="S140">
        <f t="shared" ca="1" si="8"/>
        <v>1.2428413071429726E-2</v>
      </c>
      <c r="T140">
        <f t="shared" ca="1" si="9"/>
        <v>-1.0467375889971604E-2</v>
      </c>
      <c r="U140">
        <f t="shared" ca="1" si="10"/>
        <v>2.4544187110937924E-2</v>
      </c>
      <c r="V140">
        <f t="shared" ca="1" si="11"/>
        <v>8.4550439811248695E-3</v>
      </c>
    </row>
    <row r="141" spans="19:22" x14ac:dyDescent="0.35">
      <c r="S141">
        <f t="shared" ca="1" si="8"/>
        <v>-9.9578118763434635E-3</v>
      </c>
      <c r="T141">
        <f t="shared" ca="1" si="9"/>
        <v>1.0827919386538288E-2</v>
      </c>
      <c r="U141">
        <f t="shared" ca="1" si="10"/>
        <v>2.1303090922627246E-2</v>
      </c>
      <c r="V141">
        <f t="shared" ca="1" si="11"/>
        <v>-4.2376204838185782E-3</v>
      </c>
    </row>
    <row r="142" spans="19:22" x14ac:dyDescent="0.35">
      <c r="S142">
        <f t="shared" ca="1" si="8"/>
        <v>6.4786047824877272E-4</v>
      </c>
      <c r="T142">
        <f t="shared" ca="1" si="9"/>
        <v>5.3545399554386884E-3</v>
      </c>
      <c r="U142">
        <f t="shared" ca="1" si="10"/>
        <v>3.6816822914482177E-2</v>
      </c>
      <c r="V142">
        <f t="shared" ca="1" si="11"/>
        <v>3.3976444954984262E-3</v>
      </c>
    </row>
    <row r="143" spans="19:22" x14ac:dyDescent="0.35">
      <c r="S143">
        <f t="shared" ca="1" si="8"/>
        <v>1.4662752870158075E-2</v>
      </c>
      <c r="T143">
        <f t="shared" ca="1" si="9"/>
        <v>2.4907242012353472E-2</v>
      </c>
      <c r="U143">
        <f t="shared" ca="1" si="10"/>
        <v>2.4039966823248188E-2</v>
      </c>
      <c r="V143">
        <f t="shared" ca="1" si="11"/>
        <v>1.7180511396251662E-2</v>
      </c>
    </row>
    <row r="144" spans="19:22" x14ac:dyDescent="0.35">
      <c r="S144">
        <f t="shared" ca="1" si="8"/>
        <v>-2.0012234177938602E-2</v>
      </c>
      <c r="T144">
        <f t="shared" ca="1" si="9"/>
        <v>1.0399418434489324E-2</v>
      </c>
      <c r="U144">
        <f t="shared" ca="1" si="10"/>
        <v>-4.8058420354966843E-4</v>
      </c>
      <c r="V144">
        <f t="shared" ca="1" si="11"/>
        <v>-1.2953321156733571E-2</v>
      </c>
    </row>
    <row r="145" spans="19:22" x14ac:dyDescent="0.35">
      <c r="S145">
        <f t="shared" ca="1" si="8"/>
        <v>9.9372076075581999E-3</v>
      </c>
      <c r="T145">
        <f t="shared" ca="1" si="9"/>
        <v>9.3514787386793224E-3</v>
      </c>
      <c r="U145">
        <f t="shared" ca="1" si="10"/>
        <v>-4.7245642409536805E-2</v>
      </c>
      <c r="V145">
        <f t="shared" ca="1" si="11"/>
        <v>6.9609193329276745E-3</v>
      </c>
    </row>
    <row r="146" spans="19:22" x14ac:dyDescent="0.35">
      <c r="S146">
        <f t="shared" ca="1" si="8"/>
        <v>-3.2937803796830186E-3</v>
      </c>
      <c r="T146">
        <f t="shared" ca="1" si="9"/>
        <v>2.1201797881536536E-2</v>
      </c>
      <c r="U146">
        <f t="shared" ca="1" si="10"/>
        <v>-1.7948710960631789E-2</v>
      </c>
      <c r="V146">
        <f t="shared" ca="1" si="11"/>
        <v>8.7258874351345403E-4</v>
      </c>
    </row>
    <row r="147" spans="19:22" x14ac:dyDescent="0.35">
      <c r="S147">
        <f t="shared" ca="1" si="8"/>
        <v>7.6183676325151436E-3</v>
      </c>
      <c r="T147">
        <f t="shared" ca="1" si="9"/>
        <v>9.2646800032161105E-3</v>
      </c>
      <c r="U147">
        <f t="shared" ca="1" si="10"/>
        <v>-1.563026664056372E-2</v>
      </c>
      <c r="V147">
        <f t="shared" ca="1" si="11"/>
        <v>6.7851983930013928E-3</v>
      </c>
    </row>
    <row r="148" spans="19:22" x14ac:dyDescent="0.35">
      <c r="S148">
        <f t="shared" ca="1" si="8"/>
        <v>1.7700653417164557E-2</v>
      </c>
      <c r="T148">
        <f t="shared" ca="1" si="9"/>
        <v>2.047446891017456E-2</v>
      </c>
      <c r="U148">
        <f t="shared" ca="1" si="10"/>
        <v>1.8733284598670158E-2</v>
      </c>
      <c r="V148">
        <f t="shared" ca="1" si="11"/>
        <v>1.8307048074841837E-2</v>
      </c>
    </row>
    <row r="149" spans="19:22" x14ac:dyDescent="0.35">
      <c r="S149">
        <f t="shared" ca="1" si="8"/>
        <v>1.938287701226343E-2</v>
      </c>
      <c r="T149">
        <f t="shared" ca="1" si="9"/>
        <v>-1.0380346897623854E-2</v>
      </c>
      <c r="U149">
        <f t="shared" ca="1" si="10"/>
        <v>5.8036916547353221E-3</v>
      </c>
      <c r="V149">
        <f t="shared" ca="1" si="11"/>
        <v>1.2751272962409566E-2</v>
      </c>
    </row>
    <row r="150" spans="19:22" x14ac:dyDescent="0.35">
      <c r="S150">
        <f t="shared" ca="1" si="8"/>
        <v>-1.010017633308608E-2</v>
      </c>
      <c r="T150">
        <f t="shared" ca="1" si="9"/>
        <v>-1.8930942770272807E-2</v>
      </c>
      <c r="U150">
        <f t="shared" ca="1" si="10"/>
        <v>-7.1402652965779443E-3</v>
      </c>
      <c r="V150">
        <f t="shared" ca="1" si="11"/>
        <v>-1.1718334068698018E-2</v>
      </c>
    </row>
    <row r="151" spans="19:22" x14ac:dyDescent="0.35">
      <c r="S151">
        <f t="shared" ca="1" si="8"/>
        <v>7.6708626320888852E-3</v>
      </c>
      <c r="T151">
        <f t="shared" ca="1" si="9"/>
        <v>1.8545243318986045E-2</v>
      </c>
      <c r="U151">
        <f t="shared" ca="1" si="10"/>
        <v>-1.5802660221640445E-2</v>
      </c>
      <c r="V151">
        <f t="shared" ca="1" si="11"/>
        <v>8.6720626267818499E-3</v>
      </c>
    </row>
    <row r="152" spans="19:22" x14ac:dyDescent="0.35">
      <c r="S152">
        <f t="shared" ca="1" si="8"/>
        <v>-6.3480459950006427E-3</v>
      </c>
      <c r="T152">
        <f t="shared" ca="1" si="9"/>
        <v>-4.5903530814510866E-2</v>
      </c>
      <c r="U152">
        <f t="shared" ca="1" si="10"/>
        <v>1.7374161168749076E-2</v>
      </c>
      <c r="V152">
        <f t="shared" ca="1" si="11"/>
        <v>-1.3073032600715202E-2</v>
      </c>
    </row>
    <row r="153" spans="19:22" x14ac:dyDescent="0.35">
      <c r="S153">
        <f t="shared" ca="1" si="8"/>
        <v>2.7892336683513928E-3</v>
      </c>
      <c r="T153">
        <f t="shared" ca="1" si="9"/>
        <v>-1.3334776480344136E-2</v>
      </c>
      <c r="U153">
        <f t="shared" ca="1" si="10"/>
        <v>1.0283896602002726E-2</v>
      </c>
      <c r="V153">
        <f t="shared" ca="1" si="11"/>
        <v>-6.0835214705146643E-5</v>
      </c>
    </row>
    <row r="154" spans="19:22" x14ac:dyDescent="0.35">
      <c r="S154">
        <f t="shared" ca="1" si="8"/>
        <v>-4.361046622472102E-3</v>
      </c>
      <c r="T154">
        <f t="shared" ca="1" si="9"/>
        <v>1.175537785791605E-2</v>
      </c>
      <c r="U154">
        <f t="shared" ca="1" si="10"/>
        <v>-6.9776191584192239E-3</v>
      </c>
      <c r="V154">
        <f t="shared" ca="1" si="11"/>
        <v>-1.2685903531918276E-3</v>
      </c>
    </row>
    <row r="155" spans="19:22" x14ac:dyDescent="0.35">
      <c r="S155">
        <f t="shared" ca="1" si="8"/>
        <v>4.7425669327276817E-3</v>
      </c>
      <c r="T155">
        <f t="shared" ca="1" si="9"/>
        <v>-4.1436196871181968E-3</v>
      </c>
      <c r="U155">
        <f t="shared" ca="1" si="10"/>
        <v>-3.8886288993653009E-3</v>
      </c>
      <c r="V155">
        <f t="shared" ca="1" si="11"/>
        <v>2.5337698171538567E-3</v>
      </c>
    </row>
    <row r="156" spans="19:22" x14ac:dyDescent="0.35">
      <c r="S156">
        <f t="shared" ca="1" si="8"/>
        <v>1.2686297994534766E-2</v>
      </c>
      <c r="T156">
        <f t="shared" ca="1" si="9"/>
        <v>9.8604269554423175E-3</v>
      </c>
      <c r="U156">
        <f t="shared" ca="1" si="10"/>
        <v>-5.2434537067130678E-3</v>
      </c>
      <c r="V156">
        <f t="shared" ca="1" si="11"/>
        <v>1.1224636201653886E-2</v>
      </c>
    </row>
    <row r="157" spans="19:22" x14ac:dyDescent="0.35">
      <c r="S157">
        <f t="shared" ca="1" si="8"/>
        <v>3.7570578507745453E-3</v>
      </c>
      <c r="T157">
        <f t="shared" ca="1" si="9"/>
        <v>2.9905659583439142E-2</v>
      </c>
      <c r="U157">
        <f t="shared" ca="1" si="10"/>
        <v>-2.2393962390154291E-2</v>
      </c>
      <c r="V157">
        <f t="shared" ca="1" si="11"/>
        <v>7.6792271852610221E-3</v>
      </c>
    </row>
    <row r="158" spans="19:22" x14ac:dyDescent="0.35">
      <c r="S158">
        <f t="shared" ca="1" si="8"/>
        <v>4.2022737224444908E-3</v>
      </c>
      <c r="T158">
        <f t="shared" ca="1" si="9"/>
        <v>-2.5685568642826041E-2</v>
      </c>
      <c r="U158">
        <f t="shared" ca="1" si="10"/>
        <v>-3.5411912810822959E-3</v>
      </c>
      <c r="V158">
        <f t="shared" ca="1" si="11"/>
        <v>-2.1624680007859554E-3</v>
      </c>
    </row>
    <row r="159" spans="19:22" x14ac:dyDescent="0.35">
      <c r="S159">
        <f t="shared" ca="1" si="8"/>
        <v>-5.1936120527899116E-3</v>
      </c>
      <c r="T159">
        <f t="shared" ca="1" si="9"/>
        <v>-2.5767646949644771E-3</v>
      </c>
      <c r="U159">
        <f t="shared" ca="1" si="10"/>
        <v>-2.8201965499552124E-2</v>
      </c>
      <c r="V159">
        <f t="shared" ca="1" si="11"/>
        <v>-5.8206602535629355E-3</v>
      </c>
    </row>
    <row r="160" spans="19:22" x14ac:dyDescent="0.35">
      <c r="S160">
        <f t="shared" ca="1" si="8"/>
        <v>-2.2821511765170704E-2</v>
      </c>
      <c r="T160">
        <f t="shared" ca="1" si="9"/>
        <v>1.2483141290781301E-2</v>
      </c>
      <c r="U160">
        <f t="shared" ca="1" si="10"/>
        <v>4.5003686617876591E-2</v>
      </c>
      <c r="V160">
        <f t="shared" ca="1" si="11"/>
        <v>-1.2369321234827936E-2</v>
      </c>
    </row>
    <row r="161" spans="19:22" x14ac:dyDescent="0.35">
      <c r="S161">
        <f t="shared" ca="1" si="8"/>
        <v>-1.5452665599544779E-2</v>
      </c>
      <c r="T161">
        <f t="shared" ca="1" si="9"/>
        <v>1.142364369481425E-2</v>
      </c>
      <c r="U161">
        <f t="shared" ca="1" si="10"/>
        <v>-9.2095261428784027E-3</v>
      </c>
      <c r="V161">
        <f t="shared" ca="1" si="11"/>
        <v>-9.7652467678396547E-3</v>
      </c>
    </row>
    <row r="162" spans="19:22" x14ac:dyDescent="0.35">
      <c r="S162">
        <f t="shared" ca="1" si="8"/>
        <v>1.4267279327462282E-2</v>
      </c>
      <c r="T162">
        <f t="shared" ca="1" si="9"/>
        <v>-6.4860849575715399E-3</v>
      </c>
      <c r="U162">
        <f t="shared" ca="1" si="10"/>
        <v>2.0901077367799514E-2</v>
      </c>
      <c r="V162">
        <f t="shared" ca="1" si="11"/>
        <v>1.0448296372472379E-2</v>
      </c>
    </row>
    <row r="163" spans="19:22" x14ac:dyDescent="0.35">
      <c r="S163">
        <f t="shared" ca="1" si="8"/>
        <v>1.5694433105840858E-2</v>
      </c>
      <c r="T163">
        <f t="shared" ca="1" si="9"/>
        <v>2.0982414515832656E-2</v>
      </c>
      <c r="U163">
        <f t="shared" ca="1" si="10"/>
        <v>8.1116780152549004E-3</v>
      </c>
      <c r="V163">
        <f t="shared" ca="1" si="11"/>
        <v>1.6372891633309922E-2</v>
      </c>
    </row>
    <row r="164" spans="19:22" x14ac:dyDescent="0.35">
      <c r="S164">
        <f t="shared" ca="1" si="8"/>
        <v>-6.9252241229512419E-3</v>
      </c>
      <c r="T164">
        <f t="shared" ca="1" si="9"/>
        <v>-1.6222825062805066E-2</v>
      </c>
      <c r="U164">
        <f t="shared" ca="1" si="10"/>
        <v>-1.3472360993449246E-3</v>
      </c>
      <c r="V164">
        <f t="shared" ca="1" si="11"/>
        <v>-8.505844909741692E-3</v>
      </c>
    </row>
    <row r="165" spans="19:22" x14ac:dyDescent="0.35">
      <c r="S165">
        <f t="shared" ca="1" si="8"/>
        <v>2.9654313405855146E-2</v>
      </c>
      <c r="T165">
        <f t="shared" ca="1" si="9"/>
        <v>3.3700716160696323E-2</v>
      </c>
      <c r="U165">
        <f t="shared" ca="1" si="10"/>
        <v>4.3986793912309551E-4</v>
      </c>
      <c r="V165">
        <f t="shared" ca="1" si="11"/>
        <v>2.9002871683486781E-2</v>
      </c>
    </row>
    <row r="166" spans="19:22" x14ac:dyDescent="0.35">
      <c r="S166">
        <f t="shared" ca="1" si="8"/>
        <v>1.419958554856696E-2</v>
      </c>
      <c r="T166">
        <f t="shared" ca="1" si="9"/>
        <v>-2.4542876188837232E-2</v>
      </c>
      <c r="U166">
        <f t="shared" ca="1" si="10"/>
        <v>-1.4827214865540204E-2</v>
      </c>
      <c r="V166">
        <f t="shared" ca="1" si="11"/>
        <v>4.9997531803807642E-3</v>
      </c>
    </row>
    <row r="167" spans="19:22" x14ac:dyDescent="0.35">
      <c r="S167">
        <f t="shared" ca="1" si="8"/>
        <v>-1.3160262407088456E-2</v>
      </c>
      <c r="T167">
        <f t="shared" ca="1" si="9"/>
        <v>6.7361287759890144E-3</v>
      </c>
      <c r="U167">
        <f t="shared" ca="1" si="10"/>
        <v>2.5185654816029267E-2</v>
      </c>
      <c r="V167">
        <f t="shared" ca="1" si="11"/>
        <v>-7.2636883093170771E-3</v>
      </c>
    </row>
    <row r="168" spans="19:22" x14ac:dyDescent="0.35">
      <c r="S168">
        <f t="shared" ca="1" si="8"/>
        <v>1.7005238407627465E-2</v>
      </c>
      <c r="T168">
        <f t="shared" ca="1" si="9"/>
        <v>-2.2255333039982676E-2</v>
      </c>
      <c r="U168">
        <f t="shared" ca="1" si="10"/>
        <v>-1.0255967625894837E-2</v>
      </c>
      <c r="V168">
        <f t="shared" ca="1" si="11"/>
        <v>7.7900638164293224E-3</v>
      </c>
    </row>
    <row r="169" spans="19:22" x14ac:dyDescent="0.35">
      <c r="S169">
        <f t="shared" ca="1" si="8"/>
        <v>2.2049758422735672E-2</v>
      </c>
      <c r="T169">
        <f t="shared" ca="1" si="9"/>
        <v>2.83138081114328E-2</v>
      </c>
      <c r="U169">
        <f t="shared" ca="1" si="10"/>
        <v>-3.218434679547038E-2</v>
      </c>
      <c r="V169">
        <f t="shared" ca="1" si="11"/>
        <v>2.0590863099564798E-2</v>
      </c>
    </row>
    <row r="170" spans="19:22" x14ac:dyDescent="0.35">
      <c r="S170">
        <f t="shared" ca="1" si="8"/>
        <v>-1.2381626457783646E-2</v>
      </c>
      <c r="T170">
        <f t="shared" ca="1" si="9"/>
        <v>-2.3171564070557871E-2</v>
      </c>
      <c r="U170">
        <f t="shared" ca="1" si="10"/>
        <v>-1.0467298833409133E-2</v>
      </c>
      <c r="V170">
        <f t="shared" ca="1" si="11"/>
        <v>-1.4443897599119767E-2</v>
      </c>
    </row>
    <row r="171" spans="19:22" x14ac:dyDescent="0.35">
      <c r="S171">
        <f t="shared" ca="1" si="8"/>
        <v>2.4991375163500862E-2</v>
      </c>
      <c r="T171">
        <f t="shared" ca="1" si="9"/>
        <v>-4.6830779974154375E-3</v>
      </c>
      <c r="U171">
        <f t="shared" ca="1" si="10"/>
        <v>-1.4414615080001806E-2</v>
      </c>
      <c r="V171">
        <f t="shared" ca="1" si="11"/>
        <v>1.7086185019142469E-2</v>
      </c>
    </row>
    <row r="172" spans="19:22" x14ac:dyDescent="0.35">
      <c r="S172">
        <f t="shared" ca="1" si="8"/>
        <v>-4.4813993593786662E-3</v>
      </c>
      <c r="T172">
        <f t="shared" ca="1" si="9"/>
        <v>-1.5651210420400959E-2</v>
      </c>
      <c r="U172">
        <f t="shared" ca="1" si="10"/>
        <v>-5.0435053279500991E-4</v>
      </c>
      <c r="V172">
        <f t="shared" ca="1" si="11"/>
        <v>-6.5165091302539415E-3</v>
      </c>
    </row>
    <row r="173" spans="19:22" x14ac:dyDescent="0.35">
      <c r="S173">
        <f t="shared" ca="1" si="8"/>
        <v>1.019657356569603E-2</v>
      </c>
      <c r="T173">
        <f t="shared" ca="1" si="9"/>
        <v>1.3038456187315089E-2</v>
      </c>
      <c r="U173">
        <f t="shared" ca="1" si="10"/>
        <v>-4.7791392598095679E-3</v>
      </c>
      <c r="V173">
        <f t="shared" ca="1" si="11"/>
        <v>1.0016164448744563E-2</v>
      </c>
    </row>
    <row r="174" spans="19:22" x14ac:dyDescent="0.35">
      <c r="S174">
        <f t="shared" ca="1" si="8"/>
        <v>-2.0040584075223633E-2</v>
      </c>
      <c r="T174">
        <f t="shared" ca="1" si="9"/>
        <v>-1.0948575371780035E-3</v>
      </c>
      <c r="U174">
        <f t="shared" ca="1" si="10"/>
        <v>1.090435417351825E-2</v>
      </c>
      <c r="V174">
        <f t="shared" ca="1" si="11"/>
        <v>-1.4704191855177413E-2</v>
      </c>
    </row>
    <row r="175" spans="19:22" x14ac:dyDescent="0.35">
      <c r="S175">
        <f t="shared" ca="1" si="8"/>
        <v>-7.8543912587370809E-3</v>
      </c>
      <c r="T175">
        <f t="shared" ca="1" si="9"/>
        <v>7.0813339338382372E-3</v>
      </c>
      <c r="U175">
        <f t="shared" ca="1" si="10"/>
        <v>1.9471366927708927E-2</v>
      </c>
      <c r="V175">
        <f t="shared" ca="1" si="11"/>
        <v>-3.5009583108997159E-3</v>
      </c>
    </row>
    <row r="176" spans="19:22" x14ac:dyDescent="0.35">
      <c r="S176">
        <f t="shared" ca="1" si="8"/>
        <v>6.5010291561615413E-4</v>
      </c>
      <c r="T176">
        <f t="shared" ca="1" si="9"/>
        <v>4.1389030354458333E-5</v>
      </c>
      <c r="U176">
        <f t="shared" ca="1" si="10"/>
        <v>-9.8173684902737243E-3</v>
      </c>
      <c r="V176">
        <f t="shared" ca="1" si="11"/>
        <v>4.9865682693210405E-6</v>
      </c>
    </row>
    <row r="177" spans="19:22" x14ac:dyDescent="0.35">
      <c r="S177">
        <f t="shared" ca="1" si="8"/>
        <v>-2.3052430888909303E-2</v>
      </c>
      <c r="T177">
        <f t="shared" ca="1" si="9"/>
        <v>-2.5940914203078105E-2</v>
      </c>
      <c r="U177">
        <f t="shared" ca="1" si="10"/>
        <v>-1.7041440872211051E-2</v>
      </c>
      <c r="V177">
        <f t="shared" ca="1" si="11"/>
        <v>-2.3329578050908149E-2</v>
      </c>
    </row>
    <row r="178" spans="19:22" x14ac:dyDescent="0.35">
      <c r="S178">
        <f t="shared" ca="1" si="8"/>
        <v>4.7341862596649437E-3</v>
      </c>
      <c r="T178">
        <f t="shared" ca="1" si="9"/>
        <v>9.9526236139198219E-3</v>
      </c>
      <c r="U178">
        <f t="shared" ca="1" si="10"/>
        <v>-7.3133316225422644E-3</v>
      </c>
      <c r="V178">
        <f t="shared" ca="1" si="11"/>
        <v>5.1754978364055597E-3</v>
      </c>
    </row>
    <row r="179" spans="19:22" x14ac:dyDescent="0.35">
      <c r="S179">
        <f t="shared" ca="1" si="8"/>
        <v>5.6090249920345073E-3</v>
      </c>
      <c r="T179">
        <f t="shared" ca="1" si="9"/>
        <v>1.9327383225329432E-2</v>
      </c>
      <c r="U179">
        <f t="shared" ca="1" si="10"/>
        <v>4.1646751780330261E-2</v>
      </c>
      <c r="V179">
        <f t="shared" ca="1" si="11"/>
        <v>1.0154582978108281E-2</v>
      </c>
    </row>
    <row r="180" spans="19:22" x14ac:dyDescent="0.35">
      <c r="S180">
        <f t="shared" ca="1" si="8"/>
        <v>1.2894370335356052E-2</v>
      </c>
      <c r="T180">
        <f t="shared" ca="1" si="9"/>
        <v>-2.4233255792595974E-2</v>
      </c>
      <c r="U180">
        <f t="shared" ca="1" si="10"/>
        <v>5.7871548351575682E-3</v>
      </c>
      <c r="V180">
        <f t="shared" ca="1" si="11"/>
        <v>5.1134843347557237E-3</v>
      </c>
    </row>
    <row r="181" spans="19:22" x14ac:dyDescent="0.35">
      <c r="S181">
        <f t="shared" ca="1" si="8"/>
        <v>1.6519556814736061E-2</v>
      </c>
      <c r="T181">
        <f t="shared" ca="1" si="9"/>
        <v>8.3149441923478123E-4</v>
      </c>
      <c r="U181">
        <f t="shared" ca="1" si="10"/>
        <v>-2.0507205545245783E-2</v>
      </c>
      <c r="V181">
        <f t="shared" ca="1" si="11"/>
        <v>1.1530606217636713E-2</v>
      </c>
    </row>
    <row r="182" spans="19:22" x14ac:dyDescent="0.35">
      <c r="S182">
        <f t="shared" ca="1" si="8"/>
        <v>7.0083769712387129E-3</v>
      </c>
      <c r="T182">
        <f t="shared" ca="1" si="9"/>
        <v>2.7359262594869704E-2</v>
      </c>
      <c r="U182">
        <f t="shared" ca="1" si="10"/>
        <v>-4.3265923624708345E-2</v>
      </c>
      <c r="V182">
        <f t="shared" ca="1" si="11"/>
        <v>8.5648390661675587E-3</v>
      </c>
    </row>
    <row r="183" spans="19:22" x14ac:dyDescent="0.35">
      <c r="S183">
        <f t="shared" ca="1" si="8"/>
        <v>1.9506226373799215E-2</v>
      </c>
      <c r="T183">
        <f t="shared" ca="1" si="9"/>
        <v>3.5267314630110173E-2</v>
      </c>
      <c r="U183">
        <f t="shared" ca="1" si="10"/>
        <v>1.9770719871225074E-2</v>
      </c>
      <c r="V183">
        <f t="shared" ca="1" si="11"/>
        <v>2.2671668699932701E-2</v>
      </c>
    </row>
    <row r="184" spans="19:22" x14ac:dyDescent="0.35">
      <c r="S184">
        <f t="shared" ca="1" si="8"/>
        <v>7.101535262110938E-3</v>
      </c>
      <c r="T184">
        <f t="shared" ca="1" si="9"/>
        <v>6.6943835763432786E-3</v>
      </c>
      <c r="U184">
        <f t="shared" ca="1" si="10"/>
        <v>-5.0276932646143909E-3</v>
      </c>
      <c r="V184">
        <f t="shared" ca="1" si="11"/>
        <v>6.4136434986211402E-3</v>
      </c>
    </row>
    <row r="185" spans="19:22" x14ac:dyDescent="0.35">
      <c r="S185">
        <f t="shared" ca="1" si="8"/>
        <v>1.5238751052463466E-2</v>
      </c>
      <c r="T185">
        <f t="shared" ca="1" si="9"/>
        <v>-2.8055148558801514E-2</v>
      </c>
      <c r="U185">
        <f t="shared" ca="1" si="10"/>
        <v>-1.5040974808426394E-2</v>
      </c>
      <c r="V185">
        <f t="shared" ca="1" si="11"/>
        <v>5.0659848371659762E-3</v>
      </c>
    </row>
    <row r="186" spans="19:22" x14ac:dyDescent="0.35">
      <c r="S186">
        <f t="shared" ca="1" si="8"/>
        <v>8.1532185073903193E-3</v>
      </c>
      <c r="T186">
        <f t="shared" ca="1" si="9"/>
        <v>2.3692584976171913E-2</v>
      </c>
      <c r="U186">
        <f t="shared" ca="1" si="10"/>
        <v>-2.6588849806709849E-2</v>
      </c>
      <c r="V186">
        <f t="shared" ca="1" si="11"/>
        <v>9.5239883854416289E-3</v>
      </c>
    </row>
    <row r="187" spans="19:22" x14ac:dyDescent="0.35">
      <c r="S187">
        <f t="shared" ca="1" si="8"/>
        <v>3.7185818062448086E-3</v>
      </c>
      <c r="T187">
        <f t="shared" ca="1" si="9"/>
        <v>-8.2068084777421127E-3</v>
      </c>
      <c r="U187">
        <f t="shared" ca="1" si="10"/>
        <v>-3.0946077038369119E-2</v>
      </c>
      <c r="V187">
        <f t="shared" ca="1" si="11"/>
        <v>-3.9972919278327235E-4</v>
      </c>
    </row>
    <row r="188" spans="19:22" x14ac:dyDescent="0.35">
      <c r="S188">
        <f t="shared" ca="1" si="8"/>
        <v>1.5152841944574057E-5</v>
      </c>
      <c r="T188">
        <f t="shared" ca="1" si="9"/>
        <v>-1.1507039302138837E-2</v>
      </c>
      <c r="U188">
        <f t="shared" ca="1" si="10"/>
        <v>-8.1225544658623007E-3</v>
      </c>
      <c r="V188">
        <f t="shared" ca="1" si="11"/>
        <v>-2.696170952262452E-3</v>
      </c>
    </row>
    <row r="189" spans="19:22" x14ac:dyDescent="0.35">
      <c r="S189">
        <f t="shared" ca="1" si="8"/>
        <v>-7.7644774865464196E-4</v>
      </c>
      <c r="T189">
        <f t="shared" ca="1" si="9"/>
        <v>5.39157065636849E-3</v>
      </c>
      <c r="U189">
        <f t="shared" ca="1" si="10"/>
        <v>2.4513383840057371E-2</v>
      </c>
      <c r="V189">
        <f t="shared" ca="1" si="11"/>
        <v>1.7216475117855852E-3</v>
      </c>
    </row>
    <row r="190" spans="19:22" x14ac:dyDescent="0.35">
      <c r="S190">
        <f t="shared" ca="1" si="8"/>
        <v>-1.1688925490552809E-2</v>
      </c>
      <c r="T190">
        <f t="shared" ca="1" si="9"/>
        <v>3.1703017845722452E-3</v>
      </c>
      <c r="U190">
        <f t="shared" ca="1" si="10"/>
        <v>5.2887143923865832E-3</v>
      </c>
      <c r="V190">
        <f t="shared" ca="1" si="11"/>
        <v>-7.8681980413808292E-3</v>
      </c>
    </row>
    <row r="191" spans="19:22" x14ac:dyDescent="0.35">
      <c r="S191">
        <f t="shared" ca="1" si="8"/>
        <v>4.7082913506378641E-3</v>
      </c>
      <c r="T191">
        <f t="shared" ca="1" si="9"/>
        <v>-4.8581176025154854E-2</v>
      </c>
      <c r="U191">
        <f t="shared" ca="1" si="10"/>
        <v>8.5165893267723485E-3</v>
      </c>
      <c r="V191">
        <f t="shared" ca="1" si="11"/>
        <v>-5.7591872257139552E-3</v>
      </c>
    </row>
    <row r="192" spans="19:22" x14ac:dyDescent="0.35">
      <c r="S192">
        <f t="shared" ca="1" si="8"/>
        <v>-1.1713952601197306E-3</v>
      </c>
      <c r="T192">
        <f t="shared" ca="1" si="9"/>
        <v>-2.2178672488508262E-2</v>
      </c>
      <c r="U192">
        <f t="shared" ca="1" si="10"/>
        <v>2.730466760257596E-3</v>
      </c>
      <c r="V192">
        <f t="shared" ca="1" si="11"/>
        <v>-5.17775760477857E-3</v>
      </c>
    </row>
    <row r="193" spans="19:22" x14ac:dyDescent="0.35">
      <c r="S193">
        <f t="shared" ca="1" si="8"/>
        <v>2.560715773539439E-3</v>
      </c>
      <c r="T193">
        <f t="shared" ca="1" si="9"/>
        <v>-5.3827561926897928E-3</v>
      </c>
      <c r="U193">
        <f t="shared" ca="1" si="10"/>
        <v>-2.3971017237255882E-2</v>
      </c>
      <c r="V193">
        <f t="shared" ca="1" si="11"/>
        <v>-3.5456527024617357E-4</v>
      </c>
    </row>
    <row r="194" spans="19:22" x14ac:dyDescent="0.35">
      <c r="S194">
        <f t="shared" ca="1" si="8"/>
        <v>2.3967709617987668E-2</v>
      </c>
      <c r="T194">
        <f t="shared" ca="1" si="9"/>
        <v>-1.3789814776777445E-2</v>
      </c>
      <c r="U194">
        <f t="shared" ca="1" si="10"/>
        <v>5.1532023201413925E-3</v>
      </c>
      <c r="V194">
        <f t="shared" ca="1" si="11"/>
        <v>1.5475479374142334E-2</v>
      </c>
    </row>
    <row r="195" spans="19:22" x14ac:dyDescent="0.35">
      <c r="S195">
        <f t="shared" ca="1" si="8"/>
        <v>2.4275708594743918E-3</v>
      </c>
      <c r="T195">
        <f t="shared" ca="1" si="9"/>
        <v>3.5370978966781483E-3</v>
      </c>
      <c r="U195">
        <f t="shared" ca="1" si="10"/>
        <v>-1.4202336892443074E-2</v>
      </c>
      <c r="V195">
        <f t="shared" ca="1" si="11"/>
        <v>1.81798087931927E-3</v>
      </c>
    </row>
    <row r="196" spans="19:22" x14ac:dyDescent="0.35">
      <c r="S196">
        <f t="shared" ref="S196:S259" ca="1" si="12">_xlfn.NORM.INV(RAND(),$L$3,$M$3)</f>
        <v>-1.7140682719624892E-2</v>
      </c>
      <c r="T196">
        <f t="shared" ref="T196:T259" ca="1" si="13">_xlfn.NORM.INV(RAND(),$N$3,$O$3)</f>
        <v>1.6403941914467271E-2</v>
      </c>
      <c r="U196">
        <f t="shared" ref="U196:U259" ca="1" si="14">_xlfn.NORM.INV(RAND(),$P$3,$Q$3)</f>
        <v>8.3539035418242914E-3</v>
      </c>
      <c r="V196">
        <f t="shared" ref="V196:V259" ca="1" si="15">(0.75*S196)+(0.2*T196)+(0.05*U196)</f>
        <v>-9.1570284797340001E-3</v>
      </c>
    </row>
    <row r="197" spans="19:22" x14ac:dyDescent="0.35">
      <c r="S197">
        <f t="shared" ca="1" si="12"/>
        <v>1.9811268738244282E-2</v>
      </c>
      <c r="T197">
        <f t="shared" ca="1" si="13"/>
        <v>3.5930066864589532E-3</v>
      </c>
      <c r="U197">
        <f t="shared" ca="1" si="14"/>
        <v>7.5760948145140545E-3</v>
      </c>
      <c r="V197">
        <f t="shared" ca="1" si="15"/>
        <v>1.5955857631700706E-2</v>
      </c>
    </row>
    <row r="198" spans="19:22" x14ac:dyDescent="0.35">
      <c r="S198">
        <f t="shared" ca="1" si="12"/>
        <v>3.110579846076162E-2</v>
      </c>
      <c r="T198">
        <f t="shared" ca="1" si="13"/>
        <v>1.6169222111219943E-2</v>
      </c>
      <c r="U198">
        <f t="shared" ca="1" si="14"/>
        <v>5.2658440223030414E-2</v>
      </c>
      <c r="V198">
        <f t="shared" ca="1" si="15"/>
        <v>2.9196115278966726E-2</v>
      </c>
    </row>
    <row r="199" spans="19:22" x14ac:dyDescent="0.35">
      <c r="S199">
        <f t="shared" ca="1" si="12"/>
        <v>-2.4524330359310341E-3</v>
      </c>
      <c r="T199">
        <f t="shared" ca="1" si="13"/>
        <v>-2.0726969007878251E-2</v>
      </c>
      <c r="U199">
        <f t="shared" ca="1" si="14"/>
        <v>4.9415634208549247E-2</v>
      </c>
      <c r="V199">
        <f t="shared" ca="1" si="15"/>
        <v>-3.5139368680964633E-3</v>
      </c>
    </row>
    <row r="200" spans="19:22" x14ac:dyDescent="0.35">
      <c r="S200">
        <f t="shared" ca="1" si="12"/>
        <v>-2.066412134680436E-2</v>
      </c>
      <c r="T200">
        <f t="shared" ca="1" si="13"/>
        <v>2.0653451267282557E-2</v>
      </c>
      <c r="U200">
        <f t="shared" ca="1" si="14"/>
        <v>6.0547960151724695E-3</v>
      </c>
      <c r="V200">
        <f t="shared" ca="1" si="15"/>
        <v>-1.1064660955888135E-2</v>
      </c>
    </row>
    <row r="201" spans="19:22" x14ac:dyDescent="0.35">
      <c r="S201">
        <f t="shared" ca="1" si="12"/>
        <v>9.2397336235450437E-3</v>
      </c>
      <c r="T201">
        <f t="shared" ca="1" si="13"/>
        <v>7.7444994458694544E-3</v>
      </c>
      <c r="U201">
        <f t="shared" ca="1" si="14"/>
        <v>4.1689132732691807E-2</v>
      </c>
      <c r="V201">
        <f t="shared" ca="1" si="15"/>
        <v>1.0563156743467264E-2</v>
      </c>
    </row>
    <row r="202" spans="19:22" x14ac:dyDescent="0.35">
      <c r="S202">
        <f t="shared" ca="1" si="12"/>
        <v>-1.1451766981036728E-2</v>
      </c>
      <c r="T202">
        <f t="shared" ca="1" si="13"/>
        <v>1.6208345619900786E-2</v>
      </c>
      <c r="U202">
        <f t="shared" ca="1" si="14"/>
        <v>-1.2805512978504794E-2</v>
      </c>
      <c r="V202">
        <f t="shared" ca="1" si="15"/>
        <v>-5.9874317607226295E-3</v>
      </c>
    </row>
    <row r="203" spans="19:22" x14ac:dyDescent="0.35">
      <c r="S203">
        <f t="shared" ca="1" si="12"/>
        <v>1.303243780467596E-2</v>
      </c>
      <c r="T203">
        <f t="shared" ca="1" si="13"/>
        <v>-3.3968941408795512E-3</v>
      </c>
      <c r="U203">
        <f t="shared" ca="1" si="14"/>
        <v>-7.8111659730674011E-3</v>
      </c>
      <c r="V203">
        <f t="shared" ca="1" si="15"/>
        <v>8.7043912266776911E-3</v>
      </c>
    </row>
    <row r="204" spans="19:22" x14ac:dyDescent="0.35">
      <c r="S204">
        <f t="shared" ca="1" si="12"/>
        <v>1.2555957421607073E-2</v>
      </c>
      <c r="T204">
        <f t="shared" ca="1" si="13"/>
        <v>-5.6008164861473422E-4</v>
      </c>
      <c r="U204">
        <f t="shared" ca="1" si="14"/>
        <v>5.0319929763091166E-2</v>
      </c>
      <c r="V204">
        <f t="shared" ca="1" si="15"/>
        <v>1.1820948224636916E-2</v>
      </c>
    </row>
    <row r="205" spans="19:22" x14ac:dyDescent="0.35">
      <c r="S205">
        <f t="shared" ca="1" si="12"/>
        <v>2.0513370752325507E-2</v>
      </c>
      <c r="T205">
        <f t="shared" ca="1" si="13"/>
        <v>3.7016517438860194E-3</v>
      </c>
      <c r="U205">
        <f t="shared" ca="1" si="14"/>
        <v>1.8127777221781351E-2</v>
      </c>
      <c r="V205">
        <f t="shared" ca="1" si="15"/>
        <v>1.7031747274110401E-2</v>
      </c>
    </row>
    <row r="206" spans="19:22" x14ac:dyDescent="0.35">
      <c r="S206">
        <f t="shared" ca="1" si="12"/>
        <v>1.3301643030537222E-2</v>
      </c>
      <c r="T206">
        <f t="shared" ca="1" si="13"/>
        <v>1.3960861085203595E-3</v>
      </c>
      <c r="U206">
        <f t="shared" ca="1" si="14"/>
        <v>-2.7057852969366129E-2</v>
      </c>
      <c r="V206">
        <f t="shared" ca="1" si="15"/>
        <v>8.9025568461386824E-3</v>
      </c>
    </row>
    <row r="207" spans="19:22" x14ac:dyDescent="0.35">
      <c r="S207">
        <f t="shared" ca="1" si="12"/>
        <v>6.5150321797422129E-3</v>
      </c>
      <c r="T207">
        <f t="shared" ca="1" si="13"/>
        <v>1.8268031631985704E-2</v>
      </c>
      <c r="U207">
        <f t="shared" ca="1" si="14"/>
        <v>-1.8318668049515534E-2</v>
      </c>
      <c r="V207">
        <f t="shared" ca="1" si="15"/>
        <v>7.623947058728024E-3</v>
      </c>
    </row>
    <row r="208" spans="19:22" x14ac:dyDescent="0.35">
      <c r="S208">
        <f t="shared" ca="1" si="12"/>
        <v>-4.6315565409091211E-4</v>
      </c>
      <c r="T208">
        <f t="shared" ca="1" si="13"/>
        <v>3.7724722473356613E-2</v>
      </c>
      <c r="U208">
        <f t="shared" ca="1" si="14"/>
        <v>-2.458353198822782E-3</v>
      </c>
      <c r="V208">
        <f t="shared" ca="1" si="15"/>
        <v>7.0746600941619994E-3</v>
      </c>
    </row>
    <row r="209" spans="19:22" x14ac:dyDescent="0.35">
      <c r="S209">
        <f t="shared" ca="1" si="12"/>
        <v>-2.6172096391081107E-2</v>
      </c>
      <c r="T209">
        <f t="shared" ca="1" si="13"/>
        <v>-3.1319529738202882E-3</v>
      </c>
      <c r="U209">
        <f t="shared" ca="1" si="14"/>
        <v>3.3368817642734214E-4</v>
      </c>
      <c r="V209">
        <f t="shared" ca="1" si="15"/>
        <v>-2.0238778479253521E-2</v>
      </c>
    </row>
    <row r="210" spans="19:22" x14ac:dyDescent="0.35">
      <c r="S210">
        <f t="shared" ca="1" si="12"/>
        <v>-5.0041667278574557E-3</v>
      </c>
      <c r="T210">
        <f t="shared" ca="1" si="13"/>
        <v>5.125209068742015E-3</v>
      </c>
      <c r="U210">
        <f t="shared" ca="1" si="14"/>
        <v>1.3891942549025694E-2</v>
      </c>
      <c r="V210">
        <f t="shared" ca="1" si="15"/>
        <v>-2.0334861046934043E-3</v>
      </c>
    </row>
    <row r="211" spans="19:22" x14ac:dyDescent="0.35">
      <c r="S211">
        <f t="shared" ca="1" si="12"/>
        <v>-1.7410976278488349E-2</v>
      </c>
      <c r="T211">
        <f t="shared" ca="1" si="13"/>
        <v>-1.5081741037585689E-3</v>
      </c>
      <c r="U211">
        <f t="shared" ca="1" si="14"/>
        <v>2.534829610060314E-2</v>
      </c>
      <c r="V211">
        <f t="shared" ca="1" si="15"/>
        <v>-1.2092452224587817E-2</v>
      </c>
    </row>
    <row r="212" spans="19:22" x14ac:dyDescent="0.35">
      <c r="S212">
        <f t="shared" ca="1" si="12"/>
        <v>8.2889254174128794E-3</v>
      </c>
      <c r="T212">
        <f t="shared" ca="1" si="13"/>
        <v>-9.3364348107956262E-3</v>
      </c>
      <c r="U212">
        <f t="shared" ca="1" si="14"/>
        <v>2.4055613563796381E-2</v>
      </c>
      <c r="V212">
        <f t="shared" ca="1" si="15"/>
        <v>5.552187779090354E-3</v>
      </c>
    </row>
    <row r="213" spans="19:22" x14ac:dyDescent="0.35">
      <c r="S213">
        <f t="shared" ca="1" si="12"/>
        <v>-1.404217669652773E-3</v>
      </c>
      <c r="T213">
        <f t="shared" ca="1" si="13"/>
        <v>-3.1666213370496158E-3</v>
      </c>
      <c r="U213">
        <f t="shared" ca="1" si="14"/>
        <v>-2.1745210042782574E-2</v>
      </c>
      <c r="V213">
        <f t="shared" ca="1" si="15"/>
        <v>-2.7737480217886316E-3</v>
      </c>
    </row>
    <row r="214" spans="19:22" x14ac:dyDescent="0.35">
      <c r="S214">
        <f t="shared" ca="1" si="12"/>
        <v>-2.3364557339060659E-2</v>
      </c>
      <c r="T214">
        <f t="shared" ca="1" si="13"/>
        <v>-3.8967620203554473E-2</v>
      </c>
      <c r="U214">
        <f t="shared" ca="1" si="14"/>
        <v>-5.2215666790201782E-3</v>
      </c>
      <c r="V214">
        <f t="shared" ca="1" si="15"/>
        <v>-2.55780203789574E-2</v>
      </c>
    </row>
    <row r="215" spans="19:22" x14ac:dyDescent="0.35">
      <c r="S215">
        <f t="shared" ca="1" si="12"/>
        <v>3.361984230158957E-2</v>
      </c>
      <c r="T215">
        <f t="shared" ca="1" si="13"/>
        <v>4.0592566878044209E-3</v>
      </c>
      <c r="U215">
        <f t="shared" ca="1" si="14"/>
        <v>-3.4698703728154506E-2</v>
      </c>
      <c r="V215">
        <f t="shared" ca="1" si="15"/>
        <v>2.4291797877345336E-2</v>
      </c>
    </row>
    <row r="216" spans="19:22" x14ac:dyDescent="0.35">
      <c r="S216">
        <f t="shared" ca="1" si="12"/>
        <v>-2.3885995328633168E-3</v>
      </c>
      <c r="T216">
        <f t="shared" ca="1" si="13"/>
        <v>2.7348676206552316E-2</v>
      </c>
      <c r="U216">
        <f t="shared" ca="1" si="14"/>
        <v>9.5292003124244403E-3</v>
      </c>
      <c r="V216">
        <f t="shared" ca="1" si="15"/>
        <v>4.1547456072841982E-3</v>
      </c>
    </row>
    <row r="217" spans="19:22" x14ac:dyDescent="0.35">
      <c r="S217">
        <f t="shared" ca="1" si="12"/>
        <v>9.0475492523836559E-3</v>
      </c>
      <c r="T217">
        <f t="shared" ca="1" si="13"/>
        <v>-3.3363953588876415E-2</v>
      </c>
      <c r="U217">
        <f t="shared" ca="1" si="14"/>
        <v>2.8422415085889826E-2</v>
      </c>
      <c r="V217">
        <f t="shared" ca="1" si="15"/>
        <v>1.5339919758069495E-3</v>
      </c>
    </row>
    <row r="218" spans="19:22" x14ac:dyDescent="0.35">
      <c r="S218">
        <f t="shared" ca="1" si="12"/>
        <v>-5.6668817749318499E-3</v>
      </c>
      <c r="T218">
        <f t="shared" ca="1" si="13"/>
        <v>1.6057942133959818E-2</v>
      </c>
      <c r="U218">
        <f t="shared" ca="1" si="14"/>
        <v>2.4008855234441285E-2</v>
      </c>
      <c r="V218">
        <f t="shared" ca="1" si="15"/>
        <v>1.6186985731514057E-4</v>
      </c>
    </row>
    <row r="219" spans="19:22" x14ac:dyDescent="0.35">
      <c r="S219">
        <f t="shared" ca="1" si="12"/>
        <v>-1.228012877401638E-2</v>
      </c>
      <c r="T219">
        <f t="shared" ca="1" si="13"/>
        <v>-6.6217550594336698E-3</v>
      </c>
      <c r="U219">
        <f t="shared" ca="1" si="14"/>
        <v>-1.7130952880299258E-2</v>
      </c>
      <c r="V219">
        <f t="shared" ca="1" si="15"/>
        <v>-1.1390995236413983E-2</v>
      </c>
    </row>
    <row r="220" spans="19:22" x14ac:dyDescent="0.35">
      <c r="S220">
        <f t="shared" ca="1" si="12"/>
        <v>-2.7418481676887247E-3</v>
      </c>
      <c r="T220">
        <f t="shared" ca="1" si="13"/>
        <v>2.0501300916754981E-2</v>
      </c>
      <c r="U220">
        <f t="shared" ca="1" si="14"/>
        <v>-6.1561738920143296E-4</v>
      </c>
      <c r="V220">
        <f t="shared" ca="1" si="15"/>
        <v>2.0130931881243812E-3</v>
      </c>
    </row>
    <row r="221" spans="19:22" x14ac:dyDescent="0.35">
      <c r="S221">
        <f t="shared" ca="1" si="12"/>
        <v>-3.333747823189901E-3</v>
      </c>
      <c r="T221">
        <f t="shared" ca="1" si="13"/>
        <v>2.8422655184317063E-2</v>
      </c>
      <c r="U221">
        <f t="shared" ca="1" si="14"/>
        <v>-1.1430040135596016E-2</v>
      </c>
      <c r="V221">
        <f t="shared" ca="1" si="15"/>
        <v>2.6127181626911865E-3</v>
      </c>
    </row>
    <row r="222" spans="19:22" x14ac:dyDescent="0.35">
      <c r="S222">
        <f t="shared" ca="1" si="12"/>
        <v>-2.7123062786776329E-3</v>
      </c>
      <c r="T222">
        <f t="shared" ca="1" si="13"/>
        <v>4.0047736213943965E-3</v>
      </c>
      <c r="U222">
        <f t="shared" ca="1" si="14"/>
        <v>1.6510284008122295E-2</v>
      </c>
      <c r="V222">
        <f t="shared" ca="1" si="15"/>
        <v>-4.0776078432323056E-4</v>
      </c>
    </row>
    <row r="223" spans="19:22" x14ac:dyDescent="0.35">
      <c r="S223">
        <f t="shared" ca="1" si="12"/>
        <v>3.571031789160245E-2</v>
      </c>
      <c r="T223">
        <f t="shared" ca="1" si="13"/>
        <v>-1.1359670483424613E-2</v>
      </c>
      <c r="U223">
        <f t="shared" ca="1" si="14"/>
        <v>1.6727391304734687E-2</v>
      </c>
      <c r="V223">
        <f t="shared" ca="1" si="15"/>
        <v>2.534717388725365E-2</v>
      </c>
    </row>
    <row r="224" spans="19:22" x14ac:dyDescent="0.35">
      <c r="S224">
        <f t="shared" ca="1" si="12"/>
        <v>5.6135045110618335E-3</v>
      </c>
      <c r="T224">
        <f t="shared" ca="1" si="13"/>
        <v>-5.818047756666808E-3</v>
      </c>
      <c r="U224">
        <f t="shared" ca="1" si="14"/>
        <v>-3.1974846972044951E-3</v>
      </c>
      <c r="V224">
        <f t="shared" ca="1" si="15"/>
        <v>2.8866445971027889E-3</v>
      </c>
    </row>
    <row r="225" spans="19:22" x14ac:dyDescent="0.35">
      <c r="S225">
        <f t="shared" ca="1" si="12"/>
        <v>-1.3446938574892313E-2</v>
      </c>
      <c r="T225">
        <f t="shared" ca="1" si="13"/>
        <v>9.3168153155793552E-3</v>
      </c>
      <c r="U225">
        <f t="shared" ca="1" si="14"/>
        <v>-3.1892061438869614E-2</v>
      </c>
      <c r="V225">
        <f t="shared" ca="1" si="15"/>
        <v>-9.8164439399968436E-3</v>
      </c>
    </row>
    <row r="226" spans="19:22" x14ac:dyDescent="0.35">
      <c r="S226">
        <f t="shared" ca="1" si="12"/>
        <v>7.9648174044514124E-3</v>
      </c>
      <c r="T226">
        <f t="shared" ca="1" si="13"/>
        <v>-8.9014245699493913E-3</v>
      </c>
      <c r="U226">
        <f t="shared" ca="1" si="14"/>
        <v>2.398816863767151E-2</v>
      </c>
      <c r="V226">
        <f t="shared" ca="1" si="15"/>
        <v>5.3927365712322563E-3</v>
      </c>
    </row>
    <row r="227" spans="19:22" x14ac:dyDescent="0.35">
      <c r="S227">
        <f t="shared" ca="1" si="12"/>
        <v>7.6419699070650136E-3</v>
      </c>
      <c r="T227">
        <f t="shared" ca="1" si="13"/>
        <v>-8.6431873211780929E-4</v>
      </c>
      <c r="U227">
        <f t="shared" ca="1" si="14"/>
        <v>-5.9034091481054993E-3</v>
      </c>
      <c r="V227">
        <f t="shared" ca="1" si="15"/>
        <v>5.263443226469924E-3</v>
      </c>
    </row>
    <row r="228" spans="19:22" x14ac:dyDescent="0.35">
      <c r="S228">
        <f t="shared" ca="1" si="12"/>
        <v>3.7804276972036479E-3</v>
      </c>
      <c r="T228">
        <f t="shared" ca="1" si="13"/>
        <v>-5.3989715908433194E-3</v>
      </c>
      <c r="U228">
        <f t="shared" ca="1" si="14"/>
        <v>1.1377725287524667E-2</v>
      </c>
      <c r="V228">
        <f t="shared" ca="1" si="15"/>
        <v>2.3244127191103052E-3</v>
      </c>
    </row>
    <row r="229" spans="19:22" x14ac:dyDescent="0.35">
      <c r="S229">
        <f t="shared" ca="1" si="12"/>
        <v>-2.0721268653248155E-2</v>
      </c>
      <c r="T229">
        <f t="shared" ca="1" si="13"/>
        <v>-1.3809600696100066E-2</v>
      </c>
      <c r="U229">
        <f t="shared" ca="1" si="14"/>
        <v>-1.1488275149630042E-2</v>
      </c>
      <c r="V229">
        <f t="shared" ca="1" si="15"/>
        <v>-1.8877285386637629E-2</v>
      </c>
    </row>
    <row r="230" spans="19:22" x14ac:dyDescent="0.35">
      <c r="S230">
        <f t="shared" ca="1" si="12"/>
        <v>1.7147535930000127E-2</v>
      </c>
      <c r="T230">
        <f t="shared" ca="1" si="13"/>
        <v>1.3650657533916909E-2</v>
      </c>
      <c r="U230">
        <f t="shared" ca="1" si="14"/>
        <v>1.9344961998274145E-2</v>
      </c>
      <c r="V230">
        <f t="shared" ca="1" si="15"/>
        <v>1.6558031554197186E-2</v>
      </c>
    </row>
    <row r="231" spans="19:22" x14ac:dyDescent="0.35">
      <c r="S231">
        <f t="shared" ca="1" si="12"/>
        <v>-1.2814862299816111E-2</v>
      </c>
      <c r="T231">
        <f t="shared" ca="1" si="13"/>
        <v>3.8024074595543619E-2</v>
      </c>
      <c r="U231">
        <f t="shared" ca="1" si="14"/>
        <v>-1.6275448920366871E-2</v>
      </c>
      <c r="V231">
        <f t="shared" ca="1" si="15"/>
        <v>-2.8201042517717019E-3</v>
      </c>
    </row>
    <row r="232" spans="19:22" x14ac:dyDescent="0.35">
      <c r="S232">
        <f t="shared" ca="1" si="12"/>
        <v>-1.2559417276828322E-2</v>
      </c>
      <c r="T232">
        <f t="shared" ca="1" si="13"/>
        <v>3.2628230783929317E-3</v>
      </c>
      <c r="U232">
        <f t="shared" ca="1" si="14"/>
        <v>-8.8275179877134458E-3</v>
      </c>
      <c r="V232">
        <f t="shared" ca="1" si="15"/>
        <v>-9.2083742413283289E-3</v>
      </c>
    </row>
    <row r="233" spans="19:22" x14ac:dyDescent="0.35">
      <c r="S233">
        <f t="shared" ca="1" si="12"/>
        <v>-1.2914652550911876E-2</v>
      </c>
      <c r="T233">
        <f t="shared" ca="1" si="13"/>
        <v>8.9547226062537504E-3</v>
      </c>
      <c r="U233">
        <f t="shared" ca="1" si="14"/>
        <v>-2.7207778775806459E-3</v>
      </c>
      <c r="V233">
        <f t="shared" ca="1" si="15"/>
        <v>-8.0310837858121892E-3</v>
      </c>
    </row>
    <row r="234" spans="19:22" x14ac:dyDescent="0.35">
      <c r="S234">
        <f t="shared" ca="1" si="12"/>
        <v>1.3859406821584985E-2</v>
      </c>
      <c r="T234">
        <f t="shared" ca="1" si="13"/>
        <v>1.7223440414076589E-2</v>
      </c>
      <c r="U234">
        <f t="shared" ca="1" si="14"/>
        <v>2.0230987915176583E-2</v>
      </c>
      <c r="V234">
        <f t="shared" ca="1" si="15"/>
        <v>1.4850792594762886E-2</v>
      </c>
    </row>
    <row r="235" spans="19:22" x14ac:dyDescent="0.35">
      <c r="S235">
        <f t="shared" ca="1" si="12"/>
        <v>1.1744575143605939E-3</v>
      </c>
      <c r="T235">
        <f t="shared" ca="1" si="13"/>
        <v>-2.820421756649584E-2</v>
      </c>
      <c r="U235">
        <f t="shared" ca="1" si="14"/>
        <v>-3.2058684972954596E-2</v>
      </c>
      <c r="V235">
        <f t="shared" ca="1" si="15"/>
        <v>-6.3629346261764533E-3</v>
      </c>
    </row>
    <row r="236" spans="19:22" x14ac:dyDescent="0.35">
      <c r="S236">
        <f t="shared" ca="1" si="12"/>
        <v>-1.8877213148193985E-2</v>
      </c>
      <c r="T236">
        <f t="shared" ca="1" si="13"/>
        <v>1.653674152144875E-3</v>
      </c>
      <c r="U236">
        <f t="shared" ca="1" si="14"/>
        <v>-1.8750396243261063E-2</v>
      </c>
      <c r="V236">
        <f t="shared" ca="1" si="15"/>
        <v>-1.4764694842879567E-2</v>
      </c>
    </row>
    <row r="237" spans="19:22" x14ac:dyDescent="0.35">
      <c r="S237">
        <f t="shared" ca="1" si="12"/>
        <v>2.7136045499808675E-2</v>
      </c>
      <c r="T237">
        <f t="shared" ca="1" si="13"/>
        <v>-3.3164105961042294E-2</v>
      </c>
      <c r="U237">
        <f t="shared" ca="1" si="14"/>
        <v>-7.4980729769998028E-3</v>
      </c>
      <c r="V237">
        <f t="shared" ca="1" si="15"/>
        <v>1.3344309283798057E-2</v>
      </c>
    </row>
    <row r="238" spans="19:22" x14ac:dyDescent="0.35">
      <c r="S238">
        <f t="shared" ca="1" si="12"/>
        <v>-1.4061163149417074E-2</v>
      </c>
      <c r="T238">
        <f t="shared" ca="1" si="13"/>
        <v>3.2604982463172748E-2</v>
      </c>
      <c r="U238">
        <f t="shared" ca="1" si="14"/>
        <v>-1.8756782185508414E-2</v>
      </c>
      <c r="V238">
        <f t="shared" ca="1" si="15"/>
        <v>-4.9627149787036754E-3</v>
      </c>
    </row>
    <row r="239" spans="19:22" x14ac:dyDescent="0.35">
      <c r="S239">
        <f t="shared" ca="1" si="12"/>
        <v>-1.6778838663193876E-2</v>
      </c>
      <c r="T239">
        <f t="shared" ca="1" si="13"/>
        <v>-2.8368953717607975E-2</v>
      </c>
      <c r="U239">
        <f t="shared" ca="1" si="14"/>
        <v>5.532269511884351E-2</v>
      </c>
      <c r="V239">
        <f t="shared" ca="1" si="15"/>
        <v>-1.5491784984974827E-2</v>
      </c>
    </row>
    <row r="240" spans="19:22" x14ac:dyDescent="0.35">
      <c r="S240">
        <f t="shared" ca="1" si="12"/>
        <v>4.5017135746726351E-3</v>
      </c>
      <c r="T240">
        <f t="shared" ca="1" si="13"/>
        <v>-7.7366148474896949E-3</v>
      </c>
      <c r="U240">
        <f t="shared" ca="1" si="14"/>
        <v>-3.6638563117956111E-3</v>
      </c>
      <c r="V240">
        <f t="shared" ca="1" si="15"/>
        <v>1.6457693959167567E-3</v>
      </c>
    </row>
    <row r="241" spans="19:22" x14ac:dyDescent="0.35">
      <c r="S241">
        <f t="shared" ca="1" si="12"/>
        <v>-7.0832471188098578E-6</v>
      </c>
      <c r="T241">
        <f t="shared" ca="1" si="13"/>
        <v>-2.0918784431393309E-2</v>
      </c>
      <c r="U241">
        <f t="shared" ca="1" si="14"/>
        <v>-1.0626354268732164E-2</v>
      </c>
      <c r="V241">
        <f t="shared" ca="1" si="15"/>
        <v>-4.7203870350543773E-3</v>
      </c>
    </row>
    <row r="242" spans="19:22" x14ac:dyDescent="0.35">
      <c r="S242">
        <f t="shared" ca="1" si="12"/>
        <v>1.7593894697292556E-3</v>
      </c>
      <c r="T242">
        <f t="shared" ca="1" si="13"/>
        <v>7.40737994141574E-3</v>
      </c>
      <c r="U242">
        <f t="shared" ca="1" si="14"/>
        <v>-1.1420740759767224E-3</v>
      </c>
      <c r="V242">
        <f t="shared" ca="1" si="15"/>
        <v>2.7439143867812538E-3</v>
      </c>
    </row>
    <row r="243" spans="19:22" x14ac:dyDescent="0.35">
      <c r="S243">
        <f t="shared" ca="1" si="12"/>
        <v>-1.7877757328395662E-2</v>
      </c>
      <c r="T243">
        <f t="shared" ca="1" si="13"/>
        <v>9.149657692771063E-3</v>
      </c>
      <c r="U243">
        <f t="shared" ca="1" si="14"/>
        <v>4.4220762840276019E-2</v>
      </c>
      <c r="V243">
        <f t="shared" ca="1" si="15"/>
        <v>-9.3673483157287324E-3</v>
      </c>
    </row>
    <row r="244" spans="19:22" x14ac:dyDescent="0.35">
      <c r="S244">
        <f t="shared" ca="1" si="12"/>
        <v>5.9586610923882885E-3</v>
      </c>
      <c r="T244">
        <f t="shared" ca="1" si="13"/>
        <v>4.3342535748567669E-3</v>
      </c>
      <c r="U244">
        <f t="shared" ca="1" si="14"/>
        <v>-1.749174559096529E-2</v>
      </c>
      <c r="V244">
        <f t="shared" ca="1" si="15"/>
        <v>4.4612592547143056E-3</v>
      </c>
    </row>
    <row r="245" spans="19:22" x14ac:dyDescent="0.35">
      <c r="S245">
        <f t="shared" ca="1" si="12"/>
        <v>4.5598663137115508E-3</v>
      </c>
      <c r="T245">
        <f t="shared" ca="1" si="13"/>
        <v>-1.2384660192870118E-2</v>
      </c>
      <c r="U245">
        <f t="shared" ca="1" si="14"/>
        <v>-9.239505672312881E-3</v>
      </c>
      <c r="V245">
        <f t="shared" ca="1" si="15"/>
        <v>4.8099241309399539E-4</v>
      </c>
    </row>
    <row r="246" spans="19:22" x14ac:dyDescent="0.35">
      <c r="S246">
        <f t="shared" ca="1" si="12"/>
        <v>2.0033826167996732E-2</v>
      </c>
      <c r="T246">
        <f t="shared" ca="1" si="13"/>
        <v>2.3419713094194404E-2</v>
      </c>
      <c r="U246">
        <f t="shared" ca="1" si="14"/>
        <v>-1.2108526575506744E-3</v>
      </c>
      <c r="V246">
        <f t="shared" ca="1" si="15"/>
        <v>1.9648769611958893E-2</v>
      </c>
    </row>
    <row r="247" spans="19:22" x14ac:dyDescent="0.35">
      <c r="S247">
        <f t="shared" ca="1" si="12"/>
        <v>1.2040728702614974E-2</v>
      </c>
      <c r="T247">
        <f t="shared" ca="1" si="13"/>
        <v>-1.7320367036324849E-2</v>
      </c>
      <c r="U247">
        <f t="shared" ca="1" si="14"/>
        <v>1.8867082999613573E-2</v>
      </c>
      <c r="V247">
        <f t="shared" ca="1" si="15"/>
        <v>6.5098272696769389E-3</v>
      </c>
    </row>
    <row r="248" spans="19:22" x14ac:dyDescent="0.35">
      <c r="S248">
        <f t="shared" ca="1" si="12"/>
        <v>-2.9579161420928775E-3</v>
      </c>
      <c r="T248">
        <f t="shared" ca="1" si="13"/>
        <v>-1.3650269165086664E-2</v>
      </c>
      <c r="U248">
        <f t="shared" ca="1" si="14"/>
        <v>4.979101959659179E-3</v>
      </c>
      <c r="V248">
        <f t="shared" ca="1" si="15"/>
        <v>-4.6995358416040325E-3</v>
      </c>
    </row>
    <row r="249" spans="19:22" x14ac:dyDescent="0.35">
      <c r="S249">
        <f t="shared" ca="1" si="12"/>
        <v>4.1134191335668842E-5</v>
      </c>
      <c r="T249">
        <f t="shared" ca="1" si="13"/>
        <v>2.8027616345309555E-4</v>
      </c>
      <c r="U249">
        <f t="shared" ca="1" si="14"/>
        <v>2.2759894557556622E-2</v>
      </c>
      <c r="V249">
        <f t="shared" ca="1" si="15"/>
        <v>1.224900604070202E-3</v>
      </c>
    </row>
    <row r="250" spans="19:22" x14ac:dyDescent="0.35">
      <c r="S250">
        <f t="shared" ca="1" si="12"/>
        <v>1.2100142561291853E-2</v>
      </c>
      <c r="T250">
        <f t="shared" ca="1" si="13"/>
        <v>1.1655239317166732E-2</v>
      </c>
      <c r="U250">
        <f t="shared" ca="1" si="14"/>
        <v>2.625845842703502E-2</v>
      </c>
      <c r="V250">
        <f t="shared" ca="1" si="15"/>
        <v>1.2719077705753987E-2</v>
      </c>
    </row>
    <row r="251" spans="19:22" x14ac:dyDescent="0.35">
      <c r="S251">
        <f t="shared" ca="1" si="12"/>
        <v>7.6233436388877286E-3</v>
      </c>
      <c r="T251">
        <f t="shared" ca="1" si="13"/>
        <v>2.9616828347360985E-2</v>
      </c>
      <c r="U251">
        <f t="shared" ca="1" si="14"/>
        <v>2.3390367395580664E-2</v>
      </c>
      <c r="V251">
        <f t="shared" ca="1" si="15"/>
        <v>1.2810391768417027E-2</v>
      </c>
    </row>
    <row r="252" spans="19:22" x14ac:dyDescent="0.35">
      <c r="S252">
        <f t="shared" ca="1" si="12"/>
        <v>-3.6051033108068779E-2</v>
      </c>
      <c r="T252">
        <f t="shared" ca="1" si="13"/>
        <v>2.1278035357022242E-2</v>
      </c>
      <c r="U252">
        <f t="shared" ca="1" si="14"/>
        <v>-1.2708531567369461E-2</v>
      </c>
      <c r="V252">
        <f t="shared" ca="1" si="15"/>
        <v>-2.3418094338015605E-2</v>
      </c>
    </row>
    <row r="253" spans="19:22" x14ac:dyDescent="0.35">
      <c r="S253">
        <f t="shared" ca="1" si="12"/>
        <v>-3.9999452225755201E-3</v>
      </c>
      <c r="T253">
        <f t="shared" ca="1" si="13"/>
        <v>-1.2419585990829053E-2</v>
      </c>
      <c r="U253">
        <f t="shared" ca="1" si="14"/>
        <v>7.1885922224924678E-3</v>
      </c>
      <c r="V253">
        <f t="shared" ca="1" si="15"/>
        <v>-5.1244465039728274E-3</v>
      </c>
    </row>
    <row r="254" spans="19:22" x14ac:dyDescent="0.35">
      <c r="S254">
        <f t="shared" ca="1" si="12"/>
        <v>-1.6143842558099669E-2</v>
      </c>
      <c r="T254">
        <f t="shared" ca="1" si="13"/>
        <v>-5.6166447576707253E-3</v>
      </c>
      <c r="U254">
        <f t="shared" ca="1" si="14"/>
        <v>1.3753736102329137E-3</v>
      </c>
      <c r="V254">
        <f t="shared" ca="1" si="15"/>
        <v>-1.3162442189597251E-2</v>
      </c>
    </row>
    <row r="255" spans="19:22" x14ac:dyDescent="0.35">
      <c r="S255">
        <f t="shared" ca="1" si="12"/>
        <v>-1.9070304935271766E-2</v>
      </c>
      <c r="T255">
        <f t="shared" ca="1" si="13"/>
        <v>-1.9091481039726521E-2</v>
      </c>
      <c r="U255">
        <f t="shared" ca="1" si="14"/>
        <v>1.3033320496588523E-2</v>
      </c>
      <c r="V255">
        <f t="shared" ca="1" si="15"/>
        <v>-1.7469358884569703E-2</v>
      </c>
    </row>
    <row r="256" spans="19:22" x14ac:dyDescent="0.35">
      <c r="S256">
        <f t="shared" ca="1" si="12"/>
        <v>3.1362754665452295E-3</v>
      </c>
      <c r="T256">
        <f t="shared" ca="1" si="13"/>
        <v>-1.3358772966397153E-2</v>
      </c>
      <c r="U256">
        <f t="shared" ca="1" si="14"/>
        <v>1.2417591928431699E-3</v>
      </c>
      <c r="V256">
        <f t="shared" ca="1" si="15"/>
        <v>-2.5746003372835051E-4</v>
      </c>
    </row>
    <row r="257" spans="19:22" x14ac:dyDescent="0.35">
      <c r="S257">
        <f t="shared" ca="1" si="12"/>
        <v>-1.1954706238022984E-2</v>
      </c>
      <c r="T257">
        <f t="shared" ca="1" si="13"/>
        <v>2.4815644364373538E-4</v>
      </c>
      <c r="U257">
        <f t="shared" ca="1" si="14"/>
        <v>3.8955355383088766E-2</v>
      </c>
      <c r="V257">
        <f t="shared" ca="1" si="15"/>
        <v>-6.9686306206340519E-3</v>
      </c>
    </row>
    <row r="258" spans="19:22" x14ac:dyDescent="0.35">
      <c r="S258">
        <f t="shared" ca="1" si="12"/>
        <v>3.6389184840430215E-3</v>
      </c>
      <c r="T258">
        <f t="shared" ca="1" si="13"/>
        <v>-3.9839202362041667E-4</v>
      </c>
      <c r="U258">
        <f t="shared" ca="1" si="14"/>
        <v>2.6628782985219722E-2</v>
      </c>
      <c r="V258">
        <f t="shared" ca="1" si="15"/>
        <v>3.9809496075691687E-3</v>
      </c>
    </row>
    <row r="259" spans="19:22" x14ac:dyDescent="0.35">
      <c r="S259">
        <f t="shared" ca="1" si="12"/>
        <v>-1.9597884024171893E-2</v>
      </c>
      <c r="T259">
        <f t="shared" ca="1" si="13"/>
        <v>9.2528075800985942E-4</v>
      </c>
      <c r="U259">
        <f t="shared" ca="1" si="14"/>
        <v>-1.7949020212104254E-2</v>
      </c>
      <c r="V259">
        <f t="shared" ca="1" si="15"/>
        <v>-1.5410807877132161E-2</v>
      </c>
    </row>
    <row r="260" spans="19:22" x14ac:dyDescent="0.35">
      <c r="S260">
        <f t="shared" ref="S260:S323" ca="1" si="16">_xlfn.NORM.INV(RAND(),$L$3,$M$3)</f>
        <v>1.180504936878809E-2</v>
      </c>
      <c r="T260">
        <f t="shared" ref="T260:T323" ca="1" si="17">_xlfn.NORM.INV(RAND(),$N$3,$O$3)</f>
        <v>6.0476814557924863E-3</v>
      </c>
      <c r="U260">
        <f t="shared" ref="U260:U323" ca="1" si="18">_xlfn.NORM.INV(RAND(),$P$3,$Q$3)</f>
        <v>-1.2750345593300207E-2</v>
      </c>
      <c r="V260">
        <f t="shared" ref="V260:V323" ca="1" si="19">(0.75*S260)+(0.2*T260)+(0.05*U260)</f>
        <v>9.4258060380845547E-3</v>
      </c>
    </row>
    <row r="261" spans="19:22" x14ac:dyDescent="0.35">
      <c r="S261">
        <f t="shared" ca="1" si="16"/>
        <v>5.5082550461449343E-4</v>
      </c>
      <c r="T261">
        <f t="shared" ca="1" si="17"/>
        <v>6.3363353071601717E-3</v>
      </c>
      <c r="U261">
        <f t="shared" ca="1" si="18"/>
        <v>-1.9760847054126628E-2</v>
      </c>
      <c r="V261">
        <f t="shared" ca="1" si="19"/>
        <v>6.923438371865731E-4</v>
      </c>
    </row>
    <row r="262" spans="19:22" x14ac:dyDescent="0.35">
      <c r="S262">
        <f t="shared" ca="1" si="16"/>
        <v>-9.5710406398666053E-3</v>
      </c>
      <c r="T262">
        <f t="shared" ca="1" si="17"/>
        <v>6.0519206218288234E-3</v>
      </c>
      <c r="U262">
        <f t="shared" ca="1" si="18"/>
        <v>2.8668500785471071E-4</v>
      </c>
      <c r="V262">
        <f t="shared" ca="1" si="19"/>
        <v>-5.9535621051414536E-3</v>
      </c>
    </row>
    <row r="263" spans="19:22" x14ac:dyDescent="0.35">
      <c r="S263">
        <f t="shared" ca="1" si="16"/>
        <v>4.5929437311403049E-3</v>
      </c>
      <c r="T263">
        <f t="shared" ca="1" si="17"/>
        <v>9.5562769751490872E-3</v>
      </c>
      <c r="U263">
        <f t="shared" ca="1" si="18"/>
        <v>-3.4412742569821506E-2</v>
      </c>
      <c r="V263">
        <f t="shared" ca="1" si="19"/>
        <v>3.6353260648939708E-3</v>
      </c>
    </row>
    <row r="264" spans="19:22" x14ac:dyDescent="0.35">
      <c r="S264">
        <f t="shared" ca="1" si="16"/>
        <v>2.247989593302659E-2</v>
      </c>
      <c r="T264">
        <f t="shared" ca="1" si="17"/>
        <v>2.9797281139445596E-2</v>
      </c>
      <c r="U264">
        <f t="shared" ca="1" si="18"/>
        <v>3.5820052553748614E-2</v>
      </c>
      <c r="V264">
        <f t="shared" ca="1" si="19"/>
        <v>2.4610380805346492E-2</v>
      </c>
    </row>
    <row r="265" spans="19:22" x14ac:dyDescent="0.35">
      <c r="S265">
        <f t="shared" ca="1" si="16"/>
        <v>-1.0244060187252211E-2</v>
      </c>
      <c r="T265">
        <f t="shared" ca="1" si="17"/>
        <v>-1.8657859795443217E-2</v>
      </c>
      <c r="U265">
        <f t="shared" ca="1" si="18"/>
        <v>-1.578138905156725E-2</v>
      </c>
      <c r="V265">
        <f t="shared" ca="1" si="19"/>
        <v>-1.2203686552106163E-2</v>
      </c>
    </row>
    <row r="266" spans="19:22" x14ac:dyDescent="0.35">
      <c r="S266">
        <f t="shared" ca="1" si="16"/>
        <v>-4.2139829004980301E-3</v>
      </c>
      <c r="T266">
        <f t="shared" ca="1" si="17"/>
        <v>-3.1862366292148211E-2</v>
      </c>
      <c r="U266">
        <f t="shared" ca="1" si="18"/>
        <v>-8.3993712871491023E-3</v>
      </c>
      <c r="V266">
        <f t="shared" ca="1" si="19"/>
        <v>-9.9529289981606199E-3</v>
      </c>
    </row>
    <row r="267" spans="19:22" x14ac:dyDescent="0.35">
      <c r="S267">
        <f t="shared" ca="1" si="16"/>
        <v>-4.5697422445849234E-3</v>
      </c>
      <c r="T267">
        <f t="shared" ca="1" si="17"/>
        <v>1.4401599305568736E-2</v>
      </c>
      <c r="U267">
        <f t="shared" ca="1" si="18"/>
        <v>5.1323852480091936E-3</v>
      </c>
      <c r="V267">
        <f t="shared" ca="1" si="19"/>
        <v>-2.9036755992448561E-4</v>
      </c>
    </row>
    <row r="268" spans="19:22" x14ac:dyDescent="0.35">
      <c r="S268">
        <f t="shared" ca="1" si="16"/>
        <v>1.6833618430207233E-2</v>
      </c>
      <c r="T268">
        <f t="shared" ca="1" si="17"/>
        <v>1.1136807843145569E-2</v>
      </c>
      <c r="U268">
        <f t="shared" ca="1" si="18"/>
        <v>-3.92488264567852E-2</v>
      </c>
      <c r="V268">
        <f t="shared" ca="1" si="19"/>
        <v>1.2890134068445278E-2</v>
      </c>
    </row>
    <row r="269" spans="19:22" x14ac:dyDescent="0.35">
      <c r="S269">
        <f t="shared" ca="1" si="16"/>
        <v>-1.4735743021955924E-3</v>
      </c>
      <c r="T269">
        <f t="shared" ca="1" si="17"/>
        <v>-1.9926856649421558E-2</v>
      </c>
      <c r="U269">
        <f t="shared" ca="1" si="18"/>
        <v>2.365071527641225E-2</v>
      </c>
      <c r="V269">
        <f t="shared" ca="1" si="19"/>
        <v>-3.9080162927103927E-3</v>
      </c>
    </row>
    <row r="270" spans="19:22" x14ac:dyDescent="0.35">
      <c r="S270">
        <f t="shared" ca="1" si="16"/>
        <v>-1.0279763241302029E-2</v>
      </c>
      <c r="T270">
        <f t="shared" ca="1" si="17"/>
        <v>5.1614319642829705E-2</v>
      </c>
      <c r="U270">
        <f t="shared" ca="1" si="18"/>
        <v>7.0382591302853544E-3</v>
      </c>
      <c r="V270">
        <f t="shared" ca="1" si="19"/>
        <v>2.9649544541036871E-3</v>
      </c>
    </row>
    <row r="271" spans="19:22" x14ac:dyDescent="0.35">
      <c r="S271">
        <f t="shared" ca="1" si="16"/>
        <v>4.1401914818979674E-3</v>
      </c>
      <c r="T271">
        <f t="shared" ca="1" si="17"/>
        <v>1.6905712952933857E-2</v>
      </c>
      <c r="U271">
        <f t="shared" ca="1" si="18"/>
        <v>2.0915382136510455E-2</v>
      </c>
      <c r="V271">
        <f t="shared" ca="1" si="19"/>
        <v>7.5320553088357696E-3</v>
      </c>
    </row>
    <row r="272" spans="19:22" x14ac:dyDescent="0.35">
      <c r="S272">
        <f t="shared" ca="1" si="16"/>
        <v>-8.6113420555212414E-3</v>
      </c>
      <c r="T272">
        <f t="shared" ca="1" si="17"/>
        <v>-2.7161546429184044E-2</v>
      </c>
      <c r="U272">
        <f t="shared" ca="1" si="18"/>
        <v>-2.0515337555374148E-2</v>
      </c>
      <c r="V272">
        <f t="shared" ca="1" si="19"/>
        <v>-1.2916582705246447E-2</v>
      </c>
    </row>
    <row r="273" spans="19:22" x14ac:dyDescent="0.35">
      <c r="S273">
        <f t="shared" ca="1" si="16"/>
        <v>-1.7459110933308594E-2</v>
      </c>
      <c r="T273">
        <f t="shared" ca="1" si="17"/>
        <v>-2.9079267500249843E-3</v>
      </c>
      <c r="U273">
        <f t="shared" ca="1" si="18"/>
        <v>2.2326754407670643E-3</v>
      </c>
      <c r="V273">
        <f t="shared" ca="1" si="19"/>
        <v>-1.3564284777948087E-2</v>
      </c>
    </row>
    <row r="274" spans="19:22" x14ac:dyDescent="0.35">
      <c r="S274">
        <f t="shared" ca="1" si="16"/>
        <v>-2.5345907474046598E-2</v>
      </c>
      <c r="T274">
        <f t="shared" ca="1" si="17"/>
        <v>1.5300078121812912E-2</v>
      </c>
      <c r="U274">
        <f t="shared" ca="1" si="18"/>
        <v>1.2071388029193785E-2</v>
      </c>
      <c r="V274">
        <f t="shared" ca="1" si="19"/>
        <v>-1.5345845579712677E-2</v>
      </c>
    </row>
    <row r="275" spans="19:22" x14ac:dyDescent="0.35">
      <c r="S275">
        <f t="shared" ca="1" si="16"/>
        <v>-3.0268036579765845E-2</v>
      </c>
      <c r="T275">
        <f t="shared" ca="1" si="17"/>
        <v>-3.2238727126703545E-2</v>
      </c>
      <c r="U275">
        <f t="shared" ca="1" si="18"/>
        <v>2.1346384491894153E-2</v>
      </c>
      <c r="V275">
        <f t="shared" ca="1" si="19"/>
        <v>-2.8081453635570384E-2</v>
      </c>
    </row>
    <row r="276" spans="19:22" x14ac:dyDescent="0.35">
      <c r="S276">
        <f t="shared" ca="1" si="16"/>
        <v>-9.0291037122386549E-4</v>
      </c>
      <c r="T276">
        <f t="shared" ca="1" si="17"/>
        <v>-5.7877336145187768E-3</v>
      </c>
      <c r="U276">
        <f t="shared" ca="1" si="18"/>
        <v>-1.3367050662283778E-2</v>
      </c>
      <c r="V276">
        <f t="shared" ca="1" si="19"/>
        <v>-2.5030820344358433E-3</v>
      </c>
    </row>
    <row r="277" spans="19:22" x14ac:dyDescent="0.35">
      <c r="S277">
        <f t="shared" ca="1" si="16"/>
        <v>-1.5684636348746037E-2</v>
      </c>
      <c r="T277">
        <f t="shared" ca="1" si="17"/>
        <v>2.4580220493635027E-3</v>
      </c>
      <c r="U277">
        <f t="shared" ca="1" si="18"/>
        <v>-1.2008977632042025E-2</v>
      </c>
      <c r="V277">
        <f t="shared" ca="1" si="19"/>
        <v>-1.1872321733288929E-2</v>
      </c>
    </row>
    <row r="278" spans="19:22" x14ac:dyDescent="0.35">
      <c r="S278">
        <f t="shared" ca="1" si="16"/>
        <v>-5.2263516728184273E-2</v>
      </c>
      <c r="T278">
        <f t="shared" ca="1" si="17"/>
        <v>3.4697216771723545E-3</v>
      </c>
      <c r="U278">
        <f t="shared" ca="1" si="18"/>
        <v>1.5168346927114812E-4</v>
      </c>
      <c r="V278">
        <f t="shared" ca="1" si="19"/>
        <v>-3.8496109037240177E-2</v>
      </c>
    </row>
    <row r="279" spans="19:22" x14ac:dyDescent="0.35">
      <c r="S279">
        <f t="shared" ca="1" si="16"/>
        <v>5.1432895150269643E-3</v>
      </c>
      <c r="T279">
        <f t="shared" ca="1" si="17"/>
        <v>3.3142644137296069E-3</v>
      </c>
      <c r="U279">
        <f t="shared" ca="1" si="18"/>
        <v>-1.5514649273697516E-2</v>
      </c>
      <c r="V279">
        <f t="shared" ca="1" si="19"/>
        <v>3.744587555331269E-3</v>
      </c>
    </row>
    <row r="280" spans="19:22" x14ac:dyDescent="0.35">
      <c r="S280">
        <f t="shared" ca="1" si="16"/>
        <v>-8.8883272375689815E-3</v>
      </c>
      <c r="T280">
        <f t="shared" ca="1" si="17"/>
        <v>-2.977504476956546E-2</v>
      </c>
      <c r="U280">
        <f t="shared" ca="1" si="18"/>
        <v>-1.2998486631221731E-2</v>
      </c>
      <c r="V280">
        <f t="shared" ca="1" si="19"/>
        <v>-1.3271178713650916E-2</v>
      </c>
    </row>
    <row r="281" spans="19:22" x14ac:dyDescent="0.35">
      <c r="S281">
        <f t="shared" ca="1" si="16"/>
        <v>1.2759989860278011E-2</v>
      </c>
      <c r="T281">
        <f t="shared" ca="1" si="17"/>
        <v>8.0721257222481427E-3</v>
      </c>
      <c r="U281">
        <f t="shared" ca="1" si="18"/>
        <v>-7.5865580348980898E-3</v>
      </c>
      <c r="V281">
        <f t="shared" ca="1" si="19"/>
        <v>1.0805089637913231E-2</v>
      </c>
    </row>
    <row r="282" spans="19:22" x14ac:dyDescent="0.35">
      <c r="S282">
        <f t="shared" ca="1" si="16"/>
        <v>2.9748841172612682E-4</v>
      </c>
      <c r="T282">
        <f t="shared" ca="1" si="17"/>
        <v>2.6390416615094871E-2</v>
      </c>
      <c r="U282">
        <f t="shared" ca="1" si="18"/>
        <v>-3.6638463879953963E-3</v>
      </c>
      <c r="V282">
        <f t="shared" ca="1" si="19"/>
        <v>5.3180073124138002E-3</v>
      </c>
    </row>
    <row r="283" spans="19:22" x14ac:dyDescent="0.35">
      <c r="S283">
        <f t="shared" ca="1" si="16"/>
        <v>6.8547432917532725E-3</v>
      </c>
      <c r="T283">
        <f t="shared" ca="1" si="17"/>
        <v>-2.1999043592745402E-3</v>
      </c>
      <c r="U283">
        <f t="shared" ca="1" si="18"/>
        <v>-1.6140407309311672E-2</v>
      </c>
      <c r="V283">
        <f t="shared" ca="1" si="19"/>
        <v>3.8940562314944633E-3</v>
      </c>
    </row>
    <row r="284" spans="19:22" x14ac:dyDescent="0.35">
      <c r="S284">
        <f t="shared" ca="1" si="16"/>
        <v>1.3747160316060861E-2</v>
      </c>
      <c r="T284">
        <f t="shared" ca="1" si="17"/>
        <v>6.0291362971165007E-3</v>
      </c>
      <c r="U284">
        <f t="shared" ca="1" si="18"/>
        <v>1.4849739563851702E-2</v>
      </c>
      <c r="V284">
        <f t="shared" ca="1" si="19"/>
        <v>1.2258684474661531E-2</v>
      </c>
    </row>
    <row r="285" spans="19:22" x14ac:dyDescent="0.35">
      <c r="S285">
        <f t="shared" ca="1" si="16"/>
        <v>-9.9450968304396585E-3</v>
      </c>
      <c r="T285">
        <f t="shared" ca="1" si="17"/>
        <v>2.1064367258235375E-2</v>
      </c>
      <c r="U285">
        <f t="shared" ca="1" si="18"/>
        <v>-3.5511564050765478E-2</v>
      </c>
      <c r="V285">
        <f t="shared" ca="1" si="19"/>
        <v>-5.0215273737209427E-3</v>
      </c>
    </row>
    <row r="286" spans="19:22" x14ac:dyDescent="0.35">
      <c r="S286">
        <f t="shared" ca="1" si="16"/>
        <v>5.1347397150742699E-3</v>
      </c>
      <c r="T286">
        <f t="shared" ca="1" si="17"/>
        <v>3.9441453640792394E-3</v>
      </c>
      <c r="U286">
        <f t="shared" ca="1" si="18"/>
        <v>3.1267608203257004E-2</v>
      </c>
      <c r="V286">
        <f t="shared" ca="1" si="19"/>
        <v>6.2032642692844012E-3</v>
      </c>
    </row>
    <row r="287" spans="19:22" x14ac:dyDescent="0.35">
      <c r="S287">
        <f t="shared" ca="1" si="16"/>
        <v>1.7535989959393924E-2</v>
      </c>
      <c r="T287">
        <f t="shared" ca="1" si="17"/>
        <v>1.1438299874605975E-2</v>
      </c>
      <c r="U287">
        <f t="shared" ca="1" si="18"/>
        <v>7.4485780897414842E-3</v>
      </c>
      <c r="V287">
        <f t="shared" ca="1" si="19"/>
        <v>1.5812081348953712E-2</v>
      </c>
    </row>
    <row r="288" spans="19:22" x14ac:dyDescent="0.35">
      <c r="S288">
        <f t="shared" ca="1" si="16"/>
        <v>6.590481017589989E-3</v>
      </c>
      <c r="T288">
        <f t="shared" ca="1" si="17"/>
        <v>8.2034656028601789E-4</v>
      </c>
      <c r="U288">
        <f t="shared" ca="1" si="18"/>
        <v>-3.4072833522350876E-3</v>
      </c>
      <c r="V288">
        <f t="shared" ca="1" si="19"/>
        <v>4.9365659076379409E-3</v>
      </c>
    </row>
    <row r="289" spans="19:22" x14ac:dyDescent="0.35">
      <c r="S289">
        <f t="shared" ca="1" si="16"/>
        <v>1.844551805232569E-3</v>
      </c>
      <c r="T289">
        <f t="shared" ca="1" si="17"/>
        <v>1.840264481174448E-3</v>
      </c>
      <c r="U289">
        <f t="shared" ca="1" si="18"/>
        <v>-3.2891620091259647E-3</v>
      </c>
      <c r="V289">
        <f t="shared" ca="1" si="19"/>
        <v>1.5870086497030184E-3</v>
      </c>
    </row>
    <row r="290" spans="19:22" x14ac:dyDescent="0.35">
      <c r="S290">
        <f t="shared" ca="1" si="16"/>
        <v>4.7153821578332981E-4</v>
      </c>
      <c r="T290">
        <f t="shared" ca="1" si="17"/>
        <v>-7.4637499789580689E-2</v>
      </c>
      <c r="U290">
        <f t="shared" ca="1" si="18"/>
        <v>2.5383427133378902E-2</v>
      </c>
      <c r="V290">
        <f t="shared" ca="1" si="19"/>
        <v>-1.3304674939409697E-2</v>
      </c>
    </row>
    <row r="291" spans="19:22" x14ac:dyDescent="0.35">
      <c r="S291">
        <f t="shared" ca="1" si="16"/>
        <v>1.6688030993027799E-3</v>
      </c>
      <c r="T291">
        <f t="shared" ca="1" si="17"/>
        <v>3.9147294637153296E-3</v>
      </c>
      <c r="U291">
        <f t="shared" ca="1" si="18"/>
        <v>7.9065057237605058E-3</v>
      </c>
      <c r="V291">
        <f t="shared" ca="1" si="19"/>
        <v>2.4298735034081762E-3</v>
      </c>
    </row>
    <row r="292" spans="19:22" x14ac:dyDescent="0.35">
      <c r="S292">
        <f t="shared" ca="1" si="16"/>
        <v>-2.9263890044903687E-3</v>
      </c>
      <c r="T292">
        <f t="shared" ca="1" si="17"/>
        <v>3.3160624413246351E-3</v>
      </c>
      <c r="U292">
        <f t="shared" ca="1" si="18"/>
        <v>2.3870031372729256E-3</v>
      </c>
      <c r="V292">
        <f t="shared" ca="1" si="19"/>
        <v>-1.4122291082392035E-3</v>
      </c>
    </row>
    <row r="293" spans="19:22" x14ac:dyDescent="0.35">
      <c r="S293">
        <f t="shared" ca="1" si="16"/>
        <v>1.3996907823897245E-3</v>
      </c>
      <c r="T293">
        <f t="shared" ca="1" si="17"/>
        <v>-4.1327086298235463E-3</v>
      </c>
      <c r="U293">
        <f t="shared" ca="1" si="18"/>
        <v>-7.0136798606755396E-3</v>
      </c>
      <c r="V293">
        <f t="shared" ca="1" si="19"/>
        <v>-1.2745763220619298E-4</v>
      </c>
    </row>
    <row r="294" spans="19:22" x14ac:dyDescent="0.35">
      <c r="S294">
        <f t="shared" ca="1" si="16"/>
        <v>-8.5768552729580099E-3</v>
      </c>
      <c r="T294">
        <f t="shared" ca="1" si="17"/>
        <v>8.3253463256679188E-3</v>
      </c>
      <c r="U294">
        <f t="shared" ca="1" si="18"/>
        <v>1.5577179866573374E-2</v>
      </c>
      <c r="V294">
        <f t="shared" ca="1" si="19"/>
        <v>-3.9887131962562548E-3</v>
      </c>
    </row>
    <row r="295" spans="19:22" x14ac:dyDescent="0.35">
      <c r="S295">
        <f t="shared" ca="1" si="16"/>
        <v>2.9348159932713431E-3</v>
      </c>
      <c r="T295">
        <f t="shared" ca="1" si="17"/>
        <v>1.7425771913327576E-2</v>
      </c>
      <c r="U295">
        <f t="shared" ca="1" si="18"/>
        <v>1.3240936795846536E-2</v>
      </c>
      <c r="V295">
        <f t="shared" ca="1" si="19"/>
        <v>6.3483132174113497E-3</v>
      </c>
    </row>
    <row r="296" spans="19:22" x14ac:dyDescent="0.35">
      <c r="S296">
        <f t="shared" ca="1" si="16"/>
        <v>1.6464564899072592E-2</v>
      </c>
      <c r="T296">
        <f t="shared" ca="1" si="17"/>
        <v>1.1831264603665103E-2</v>
      </c>
      <c r="U296">
        <f t="shared" ca="1" si="18"/>
        <v>-2.207340756963963E-2</v>
      </c>
      <c r="V296">
        <f t="shared" ca="1" si="19"/>
        <v>1.3611006216555482E-2</v>
      </c>
    </row>
    <row r="297" spans="19:22" x14ac:dyDescent="0.35">
      <c r="S297">
        <f t="shared" ca="1" si="16"/>
        <v>1.8745291905586433E-2</v>
      </c>
      <c r="T297">
        <f t="shared" ca="1" si="17"/>
        <v>2.5919119675207498E-2</v>
      </c>
      <c r="U297">
        <f t="shared" ca="1" si="18"/>
        <v>-3.094753616086519E-3</v>
      </c>
      <c r="V297">
        <f t="shared" ca="1" si="19"/>
        <v>1.9088055183426999E-2</v>
      </c>
    </row>
    <row r="298" spans="19:22" x14ac:dyDescent="0.35">
      <c r="S298">
        <f t="shared" ca="1" si="16"/>
        <v>1.758587469092384E-2</v>
      </c>
      <c r="T298">
        <f t="shared" ca="1" si="17"/>
        <v>1.8184265093681647E-2</v>
      </c>
      <c r="U298">
        <f t="shared" ca="1" si="18"/>
        <v>3.8280351139217038E-2</v>
      </c>
      <c r="V298">
        <f t="shared" ca="1" si="19"/>
        <v>1.8740276593890062E-2</v>
      </c>
    </row>
    <row r="299" spans="19:22" x14ac:dyDescent="0.35">
      <c r="S299">
        <f t="shared" ca="1" si="16"/>
        <v>1.4208267473462724E-2</v>
      </c>
      <c r="T299">
        <f t="shared" ca="1" si="17"/>
        <v>-2.7272668422294618E-3</v>
      </c>
      <c r="U299">
        <f t="shared" ca="1" si="18"/>
        <v>-7.0529224678219319E-3</v>
      </c>
      <c r="V299">
        <f t="shared" ca="1" si="19"/>
        <v>9.758101113260054E-3</v>
      </c>
    </row>
    <row r="300" spans="19:22" x14ac:dyDescent="0.35">
      <c r="S300">
        <f t="shared" ca="1" si="16"/>
        <v>-2.7103318835027024E-2</v>
      </c>
      <c r="T300">
        <f t="shared" ca="1" si="17"/>
        <v>1.792087167312478E-2</v>
      </c>
      <c r="U300">
        <f t="shared" ca="1" si="18"/>
        <v>-4.47372627714182E-2</v>
      </c>
      <c r="V300">
        <f t="shared" ca="1" si="19"/>
        <v>-1.8980177930216224E-2</v>
      </c>
    </row>
    <row r="301" spans="19:22" x14ac:dyDescent="0.35">
      <c r="S301">
        <f t="shared" ca="1" si="16"/>
        <v>-7.4714281554582769E-3</v>
      </c>
      <c r="T301">
        <f t="shared" ca="1" si="17"/>
        <v>-3.2932416174268814E-2</v>
      </c>
      <c r="U301">
        <f t="shared" ca="1" si="18"/>
        <v>-1.24156783697651E-2</v>
      </c>
      <c r="V301">
        <f t="shared" ca="1" si="19"/>
        <v>-1.2810838269935726E-2</v>
      </c>
    </row>
    <row r="302" spans="19:22" x14ac:dyDescent="0.35">
      <c r="S302">
        <f t="shared" ca="1" si="16"/>
        <v>-7.2412995569758384E-3</v>
      </c>
      <c r="T302">
        <f t="shared" ca="1" si="17"/>
        <v>2.7193890681445603E-2</v>
      </c>
      <c r="U302">
        <f t="shared" ca="1" si="18"/>
        <v>-2.5032643950401549E-2</v>
      </c>
      <c r="V302">
        <f t="shared" ca="1" si="19"/>
        <v>-1.2438287289628352E-3</v>
      </c>
    </row>
    <row r="303" spans="19:22" x14ac:dyDescent="0.35">
      <c r="S303">
        <f t="shared" ca="1" si="16"/>
        <v>1.2313452714486176E-2</v>
      </c>
      <c r="T303">
        <f t="shared" ca="1" si="17"/>
        <v>-7.1585811247095732E-3</v>
      </c>
      <c r="U303">
        <f t="shared" ca="1" si="18"/>
        <v>-4.6319087901106849E-3</v>
      </c>
      <c r="V303">
        <f t="shared" ca="1" si="19"/>
        <v>7.5717778714171832E-3</v>
      </c>
    </row>
    <row r="304" spans="19:22" x14ac:dyDescent="0.35">
      <c r="S304">
        <f t="shared" ca="1" si="16"/>
        <v>-1.8793530759202894E-2</v>
      </c>
      <c r="T304">
        <f t="shared" ca="1" si="17"/>
        <v>-1.8810344802374104E-2</v>
      </c>
      <c r="U304">
        <f t="shared" ca="1" si="18"/>
        <v>3.3073620929780466E-2</v>
      </c>
      <c r="V304">
        <f t="shared" ca="1" si="19"/>
        <v>-1.6203535983387966E-2</v>
      </c>
    </row>
    <row r="305" spans="19:22" x14ac:dyDescent="0.35">
      <c r="S305">
        <f t="shared" ca="1" si="16"/>
        <v>9.743955238932598E-3</v>
      </c>
      <c r="T305">
        <f t="shared" ca="1" si="17"/>
        <v>1.8528190577056632E-2</v>
      </c>
      <c r="U305">
        <f t="shared" ca="1" si="18"/>
        <v>3.3424251607326809E-2</v>
      </c>
      <c r="V305">
        <f t="shared" ca="1" si="19"/>
        <v>1.2684817124977115E-2</v>
      </c>
    </row>
    <row r="306" spans="19:22" x14ac:dyDescent="0.35">
      <c r="S306">
        <f t="shared" ca="1" si="16"/>
        <v>-3.8204192818831789E-3</v>
      </c>
      <c r="T306">
        <f t="shared" ca="1" si="17"/>
        <v>-6.5537892158106298E-3</v>
      </c>
      <c r="U306">
        <f t="shared" ca="1" si="18"/>
        <v>2.9182045890180489E-3</v>
      </c>
      <c r="V306">
        <f t="shared" ca="1" si="19"/>
        <v>-4.0301620751236082E-3</v>
      </c>
    </row>
    <row r="307" spans="19:22" x14ac:dyDescent="0.35">
      <c r="S307">
        <f t="shared" ca="1" si="16"/>
        <v>1.3285907775341162E-2</v>
      </c>
      <c r="T307">
        <f t="shared" ca="1" si="17"/>
        <v>2.4626558356101665E-2</v>
      </c>
      <c r="U307">
        <f t="shared" ca="1" si="18"/>
        <v>6.6339774336700531E-3</v>
      </c>
      <c r="V307">
        <f t="shared" ca="1" si="19"/>
        <v>1.5221441374409709E-2</v>
      </c>
    </row>
    <row r="308" spans="19:22" x14ac:dyDescent="0.35">
      <c r="S308">
        <f t="shared" ca="1" si="16"/>
        <v>1.4599428207976217E-2</v>
      </c>
      <c r="T308">
        <f t="shared" ca="1" si="17"/>
        <v>2.0425941000745042E-2</v>
      </c>
      <c r="U308">
        <f t="shared" ca="1" si="18"/>
        <v>1.3437028007902292E-2</v>
      </c>
      <c r="V308">
        <f t="shared" ca="1" si="19"/>
        <v>1.5706610756526285E-2</v>
      </c>
    </row>
    <row r="309" spans="19:22" x14ac:dyDescent="0.35">
      <c r="S309">
        <f t="shared" ca="1" si="16"/>
        <v>-8.4001374945224926E-3</v>
      </c>
      <c r="T309">
        <f t="shared" ca="1" si="17"/>
        <v>-2.2522300283836571E-2</v>
      </c>
      <c r="U309">
        <f t="shared" ca="1" si="18"/>
        <v>-3.9074924689170643E-3</v>
      </c>
      <c r="V309">
        <f t="shared" ca="1" si="19"/>
        <v>-1.0999937801105036E-2</v>
      </c>
    </row>
    <row r="310" spans="19:22" x14ac:dyDescent="0.35">
      <c r="S310">
        <f t="shared" ca="1" si="16"/>
        <v>-9.5574343910469674E-3</v>
      </c>
      <c r="T310">
        <f t="shared" ca="1" si="17"/>
        <v>1.0682072961672173E-2</v>
      </c>
      <c r="U310">
        <f t="shared" ca="1" si="18"/>
        <v>-4.3400736077908626E-3</v>
      </c>
      <c r="V310">
        <f t="shared" ca="1" si="19"/>
        <v>-5.2486648813403333E-3</v>
      </c>
    </row>
    <row r="311" spans="19:22" x14ac:dyDescent="0.35">
      <c r="S311">
        <f t="shared" ca="1" si="16"/>
        <v>7.6965370340543512E-3</v>
      </c>
      <c r="T311">
        <f t="shared" ca="1" si="17"/>
        <v>-3.4285116486554991E-3</v>
      </c>
      <c r="U311">
        <f t="shared" ca="1" si="18"/>
        <v>8.5297339595369961E-3</v>
      </c>
      <c r="V311">
        <f t="shared" ca="1" si="19"/>
        <v>5.5131871437865132E-3</v>
      </c>
    </row>
    <row r="312" spans="19:22" x14ac:dyDescent="0.35">
      <c r="S312">
        <f t="shared" ca="1" si="16"/>
        <v>4.4312496557651383E-3</v>
      </c>
      <c r="T312">
        <f t="shared" ca="1" si="17"/>
        <v>-1.2447071776111852E-2</v>
      </c>
      <c r="U312">
        <f t="shared" ca="1" si="18"/>
        <v>9.7499338491793038E-3</v>
      </c>
      <c r="V312">
        <f t="shared" ca="1" si="19"/>
        <v>1.3215195790604482E-3</v>
      </c>
    </row>
    <row r="313" spans="19:22" x14ac:dyDescent="0.35">
      <c r="S313">
        <f t="shared" ca="1" si="16"/>
        <v>4.5695084735102986E-3</v>
      </c>
      <c r="T313">
        <f t="shared" ca="1" si="17"/>
        <v>-1.594209796294738E-2</v>
      </c>
      <c r="U313">
        <f t="shared" ca="1" si="18"/>
        <v>-2.2829262169840252E-2</v>
      </c>
      <c r="V313">
        <f t="shared" ca="1" si="19"/>
        <v>-9.0275134594876489E-4</v>
      </c>
    </row>
    <row r="314" spans="19:22" x14ac:dyDescent="0.35">
      <c r="S314">
        <f t="shared" ca="1" si="16"/>
        <v>9.2993280696141757E-4</v>
      </c>
      <c r="T314">
        <f t="shared" ca="1" si="17"/>
        <v>6.2934851429840514E-4</v>
      </c>
      <c r="U314">
        <f t="shared" ca="1" si="18"/>
        <v>1.2939719317337041E-2</v>
      </c>
      <c r="V314">
        <f t="shared" ca="1" si="19"/>
        <v>1.4703052739475963E-3</v>
      </c>
    </row>
    <row r="315" spans="19:22" x14ac:dyDescent="0.35">
      <c r="S315">
        <f t="shared" ca="1" si="16"/>
        <v>-8.4686797206595301E-3</v>
      </c>
      <c r="T315">
        <f t="shared" ca="1" si="17"/>
        <v>1.6376936625202617E-2</v>
      </c>
      <c r="U315">
        <f t="shared" ca="1" si="18"/>
        <v>2.4992352753452379E-2</v>
      </c>
      <c r="V315">
        <f t="shared" ca="1" si="19"/>
        <v>-1.8265048277815046E-3</v>
      </c>
    </row>
    <row r="316" spans="19:22" x14ac:dyDescent="0.35">
      <c r="S316">
        <f t="shared" ca="1" si="16"/>
        <v>-4.1736269953277158E-3</v>
      </c>
      <c r="T316">
        <f t="shared" ca="1" si="17"/>
        <v>-2.6923964755862034E-2</v>
      </c>
      <c r="U316">
        <f t="shared" ca="1" si="18"/>
        <v>-1.9394660156694062E-2</v>
      </c>
      <c r="V316">
        <f t="shared" ca="1" si="19"/>
        <v>-9.4847462055028982E-3</v>
      </c>
    </row>
    <row r="317" spans="19:22" x14ac:dyDescent="0.35">
      <c r="S317">
        <f t="shared" ca="1" si="16"/>
        <v>-2.7267089572823634E-2</v>
      </c>
      <c r="T317">
        <f t="shared" ca="1" si="17"/>
        <v>-6.2452400282554232E-3</v>
      </c>
      <c r="U317">
        <f t="shared" ca="1" si="18"/>
        <v>7.3945745213008761E-4</v>
      </c>
      <c r="V317">
        <f t="shared" ca="1" si="19"/>
        <v>-2.1662392312662308E-2</v>
      </c>
    </row>
    <row r="318" spans="19:22" x14ac:dyDescent="0.35">
      <c r="S318">
        <f t="shared" ca="1" si="16"/>
        <v>5.4228761792117428E-3</v>
      </c>
      <c r="T318">
        <f t="shared" ca="1" si="17"/>
        <v>-1.5844284019708308E-2</v>
      </c>
      <c r="U318">
        <f t="shared" ca="1" si="18"/>
        <v>1.5651338341737871E-2</v>
      </c>
      <c r="V318">
        <f t="shared" ca="1" si="19"/>
        <v>1.6808672475540389E-3</v>
      </c>
    </row>
    <row r="319" spans="19:22" x14ac:dyDescent="0.35">
      <c r="S319">
        <f t="shared" ca="1" si="16"/>
        <v>1.1936791491377351E-2</v>
      </c>
      <c r="T319">
        <f t="shared" ca="1" si="17"/>
        <v>5.3503711284766456E-2</v>
      </c>
      <c r="U319">
        <f t="shared" ca="1" si="18"/>
        <v>-5.7404026300461753E-3</v>
      </c>
      <c r="V319">
        <f t="shared" ca="1" si="19"/>
        <v>1.9366315743983994E-2</v>
      </c>
    </row>
    <row r="320" spans="19:22" x14ac:dyDescent="0.35">
      <c r="S320">
        <f t="shared" ca="1" si="16"/>
        <v>3.0182755283650785E-2</v>
      </c>
      <c r="T320">
        <f t="shared" ca="1" si="17"/>
        <v>-1.7445261088698125E-2</v>
      </c>
      <c r="U320">
        <f t="shared" ca="1" si="18"/>
        <v>2.4793721878355667E-2</v>
      </c>
      <c r="V320">
        <f t="shared" ca="1" si="19"/>
        <v>2.0387700338916247E-2</v>
      </c>
    </row>
    <row r="321" spans="19:22" x14ac:dyDescent="0.35">
      <c r="S321">
        <f t="shared" ca="1" si="16"/>
        <v>4.4928221860944511E-3</v>
      </c>
      <c r="T321">
        <f t="shared" ca="1" si="17"/>
        <v>1.6446546223066176E-2</v>
      </c>
      <c r="U321">
        <f t="shared" ca="1" si="18"/>
        <v>4.7227271341074573E-3</v>
      </c>
      <c r="V321">
        <f t="shared" ca="1" si="19"/>
        <v>6.8950622408894468E-3</v>
      </c>
    </row>
    <row r="322" spans="19:22" x14ac:dyDescent="0.35">
      <c r="S322">
        <f t="shared" ca="1" si="16"/>
        <v>9.1394573070362941E-3</v>
      </c>
      <c r="T322">
        <f t="shared" ca="1" si="17"/>
        <v>-2.125312960432485E-2</v>
      </c>
      <c r="U322">
        <f t="shared" ca="1" si="18"/>
        <v>-3.3004922037566532E-2</v>
      </c>
      <c r="V322">
        <f t="shared" ca="1" si="19"/>
        <v>9.5372095753392316E-4</v>
      </c>
    </row>
    <row r="323" spans="19:22" x14ac:dyDescent="0.35">
      <c r="S323">
        <f t="shared" ca="1" si="16"/>
        <v>4.1921058753345217E-3</v>
      </c>
      <c r="T323">
        <f t="shared" ca="1" si="17"/>
        <v>2.4230968478079751E-2</v>
      </c>
      <c r="U323">
        <f t="shared" ca="1" si="18"/>
        <v>1.8976826260223928E-2</v>
      </c>
      <c r="V323">
        <f t="shared" ca="1" si="19"/>
        <v>8.9391144151280376E-3</v>
      </c>
    </row>
    <row r="324" spans="19:22" x14ac:dyDescent="0.35">
      <c r="S324">
        <f t="shared" ref="S324:S387" ca="1" si="20">_xlfn.NORM.INV(RAND(),$L$3,$M$3)</f>
        <v>-9.4576603623316643E-3</v>
      </c>
      <c r="T324">
        <f t="shared" ref="T324:T387" ca="1" si="21">_xlfn.NORM.INV(RAND(),$N$3,$O$3)</f>
        <v>-1.6323179152596616E-3</v>
      </c>
      <c r="U324">
        <f t="shared" ref="U324:U387" ca="1" si="22">_xlfn.NORM.INV(RAND(),$P$3,$Q$3)</f>
        <v>-1.8006094634667926E-2</v>
      </c>
      <c r="V324">
        <f t="shared" ref="V324:V387" ca="1" si="23">(0.75*S324)+(0.2*T324)+(0.05*U324)</f>
        <v>-8.3200135865340759E-3</v>
      </c>
    </row>
    <row r="325" spans="19:22" x14ac:dyDescent="0.35">
      <c r="S325">
        <f t="shared" ca="1" si="20"/>
        <v>6.8811312096077725E-3</v>
      </c>
      <c r="T325">
        <f t="shared" ca="1" si="21"/>
        <v>3.0522345748564633E-2</v>
      </c>
      <c r="U325">
        <f t="shared" ca="1" si="22"/>
        <v>-1.9478170604849212E-2</v>
      </c>
      <c r="V325">
        <f t="shared" ca="1" si="23"/>
        <v>1.0291409026676296E-2</v>
      </c>
    </row>
    <row r="326" spans="19:22" x14ac:dyDescent="0.35">
      <c r="S326">
        <f t="shared" ca="1" si="20"/>
        <v>-1.1929087494932718E-2</v>
      </c>
      <c r="T326">
        <f t="shared" ca="1" si="21"/>
        <v>-2.2095816167937046E-3</v>
      </c>
      <c r="U326">
        <f t="shared" ca="1" si="22"/>
        <v>-3.1122872759354422E-2</v>
      </c>
      <c r="V326">
        <f t="shared" ca="1" si="23"/>
        <v>-1.0944875582526001E-2</v>
      </c>
    </row>
    <row r="327" spans="19:22" x14ac:dyDescent="0.35">
      <c r="S327">
        <f t="shared" ca="1" si="20"/>
        <v>-6.4041257140575961E-3</v>
      </c>
      <c r="T327">
        <f t="shared" ca="1" si="21"/>
        <v>-7.3394035088789958E-3</v>
      </c>
      <c r="U327">
        <f t="shared" ca="1" si="22"/>
        <v>-1.2176765765760095E-2</v>
      </c>
      <c r="V327">
        <f t="shared" ca="1" si="23"/>
        <v>-6.8798132756070019E-3</v>
      </c>
    </row>
    <row r="328" spans="19:22" x14ac:dyDescent="0.35">
      <c r="S328">
        <f t="shared" ca="1" si="20"/>
        <v>-3.3102603080513498E-3</v>
      </c>
      <c r="T328">
        <f t="shared" ca="1" si="21"/>
        <v>-2.3253700159688057E-2</v>
      </c>
      <c r="U328">
        <f t="shared" ca="1" si="22"/>
        <v>-1.4580994655145983E-2</v>
      </c>
      <c r="V328">
        <f t="shared" ca="1" si="23"/>
        <v>-7.8624849957334222E-3</v>
      </c>
    </row>
    <row r="329" spans="19:22" x14ac:dyDescent="0.35">
      <c r="S329">
        <f t="shared" ca="1" si="20"/>
        <v>2.0885027578259002E-4</v>
      </c>
      <c r="T329">
        <f t="shared" ca="1" si="21"/>
        <v>-6.3178565500123726E-3</v>
      </c>
      <c r="U329">
        <f t="shared" ca="1" si="22"/>
        <v>-3.212846393306841E-2</v>
      </c>
      <c r="V329">
        <f t="shared" ca="1" si="23"/>
        <v>-2.7133567998189525E-3</v>
      </c>
    </row>
    <row r="330" spans="19:22" x14ac:dyDescent="0.35">
      <c r="S330">
        <f t="shared" ca="1" si="20"/>
        <v>-4.5133002155677004E-3</v>
      </c>
      <c r="T330">
        <f t="shared" ca="1" si="21"/>
        <v>8.3360903218154328E-3</v>
      </c>
      <c r="U330">
        <f t="shared" ca="1" si="22"/>
        <v>1.860121410995361E-2</v>
      </c>
      <c r="V330">
        <f t="shared" ca="1" si="23"/>
        <v>-7.8769639181500801E-4</v>
      </c>
    </row>
    <row r="331" spans="19:22" x14ac:dyDescent="0.35">
      <c r="S331">
        <f t="shared" ca="1" si="20"/>
        <v>-1.0943484898407983E-2</v>
      </c>
      <c r="T331">
        <f t="shared" ca="1" si="21"/>
        <v>3.6215584976034354E-3</v>
      </c>
      <c r="U331">
        <f t="shared" ca="1" si="22"/>
        <v>-4.9509278353018476E-3</v>
      </c>
      <c r="V331">
        <f t="shared" ca="1" si="23"/>
        <v>-7.7308483660503925E-3</v>
      </c>
    </row>
    <row r="332" spans="19:22" x14ac:dyDescent="0.35">
      <c r="S332">
        <f t="shared" ca="1" si="20"/>
        <v>-5.9154039215732653E-3</v>
      </c>
      <c r="T332">
        <f t="shared" ca="1" si="21"/>
        <v>2.3034913128168185E-2</v>
      </c>
      <c r="U332">
        <f t="shared" ca="1" si="22"/>
        <v>-1.4037988950830684E-3</v>
      </c>
      <c r="V332">
        <f t="shared" ca="1" si="23"/>
        <v>1.0023973969953447E-4</v>
      </c>
    </row>
    <row r="333" spans="19:22" x14ac:dyDescent="0.35">
      <c r="S333">
        <f t="shared" ca="1" si="20"/>
        <v>4.2739734772735058E-3</v>
      </c>
      <c r="T333">
        <f t="shared" ca="1" si="21"/>
        <v>-1.2824186867394468E-2</v>
      </c>
      <c r="U333">
        <f t="shared" ca="1" si="22"/>
        <v>4.0067193393124569E-2</v>
      </c>
      <c r="V333">
        <f t="shared" ca="1" si="23"/>
        <v>2.6440024041324639E-3</v>
      </c>
    </row>
    <row r="334" spans="19:22" x14ac:dyDescent="0.35">
      <c r="S334">
        <f t="shared" ca="1" si="20"/>
        <v>7.2636577995866692E-3</v>
      </c>
      <c r="T334">
        <f t="shared" ca="1" si="21"/>
        <v>-3.1437950427440532E-4</v>
      </c>
      <c r="U334">
        <f t="shared" ca="1" si="22"/>
        <v>2.1088732169084454E-2</v>
      </c>
      <c r="V334">
        <f t="shared" ca="1" si="23"/>
        <v>6.4393040572893441E-3</v>
      </c>
    </row>
    <row r="335" spans="19:22" x14ac:dyDescent="0.35">
      <c r="S335">
        <f t="shared" ca="1" si="20"/>
        <v>-1.5699594328086974E-3</v>
      </c>
      <c r="T335">
        <f t="shared" ca="1" si="21"/>
        <v>-7.6561616642309579E-4</v>
      </c>
      <c r="U335">
        <f t="shared" ca="1" si="22"/>
        <v>-7.4949198833958149E-3</v>
      </c>
      <c r="V335">
        <f t="shared" ca="1" si="23"/>
        <v>-1.7053388020609331E-3</v>
      </c>
    </row>
    <row r="336" spans="19:22" x14ac:dyDescent="0.35">
      <c r="S336">
        <f t="shared" ca="1" si="20"/>
        <v>-1.6211212719456108E-2</v>
      </c>
      <c r="T336">
        <f t="shared" ca="1" si="21"/>
        <v>2.1512762206475418E-2</v>
      </c>
      <c r="U336">
        <f t="shared" ca="1" si="22"/>
        <v>-1.9164983181976711E-2</v>
      </c>
      <c r="V336">
        <f t="shared" ca="1" si="23"/>
        <v>-8.8141062573958324E-3</v>
      </c>
    </row>
    <row r="337" spans="19:22" x14ac:dyDescent="0.35">
      <c r="S337">
        <f t="shared" ca="1" si="20"/>
        <v>8.6244866269226499E-3</v>
      </c>
      <c r="T337">
        <f t="shared" ca="1" si="21"/>
        <v>3.2428329761878131E-3</v>
      </c>
      <c r="U337">
        <f t="shared" ca="1" si="22"/>
        <v>1.0641171119540977E-2</v>
      </c>
      <c r="V337">
        <f t="shared" ca="1" si="23"/>
        <v>7.6489901214065997E-3</v>
      </c>
    </row>
    <row r="338" spans="19:22" x14ac:dyDescent="0.35">
      <c r="S338">
        <f t="shared" ca="1" si="20"/>
        <v>-2.5727073860456326E-3</v>
      </c>
      <c r="T338">
        <f t="shared" ca="1" si="21"/>
        <v>2.853456727633256E-3</v>
      </c>
      <c r="U338">
        <f t="shared" ca="1" si="22"/>
        <v>4.5384208455571187E-2</v>
      </c>
      <c r="V338">
        <f t="shared" ca="1" si="23"/>
        <v>9.1037122877098619E-4</v>
      </c>
    </row>
    <row r="339" spans="19:22" x14ac:dyDescent="0.35">
      <c r="S339">
        <f t="shared" ca="1" si="20"/>
        <v>-1.5459536246792287E-2</v>
      </c>
      <c r="T339">
        <f t="shared" ca="1" si="21"/>
        <v>-1.7995087356514138E-2</v>
      </c>
      <c r="U339">
        <f t="shared" ca="1" si="22"/>
        <v>3.1500848009496249E-2</v>
      </c>
      <c r="V339">
        <f t="shared" ca="1" si="23"/>
        <v>-1.3618627255922229E-2</v>
      </c>
    </row>
    <row r="340" spans="19:22" x14ac:dyDescent="0.35">
      <c r="S340">
        <f t="shared" ca="1" si="20"/>
        <v>-1.2193615133127547E-2</v>
      </c>
      <c r="T340">
        <f t="shared" ca="1" si="21"/>
        <v>1.2823001514837104E-2</v>
      </c>
      <c r="U340">
        <f t="shared" ca="1" si="22"/>
        <v>-6.2243488563251612E-3</v>
      </c>
      <c r="V340">
        <f t="shared" ca="1" si="23"/>
        <v>-6.8918284896944976E-3</v>
      </c>
    </row>
    <row r="341" spans="19:22" x14ac:dyDescent="0.35">
      <c r="S341">
        <f t="shared" ca="1" si="20"/>
        <v>-1.6683491039598767E-2</v>
      </c>
      <c r="T341">
        <f t="shared" ca="1" si="21"/>
        <v>7.2774649941827431E-3</v>
      </c>
      <c r="U341">
        <f t="shared" ca="1" si="22"/>
        <v>6.4931927000689334E-3</v>
      </c>
      <c r="V341">
        <f t="shared" ca="1" si="23"/>
        <v>-1.073246564585908E-2</v>
      </c>
    </row>
    <row r="342" spans="19:22" x14ac:dyDescent="0.35">
      <c r="S342">
        <f t="shared" ca="1" si="20"/>
        <v>3.1860767280202811E-3</v>
      </c>
      <c r="T342">
        <f t="shared" ca="1" si="21"/>
        <v>3.8992751459582405E-3</v>
      </c>
      <c r="U342">
        <f t="shared" ca="1" si="22"/>
        <v>1.0304403422715309E-2</v>
      </c>
      <c r="V342">
        <f t="shared" ca="1" si="23"/>
        <v>3.6846327463426246E-3</v>
      </c>
    </row>
    <row r="343" spans="19:22" x14ac:dyDescent="0.35">
      <c r="S343">
        <f t="shared" ca="1" si="20"/>
        <v>1.5836566579999638E-2</v>
      </c>
      <c r="T343">
        <f t="shared" ca="1" si="21"/>
        <v>-1.9319524292320367E-2</v>
      </c>
      <c r="U343">
        <f t="shared" ca="1" si="22"/>
        <v>-2.0389451761587733E-2</v>
      </c>
      <c r="V343">
        <f t="shared" ca="1" si="23"/>
        <v>6.9940474884562674E-3</v>
      </c>
    </row>
    <row r="344" spans="19:22" x14ac:dyDescent="0.35">
      <c r="S344">
        <f t="shared" ca="1" si="20"/>
        <v>7.02009961596998E-3</v>
      </c>
      <c r="T344">
        <f t="shared" ca="1" si="21"/>
        <v>-2.5368401666761905E-3</v>
      </c>
      <c r="U344">
        <f t="shared" ca="1" si="22"/>
        <v>-4.5244168926945666E-3</v>
      </c>
      <c r="V344">
        <f t="shared" ca="1" si="23"/>
        <v>4.5314858340075185E-3</v>
      </c>
    </row>
    <row r="345" spans="19:22" x14ac:dyDescent="0.35">
      <c r="S345">
        <f t="shared" ca="1" si="20"/>
        <v>-1.5470303838590677E-2</v>
      </c>
      <c r="T345">
        <f t="shared" ca="1" si="21"/>
        <v>1.40300464702105E-2</v>
      </c>
      <c r="U345">
        <f t="shared" ca="1" si="22"/>
        <v>-1.2549952085745804E-2</v>
      </c>
      <c r="V345">
        <f t="shared" ca="1" si="23"/>
        <v>-9.424216189188199E-3</v>
      </c>
    </row>
    <row r="346" spans="19:22" x14ac:dyDescent="0.35">
      <c r="S346">
        <f t="shared" ca="1" si="20"/>
        <v>-1.9312382134557327E-2</v>
      </c>
      <c r="T346">
        <f t="shared" ca="1" si="21"/>
        <v>-1.8008197886643509E-2</v>
      </c>
      <c r="U346">
        <f t="shared" ca="1" si="22"/>
        <v>-2.5423896293067398E-2</v>
      </c>
      <c r="V346">
        <f t="shared" ca="1" si="23"/>
        <v>-1.9357120992900066E-2</v>
      </c>
    </row>
    <row r="347" spans="19:22" x14ac:dyDescent="0.35">
      <c r="S347">
        <f t="shared" ca="1" si="20"/>
        <v>2.0702919477581828E-2</v>
      </c>
      <c r="T347">
        <f t="shared" ca="1" si="21"/>
        <v>1.3834671870343075E-2</v>
      </c>
      <c r="U347">
        <f t="shared" ca="1" si="22"/>
        <v>4.2366759588951225E-2</v>
      </c>
      <c r="V347">
        <f t="shared" ca="1" si="23"/>
        <v>2.0412461961702551E-2</v>
      </c>
    </row>
    <row r="348" spans="19:22" x14ac:dyDescent="0.35">
      <c r="S348">
        <f t="shared" ca="1" si="20"/>
        <v>-2.1633414460552631E-2</v>
      </c>
      <c r="T348">
        <f t="shared" ca="1" si="21"/>
        <v>1.4143161067116562E-2</v>
      </c>
      <c r="U348">
        <f t="shared" ca="1" si="22"/>
        <v>-6.1907855524194564E-3</v>
      </c>
      <c r="V348">
        <f t="shared" ca="1" si="23"/>
        <v>-1.3705967909612133E-2</v>
      </c>
    </row>
    <row r="349" spans="19:22" x14ac:dyDescent="0.35">
      <c r="S349">
        <f t="shared" ca="1" si="20"/>
        <v>-5.6118669255192048E-3</v>
      </c>
      <c r="T349">
        <f t="shared" ca="1" si="21"/>
        <v>6.4682491004748781E-3</v>
      </c>
      <c r="U349">
        <f t="shared" ca="1" si="22"/>
        <v>4.9551834496319083E-3</v>
      </c>
      <c r="V349">
        <f t="shared" ca="1" si="23"/>
        <v>-2.667491201562833E-3</v>
      </c>
    </row>
    <row r="350" spans="19:22" x14ac:dyDescent="0.35">
      <c r="S350">
        <f t="shared" ca="1" si="20"/>
        <v>6.2541067572034394E-3</v>
      </c>
      <c r="T350">
        <f t="shared" ca="1" si="21"/>
        <v>-1.0112157459467001E-2</v>
      </c>
      <c r="U350">
        <f t="shared" ca="1" si="22"/>
        <v>3.2451024492625109E-2</v>
      </c>
      <c r="V350">
        <f t="shared" ca="1" si="23"/>
        <v>4.2906998006404344E-3</v>
      </c>
    </row>
    <row r="351" spans="19:22" x14ac:dyDescent="0.35">
      <c r="S351">
        <f t="shared" ca="1" si="20"/>
        <v>-4.331081467620965E-3</v>
      </c>
      <c r="T351">
        <f t="shared" ca="1" si="21"/>
        <v>-7.9316568835539822E-3</v>
      </c>
      <c r="U351">
        <f t="shared" ca="1" si="22"/>
        <v>2.3420133701562294E-2</v>
      </c>
      <c r="V351">
        <f t="shared" ca="1" si="23"/>
        <v>-3.6636357923484058E-3</v>
      </c>
    </row>
    <row r="352" spans="19:22" x14ac:dyDescent="0.35">
      <c r="S352">
        <f t="shared" ca="1" si="20"/>
        <v>2.1627713061738524E-2</v>
      </c>
      <c r="T352">
        <f t="shared" ca="1" si="21"/>
        <v>-1.4958175793081233E-2</v>
      </c>
      <c r="U352">
        <f t="shared" ca="1" si="22"/>
        <v>-1.280860663643398E-2</v>
      </c>
      <c r="V352">
        <f t="shared" ca="1" si="23"/>
        <v>1.2588719305865947E-2</v>
      </c>
    </row>
    <row r="353" spans="19:22" x14ac:dyDescent="0.35">
      <c r="S353">
        <f t="shared" ca="1" si="20"/>
        <v>-6.9082824074923445E-4</v>
      </c>
      <c r="T353">
        <f t="shared" ca="1" si="21"/>
        <v>1.3219528445794371E-2</v>
      </c>
      <c r="U353">
        <f t="shared" ca="1" si="22"/>
        <v>2.1183729297293702E-2</v>
      </c>
      <c r="V353">
        <f t="shared" ca="1" si="23"/>
        <v>3.1849709734616334E-3</v>
      </c>
    </row>
    <row r="354" spans="19:22" x14ac:dyDescent="0.35">
      <c r="S354">
        <f t="shared" ca="1" si="20"/>
        <v>4.7613003010114879E-3</v>
      </c>
      <c r="T354">
        <f t="shared" ca="1" si="21"/>
        <v>1.7287403120585527E-2</v>
      </c>
      <c r="U354">
        <f t="shared" ca="1" si="22"/>
        <v>1.17587481876792E-2</v>
      </c>
      <c r="V354">
        <f t="shared" ca="1" si="23"/>
        <v>7.6163932592596814E-3</v>
      </c>
    </row>
    <row r="355" spans="19:22" x14ac:dyDescent="0.35">
      <c r="S355">
        <f t="shared" ca="1" si="20"/>
        <v>-1.9915783024667545E-2</v>
      </c>
      <c r="T355">
        <f t="shared" ca="1" si="21"/>
        <v>7.4807494310915965E-3</v>
      </c>
      <c r="U355">
        <f t="shared" ca="1" si="22"/>
        <v>-1.5392353894104547E-2</v>
      </c>
      <c r="V355">
        <f t="shared" ca="1" si="23"/>
        <v>-1.4210305076987567E-2</v>
      </c>
    </row>
    <row r="356" spans="19:22" x14ac:dyDescent="0.35">
      <c r="S356">
        <f t="shared" ca="1" si="20"/>
        <v>-2.1917147623170954E-2</v>
      </c>
      <c r="T356">
        <f t="shared" ca="1" si="21"/>
        <v>2.1075890973274832E-2</v>
      </c>
      <c r="U356">
        <f t="shared" ca="1" si="22"/>
        <v>6.7663616267797846E-3</v>
      </c>
      <c r="V356">
        <f t="shared" ca="1" si="23"/>
        <v>-1.1884364441384259E-2</v>
      </c>
    </row>
    <row r="357" spans="19:22" x14ac:dyDescent="0.35">
      <c r="S357">
        <f t="shared" ca="1" si="20"/>
        <v>4.2087820953709059E-3</v>
      </c>
      <c r="T357">
        <f t="shared" ca="1" si="21"/>
        <v>1.1486347291581617E-2</v>
      </c>
      <c r="U357">
        <f t="shared" ca="1" si="22"/>
        <v>-3.4431575351482446E-2</v>
      </c>
      <c r="V357">
        <f t="shared" ca="1" si="23"/>
        <v>3.7322772622703803E-3</v>
      </c>
    </row>
    <row r="358" spans="19:22" x14ac:dyDescent="0.35">
      <c r="S358">
        <f t="shared" ca="1" si="20"/>
        <v>-1.7851395323883797E-2</v>
      </c>
      <c r="T358">
        <f t="shared" ca="1" si="21"/>
        <v>-1.3587593524994645E-2</v>
      </c>
      <c r="U358">
        <f t="shared" ca="1" si="22"/>
        <v>-3.2871500935996445E-3</v>
      </c>
      <c r="V358">
        <f t="shared" ca="1" si="23"/>
        <v>-1.6270422702591759E-2</v>
      </c>
    </row>
    <row r="359" spans="19:22" x14ac:dyDescent="0.35">
      <c r="S359">
        <f t="shared" ca="1" si="20"/>
        <v>-2.1901276732739918E-2</v>
      </c>
      <c r="T359">
        <f t="shared" ca="1" si="21"/>
        <v>2.5631261088553091E-2</v>
      </c>
      <c r="U359">
        <f t="shared" ca="1" si="22"/>
        <v>-2.541190943371106E-2</v>
      </c>
      <c r="V359">
        <f t="shared" ca="1" si="23"/>
        <v>-1.2570300803529872E-2</v>
      </c>
    </row>
    <row r="360" spans="19:22" x14ac:dyDescent="0.35">
      <c r="S360">
        <f t="shared" ca="1" si="20"/>
        <v>1.8693190538448982E-2</v>
      </c>
      <c r="T360">
        <f t="shared" ca="1" si="21"/>
        <v>-3.4222055303191806E-2</v>
      </c>
      <c r="U360">
        <f t="shared" ca="1" si="22"/>
        <v>1.3247348080158126E-2</v>
      </c>
      <c r="V360">
        <f t="shared" ca="1" si="23"/>
        <v>7.8378492472062824E-3</v>
      </c>
    </row>
    <row r="361" spans="19:22" x14ac:dyDescent="0.35">
      <c r="S361">
        <f t="shared" ca="1" si="20"/>
        <v>-9.0717852690131891E-3</v>
      </c>
      <c r="T361">
        <f t="shared" ca="1" si="21"/>
        <v>3.3062414896318421E-2</v>
      </c>
      <c r="U361">
        <f t="shared" ca="1" si="22"/>
        <v>-6.6665659149560255E-2</v>
      </c>
      <c r="V361">
        <f t="shared" ca="1" si="23"/>
        <v>-3.5246389299742205E-3</v>
      </c>
    </row>
    <row r="362" spans="19:22" x14ac:dyDescent="0.35">
      <c r="S362">
        <f t="shared" ca="1" si="20"/>
        <v>-1.0896795755922666E-3</v>
      </c>
      <c r="T362">
        <f t="shared" ca="1" si="21"/>
        <v>-2.1905762826471133E-2</v>
      </c>
      <c r="U362">
        <f t="shared" ca="1" si="22"/>
        <v>-1.6704505098522757E-2</v>
      </c>
      <c r="V362">
        <f t="shared" ca="1" si="23"/>
        <v>-6.0336375019145643E-3</v>
      </c>
    </row>
    <row r="363" spans="19:22" x14ac:dyDescent="0.35">
      <c r="S363">
        <f t="shared" ca="1" si="20"/>
        <v>-1.2460467533484123E-2</v>
      </c>
      <c r="T363">
        <f t="shared" ca="1" si="21"/>
        <v>3.0506433908302549E-3</v>
      </c>
      <c r="U363">
        <f t="shared" ca="1" si="22"/>
        <v>1.7353910481743007E-2</v>
      </c>
      <c r="V363">
        <f t="shared" ca="1" si="23"/>
        <v>-7.8675264478598912E-3</v>
      </c>
    </row>
    <row r="364" spans="19:22" x14ac:dyDescent="0.35">
      <c r="S364">
        <f t="shared" ca="1" si="20"/>
        <v>9.6461618490522993E-3</v>
      </c>
      <c r="T364">
        <f t="shared" ca="1" si="21"/>
        <v>1.4065263830492079E-2</v>
      </c>
      <c r="U364">
        <f t="shared" ca="1" si="22"/>
        <v>3.3778831902290755E-3</v>
      </c>
      <c r="V364">
        <f t="shared" ca="1" si="23"/>
        <v>1.0216568312399093E-2</v>
      </c>
    </row>
    <row r="365" spans="19:22" x14ac:dyDescent="0.35">
      <c r="S365">
        <f t="shared" ca="1" si="20"/>
        <v>1.4810852968604628E-2</v>
      </c>
      <c r="T365">
        <f t="shared" ca="1" si="21"/>
        <v>-5.3012534923298466E-2</v>
      </c>
      <c r="U365">
        <f t="shared" ca="1" si="22"/>
        <v>-1.6503301509045099E-2</v>
      </c>
      <c r="V365">
        <f t="shared" ca="1" si="23"/>
        <v>-3.1953233365847691E-4</v>
      </c>
    </row>
    <row r="366" spans="19:22" x14ac:dyDescent="0.35">
      <c r="S366">
        <f t="shared" ca="1" si="20"/>
        <v>6.9262458138301015E-3</v>
      </c>
      <c r="T366">
        <f t="shared" ca="1" si="21"/>
        <v>6.8817971744035361E-3</v>
      </c>
      <c r="U366">
        <f t="shared" ca="1" si="22"/>
        <v>-9.3851429007840003E-3</v>
      </c>
      <c r="V366">
        <f t="shared" ca="1" si="23"/>
        <v>6.1017866502140836E-3</v>
      </c>
    </row>
    <row r="367" spans="19:22" x14ac:dyDescent="0.35">
      <c r="S367">
        <f t="shared" ca="1" si="20"/>
        <v>-2.9913297842579932E-3</v>
      </c>
      <c r="T367">
        <f t="shared" ca="1" si="21"/>
        <v>-3.0234769565964503E-2</v>
      </c>
      <c r="U367">
        <f t="shared" ca="1" si="22"/>
        <v>-1.0154842833962887E-2</v>
      </c>
      <c r="V367">
        <f t="shared" ca="1" si="23"/>
        <v>-8.7981933930845399E-3</v>
      </c>
    </row>
    <row r="368" spans="19:22" x14ac:dyDescent="0.35">
      <c r="S368">
        <f t="shared" ca="1" si="20"/>
        <v>2.3613085740429234E-2</v>
      </c>
      <c r="T368">
        <f t="shared" ca="1" si="21"/>
        <v>5.6490022324471945E-3</v>
      </c>
      <c r="U368">
        <f t="shared" ca="1" si="22"/>
        <v>4.6162932982758099E-3</v>
      </c>
      <c r="V368">
        <f t="shared" ca="1" si="23"/>
        <v>1.9070429416725154E-2</v>
      </c>
    </row>
    <row r="369" spans="19:22" x14ac:dyDescent="0.35">
      <c r="S369">
        <f t="shared" ca="1" si="20"/>
        <v>1.3733065471263415E-2</v>
      </c>
      <c r="T369">
        <f t="shared" ca="1" si="21"/>
        <v>9.9062959748376887E-3</v>
      </c>
      <c r="U369">
        <f t="shared" ca="1" si="22"/>
        <v>1.9769234723212157E-2</v>
      </c>
      <c r="V369">
        <f t="shared" ca="1" si="23"/>
        <v>1.3269520034575707E-2</v>
      </c>
    </row>
    <row r="370" spans="19:22" x14ac:dyDescent="0.35">
      <c r="S370">
        <f t="shared" ca="1" si="20"/>
        <v>-1.9000082025037151E-2</v>
      </c>
      <c r="T370">
        <f t="shared" ca="1" si="21"/>
        <v>4.5800813907442952E-3</v>
      </c>
      <c r="U370">
        <f t="shared" ca="1" si="22"/>
        <v>1.7180549717822877E-2</v>
      </c>
      <c r="V370">
        <f t="shared" ca="1" si="23"/>
        <v>-1.247501775473786E-2</v>
      </c>
    </row>
    <row r="371" spans="19:22" x14ac:dyDescent="0.35">
      <c r="S371">
        <f t="shared" ca="1" si="20"/>
        <v>-8.0594621473001667E-3</v>
      </c>
      <c r="T371">
        <f t="shared" ca="1" si="21"/>
        <v>-1.6998579317698555E-2</v>
      </c>
      <c r="U371">
        <f t="shared" ca="1" si="22"/>
        <v>7.4852192702884015E-3</v>
      </c>
      <c r="V371">
        <f t="shared" ca="1" si="23"/>
        <v>-9.0700515105004154E-3</v>
      </c>
    </row>
    <row r="372" spans="19:22" x14ac:dyDescent="0.35">
      <c r="S372">
        <f t="shared" ca="1" si="20"/>
        <v>-1.0249490595505241E-2</v>
      </c>
      <c r="T372">
        <f t="shared" ca="1" si="21"/>
        <v>-7.4852185859546677E-3</v>
      </c>
      <c r="U372">
        <f t="shared" ca="1" si="22"/>
        <v>-1.9980093117419027E-2</v>
      </c>
      <c r="V372">
        <f t="shared" ca="1" si="23"/>
        <v>-1.0183166319690814E-2</v>
      </c>
    </row>
    <row r="373" spans="19:22" x14ac:dyDescent="0.35">
      <c r="S373">
        <f t="shared" ca="1" si="20"/>
        <v>1.29764183268548E-2</v>
      </c>
      <c r="T373">
        <f t="shared" ca="1" si="21"/>
        <v>-3.9181313246178413E-2</v>
      </c>
      <c r="U373">
        <f t="shared" ca="1" si="22"/>
        <v>-6.2135195216097847E-3</v>
      </c>
      <c r="V373">
        <f t="shared" ca="1" si="23"/>
        <v>1.585375119824929E-3</v>
      </c>
    </row>
    <row r="374" spans="19:22" x14ac:dyDescent="0.35">
      <c r="S374">
        <f t="shared" ca="1" si="20"/>
        <v>-8.4893897929603536E-3</v>
      </c>
      <c r="T374">
        <f t="shared" ca="1" si="21"/>
        <v>1.5884981007399723E-2</v>
      </c>
      <c r="U374">
        <f t="shared" ca="1" si="22"/>
        <v>-2.6233925516492222E-2</v>
      </c>
      <c r="V374">
        <f t="shared" ca="1" si="23"/>
        <v>-4.5017424190649316E-3</v>
      </c>
    </row>
    <row r="375" spans="19:22" x14ac:dyDescent="0.35">
      <c r="S375">
        <f t="shared" ca="1" si="20"/>
        <v>1.3884296161323985E-2</v>
      </c>
      <c r="T375">
        <f t="shared" ca="1" si="21"/>
        <v>-1.4523336592142487E-2</v>
      </c>
      <c r="U375">
        <f t="shared" ca="1" si="22"/>
        <v>6.2109824213474659E-3</v>
      </c>
      <c r="V375">
        <f t="shared" ca="1" si="23"/>
        <v>7.8191039236318628E-3</v>
      </c>
    </row>
    <row r="376" spans="19:22" x14ac:dyDescent="0.35">
      <c r="S376">
        <f t="shared" ca="1" si="20"/>
        <v>-9.896547179843361E-3</v>
      </c>
      <c r="T376">
        <f t="shared" ca="1" si="21"/>
        <v>-9.1856425546361954E-3</v>
      </c>
      <c r="U376">
        <f t="shared" ca="1" si="22"/>
        <v>1.9086830632778436E-2</v>
      </c>
      <c r="V376">
        <f t="shared" ca="1" si="23"/>
        <v>-8.3051973641708396E-3</v>
      </c>
    </row>
    <row r="377" spans="19:22" x14ac:dyDescent="0.35">
      <c r="S377">
        <f t="shared" ca="1" si="20"/>
        <v>-6.2151441427319605E-3</v>
      </c>
      <c r="T377">
        <f t="shared" ca="1" si="21"/>
        <v>6.0048408005335344E-3</v>
      </c>
      <c r="U377">
        <f t="shared" ca="1" si="22"/>
        <v>1.1093320992720691E-2</v>
      </c>
      <c r="V377">
        <f t="shared" ca="1" si="23"/>
        <v>-2.9057238973062291E-3</v>
      </c>
    </row>
    <row r="378" spans="19:22" x14ac:dyDescent="0.35">
      <c r="S378">
        <f t="shared" ca="1" si="20"/>
        <v>2.229190496781607E-3</v>
      </c>
      <c r="T378">
        <f t="shared" ca="1" si="21"/>
        <v>-4.2369320007799749E-2</v>
      </c>
      <c r="U378">
        <f t="shared" ca="1" si="22"/>
        <v>-7.0216684370833313E-3</v>
      </c>
      <c r="V378">
        <f t="shared" ca="1" si="23"/>
        <v>-7.1530545508279109E-3</v>
      </c>
    </row>
    <row r="379" spans="19:22" x14ac:dyDescent="0.35">
      <c r="S379">
        <f t="shared" ca="1" si="20"/>
        <v>7.1431422921319956E-3</v>
      </c>
      <c r="T379">
        <f t="shared" ca="1" si="21"/>
        <v>-1.6438953211838043E-2</v>
      </c>
      <c r="U379">
        <f t="shared" ca="1" si="22"/>
        <v>2.4384299587117257E-3</v>
      </c>
      <c r="V379">
        <f t="shared" ca="1" si="23"/>
        <v>2.1914875746669735E-3</v>
      </c>
    </row>
    <row r="380" spans="19:22" x14ac:dyDescent="0.35">
      <c r="S380">
        <f t="shared" ca="1" si="20"/>
        <v>1.8655412927103061E-2</v>
      </c>
      <c r="T380">
        <f t="shared" ca="1" si="21"/>
        <v>-1.7813655120657603E-2</v>
      </c>
      <c r="U380">
        <f t="shared" ca="1" si="22"/>
        <v>1.336683139779854E-2</v>
      </c>
      <c r="V380">
        <f t="shared" ca="1" si="23"/>
        <v>1.1097170241085702E-2</v>
      </c>
    </row>
    <row r="381" spans="19:22" x14ac:dyDescent="0.35">
      <c r="S381">
        <f t="shared" ca="1" si="20"/>
        <v>-1.7350495162773597E-2</v>
      </c>
      <c r="T381">
        <f t="shared" ca="1" si="21"/>
        <v>1.2942514528302199E-2</v>
      </c>
      <c r="U381">
        <f t="shared" ca="1" si="22"/>
        <v>-1.8514164172737536E-2</v>
      </c>
      <c r="V381">
        <f t="shared" ca="1" si="23"/>
        <v>-1.1350076675056636E-2</v>
      </c>
    </row>
    <row r="382" spans="19:22" x14ac:dyDescent="0.35">
      <c r="S382">
        <f t="shared" ca="1" si="20"/>
        <v>-3.4090935320867663E-4</v>
      </c>
      <c r="T382">
        <f t="shared" ca="1" si="21"/>
        <v>-2.8808387757592611E-2</v>
      </c>
      <c r="U382">
        <f t="shared" ca="1" si="22"/>
        <v>2.6438451971777004E-2</v>
      </c>
      <c r="V382">
        <f t="shared" ca="1" si="23"/>
        <v>-4.69543696783618E-3</v>
      </c>
    </row>
    <row r="383" spans="19:22" x14ac:dyDescent="0.35">
      <c r="S383">
        <f t="shared" ca="1" si="20"/>
        <v>4.8336470331727743E-4</v>
      </c>
      <c r="T383">
        <f t="shared" ca="1" si="21"/>
        <v>6.0447006267221005E-4</v>
      </c>
      <c r="U383">
        <f t="shared" ca="1" si="22"/>
        <v>-1.96280196890661E-3</v>
      </c>
      <c r="V383">
        <f t="shared" ca="1" si="23"/>
        <v>3.8527744157706956E-4</v>
      </c>
    </row>
    <row r="384" spans="19:22" x14ac:dyDescent="0.35">
      <c r="S384">
        <f t="shared" ca="1" si="20"/>
        <v>2.150777882017231E-2</v>
      </c>
      <c r="T384">
        <f t="shared" ca="1" si="21"/>
        <v>-1.675288209800925E-2</v>
      </c>
      <c r="U384">
        <f t="shared" ca="1" si="22"/>
        <v>-3.9116538155291088E-3</v>
      </c>
      <c r="V384">
        <f t="shared" ca="1" si="23"/>
        <v>1.2584675004750927E-2</v>
      </c>
    </row>
    <row r="385" spans="19:22" x14ac:dyDescent="0.35">
      <c r="S385">
        <f t="shared" ca="1" si="20"/>
        <v>-1.3896102370276994E-4</v>
      </c>
      <c r="T385">
        <f t="shared" ca="1" si="21"/>
        <v>-1.9218798238566495E-2</v>
      </c>
      <c r="U385">
        <f t="shared" ca="1" si="22"/>
        <v>-2.8522606759692551E-2</v>
      </c>
      <c r="V385">
        <f t="shared" ca="1" si="23"/>
        <v>-5.3741107534750043E-3</v>
      </c>
    </row>
    <row r="386" spans="19:22" x14ac:dyDescent="0.35">
      <c r="S386">
        <f t="shared" ca="1" si="20"/>
        <v>1.2230004791461422E-2</v>
      </c>
      <c r="T386">
        <f t="shared" ca="1" si="21"/>
        <v>2.8815281525729722E-2</v>
      </c>
      <c r="U386">
        <f t="shared" ca="1" si="22"/>
        <v>4.9724227690917822E-3</v>
      </c>
      <c r="V386">
        <f t="shared" ca="1" si="23"/>
        <v>1.5184181037196601E-2</v>
      </c>
    </row>
    <row r="387" spans="19:22" x14ac:dyDescent="0.35">
      <c r="S387">
        <f t="shared" ca="1" si="20"/>
        <v>-1.1944191617223621E-2</v>
      </c>
      <c r="T387">
        <f t="shared" ca="1" si="21"/>
        <v>7.5044325690935337E-3</v>
      </c>
      <c r="U387">
        <f t="shared" ca="1" si="22"/>
        <v>7.6865445796327572E-4</v>
      </c>
      <c r="V387">
        <f t="shared" ca="1" si="23"/>
        <v>-7.4188244762008453E-3</v>
      </c>
    </row>
    <row r="388" spans="19:22" x14ac:dyDescent="0.35">
      <c r="S388">
        <f t="shared" ref="S388:S451" ca="1" si="24">_xlfn.NORM.INV(RAND(),$L$3,$M$3)</f>
        <v>2.838651338027486E-3</v>
      </c>
      <c r="T388">
        <f t="shared" ref="T388:T451" ca="1" si="25">_xlfn.NORM.INV(RAND(),$N$3,$O$3)</f>
        <v>-7.6035588187649888E-3</v>
      </c>
      <c r="U388">
        <f t="shared" ref="U388:U451" ca="1" si="26">_xlfn.NORM.INV(RAND(),$P$3,$Q$3)</f>
        <v>-6.0520180625626722E-3</v>
      </c>
      <c r="V388">
        <f t="shared" ref="V388:V451" ca="1" si="27">(0.75*S388)+(0.2*T388)+(0.05*U388)</f>
        <v>3.0567583663948316E-4</v>
      </c>
    </row>
    <row r="389" spans="19:22" x14ac:dyDescent="0.35">
      <c r="S389">
        <f t="shared" ca="1" si="24"/>
        <v>3.3940374372237844E-5</v>
      </c>
      <c r="T389">
        <f t="shared" ca="1" si="25"/>
        <v>-2.620155863352568E-2</v>
      </c>
      <c r="U389">
        <f t="shared" ca="1" si="26"/>
        <v>1.39031905572196E-2</v>
      </c>
      <c r="V389">
        <f t="shared" ca="1" si="27"/>
        <v>-4.5196969180649783E-3</v>
      </c>
    </row>
    <row r="390" spans="19:22" x14ac:dyDescent="0.35">
      <c r="S390">
        <f t="shared" ca="1" si="24"/>
        <v>-2.5523541803545133E-2</v>
      </c>
      <c r="T390">
        <f t="shared" ca="1" si="25"/>
        <v>-9.3441141649788662E-3</v>
      </c>
      <c r="U390">
        <f t="shared" ca="1" si="26"/>
        <v>-2.6617420325355929E-2</v>
      </c>
      <c r="V390">
        <f t="shared" ca="1" si="27"/>
        <v>-2.234235020192242E-2</v>
      </c>
    </row>
    <row r="391" spans="19:22" x14ac:dyDescent="0.35">
      <c r="S391">
        <f t="shared" ca="1" si="24"/>
        <v>3.6185705991997985E-3</v>
      </c>
      <c r="T391">
        <f t="shared" ca="1" si="25"/>
        <v>1.5561674744992244E-2</v>
      </c>
      <c r="U391">
        <f t="shared" ca="1" si="26"/>
        <v>-5.8186013248660599E-3</v>
      </c>
      <c r="V391">
        <f t="shared" ca="1" si="27"/>
        <v>5.5353328321549938E-3</v>
      </c>
    </row>
    <row r="392" spans="19:22" x14ac:dyDescent="0.35">
      <c r="S392">
        <f t="shared" ca="1" si="24"/>
        <v>7.1783568861515032E-3</v>
      </c>
      <c r="T392">
        <f t="shared" ca="1" si="25"/>
        <v>-4.3055032981626169E-2</v>
      </c>
      <c r="U392">
        <f t="shared" ca="1" si="26"/>
        <v>1.0226373817356232E-2</v>
      </c>
      <c r="V392">
        <f t="shared" ca="1" si="27"/>
        <v>-2.715920240843796E-3</v>
      </c>
    </row>
    <row r="393" spans="19:22" x14ac:dyDescent="0.35">
      <c r="S393">
        <f t="shared" ca="1" si="24"/>
        <v>8.8902836168982761E-3</v>
      </c>
      <c r="T393">
        <f t="shared" ca="1" si="25"/>
        <v>-8.7663246852721626E-3</v>
      </c>
      <c r="U393">
        <f t="shared" ca="1" si="26"/>
        <v>4.0999422851186768E-2</v>
      </c>
      <c r="V393">
        <f t="shared" ca="1" si="27"/>
        <v>6.964418918178613E-3</v>
      </c>
    </row>
    <row r="394" spans="19:22" x14ac:dyDescent="0.35">
      <c r="S394">
        <f t="shared" ca="1" si="24"/>
        <v>-1.6999390560435954E-2</v>
      </c>
      <c r="T394">
        <f t="shared" ca="1" si="25"/>
        <v>-2.8668666009194241E-2</v>
      </c>
      <c r="U394">
        <f t="shared" ca="1" si="26"/>
        <v>4.5279353542495909E-3</v>
      </c>
      <c r="V394">
        <f t="shared" ca="1" si="27"/>
        <v>-1.8256879354453335E-2</v>
      </c>
    </row>
    <row r="395" spans="19:22" x14ac:dyDescent="0.35">
      <c r="S395">
        <f t="shared" ca="1" si="24"/>
        <v>-7.9059715527883909E-3</v>
      </c>
      <c r="T395">
        <f t="shared" ca="1" si="25"/>
        <v>4.7881844363630341E-2</v>
      </c>
      <c r="U395">
        <f t="shared" ca="1" si="26"/>
        <v>-6.8214559812794498E-3</v>
      </c>
      <c r="V395">
        <f t="shared" ca="1" si="27"/>
        <v>3.3058174090708024E-3</v>
      </c>
    </row>
    <row r="396" spans="19:22" x14ac:dyDescent="0.35">
      <c r="S396">
        <f t="shared" ca="1" si="24"/>
        <v>-8.9882116861860085E-3</v>
      </c>
      <c r="T396">
        <f t="shared" ca="1" si="25"/>
        <v>-4.1039759610647106E-3</v>
      </c>
      <c r="U396">
        <f t="shared" ca="1" si="26"/>
        <v>-7.5690888439862453E-3</v>
      </c>
      <c r="V396">
        <f t="shared" ca="1" si="27"/>
        <v>-7.9404083990517616E-3</v>
      </c>
    </row>
    <row r="397" spans="19:22" x14ac:dyDescent="0.35">
      <c r="S397">
        <f t="shared" ca="1" si="24"/>
        <v>2.0019838071723344E-2</v>
      </c>
      <c r="T397">
        <f t="shared" ca="1" si="25"/>
        <v>1.4826206124763076E-2</v>
      </c>
      <c r="U397">
        <f t="shared" ca="1" si="26"/>
        <v>-2.5477526222642176E-2</v>
      </c>
      <c r="V397">
        <f t="shared" ca="1" si="27"/>
        <v>1.6706243467613013E-2</v>
      </c>
    </row>
    <row r="398" spans="19:22" x14ac:dyDescent="0.35">
      <c r="S398">
        <f t="shared" ca="1" si="24"/>
        <v>-1.0477698285987031E-2</v>
      </c>
      <c r="T398">
        <f t="shared" ca="1" si="25"/>
        <v>1.2288315805829649E-2</v>
      </c>
      <c r="U398">
        <f t="shared" ca="1" si="26"/>
        <v>1.9248237749085444E-2</v>
      </c>
      <c r="V398">
        <f t="shared" ca="1" si="27"/>
        <v>-4.4381986658700709E-3</v>
      </c>
    </row>
    <row r="399" spans="19:22" x14ac:dyDescent="0.35">
      <c r="S399">
        <f t="shared" ca="1" si="24"/>
        <v>1.1221568124704267E-2</v>
      </c>
      <c r="T399">
        <f t="shared" ca="1" si="25"/>
        <v>-6.0023914893728419E-3</v>
      </c>
      <c r="U399">
        <f t="shared" ca="1" si="26"/>
        <v>2.6045186923595405E-3</v>
      </c>
      <c r="V399">
        <f t="shared" ca="1" si="27"/>
        <v>7.3459237302716087E-3</v>
      </c>
    </row>
    <row r="400" spans="19:22" x14ac:dyDescent="0.35">
      <c r="S400">
        <f t="shared" ca="1" si="24"/>
        <v>3.8976216728738439E-2</v>
      </c>
      <c r="T400">
        <f t="shared" ca="1" si="25"/>
        <v>-1.7086678484881664E-2</v>
      </c>
      <c r="U400">
        <f t="shared" ca="1" si="26"/>
        <v>-5.4085993510832465E-2</v>
      </c>
      <c r="V400">
        <f t="shared" ca="1" si="27"/>
        <v>2.3110527174035875E-2</v>
      </c>
    </row>
    <row r="401" spans="19:22" x14ac:dyDescent="0.35">
      <c r="S401">
        <f t="shared" ca="1" si="24"/>
        <v>1.8801770937380783E-2</v>
      </c>
      <c r="T401">
        <f t="shared" ca="1" si="25"/>
        <v>3.2967518182387169E-3</v>
      </c>
      <c r="U401">
        <f t="shared" ca="1" si="26"/>
        <v>-1.3123885827782263E-2</v>
      </c>
      <c r="V401">
        <f t="shared" ca="1" si="27"/>
        <v>1.4104484275294218E-2</v>
      </c>
    </row>
    <row r="402" spans="19:22" x14ac:dyDescent="0.35">
      <c r="S402">
        <f t="shared" ca="1" si="24"/>
        <v>-9.8806710197873251E-3</v>
      </c>
      <c r="T402">
        <f t="shared" ca="1" si="25"/>
        <v>-5.7795450326409885E-3</v>
      </c>
      <c r="U402">
        <f t="shared" ca="1" si="26"/>
        <v>-1.979572714818665E-3</v>
      </c>
      <c r="V402">
        <f t="shared" ca="1" si="27"/>
        <v>-8.6653909071096255E-3</v>
      </c>
    </row>
    <row r="403" spans="19:22" x14ac:dyDescent="0.35">
      <c r="S403">
        <f t="shared" ca="1" si="24"/>
        <v>-1.9338849617816616E-2</v>
      </c>
      <c r="T403">
        <f t="shared" ca="1" si="25"/>
        <v>-4.5403732228766445E-3</v>
      </c>
      <c r="U403">
        <f t="shared" ca="1" si="26"/>
        <v>1.0079809793188308E-3</v>
      </c>
      <c r="V403">
        <f t="shared" ca="1" si="27"/>
        <v>-1.5361812808971849E-2</v>
      </c>
    </row>
    <row r="404" spans="19:22" x14ac:dyDescent="0.35">
      <c r="S404">
        <f t="shared" ca="1" si="24"/>
        <v>-2.4947913098536992E-3</v>
      </c>
      <c r="T404">
        <f t="shared" ca="1" si="25"/>
        <v>2.7650822580209025E-2</v>
      </c>
      <c r="U404">
        <f t="shared" ca="1" si="26"/>
        <v>1.2867043329295884E-2</v>
      </c>
      <c r="V404">
        <f t="shared" ca="1" si="27"/>
        <v>4.3024232001163251E-3</v>
      </c>
    </row>
    <row r="405" spans="19:22" x14ac:dyDescent="0.35">
      <c r="S405">
        <f t="shared" ca="1" si="24"/>
        <v>2.0163248923052171E-2</v>
      </c>
      <c r="T405">
        <f t="shared" ca="1" si="25"/>
        <v>3.5799101605078716E-2</v>
      </c>
      <c r="U405">
        <f t="shared" ca="1" si="26"/>
        <v>4.5326931260360359E-2</v>
      </c>
      <c r="V405">
        <f t="shared" ca="1" si="27"/>
        <v>2.4548603576322887E-2</v>
      </c>
    </row>
    <row r="406" spans="19:22" x14ac:dyDescent="0.35">
      <c r="S406">
        <f t="shared" ca="1" si="24"/>
        <v>1.8631619258444337E-2</v>
      </c>
      <c r="T406">
        <f t="shared" ca="1" si="25"/>
        <v>-9.2440620689220945E-3</v>
      </c>
      <c r="U406">
        <f t="shared" ca="1" si="26"/>
        <v>1.39501241195195E-2</v>
      </c>
      <c r="V406">
        <f t="shared" ca="1" si="27"/>
        <v>1.2822408236024809E-2</v>
      </c>
    </row>
    <row r="407" spans="19:22" x14ac:dyDescent="0.35">
      <c r="S407">
        <f t="shared" ca="1" si="24"/>
        <v>-8.8685925788039004E-3</v>
      </c>
      <c r="T407">
        <f t="shared" ca="1" si="25"/>
        <v>-1.1718634143192306E-3</v>
      </c>
      <c r="U407">
        <f t="shared" ca="1" si="26"/>
        <v>-1.6026559127575835E-2</v>
      </c>
      <c r="V407">
        <f t="shared" ca="1" si="27"/>
        <v>-7.6871450733455634E-3</v>
      </c>
    </row>
    <row r="408" spans="19:22" x14ac:dyDescent="0.35">
      <c r="S408">
        <f t="shared" ca="1" si="24"/>
        <v>-2.3583240435949343E-3</v>
      </c>
      <c r="T408">
        <f t="shared" ca="1" si="25"/>
        <v>-7.4838048934311461E-3</v>
      </c>
      <c r="U408">
        <f t="shared" ca="1" si="26"/>
        <v>2.3829809102117887E-2</v>
      </c>
      <c r="V408">
        <f t="shared" ca="1" si="27"/>
        <v>-2.0740135562765357E-3</v>
      </c>
    </row>
    <row r="409" spans="19:22" x14ac:dyDescent="0.35">
      <c r="S409">
        <f t="shared" ca="1" si="24"/>
        <v>2.0936829260317119E-2</v>
      </c>
      <c r="T409">
        <f t="shared" ca="1" si="25"/>
        <v>5.343063469693504E-3</v>
      </c>
      <c r="U409">
        <f t="shared" ca="1" si="26"/>
        <v>2.239509764127218E-2</v>
      </c>
      <c r="V409">
        <f t="shared" ca="1" si="27"/>
        <v>1.7890989521240151E-2</v>
      </c>
    </row>
    <row r="410" spans="19:22" x14ac:dyDescent="0.35">
      <c r="S410">
        <f t="shared" ca="1" si="24"/>
        <v>1.4260620455090285E-2</v>
      </c>
      <c r="T410">
        <f t="shared" ca="1" si="25"/>
        <v>-3.0797922269066992E-3</v>
      </c>
      <c r="U410">
        <f t="shared" ca="1" si="26"/>
        <v>-1.2815791299842576E-2</v>
      </c>
      <c r="V410">
        <f t="shared" ca="1" si="27"/>
        <v>9.4387173309442452E-3</v>
      </c>
    </row>
    <row r="411" spans="19:22" x14ac:dyDescent="0.35">
      <c r="S411">
        <f t="shared" ca="1" si="24"/>
        <v>-1.8817105826241451E-2</v>
      </c>
      <c r="T411">
        <f t="shared" ca="1" si="25"/>
        <v>-3.0068779173097037E-3</v>
      </c>
      <c r="U411">
        <f t="shared" ca="1" si="26"/>
        <v>1.8757981179759103E-2</v>
      </c>
      <c r="V411">
        <f t="shared" ca="1" si="27"/>
        <v>-1.3776305894155074E-2</v>
      </c>
    </row>
    <row r="412" spans="19:22" x14ac:dyDescent="0.35">
      <c r="S412">
        <f t="shared" ca="1" si="24"/>
        <v>-2.5068677476463006E-3</v>
      </c>
      <c r="T412">
        <f t="shared" ca="1" si="25"/>
        <v>8.4647692954275596E-3</v>
      </c>
      <c r="U412">
        <f t="shared" ca="1" si="26"/>
        <v>2.3075713970001485E-3</v>
      </c>
      <c r="V412">
        <f t="shared" ca="1" si="27"/>
        <v>-7.1818381799206151E-5</v>
      </c>
    </row>
    <row r="413" spans="19:22" x14ac:dyDescent="0.35">
      <c r="S413">
        <f t="shared" ca="1" si="24"/>
        <v>-2.2539122463422026E-3</v>
      </c>
      <c r="T413">
        <f t="shared" ca="1" si="25"/>
        <v>3.8025136052355121E-2</v>
      </c>
      <c r="U413">
        <f t="shared" ca="1" si="26"/>
        <v>1.6333840969853672E-2</v>
      </c>
      <c r="V413">
        <f t="shared" ca="1" si="27"/>
        <v>6.7312850742070563E-3</v>
      </c>
    </row>
    <row r="414" spans="19:22" x14ac:dyDescent="0.35">
      <c r="S414">
        <f t="shared" ca="1" si="24"/>
        <v>-5.5310528445696484E-3</v>
      </c>
      <c r="T414">
        <f t="shared" ca="1" si="25"/>
        <v>1.5562434563843453E-2</v>
      </c>
      <c r="U414">
        <f t="shared" ca="1" si="26"/>
        <v>-7.2788417934599101E-3</v>
      </c>
      <c r="V414">
        <f t="shared" ca="1" si="27"/>
        <v>-1.3997448103315411E-3</v>
      </c>
    </row>
    <row r="415" spans="19:22" x14ac:dyDescent="0.35">
      <c r="S415">
        <f t="shared" ca="1" si="24"/>
        <v>1.2674195640321228E-2</v>
      </c>
      <c r="T415">
        <f t="shared" ca="1" si="25"/>
        <v>4.8837043067131485E-2</v>
      </c>
      <c r="U415">
        <f t="shared" ca="1" si="26"/>
        <v>-5.0107922591773619E-3</v>
      </c>
      <c r="V415">
        <f t="shared" ca="1" si="27"/>
        <v>1.9022515730708348E-2</v>
      </c>
    </row>
    <row r="416" spans="19:22" x14ac:dyDescent="0.35">
      <c r="S416">
        <f t="shared" ca="1" si="24"/>
        <v>-3.3455624622708111E-2</v>
      </c>
      <c r="T416">
        <f t="shared" ca="1" si="25"/>
        <v>6.6498997280709593E-3</v>
      </c>
      <c r="U416">
        <f t="shared" ca="1" si="26"/>
        <v>-1.0021695771734312E-3</v>
      </c>
      <c r="V416">
        <f t="shared" ca="1" si="27"/>
        <v>-2.3811847000275561E-2</v>
      </c>
    </row>
    <row r="417" spans="19:22" x14ac:dyDescent="0.35">
      <c r="S417">
        <f t="shared" ca="1" si="24"/>
        <v>-9.9136323397766169E-3</v>
      </c>
      <c r="T417">
        <f t="shared" ca="1" si="25"/>
        <v>-2.714212159985006E-2</v>
      </c>
      <c r="U417">
        <f t="shared" ca="1" si="26"/>
        <v>-1.4943601397402965E-3</v>
      </c>
      <c r="V417">
        <f t="shared" ca="1" si="27"/>
        <v>-1.293836658178949E-2</v>
      </c>
    </row>
    <row r="418" spans="19:22" x14ac:dyDescent="0.35">
      <c r="S418">
        <f t="shared" ca="1" si="24"/>
        <v>-3.7917012756844737E-3</v>
      </c>
      <c r="T418">
        <f t="shared" ca="1" si="25"/>
        <v>-1.0648590360988782E-2</v>
      </c>
      <c r="U418">
        <f t="shared" ca="1" si="26"/>
        <v>-5.2481026040093345E-2</v>
      </c>
      <c r="V418">
        <f t="shared" ca="1" si="27"/>
        <v>-7.5975453309657789E-3</v>
      </c>
    </row>
    <row r="419" spans="19:22" x14ac:dyDescent="0.35">
      <c r="S419">
        <f t="shared" ca="1" si="24"/>
        <v>-1.5107519254470105E-2</v>
      </c>
      <c r="T419">
        <f t="shared" ca="1" si="25"/>
        <v>-1.1296802553955801E-4</v>
      </c>
      <c r="U419">
        <f t="shared" ca="1" si="26"/>
        <v>1.8388878328048548E-2</v>
      </c>
      <c r="V419">
        <f t="shared" ca="1" si="27"/>
        <v>-1.0433789129558063E-2</v>
      </c>
    </row>
    <row r="420" spans="19:22" x14ac:dyDescent="0.35">
      <c r="S420">
        <f t="shared" ca="1" si="24"/>
        <v>-8.3847299989404343E-3</v>
      </c>
      <c r="T420">
        <f t="shared" ca="1" si="25"/>
        <v>9.3765519738320206E-3</v>
      </c>
      <c r="U420">
        <f t="shared" ca="1" si="26"/>
        <v>3.319593422860305E-2</v>
      </c>
      <c r="V420">
        <f t="shared" ca="1" si="27"/>
        <v>-2.753440393008769E-3</v>
      </c>
    </row>
    <row r="421" spans="19:22" x14ac:dyDescent="0.35">
      <c r="S421">
        <f t="shared" ca="1" si="24"/>
        <v>-2.5352211052781258E-2</v>
      </c>
      <c r="T421">
        <f t="shared" ca="1" si="25"/>
        <v>-3.7326278804437826E-3</v>
      </c>
      <c r="U421">
        <f t="shared" ca="1" si="26"/>
        <v>2.2187674491399019E-3</v>
      </c>
      <c r="V421">
        <f t="shared" ca="1" si="27"/>
        <v>-1.9649745493217706E-2</v>
      </c>
    </row>
    <row r="422" spans="19:22" x14ac:dyDescent="0.35">
      <c r="S422">
        <f t="shared" ca="1" si="24"/>
        <v>4.3162066844351712E-3</v>
      </c>
      <c r="T422">
        <f t="shared" ca="1" si="25"/>
        <v>-1.5043928392508893E-2</v>
      </c>
      <c r="U422">
        <f t="shared" ca="1" si="26"/>
        <v>-2.4210137070222134E-3</v>
      </c>
      <c r="V422">
        <f t="shared" ca="1" si="27"/>
        <v>1.0731864947348876E-4</v>
      </c>
    </row>
    <row r="423" spans="19:22" x14ac:dyDescent="0.35">
      <c r="S423">
        <f t="shared" ca="1" si="24"/>
        <v>-3.2313482449683071E-3</v>
      </c>
      <c r="T423">
        <f t="shared" ca="1" si="25"/>
        <v>-4.4846908710801235E-2</v>
      </c>
      <c r="U423">
        <f t="shared" ca="1" si="26"/>
        <v>2.5012868409083469E-2</v>
      </c>
      <c r="V423">
        <f t="shared" ca="1" si="27"/>
        <v>-1.0142249505432303E-2</v>
      </c>
    </row>
    <row r="424" spans="19:22" x14ac:dyDescent="0.35">
      <c r="S424">
        <f t="shared" ca="1" si="24"/>
        <v>5.9320795905898182E-3</v>
      </c>
      <c r="T424">
        <f t="shared" ca="1" si="25"/>
        <v>-2.0618671241707621E-2</v>
      </c>
      <c r="U424">
        <f t="shared" ca="1" si="26"/>
        <v>-9.4383454420955758E-4</v>
      </c>
      <c r="V424">
        <f t="shared" ca="1" si="27"/>
        <v>2.7813371739036132E-4</v>
      </c>
    </row>
    <row r="425" spans="19:22" x14ac:dyDescent="0.35">
      <c r="S425">
        <f t="shared" ca="1" si="24"/>
        <v>4.2424231351842158E-3</v>
      </c>
      <c r="T425">
        <f t="shared" ca="1" si="25"/>
        <v>-7.1013574266683734E-3</v>
      </c>
      <c r="U425">
        <f t="shared" ca="1" si="26"/>
        <v>-2.6333692345704714E-2</v>
      </c>
      <c r="V425">
        <f t="shared" ca="1" si="27"/>
        <v>4.4486124876925103E-4</v>
      </c>
    </row>
    <row r="426" spans="19:22" x14ac:dyDescent="0.35">
      <c r="S426">
        <f t="shared" ca="1" si="24"/>
        <v>3.3676548993910538E-2</v>
      </c>
      <c r="T426">
        <f t="shared" ca="1" si="25"/>
        <v>1.5063704887987641E-2</v>
      </c>
      <c r="U426">
        <f t="shared" ca="1" si="26"/>
        <v>1.1858690993976495E-2</v>
      </c>
      <c r="V426">
        <f t="shared" ca="1" si="27"/>
        <v>2.8863087272729255E-2</v>
      </c>
    </row>
    <row r="427" spans="19:22" x14ac:dyDescent="0.35">
      <c r="S427">
        <f t="shared" ca="1" si="24"/>
        <v>-4.9207642528873302E-3</v>
      </c>
      <c r="T427">
        <f t="shared" ca="1" si="25"/>
        <v>-6.6758379661827159E-3</v>
      </c>
      <c r="U427">
        <f t="shared" ca="1" si="26"/>
        <v>3.2069001495406195E-2</v>
      </c>
      <c r="V427">
        <f t="shared" ca="1" si="27"/>
        <v>-3.4222907081317309E-3</v>
      </c>
    </row>
    <row r="428" spans="19:22" x14ac:dyDescent="0.35">
      <c r="S428">
        <f t="shared" ca="1" si="24"/>
        <v>1.1611696840952344E-2</v>
      </c>
      <c r="T428">
        <f t="shared" ca="1" si="25"/>
        <v>-2.1477888835336332E-2</v>
      </c>
      <c r="U428">
        <f t="shared" ca="1" si="26"/>
        <v>-2.3937408197888216E-3</v>
      </c>
      <c r="V428">
        <f t="shared" ca="1" si="27"/>
        <v>4.2935078226575508E-3</v>
      </c>
    </row>
    <row r="429" spans="19:22" x14ac:dyDescent="0.35">
      <c r="S429">
        <f t="shared" ca="1" si="24"/>
        <v>-1.2432479125283748E-2</v>
      </c>
      <c r="T429">
        <f t="shared" ca="1" si="25"/>
        <v>8.3877298855404986E-3</v>
      </c>
      <c r="U429">
        <f t="shared" ca="1" si="26"/>
        <v>3.7025287983937557E-3</v>
      </c>
      <c r="V429">
        <f t="shared" ca="1" si="27"/>
        <v>-7.4616869269350222E-3</v>
      </c>
    </row>
    <row r="430" spans="19:22" x14ac:dyDescent="0.35">
      <c r="S430">
        <f t="shared" ca="1" si="24"/>
        <v>-1.302298298505495E-2</v>
      </c>
      <c r="T430">
        <f t="shared" ca="1" si="25"/>
        <v>-2.6480876756609317E-2</v>
      </c>
      <c r="U430">
        <f t="shared" ca="1" si="26"/>
        <v>-1.3719394398912872E-3</v>
      </c>
      <c r="V430">
        <f t="shared" ca="1" si="27"/>
        <v>-1.513200956210764E-2</v>
      </c>
    </row>
    <row r="431" spans="19:22" x14ac:dyDescent="0.35">
      <c r="S431">
        <f t="shared" ca="1" si="24"/>
        <v>-7.6820755111046603E-3</v>
      </c>
      <c r="T431">
        <f t="shared" ca="1" si="25"/>
        <v>-3.7043842190015386E-2</v>
      </c>
      <c r="U431">
        <f t="shared" ca="1" si="26"/>
        <v>-2.7581335990099636E-2</v>
      </c>
      <c r="V431">
        <f t="shared" ca="1" si="27"/>
        <v>-1.4549391870836554E-2</v>
      </c>
    </row>
    <row r="432" spans="19:22" x14ac:dyDescent="0.35">
      <c r="S432">
        <f t="shared" ca="1" si="24"/>
        <v>5.4150506466499691E-3</v>
      </c>
      <c r="T432">
        <f t="shared" ca="1" si="25"/>
        <v>-1.0942179149842867E-2</v>
      </c>
      <c r="U432">
        <f t="shared" ca="1" si="26"/>
        <v>-2.096770024500412E-2</v>
      </c>
      <c r="V432">
        <f t="shared" ca="1" si="27"/>
        <v>8.2446714276869786E-4</v>
      </c>
    </row>
    <row r="433" spans="19:22" x14ac:dyDescent="0.35">
      <c r="S433">
        <f t="shared" ca="1" si="24"/>
        <v>7.7519370410137605E-3</v>
      </c>
      <c r="T433">
        <f t="shared" ca="1" si="25"/>
        <v>1.6344387224794855E-2</v>
      </c>
      <c r="U433">
        <f t="shared" ca="1" si="26"/>
        <v>-2.5193918308324809E-2</v>
      </c>
      <c r="V433">
        <f t="shared" ca="1" si="27"/>
        <v>7.8231343103030496E-3</v>
      </c>
    </row>
    <row r="434" spans="19:22" x14ac:dyDescent="0.35">
      <c r="S434">
        <f t="shared" ca="1" si="24"/>
        <v>1.3134965932666708E-2</v>
      </c>
      <c r="T434">
        <f t="shared" ca="1" si="25"/>
        <v>-1.3335302014450957E-3</v>
      </c>
      <c r="U434">
        <f t="shared" ca="1" si="26"/>
        <v>-1.6926035712704297E-2</v>
      </c>
      <c r="V434">
        <f t="shared" ca="1" si="27"/>
        <v>8.7382166235757969E-3</v>
      </c>
    </row>
    <row r="435" spans="19:22" x14ac:dyDescent="0.35">
      <c r="S435">
        <f t="shared" ca="1" si="24"/>
        <v>-1.545418214707792E-2</v>
      </c>
      <c r="T435">
        <f t="shared" ca="1" si="25"/>
        <v>1.7503306502049398E-2</v>
      </c>
      <c r="U435">
        <f t="shared" ca="1" si="26"/>
        <v>-3.084110181935371E-3</v>
      </c>
      <c r="V435">
        <f t="shared" ca="1" si="27"/>
        <v>-8.2441808189953301E-3</v>
      </c>
    </row>
    <row r="436" spans="19:22" x14ac:dyDescent="0.35">
      <c r="S436">
        <f t="shared" ca="1" si="24"/>
        <v>-5.4400030657388455E-3</v>
      </c>
      <c r="T436">
        <f t="shared" ca="1" si="25"/>
        <v>-7.2473850982429314E-3</v>
      </c>
      <c r="U436">
        <f t="shared" ca="1" si="26"/>
        <v>1.9771353240788103E-2</v>
      </c>
      <c r="V436">
        <f t="shared" ca="1" si="27"/>
        <v>-4.5409116569133153E-3</v>
      </c>
    </row>
    <row r="437" spans="19:22" x14ac:dyDescent="0.35">
      <c r="S437">
        <f t="shared" ca="1" si="24"/>
        <v>2.2646914511279179E-2</v>
      </c>
      <c r="T437">
        <f t="shared" ca="1" si="25"/>
        <v>3.0153302100277724E-2</v>
      </c>
      <c r="U437">
        <f t="shared" ca="1" si="26"/>
        <v>1.1354121692301936E-2</v>
      </c>
      <c r="V437">
        <f t="shared" ca="1" si="27"/>
        <v>2.3583552388130029E-2</v>
      </c>
    </row>
    <row r="438" spans="19:22" x14ac:dyDescent="0.35">
      <c r="S438">
        <f t="shared" ca="1" si="24"/>
        <v>1.8446272996675447E-2</v>
      </c>
      <c r="T438">
        <f t="shared" ca="1" si="25"/>
        <v>-5.9103105415093827E-3</v>
      </c>
      <c r="U438">
        <f t="shared" ca="1" si="26"/>
        <v>1.3026138685730551E-3</v>
      </c>
      <c r="V438">
        <f t="shared" ca="1" si="27"/>
        <v>1.271777333263336E-2</v>
      </c>
    </row>
    <row r="439" spans="19:22" x14ac:dyDescent="0.35">
      <c r="S439">
        <f t="shared" ca="1" si="24"/>
        <v>1.0251976939478246E-2</v>
      </c>
      <c r="T439">
        <f t="shared" ca="1" si="25"/>
        <v>1.4208232193251949E-2</v>
      </c>
      <c r="U439">
        <f t="shared" ca="1" si="26"/>
        <v>4.2971179262144676E-3</v>
      </c>
      <c r="V439">
        <f t="shared" ca="1" si="27"/>
        <v>1.0745485039569798E-2</v>
      </c>
    </row>
    <row r="440" spans="19:22" x14ac:dyDescent="0.35">
      <c r="S440">
        <f t="shared" ca="1" si="24"/>
        <v>4.312529630663036E-2</v>
      </c>
      <c r="T440">
        <f t="shared" ca="1" si="25"/>
        <v>1.2917630637648845E-2</v>
      </c>
      <c r="U440">
        <f t="shared" ca="1" si="26"/>
        <v>-3.1445345681326946E-2</v>
      </c>
      <c r="V440">
        <f t="shared" ca="1" si="27"/>
        <v>3.3355231073436187E-2</v>
      </c>
    </row>
    <row r="441" spans="19:22" x14ac:dyDescent="0.35">
      <c r="S441">
        <f t="shared" ca="1" si="24"/>
        <v>-3.7210004350016709E-3</v>
      </c>
      <c r="T441">
        <f t="shared" ca="1" si="25"/>
        <v>8.8880556274252586E-4</v>
      </c>
      <c r="U441">
        <f t="shared" ca="1" si="26"/>
        <v>-4.6224238574446427E-3</v>
      </c>
      <c r="V441">
        <f t="shared" ca="1" si="27"/>
        <v>-2.8441104065749802E-3</v>
      </c>
    </row>
    <row r="442" spans="19:22" x14ac:dyDescent="0.35">
      <c r="S442">
        <f t="shared" ca="1" si="24"/>
        <v>-8.9672798763023049E-3</v>
      </c>
      <c r="T442">
        <f t="shared" ca="1" si="25"/>
        <v>6.4721031763866847E-3</v>
      </c>
      <c r="U442">
        <f t="shared" ca="1" si="26"/>
        <v>3.6014859666382488E-3</v>
      </c>
      <c r="V442">
        <f t="shared" ca="1" si="27"/>
        <v>-5.2509649736174795E-3</v>
      </c>
    </row>
    <row r="443" spans="19:22" x14ac:dyDescent="0.35">
      <c r="S443">
        <f t="shared" ca="1" si="24"/>
        <v>3.4130954576727275E-2</v>
      </c>
      <c r="T443">
        <f t="shared" ca="1" si="25"/>
        <v>-1.6818067029125368E-2</v>
      </c>
      <c r="U443">
        <f t="shared" ca="1" si="26"/>
        <v>-4.2621407687011299E-3</v>
      </c>
      <c r="V443">
        <f t="shared" ca="1" si="27"/>
        <v>2.2021495488285327E-2</v>
      </c>
    </row>
    <row r="444" spans="19:22" x14ac:dyDescent="0.35">
      <c r="S444">
        <f t="shared" ca="1" si="24"/>
        <v>-1.2744690197860764E-2</v>
      </c>
      <c r="T444">
        <f t="shared" ca="1" si="25"/>
        <v>-1.3250748610993183E-2</v>
      </c>
      <c r="U444">
        <f t="shared" ca="1" si="26"/>
        <v>1.4439174808919444E-2</v>
      </c>
      <c r="V444">
        <f t="shared" ca="1" si="27"/>
        <v>-1.1486708630148237E-2</v>
      </c>
    </row>
    <row r="445" spans="19:22" x14ac:dyDescent="0.35">
      <c r="S445">
        <f t="shared" ca="1" si="24"/>
        <v>-3.653884513539734E-2</v>
      </c>
      <c r="T445">
        <f t="shared" ca="1" si="25"/>
        <v>1.8853285131216858E-2</v>
      </c>
      <c r="U445">
        <f t="shared" ca="1" si="26"/>
        <v>-2.9181755918513051E-2</v>
      </c>
      <c r="V445">
        <f t="shared" ca="1" si="27"/>
        <v>-2.5092564621230284E-2</v>
      </c>
    </row>
    <row r="446" spans="19:22" x14ac:dyDescent="0.35">
      <c r="S446">
        <f t="shared" ca="1" si="24"/>
        <v>1.4209154392650508E-3</v>
      </c>
      <c r="T446">
        <f t="shared" ca="1" si="25"/>
        <v>-2.2736497707039293E-2</v>
      </c>
      <c r="U446">
        <f t="shared" ca="1" si="26"/>
        <v>-3.754035729226797E-2</v>
      </c>
      <c r="V446">
        <f t="shared" ca="1" si="27"/>
        <v>-5.3586308265724698E-3</v>
      </c>
    </row>
    <row r="447" spans="19:22" x14ac:dyDescent="0.35">
      <c r="S447">
        <f t="shared" ca="1" si="24"/>
        <v>8.3032318452876189E-3</v>
      </c>
      <c r="T447">
        <f t="shared" ca="1" si="25"/>
        <v>-2.2889290275250926E-2</v>
      </c>
      <c r="U447">
        <f t="shared" ca="1" si="26"/>
        <v>-5.3009887383424796E-3</v>
      </c>
      <c r="V447">
        <f t="shared" ca="1" si="27"/>
        <v>1.3845163919984046E-3</v>
      </c>
    </row>
    <row r="448" spans="19:22" x14ac:dyDescent="0.35">
      <c r="S448">
        <f t="shared" ca="1" si="24"/>
        <v>4.3684836645369908E-3</v>
      </c>
      <c r="T448">
        <f t="shared" ca="1" si="25"/>
        <v>-4.1768219505141119E-2</v>
      </c>
      <c r="U448">
        <f t="shared" ca="1" si="26"/>
        <v>-1.4412238922379809E-2</v>
      </c>
      <c r="V448">
        <f t="shared" ca="1" si="27"/>
        <v>-5.7978930987444711E-3</v>
      </c>
    </row>
    <row r="449" spans="19:22" x14ac:dyDescent="0.35">
      <c r="S449">
        <f t="shared" ca="1" si="24"/>
        <v>-4.4745917895933872E-3</v>
      </c>
      <c r="T449">
        <f t="shared" ca="1" si="25"/>
        <v>1.8364395873192E-2</v>
      </c>
      <c r="U449">
        <f t="shared" ca="1" si="26"/>
        <v>5.3614995065720532E-2</v>
      </c>
      <c r="V449">
        <f t="shared" ca="1" si="27"/>
        <v>2.9976850857293866E-3</v>
      </c>
    </row>
    <row r="450" spans="19:22" x14ac:dyDescent="0.35">
      <c r="S450">
        <f t="shared" ca="1" si="24"/>
        <v>-2.0658723114585619E-2</v>
      </c>
      <c r="T450">
        <f t="shared" ca="1" si="25"/>
        <v>-1.211820966937426E-2</v>
      </c>
      <c r="U450">
        <f t="shared" ca="1" si="26"/>
        <v>-2.7802477594857256E-3</v>
      </c>
      <c r="V450">
        <f t="shared" ca="1" si="27"/>
        <v>-1.8056696657788352E-2</v>
      </c>
    </row>
    <row r="451" spans="19:22" x14ac:dyDescent="0.35">
      <c r="S451">
        <f t="shared" ca="1" si="24"/>
        <v>7.1263064201578085E-3</v>
      </c>
      <c r="T451">
        <f t="shared" ca="1" si="25"/>
        <v>2.5778883633116898E-2</v>
      </c>
      <c r="U451">
        <f t="shared" ca="1" si="26"/>
        <v>-1.4534078608819149E-4</v>
      </c>
      <c r="V451">
        <f t="shared" ca="1" si="27"/>
        <v>1.0493239502437328E-2</v>
      </c>
    </row>
    <row r="452" spans="19:22" x14ac:dyDescent="0.35">
      <c r="S452">
        <f t="shared" ref="S452:S515" ca="1" si="28">_xlfn.NORM.INV(RAND(),$L$3,$M$3)</f>
        <v>1.0635890006333883E-2</v>
      </c>
      <c r="T452">
        <f t="shared" ref="T452:T515" ca="1" si="29">_xlfn.NORM.INV(RAND(),$N$3,$O$3)</f>
        <v>3.5052349581044359E-3</v>
      </c>
      <c r="U452">
        <f t="shared" ref="U452:U515" ca="1" si="30">_xlfn.NORM.INV(RAND(),$P$3,$Q$3)</f>
        <v>-1.9255191084228514E-2</v>
      </c>
      <c r="V452">
        <f t="shared" ref="V452:V515" ca="1" si="31">(0.75*S452)+(0.2*T452)+(0.05*U452)</f>
        <v>7.7152049421598725E-3</v>
      </c>
    </row>
    <row r="453" spans="19:22" x14ac:dyDescent="0.35">
      <c r="S453">
        <f t="shared" ca="1" si="28"/>
        <v>3.9226975437337171E-3</v>
      </c>
      <c r="T453">
        <f t="shared" ca="1" si="29"/>
        <v>-9.1481532376676E-3</v>
      </c>
      <c r="U453">
        <f t="shared" ca="1" si="30"/>
        <v>-5.4897328956358417E-4</v>
      </c>
      <c r="V453">
        <f t="shared" ca="1" si="31"/>
        <v>1.0849438457885884E-3</v>
      </c>
    </row>
    <row r="454" spans="19:22" x14ac:dyDescent="0.35">
      <c r="S454">
        <f t="shared" ca="1" si="28"/>
        <v>-1.2723369410169287E-3</v>
      </c>
      <c r="T454">
        <f t="shared" ca="1" si="29"/>
        <v>-9.3501309779154343E-3</v>
      </c>
      <c r="U454">
        <f t="shared" ca="1" si="30"/>
        <v>-3.6024387989334973E-2</v>
      </c>
      <c r="V454">
        <f t="shared" ca="1" si="31"/>
        <v>-4.6254983008125325E-3</v>
      </c>
    </row>
    <row r="455" spans="19:22" x14ac:dyDescent="0.35">
      <c r="S455">
        <f t="shared" ca="1" si="28"/>
        <v>-2.0106710444537362E-2</v>
      </c>
      <c r="T455">
        <f t="shared" ca="1" si="29"/>
        <v>-6.4323410879988125E-3</v>
      </c>
      <c r="U455">
        <f t="shared" ca="1" si="30"/>
        <v>2.4280900078087909E-3</v>
      </c>
      <c r="V455">
        <f t="shared" ca="1" si="31"/>
        <v>-1.6245096550612344E-2</v>
      </c>
    </row>
    <row r="456" spans="19:22" x14ac:dyDescent="0.35">
      <c r="S456">
        <f t="shared" ca="1" si="28"/>
        <v>-4.5300990569472777E-3</v>
      </c>
      <c r="T456">
        <f t="shared" ca="1" si="29"/>
        <v>-6.307808110564468E-3</v>
      </c>
      <c r="U456">
        <f t="shared" ca="1" si="30"/>
        <v>2.288330286771877E-2</v>
      </c>
      <c r="V456">
        <f t="shared" ca="1" si="31"/>
        <v>-3.514970771437414E-3</v>
      </c>
    </row>
    <row r="457" spans="19:22" x14ac:dyDescent="0.35">
      <c r="S457">
        <f t="shared" ca="1" si="28"/>
        <v>1.745126051121543E-3</v>
      </c>
      <c r="T457">
        <f t="shared" ca="1" si="29"/>
        <v>1.1095631894417929E-2</v>
      </c>
      <c r="U457">
        <f t="shared" ca="1" si="30"/>
        <v>2.5871905246777783E-2</v>
      </c>
      <c r="V457">
        <f t="shared" ca="1" si="31"/>
        <v>4.8215661795636324E-3</v>
      </c>
    </row>
    <row r="458" spans="19:22" x14ac:dyDescent="0.35">
      <c r="S458">
        <f t="shared" ca="1" si="28"/>
        <v>4.8445253251339672E-3</v>
      </c>
      <c r="T458">
        <f t="shared" ca="1" si="29"/>
        <v>-5.4970271463089717E-3</v>
      </c>
      <c r="U458">
        <f t="shared" ca="1" si="30"/>
        <v>-4.4526209151249684E-2</v>
      </c>
      <c r="V458">
        <f t="shared" ca="1" si="31"/>
        <v>3.0767810702619653E-4</v>
      </c>
    </row>
    <row r="459" spans="19:22" x14ac:dyDescent="0.35">
      <c r="S459">
        <f t="shared" ca="1" si="28"/>
        <v>-2.0517342368727844E-2</v>
      </c>
      <c r="T459">
        <f t="shared" ca="1" si="29"/>
        <v>-1.4287244798669302E-2</v>
      </c>
      <c r="U459">
        <f t="shared" ca="1" si="30"/>
        <v>1.2702280616378219E-2</v>
      </c>
      <c r="V459">
        <f t="shared" ca="1" si="31"/>
        <v>-1.761034170546083E-2</v>
      </c>
    </row>
    <row r="460" spans="19:22" x14ac:dyDescent="0.35">
      <c r="S460">
        <f t="shared" ca="1" si="28"/>
        <v>-8.9978686244876153E-3</v>
      </c>
      <c r="T460">
        <f t="shared" ca="1" si="29"/>
        <v>2.3752359540095105E-2</v>
      </c>
      <c r="U460">
        <f t="shared" ca="1" si="30"/>
        <v>-2.319068053540381E-2</v>
      </c>
      <c r="V460">
        <f t="shared" ca="1" si="31"/>
        <v>-3.1574635871168813E-3</v>
      </c>
    </row>
    <row r="461" spans="19:22" x14ac:dyDescent="0.35">
      <c r="S461">
        <f t="shared" ca="1" si="28"/>
        <v>3.2002503964097727E-2</v>
      </c>
      <c r="T461">
        <f t="shared" ca="1" si="29"/>
        <v>1.8439717504673315E-2</v>
      </c>
      <c r="U461">
        <f t="shared" ca="1" si="30"/>
        <v>2.7848046861675493E-2</v>
      </c>
      <c r="V461">
        <f t="shared" ca="1" si="31"/>
        <v>2.9082223817091732E-2</v>
      </c>
    </row>
    <row r="462" spans="19:22" x14ac:dyDescent="0.35">
      <c r="S462">
        <f t="shared" ca="1" si="28"/>
        <v>-4.4653218609526264E-3</v>
      </c>
      <c r="T462">
        <f t="shared" ca="1" si="29"/>
        <v>5.154388562456088E-3</v>
      </c>
      <c r="U462">
        <f t="shared" ca="1" si="30"/>
        <v>-1.8737866422023332E-2</v>
      </c>
      <c r="V462">
        <f t="shared" ca="1" si="31"/>
        <v>-3.2550070043244192E-3</v>
      </c>
    </row>
    <row r="463" spans="19:22" x14ac:dyDescent="0.35">
      <c r="S463">
        <f t="shared" ca="1" si="28"/>
        <v>-1.1104030523244747E-3</v>
      </c>
      <c r="T463">
        <f t="shared" ca="1" si="29"/>
        <v>5.3087337342923929E-3</v>
      </c>
      <c r="U463">
        <f t="shared" ca="1" si="30"/>
        <v>-1.5131202808083426E-2</v>
      </c>
      <c r="V463">
        <f t="shared" ca="1" si="31"/>
        <v>-5.2761568278904866E-4</v>
      </c>
    </row>
    <row r="464" spans="19:22" x14ac:dyDescent="0.35">
      <c r="S464">
        <f t="shared" ca="1" si="28"/>
        <v>-2.7583338872498454E-2</v>
      </c>
      <c r="T464">
        <f t="shared" ca="1" si="29"/>
        <v>1.0486627135271605E-2</v>
      </c>
      <c r="U464">
        <f t="shared" ca="1" si="30"/>
        <v>3.1665386400410341E-2</v>
      </c>
      <c r="V464">
        <f t="shared" ca="1" si="31"/>
        <v>-1.7006909407299008E-2</v>
      </c>
    </row>
    <row r="465" spans="19:22" x14ac:dyDescent="0.35">
      <c r="S465">
        <f t="shared" ca="1" si="28"/>
        <v>3.0642215416422005E-2</v>
      </c>
      <c r="T465">
        <f t="shared" ca="1" si="29"/>
        <v>-2.2166088024856607E-2</v>
      </c>
      <c r="U465">
        <f t="shared" ca="1" si="30"/>
        <v>1.0028211200038304E-2</v>
      </c>
      <c r="V465">
        <f t="shared" ca="1" si="31"/>
        <v>1.9049854517347094E-2</v>
      </c>
    </row>
    <row r="466" spans="19:22" x14ac:dyDescent="0.35">
      <c r="S466">
        <f t="shared" ca="1" si="28"/>
        <v>4.2660095998255862E-3</v>
      </c>
      <c r="T466">
        <f t="shared" ca="1" si="29"/>
        <v>1.8965159810358356E-3</v>
      </c>
      <c r="U466">
        <f t="shared" ca="1" si="30"/>
        <v>-2.3082233780719396E-2</v>
      </c>
      <c r="V466">
        <f t="shared" ca="1" si="31"/>
        <v>2.4246987070403866E-3</v>
      </c>
    </row>
    <row r="467" spans="19:22" x14ac:dyDescent="0.35">
      <c r="S467">
        <f t="shared" ca="1" si="28"/>
        <v>-3.7535654023442854E-3</v>
      </c>
      <c r="T467">
        <f t="shared" ca="1" si="29"/>
        <v>5.5605562001832766E-3</v>
      </c>
      <c r="U467">
        <f t="shared" ca="1" si="30"/>
        <v>-5.7552606631427919E-4</v>
      </c>
      <c r="V467">
        <f t="shared" ca="1" si="31"/>
        <v>-1.7318391150372729E-3</v>
      </c>
    </row>
    <row r="468" spans="19:22" x14ac:dyDescent="0.35">
      <c r="S468">
        <f t="shared" ca="1" si="28"/>
        <v>2.241742138481128E-2</v>
      </c>
      <c r="T468">
        <f t="shared" ca="1" si="29"/>
        <v>-6.6684754739851282E-3</v>
      </c>
      <c r="U468">
        <f t="shared" ca="1" si="30"/>
        <v>2.2411985789170537E-2</v>
      </c>
      <c r="V468">
        <f t="shared" ca="1" si="31"/>
        <v>1.6599970233269961E-2</v>
      </c>
    </row>
    <row r="469" spans="19:22" x14ac:dyDescent="0.35">
      <c r="S469">
        <f t="shared" ca="1" si="28"/>
        <v>4.3030987460463879E-3</v>
      </c>
      <c r="T469">
        <f t="shared" ca="1" si="29"/>
        <v>-3.3960209626092946E-2</v>
      </c>
      <c r="U469">
        <f t="shared" ca="1" si="30"/>
        <v>-8.3910137729534106E-3</v>
      </c>
      <c r="V469">
        <f t="shared" ca="1" si="31"/>
        <v>-3.9842685543314696E-3</v>
      </c>
    </row>
    <row r="470" spans="19:22" x14ac:dyDescent="0.35">
      <c r="S470">
        <f t="shared" ca="1" si="28"/>
        <v>1.0009608848606398E-3</v>
      </c>
      <c r="T470">
        <f t="shared" ca="1" si="29"/>
        <v>1.5176276135349389E-2</v>
      </c>
      <c r="U470">
        <f t="shared" ca="1" si="30"/>
        <v>-6.5611273080387676E-4</v>
      </c>
      <c r="V470">
        <f t="shared" ca="1" si="31"/>
        <v>3.7531702541751641E-3</v>
      </c>
    </row>
    <row r="471" spans="19:22" x14ac:dyDescent="0.35">
      <c r="S471">
        <f t="shared" ca="1" si="28"/>
        <v>1.9337420661252276E-2</v>
      </c>
      <c r="T471">
        <f t="shared" ca="1" si="29"/>
        <v>-2.4230148280130773E-2</v>
      </c>
      <c r="U471">
        <f t="shared" ca="1" si="30"/>
        <v>1.8591108183021459E-3</v>
      </c>
      <c r="V471">
        <f t="shared" ca="1" si="31"/>
        <v>9.7499913808281585E-3</v>
      </c>
    </row>
    <row r="472" spans="19:22" x14ac:dyDescent="0.35">
      <c r="S472">
        <f t="shared" ca="1" si="28"/>
        <v>1.458527519039198E-2</v>
      </c>
      <c r="T472">
        <f t="shared" ca="1" si="29"/>
        <v>1.904852766160773E-2</v>
      </c>
      <c r="U472">
        <f t="shared" ca="1" si="30"/>
        <v>-2.9845451483686003E-2</v>
      </c>
      <c r="V472">
        <f t="shared" ca="1" si="31"/>
        <v>1.3256389350931231E-2</v>
      </c>
    </row>
    <row r="473" spans="19:22" x14ac:dyDescent="0.35">
      <c r="S473">
        <f t="shared" ca="1" si="28"/>
        <v>3.4248665883466361E-3</v>
      </c>
      <c r="T473">
        <f t="shared" ca="1" si="29"/>
        <v>2.1087503070097279E-2</v>
      </c>
      <c r="U473">
        <f t="shared" ca="1" si="30"/>
        <v>2.9733122291539116E-2</v>
      </c>
      <c r="V473">
        <f t="shared" ca="1" si="31"/>
        <v>8.2728066698563897E-3</v>
      </c>
    </row>
    <row r="474" spans="19:22" x14ac:dyDescent="0.35">
      <c r="S474">
        <f t="shared" ca="1" si="28"/>
        <v>2.0547157785182197E-2</v>
      </c>
      <c r="T474">
        <f t="shared" ca="1" si="29"/>
        <v>-7.7180709975774369E-3</v>
      </c>
      <c r="U474">
        <f t="shared" ca="1" si="30"/>
        <v>-1.3225888462052551E-2</v>
      </c>
      <c r="V474">
        <f t="shared" ca="1" si="31"/>
        <v>1.3205459716268533E-2</v>
      </c>
    </row>
    <row r="475" spans="19:22" x14ac:dyDescent="0.35">
      <c r="S475">
        <f t="shared" ca="1" si="28"/>
        <v>6.9732952484566606E-3</v>
      </c>
      <c r="T475">
        <f t="shared" ca="1" si="29"/>
        <v>3.2776966340420127E-2</v>
      </c>
      <c r="U475">
        <f t="shared" ca="1" si="30"/>
        <v>-4.9483288252384853E-3</v>
      </c>
      <c r="V475">
        <f t="shared" ca="1" si="31"/>
        <v>1.1537948263164595E-2</v>
      </c>
    </row>
    <row r="476" spans="19:22" x14ac:dyDescent="0.35">
      <c r="S476">
        <f t="shared" ca="1" si="28"/>
        <v>1.6109631540530474E-3</v>
      </c>
      <c r="T476">
        <f t="shared" ca="1" si="29"/>
        <v>-7.8206715292459972E-3</v>
      </c>
      <c r="U476">
        <f t="shared" ca="1" si="30"/>
        <v>-2.3824098460927208E-2</v>
      </c>
      <c r="V476">
        <f t="shared" ca="1" si="31"/>
        <v>-1.5471168633557743E-3</v>
      </c>
    </row>
    <row r="477" spans="19:22" x14ac:dyDescent="0.35">
      <c r="S477">
        <f t="shared" ca="1" si="28"/>
        <v>1.6134265401440706E-3</v>
      </c>
      <c r="T477">
        <f t="shared" ca="1" si="29"/>
        <v>8.7282249289599E-3</v>
      </c>
      <c r="U477">
        <f t="shared" ca="1" si="30"/>
        <v>1.4281063468049762E-2</v>
      </c>
      <c r="V477">
        <f t="shared" ca="1" si="31"/>
        <v>3.6697680643025215E-3</v>
      </c>
    </row>
    <row r="478" spans="19:22" x14ac:dyDescent="0.35">
      <c r="S478">
        <f t="shared" ca="1" si="28"/>
        <v>1.1097402776080357E-2</v>
      </c>
      <c r="T478">
        <f t="shared" ca="1" si="29"/>
        <v>2.3222226231101421E-2</v>
      </c>
      <c r="U478">
        <f t="shared" ca="1" si="30"/>
        <v>4.2897028524642826E-3</v>
      </c>
      <c r="V478">
        <f t="shared" ca="1" si="31"/>
        <v>1.3181982470903766E-2</v>
      </c>
    </row>
    <row r="479" spans="19:22" x14ac:dyDescent="0.35">
      <c r="S479">
        <f t="shared" ca="1" si="28"/>
        <v>1.5855633582748937E-2</v>
      </c>
      <c r="T479">
        <f t="shared" ca="1" si="29"/>
        <v>2.5614127485845583E-2</v>
      </c>
      <c r="U479">
        <f t="shared" ca="1" si="30"/>
        <v>-3.8341422966323709E-2</v>
      </c>
      <c r="V479">
        <f t="shared" ca="1" si="31"/>
        <v>1.5097479535914633E-2</v>
      </c>
    </row>
    <row r="480" spans="19:22" x14ac:dyDescent="0.35">
      <c r="S480">
        <f t="shared" ca="1" si="28"/>
        <v>7.6410091553532049E-3</v>
      </c>
      <c r="T480">
        <f t="shared" ca="1" si="29"/>
        <v>2.5096091956048144E-2</v>
      </c>
      <c r="U480">
        <f t="shared" ca="1" si="30"/>
        <v>9.2211266737137493E-3</v>
      </c>
      <c r="V480">
        <f t="shared" ca="1" si="31"/>
        <v>1.1211031591410221E-2</v>
      </c>
    </row>
    <row r="481" spans="19:22" x14ac:dyDescent="0.35">
      <c r="S481">
        <f t="shared" ca="1" si="28"/>
        <v>3.9945950915732456E-3</v>
      </c>
      <c r="T481">
        <f t="shared" ca="1" si="29"/>
        <v>3.9342938249823649E-2</v>
      </c>
      <c r="U481">
        <f t="shared" ca="1" si="30"/>
        <v>2.9520572979945609E-2</v>
      </c>
      <c r="V481">
        <f t="shared" ca="1" si="31"/>
        <v>1.2340562617641944E-2</v>
      </c>
    </row>
    <row r="482" spans="19:22" x14ac:dyDescent="0.35">
      <c r="S482">
        <f t="shared" ca="1" si="28"/>
        <v>4.9317139250436759E-5</v>
      </c>
      <c r="T482">
        <f t="shared" ca="1" si="29"/>
        <v>-1.8237269811375512E-2</v>
      </c>
      <c r="U482">
        <f t="shared" ca="1" si="30"/>
        <v>3.5502063438282383E-2</v>
      </c>
      <c r="V482">
        <f t="shared" ca="1" si="31"/>
        <v>-1.8353629359231559E-3</v>
      </c>
    </row>
    <row r="483" spans="19:22" x14ac:dyDescent="0.35">
      <c r="S483">
        <f t="shared" ca="1" si="28"/>
        <v>-4.832976271969526E-3</v>
      </c>
      <c r="T483">
        <f t="shared" ca="1" si="29"/>
        <v>-5.58764858455641E-3</v>
      </c>
      <c r="U483">
        <f t="shared" ca="1" si="30"/>
        <v>1.6142462434249508E-2</v>
      </c>
      <c r="V483">
        <f t="shared" ca="1" si="31"/>
        <v>-3.9351387991759506E-3</v>
      </c>
    </row>
    <row r="484" spans="19:22" x14ac:dyDescent="0.35">
      <c r="S484">
        <f t="shared" ca="1" si="28"/>
        <v>-2.2220454032142794E-3</v>
      </c>
      <c r="T484">
        <f t="shared" ca="1" si="29"/>
        <v>-1.6278061606662095E-2</v>
      </c>
      <c r="U484">
        <f t="shared" ca="1" si="30"/>
        <v>-1.823918735571808E-2</v>
      </c>
      <c r="V484">
        <f t="shared" ca="1" si="31"/>
        <v>-5.8341057415290335E-3</v>
      </c>
    </row>
    <row r="485" spans="19:22" x14ac:dyDescent="0.35">
      <c r="S485">
        <f t="shared" ca="1" si="28"/>
        <v>-3.4028755592071069E-3</v>
      </c>
      <c r="T485">
        <f t="shared" ca="1" si="29"/>
        <v>-5.7684851359051442E-3</v>
      </c>
      <c r="U485">
        <f t="shared" ca="1" si="30"/>
        <v>9.2749572683723056E-3</v>
      </c>
      <c r="V485">
        <f t="shared" ca="1" si="31"/>
        <v>-3.2421058331677439E-3</v>
      </c>
    </row>
    <row r="486" spans="19:22" x14ac:dyDescent="0.35">
      <c r="S486">
        <f t="shared" ca="1" si="28"/>
        <v>-1.3989938903076045E-2</v>
      </c>
      <c r="T486">
        <f t="shared" ca="1" si="29"/>
        <v>7.6324803422607038E-3</v>
      </c>
      <c r="U486">
        <f t="shared" ca="1" si="30"/>
        <v>2.2312610819060621E-2</v>
      </c>
      <c r="V486">
        <f t="shared" ca="1" si="31"/>
        <v>-7.8503275679018616E-3</v>
      </c>
    </row>
    <row r="487" spans="19:22" x14ac:dyDescent="0.35">
      <c r="S487">
        <f t="shared" ca="1" si="28"/>
        <v>-6.099954430175962E-3</v>
      </c>
      <c r="T487">
        <f t="shared" ca="1" si="29"/>
        <v>-6.8296028856421886E-3</v>
      </c>
      <c r="U487">
        <f t="shared" ca="1" si="30"/>
        <v>2.3623723842735021E-3</v>
      </c>
      <c r="V487">
        <f t="shared" ca="1" si="31"/>
        <v>-5.8227677805467335E-3</v>
      </c>
    </row>
    <row r="488" spans="19:22" x14ac:dyDescent="0.35">
      <c r="S488">
        <f t="shared" ca="1" si="28"/>
        <v>-1.4158116691572799E-2</v>
      </c>
      <c r="T488">
        <f t="shared" ca="1" si="29"/>
        <v>-4.1247721359137277E-2</v>
      </c>
      <c r="U488">
        <f t="shared" ca="1" si="30"/>
        <v>2.8029180109445488E-2</v>
      </c>
      <c r="V488">
        <f t="shared" ca="1" si="31"/>
        <v>-1.7466672785034783E-2</v>
      </c>
    </row>
    <row r="489" spans="19:22" x14ac:dyDescent="0.35">
      <c r="S489">
        <f t="shared" ca="1" si="28"/>
        <v>-1.5018459140340806E-2</v>
      </c>
      <c r="T489">
        <f t="shared" ca="1" si="29"/>
        <v>4.3629384869349606E-2</v>
      </c>
      <c r="U489">
        <f t="shared" ca="1" si="30"/>
        <v>-4.6999462057235049E-2</v>
      </c>
      <c r="V489">
        <f t="shared" ca="1" si="31"/>
        <v>-4.8879404842474359E-3</v>
      </c>
    </row>
    <row r="490" spans="19:22" x14ac:dyDescent="0.35">
      <c r="S490">
        <f t="shared" ca="1" si="28"/>
        <v>-4.8087330156407863E-3</v>
      </c>
      <c r="T490">
        <f t="shared" ca="1" si="29"/>
        <v>5.6721891569942295E-3</v>
      </c>
      <c r="U490">
        <f t="shared" ca="1" si="30"/>
        <v>-1.4392751990597705E-2</v>
      </c>
      <c r="V490">
        <f t="shared" ca="1" si="31"/>
        <v>-3.1917495298616292E-3</v>
      </c>
    </row>
    <row r="491" spans="19:22" x14ac:dyDescent="0.35">
      <c r="S491">
        <f t="shared" ca="1" si="28"/>
        <v>-5.7389711257429116E-3</v>
      </c>
      <c r="T491">
        <f t="shared" ca="1" si="29"/>
        <v>-3.7425617259588843E-3</v>
      </c>
      <c r="U491">
        <f t="shared" ca="1" si="30"/>
        <v>1.9870144908306887E-2</v>
      </c>
      <c r="V491">
        <f t="shared" ca="1" si="31"/>
        <v>-4.059233444083616E-3</v>
      </c>
    </row>
    <row r="492" spans="19:22" x14ac:dyDescent="0.35">
      <c r="S492">
        <f t="shared" ca="1" si="28"/>
        <v>1.3073535749790798E-3</v>
      </c>
      <c r="T492">
        <f t="shared" ca="1" si="29"/>
        <v>-3.1160192132013802E-2</v>
      </c>
      <c r="U492">
        <f t="shared" ca="1" si="30"/>
        <v>-1.2480573069362113E-2</v>
      </c>
      <c r="V492">
        <f t="shared" ca="1" si="31"/>
        <v>-5.8755518986365564E-3</v>
      </c>
    </row>
    <row r="493" spans="19:22" x14ac:dyDescent="0.35">
      <c r="S493">
        <f t="shared" ca="1" si="28"/>
        <v>7.6720173131413459E-3</v>
      </c>
      <c r="T493">
        <f t="shared" ca="1" si="29"/>
        <v>2.3591836518168829E-2</v>
      </c>
      <c r="U493">
        <f t="shared" ca="1" si="30"/>
        <v>-1.8353226587284742E-2</v>
      </c>
      <c r="V493">
        <f t="shared" ca="1" si="31"/>
        <v>9.5547189591255379E-3</v>
      </c>
    </row>
    <row r="494" spans="19:22" x14ac:dyDescent="0.35">
      <c r="S494">
        <f t="shared" ca="1" si="28"/>
        <v>-1.1223815590525042E-2</v>
      </c>
      <c r="T494">
        <f t="shared" ca="1" si="29"/>
        <v>-1.5750355054447322E-2</v>
      </c>
      <c r="U494">
        <f t="shared" ca="1" si="30"/>
        <v>-1.345506305828794E-2</v>
      </c>
      <c r="V494">
        <f t="shared" ca="1" si="31"/>
        <v>-1.2240685856697643E-2</v>
      </c>
    </row>
    <row r="495" spans="19:22" x14ac:dyDescent="0.35">
      <c r="S495">
        <f t="shared" ca="1" si="28"/>
        <v>1.0788016341164943E-2</v>
      </c>
      <c r="T495">
        <f t="shared" ca="1" si="29"/>
        <v>-5.2661162404080503E-2</v>
      </c>
      <c r="U495">
        <f t="shared" ca="1" si="30"/>
        <v>-7.1003739201331243E-3</v>
      </c>
      <c r="V495">
        <f t="shared" ca="1" si="31"/>
        <v>-2.79623892094905E-3</v>
      </c>
    </row>
    <row r="496" spans="19:22" x14ac:dyDescent="0.35">
      <c r="S496">
        <f t="shared" ca="1" si="28"/>
        <v>2.0215975829336257E-2</v>
      </c>
      <c r="T496">
        <f t="shared" ca="1" si="29"/>
        <v>-2.0272693055677395E-2</v>
      </c>
      <c r="U496">
        <f t="shared" ca="1" si="30"/>
        <v>1.0095546877386294E-2</v>
      </c>
      <c r="V496">
        <f t="shared" ca="1" si="31"/>
        <v>1.1612220604736028E-2</v>
      </c>
    </row>
    <row r="497" spans="19:22" x14ac:dyDescent="0.35">
      <c r="S497">
        <f t="shared" ca="1" si="28"/>
        <v>-1.531619215712534E-2</v>
      </c>
      <c r="T497">
        <f t="shared" ca="1" si="29"/>
        <v>-5.1330838740603103E-3</v>
      </c>
      <c r="U497">
        <f t="shared" ca="1" si="30"/>
        <v>-1.0933167747595325E-2</v>
      </c>
      <c r="V497">
        <f t="shared" ca="1" si="31"/>
        <v>-1.3060419280035833E-2</v>
      </c>
    </row>
    <row r="498" spans="19:22" x14ac:dyDescent="0.35">
      <c r="S498">
        <f t="shared" ca="1" si="28"/>
        <v>5.9863958595557567E-3</v>
      </c>
      <c r="T498">
        <f t="shared" ca="1" si="29"/>
        <v>2.2594017296015165E-2</v>
      </c>
      <c r="U498">
        <f t="shared" ca="1" si="30"/>
        <v>1.0499690377043531E-2</v>
      </c>
      <c r="V498">
        <f t="shared" ca="1" si="31"/>
        <v>9.5335848727220278E-3</v>
      </c>
    </row>
    <row r="499" spans="19:22" x14ac:dyDescent="0.35">
      <c r="S499">
        <f t="shared" ca="1" si="28"/>
        <v>-6.2269717732072703E-3</v>
      </c>
      <c r="T499">
        <f t="shared" ca="1" si="29"/>
        <v>-2.7599731151703194E-2</v>
      </c>
      <c r="U499">
        <f t="shared" ca="1" si="30"/>
        <v>2.4970699534725849E-2</v>
      </c>
      <c r="V499">
        <f t="shared" ca="1" si="31"/>
        <v>-8.9416400835098005E-3</v>
      </c>
    </row>
    <row r="500" spans="19:22" x14ac:dyDescent="0.35">
      <c r="S500">
        <f t="shared" ca="1" si="28"/>
        <v>1.1817907753737002E-2</v>
      </c>
      <c r="T500">
        <f t="shared" ca="1" si="29"/>
        <v>1.1056318456834507E-2</v>
      </c>
      <c r="U500">
        <f t="shared" ca="1" si="30"/>
        <v>-4.5636635724800607E-3</v>
      </c>
      <c r="V500">
        <f t="shared" ca="1" si="31"/>
        <v>1.0846511328045649E-2</v>
      </c>
    </row>
    <row r="501" spans="19:22" x14ac:dyDescent="0.35">
      <c r="S501">
        <f t="shared" ca="1" si="28"/>
        <v>-8.9691526172993152E-3</v>
      </c>
      <c r="T501">
        <f t="shared" ca="1" si="29"/>
        <v>-1.6346925394889817E-4</v>
      </c>
      <c r="U501">
        <f t="shared" ca="1" si="30"/>
        <v>3.612565947098871E-3</v>
      </c>
      <c r="V501">
        <f t="shared" ca="1" si="31"/>
        <v>-6.578930016409322E-3</v>
      </c>
    </row>
    <row r="502" spans="19:22" x14ac:dyDescent="0.35">
      <c r="S502">
        <f t="shared" ca="1" si="28"/>
        <v>1.1424867025303284E-2</v>
      </c>
      <c r="T502">
        <f t="shared" ca="1" si="29"/>
        <v>2.3987929062841445E-2</v>
      </c>
      <c r="U502">
        <f t="shared" ca="1" si="30"/>
        <v>-1.222040713652546E-2</v>
      </c>
      <c r="V502">
        <f t="shared" ca="1" si="31"/>
        <v>1.2755215724719479E-2</v>
      </c>
    </row>
    <row r="503" spans="19:22" x14ac:dyDescent="0.35">
      <c r="S503">
        <f t="shared" ca="1" si="28"/>
        <v>-6.0280536476134284E-3</v>
      </c>
      <c r="T503">
        <f t="shared" ca="1" si="29"/>
        <v>-9.4384584841885766E-3</v>
      </c>
      <c r="U503">
        <f t="shared" ca="1" si="30"/>
        <v>-3.6610711755031007E-2</v>
      </c>
      <c r="V503">
        <f t="shared" ca="1" si="31"/>
        <v>-8.2392675202993381E-3</v>
      </c>
    </row>
    <row r="504" spans="19:22" x14ac:dyDescent="0.35">
      <c r="S504">
        <f t="shared" ca="1" si="28"/>
        <v>-1.4398092811779206E-2</v>
      </c>
      <c r="T504">
        <f t="shared" ca="1" si="29"/>
        <v>4.3152943045221626E-3</v>
      </c>
      <c r="U504">
        <f t="shared" ca="1" si="30"/>
        <v>1.2351863150435478E-2</v>
      </c>
      <c r="V504">
        <f t="shared" ca="1" si="31"/>
        <v>-9.3179175904081965E-3</v>
      </c>
    </row>
    <row r="505" spans="19:22" x14ac:dyDescent="0.35">
      <c r="S505">
        <f t="shared" ca="1" si="28"/>
        <v>-9.9470374011454751E-3</v>
      </c>
      <c r="T505">
        <f t="shared" ca="1" si="29"/>
        <v>-4.9475091916192666E-3</v>
      </c>
      <c r="U505">
        <f t="shared" ca="1" si="30"/>
        <v>-3.2857111089327214E-2</v>
      </c>
      <c r="V505">
        <f t="shared" ca="1" si="31"/>
        <v>-1.009263544364932E-2</v>
      </c>
    </row>
    <row r="506" spans="19:22" x14ac:dyDescent="0.35">
      <c r="S506">
        <f t="shared" ca="1" si="28"/>
        <v>-7.2472379559676801E-3</v>
      </c>
      <c r="T506">
        <f t="shared" ca="1" si="29"/>
        <v>1.720871629711589E-2</v>
      </c>
      <c r="U506">
        <f t="shared" ca="1" si="30"/>
        <v>-8.008963552020968E-3</v>
      </c>
      <c r="V506">
        <f t="shared" ca="1" si="31"/>
        <v>-2.3941333851536305E-3</v>
      </c>
    </row>
    <row r="507" spans="19:22" x14ac:dyDescent="0.35">
      <c r="S507">
        <f t="shared" ca="1" si="28"/>
        <v>-1.3822471394008625E-3</v>
      </c>
      <c r="T507">
        <f t="shared" ca="1" si="29"/>
        <v>-9.2270041567159723E-3</v>
      </c>
      <c r="U507">
        <f t="shared" ca="1" si="30"/>
        <v>8.6703938184116147E-3</v>
      </c>
      <c r="V507">
        <f t="shared" ca="1" si="31"/>
        <v>-2.4485664949732604E-3</v>
      </c>
    </row>
    <row r="508" spans="19:22" x14ac:dyDescent="0.35">
      <c r="S508">
        <f t="shared" ca="1" si="28"/>
        <v>-1.4511165216331993E-2</v>
      </c>
      <c r="T508">
        <f t="shared" ca="1" si="29"/>
        <v>6.1697181093584956E-3</v>
      </c>
      <c r="U508">
        <f t="shared" ca="1" si="30"/>
        <v>9.0039208664682065E-3</v>
      </c>
      <c r="V508">
        <f t="shared" ca="1" si="31"/>
        <v>-9.1992342470538849E-3</v>
      </c>
    </row>
    <row r="509" spans="19:22" x14ac:dyDescent="0.35">
      <c r="S509">
        <f t="shared" ca="1" si="28"/>
        <v>1.1697896374643512E-2</v>
      </c>
      <c r="T509">
        <f t="shared" ca="1" si="29"/>
        <v>-1.0748865511272566E-2</v>
      </c>
      <c r="U509">
        <f t="shared" ca="1" si="30"/>
        <v>3.0936961405929435E-3</v>
      </c>
      <c r="V509">
        <f t="shared" ca="1" si="31"/>
        <v>6.7783339857577689E-3</v>
      </c>
    </row>
    <row r="510" spans="19:22" x14ac:dyDescent="0.35">
      <c r="S510">
        <f t="shared" ca="1" si="28"/>
        <v>3.320260756171154E-2</v>
      </c>
      <c r="T510">
        <f t="shared" ca="1" si="29"/>
        <v>7.7789264517025584E-3</v>
      </c>
      <c r="U510">
        <f t="shared" ca="1" si="30"/>
        <v>3.1716294428209462E-3</v>
      </c>
      <c r="V510">
        <f t="shared" ca="1" si="31"/>
        <v>2.6616322433765216E-2</v>
      </c>
    </row>
    <row r="511" spans="19:22" x14ac:dyDescent="0.35">
      <c r="S511">
        <f t="shared" ca="1" si="28"/>
        <v>1.6527480650038888E-2</v>
      </c>
      <c r="T511">
        <f t="shared" ca="1" si="29"/>
        <v>-2.4836226339939658E-3</v>
      </c>
      <c r="U511">
        <f t="shared" ca="1" si="30"/>
        <v>1.4181162018009041E-2</v>
      </c>
      <c r="V511">
        <f t="shared" ca="1" si="31"/>
        <v>1.2607944061630825E-2</v>
      </c>
    </row>
    <row r="512" spans="19:22" x14ac:dyDescent="0.35">
      <c r="S512">
        <f t="shared" ca="1" si="28"/>
        <v>-1.0159616367673995E-2</v>
      </c>
      <c r="T512">
        <f t="shared" ca="1" si="29"/>
        <v>2.0911304568970581E-2</v>
      </c>
      <c r="U512">
        <f t="shared" ca="1" si="30"/>
        <v>-2.8219970018421071E-2</v>
      </c>
      <c r="V512">
        <f t="shared" ca="1" si="31"/>
        <v>-4.8484498628824342E-3</v>
      </c>
    </row>
    <row r="513" spans="19:22" x14ac:dyDescent="0.35">
      <c r="S513">
        <f t="shared" ca="1" si="28"/>
        <v>1.0524309116460831E-2</v>
      </c>
      <c r="T513">
        <f t="shared" ca="1" si="29"/>
        <v>-3.4591725791347453E-3</v>
      </c>
      <c r="U513">
        <f t="shared" ca="1" si="30"/>
        <v>-3.3833713575151095E-2</v>
      </c>
      <c r="V513">
        <f t="shared" ca="1" si="31"/>
        <v>5.50971164276112E-3</v>
      </c>
    </row>
    <row r="514" spans="19:22" x14ac:dyDescent="0.35">
      <c r="S514">
        <f t="shared" ca="1" si="28"/>
        <v>-4.3023741859380869E-2</v>
      </c>
      <c r="T514">
        <f t="shared" ca="1" si="29"/>
        <v>1.2971912321606634E-2</v>
      </c>
      <c r="U514">
        <f t="shared" ca="1" si="30"/>
        <v>2.04162932460395E-2</v>
      </c>
      <c r="V514">
        <f t="shared" ca="1" si="31"/>
        <v>-2.8652609267912348E-2</v>
      </c>
    </row>
    <row r="515" spans="19:22" x14ac:dyDescent="0.35">
      <c r="S515">
        <f t="shared" ca="1" si="28"/>
        <v>-3.7658508652618238E-3</v>
      </c>
      <c r="T515">
        <f t="shared" ca="1" si="29"/>
        <v>-1.3926191320706879E-2</v>
      </c>
      <c r="U515">
        <f t="shared" ca="1" si="30"/>
        <v>3.4779808347871539E-2</v>
      </c>
      <c r="V515">
        <f t="shared" ca="1" si="31"/>
        <v>-3.8706359956941667E-3</v>
      </c>
    </row>
    <row r="516" spans="19:22" x14ac:dyDescent="0.35">
      <c r="S516">
        <f t="shared" ref="S516:S579" ca="1" si="32">_xlfn.NORM.INV(RAND(),$L$3,$M$3)</f>
        <v>-4.0739481651454156E-3</v>
      </c>
      <c r="T516">
        <f t="shared" ref="T516:T579" ca="1" si="33">_xlfn.NORM.INV(RAND(),$N$3,$O$3)</f>
        <v>7.3004603299529902E-3</v>
      </c>
      <c r="U516">
        <f t="shared" ref="U516:U579" ca="1" si="34">_xlfn.NORM.INV(RAND(),$P$3,$Q$3)</f>
        <v>9.8891245642648701E-3</v>
      </c>
      <c r="V516">
        <f t="shared" ref="V516:V579" ca="1" si="35">(0.75*S516)+(0.2*T516)+(0.05*U516)</f>
        <v>-1.1009128296552201E-3</v>
      </c>
    </row>
    <row r="517" spans="19:22" x14ac:dyDescent="0.35">
      <c r="S517">
        <f t="shared" ca="1" si="32"/>
        <v>2.1628873161829505E-3</v>
      </c>
      <c r="T517">
        <f t="shared" ca="1" si="33"/>
        <v>1.5196606975231822E-2</v>
      </c>
      <c r="U517">
        <f t="shared" ca="1" si="34"/>
        <v>1.7358263858161405E-2</v>
      </c>
      <c r="V517">
        <f t="shared" ca="1" si="35"/>
        <v>5.5294000750916476E-3</v>
      </c>
    </row>
    <row r="518" spans="19:22" x14ac:dyDescent="0.35">
      <c r="S518">
        <f t="shared" ca="1" si="32"/>
        <v>2.3839126884939211E-2</v>
      </c>
      <c r="T518">
        <f t="shared" ca="1" si="33"/>
        <v>3.7516691925323475E-2</v>
      </c>
      <c r="U518">
        <f t="shared" ca="1" si="34"/>
        <v>-1.6578504534557081E-3</v>
      </c>
      <c r="V518">
        <f t="shared" ca="1" si="35"/>
        <v>2.5299791026096318E-2</v>
      </c>
    </row>
    <row r="519" spans="19:22" x14ac:dyDescent="0.35">
      <c r="S519">
        <f t="shared" ca="1" si="32"/>
        <v>7.9747230922555899E-3</v>
      </c>
      <c r="T519">
        <f t="shared" ca="1" si="33"/>
        <v>-1.0059522716933771E-2</v>
      </c>
      <c r="U519">
        <f t="shared" ca="1" si="34"/>
        <v>-3.7159896640898978E-2</v>
      </c>
      <c r="V519">
        <f t="shared" ca="1" si="35"/>
        <v>2.1111429437599897E-3</v>
      </c>
    </row>
    <row r="520" spans="19:22" x14ac:dyDescent="0.35">
      <c r="S520">
        <f t="shared" ca="1" si="32"/>
        <v>-1.0679493320372905E-2</v>
      </c>
      <c r="T520">
        <f t="shared" ca="1" si="33"/>
        <v>-6.8884896374645319E-3</v>
      </c>
      <c r="U520">
        <f t="shared" ca="1" si="34"/>
        <v>-3.5660756639192229E-2</v>
      </c>
      <c r="V520">
        <f t="shared" ca="1" si="35"/>
        <v>-1.1170355749732196E-2</v>
      </c>
    </row>
    <row r="521" spans="19:22" x14ac:dyDescent="0.35">
      <c r="S521">
        <f t="shared" ca="1" si="32"/>
        <v>1.712238262081647E-2</v>
      </c>
      <c r="T521">
        <f t="shared" ca="1" si="33"/>
        <v>2.0043701900156703E-2</v>
      </c>
      <c r="U521">
        <f t="shared" ca="1" si="34"/>
        <v>-2.0381850456447703E-2</v>
      </c>
      <c r="V521">
        <f t="shared" ca="1" si="35"/>
        <v>1.5831434822821306E-2</v>
      </c>
    </row>
    <row r="522" spans="19:22" x14ac:dyDescent="0.35">
      <c r="S522">
        <f t="shared" ca="1" si="32"/>
        <v>-2.5519899487880943E-3</v>
      </c>
      <c r="T522">
        <f t="shared" ca="1" si="33"/>
        <v>-1.2096991999855814E-4</v>
      </c>
      <c r="U522">
        <f t="shared" ca="1" si="34"/>
        <v>1.1596730528253498E-2</v>
      </c>
      <c r="V522">
        <f t="shared" ca="1" si="35"/>
        <v>-1.3583499191781073E-3</v>
      </c>
    </row>
    <row r="523" spans="19:22" x14ac:dyDescent="0.35">
      <c r="S523">
        <f t="shared" ca="1" si="32"/>
        <v>8.4738080797671644E-3</v>
      </c>
      <c r="T523">
        <f t="shared" ca="1" si="33"/>
        <v>1.3437225409337686E-2</v>
      </c>
      <c r="U523">
        <f t="shared" ca="1" si="34"/>
        <v>-2.1890291666347511E-2</v>
      </c>
      <c r="V523">
        <f t="shared" ca="1" si="35"/>
        <v>7.9482865583755356E-3</v>
      </c>
    </row>
    <row r="524" spans="19:22" x14ac:dyDescent="0.35">
      <c r="S524">
        <f t="shared" ca="1" si="32"/>
        <v>1.6294173616347676E-2</v>
      </c>
      <c r="T524">
        <f t="shared" ca="1" si="33"/>
        <v>3.4084071974386267E-2</v>
      </c>
      <c r="U524">
        <f t="shared" ca="1" si="34"/>
        <v>6.9645910833217939E-3</v>
      </c>
      <c r="V524">
        <f t="shared" ca="1" si="35"/>
        <v>1.9385674161304101E-2</v>
      </c>
    </row>
    <row r="525" spans="19:22" x14ac:dyDescent="0.35">
      <c r="S525">
        <f t="shared" ca="1" si="32"/>
        <v>1.6478640523678159E-2</v>
      </c>
      <c r="T525">
        <f t="shared" ca="1" si="33"/>
        <v>-8.7744322639698499E-3</v>
      </c>
      <c r="U525">
        <f t="shared" ca="1" si="34"/>
        <v>-2.9286304820496101E-2</v>
      </c>
      <c r="V525">
        <f t="shared" ca="1" si="35"/>
        <v>9.1397786989398447E-3</v>
      </c>
    </row>
    <row r="526" spans="19:22" x14ac:dyDescent="0.35">
      <c r="S526">
        <f t="shared" ca="1" si="32"/>
        <v>-3.4494796261816854E-2</v>
      </c>
      <c r="T526">
        <f t="shared" ca="1" si="33"/>
        <v>1.2830541738318666E-2</v>
      </c>
      <c r="U526">
        <f t="shared" ca="1" si="34"/>
        <v>-2.3308231916356515E-3</v>
      </c>
      <c r="V526">
        <f t="shared" ca="1" si="35"/>
        <v>-2.3421530008280692E-2</v>
      </c>
    </row>
    <row r="527" spans="19:22" x14ac:dyDescent="0.35">
      <c r="S527">
        <f t="shared" ca="1" si="32"/>
        <v>3.0925555690982961E-3</v>
      </c>
      <c r="T527">
        <f t="shared" ca="1" si="33"/>
        <v>-3.0640674308806178E-2</v>
      </c>
      <c r="U527">
        <f t="shared" ca="1" si="34"/>
        <v>4.8964926731712025E-3</v>
      </c>
      <c r="V527">
        <f t="shared" ca="1" si="35"/>
        <v>-3.5638935512789533E-3</v>
      </c>
    </row>
    <row r="528" spans="19:22" x14ac:dyDescent="0.35">
      <c r="S528">
        <f t="shared" ca="1" si="32"/>
        <v>6.2678568014122252E-3</v>
      </c>
      <c r="T528">
        <f t="shared" ca="1" si="33"/>
        <v>-2.6011978731454773E-2</v>
      </c>
      <c r="U528">
        <f t="shared" ca="1" si="34"/>
        <v>5.8748426829906483E-3</v>
      </c>
      <c r="V528">
        <f t="shared" ca="1" si="35"/>
        <v>-2.0776101108225284E-4</v>
      </c>
    </row>
    <row r="529" spans="19:22" x14ac:dyDescent="0.35">
      <c r="S529">
        <f t="shared" ca="1" si="32"/>
        <v>-7.6631280667958379E-3</v>
      </c>
      <c r="T529">
        <f t="shared" ca="1" si="33"/>
        <v>1.0305274147750057E-2</v>
      </c>
      <c r="U529">
        <f t="shared" ca="1" si="34"/>
        <v>-2.932859795430333E-3</v>
      </c>
      <c r="V529">
        <f t="shared" ca="1" si="35"/>
        <v>-3.8329342103183839E-3</v>
      </c>
    </row>
    <row r="530" spans="19:22" x14ac:dyDescent="0.35">
      <c r="S530">
        <f t="shared" ca="1" si="32"/>
        <v>-9.0767646898956122E-5</v>
      </c>
      <c r="T530">
        <f t="shared" ca="1" si="33"/>
        <v>-5.3288348574325817E-4</v>
      </c>
      <c r="U530">
        <f t="shared" ca="1" si="34"/>
        <v>1.6985846709289733E-2</v>
      </c>
      <c r="V530">
        <f t="shared" ca="1" si="35"/>
        <v>6.7463990314161801E-4</v>
      </c>
    </row>
    <row r="531" spans="19:22" x14ac:dyDescent="0.35">
      <c r="S531">
        <f t="shared" ca="1" si="32"/>
        <v>8.198321675792963E-3</v>
      </c>
      <c r="T531">
        <f t="shared" ca="1" si="33"/>
        <v>-3.0751263394832546E-2</v>
      </c>
      <c r="U531">
        <f t="shared" ca="1" si="34"/>
        <v>-1.0836744173222258E-2</v>
      </c>
      <c r="V531">
        <f t="shared" ca="1" si="35"/>
        <v>-5.4334863078290099E-4</v>
      </c>
    </row>
    <row r="532" spans="19:22" x14ac:dyDescent="0.35">
      <c r="S532">
        <f t="shared" ca="1" si="32"/>
        <v>-2.6201415076632512E-2</v>
      </c>
      <c r="T532">
        <f t="shared" ca="1" si="33"/>
        <v>-5.7750307824276882E-3</v>
      </c>
      <c r="U532">
        <f t="shared" ca="1" si="34"/>
        <v>2.3849005026783828E-2</v>
      </c>
      <c r="V532">
        <f t="shared" ca="1" si="35"/>
        <v>-1.961361721262073E-2</v>
      </c>
    </row>
    <row r="533" spans="19:22" x14ac:dyDescent="0.35">
      <c r="S533">
        <f t="shared" ca="1" si="32"/>
        <v>-9.7633847404769124E-3</v>
      </c>
      <c r="T533">
        <f t="shared" ca="1" si="33"/>
        <v>1.2422049043451735E-2</v>
      </c>
      <c r="U533">
        <f t="shared" ca="1" si="34"/>
        <v>2.2146544166172611E-2</v>
      </c>
      <c r="V533">
        <f t="shared" ca="1" si="35"/>
        <v>-3.7308015383587063E-3</v>
      </c>
    </row>
    <row r="534" spans="19:22" x14ac:dyDescent="0.35">
      <c r="S534">
        <f t="shared" ca="1" si="32"/>
        <v>-4.107670647330813E-3</v>
      </c>
      <c r="T534">
        <f t="shared" ca="1" si="33"/>
        <v>4.6703964656572708E-3</v>
      </c>
      <c r="U534">
        <f t="shared" ca="1" si="34"/>
        <v>-1.5006583319740585E-2</v>
      </c>
      <c r="V534">
        <f t="shared" ca="1" si="35"/>
        <v>-2.8970028583536847E-3</v>
      </c>
    </row>
    <row r="535" spans="19:22" x14ac:dyDescent="0.35">
      <c r="S535">
        <f t="shared" ca="1" si="32"/>
        <v>4.7616753094050224E-3</v>
      </c>
      <c r="T535">
        <f t="shared" ca="1" si="33"/>
        <v>-3.192811166504908E-2</v>
      </c>
      <c r="U535">
        <f t="shared" ca="1" si="34"/>
        <v>2.6946144577808168E-4</v>
      </c>
      <c r="V535">
        <f t="shared" ca="1" si="35"/>
        <v>-2.8008927786671457E-3</v>
      </c>
    </row>
    <row r="536" spans="19:22" x14ac:dyDescent="0.35">
      <c r="S536">
        <f t="shared" ca="1" si="32"/>
        <v>-1.3678957318469475E-3</v>
      </c>
      <c r="T536">
        <f t="shared" ca="1" si="33"/>
        <v>-2.5112060823648384E-2</v>
      </c>
      <c r="U536">
        <f t="shared" ca="1" si="34"/>
        <v>5.1368398484881181E-3</v>
      </c>
      <c r="V536">
        <f t="shared" ca="1" si="35"/>
        <v>-5.7914919711904824E-3</v>
      </c>
    </row>
    <row r="537" spans="19:22" x14ac:dyDescent="0.35">
      <c r="S537">
        <f t="shared" ca="1" si="32"/>
        <v>-1.9577970398801811E-2</v>
      </c>
      <c r="T537">
        <f t="shared" ca="1" si="33"/>
        <v>1.8530089918006191E-2</v>
      </c>
      <c r="U537">
        <f t="shared" ca="1" si="34"/>
        <v>6.2510956160952511E-3</v>
      </c>
      <c r="V537">
        <f t="shared" ca="1" si="35"/>
        <v>-1.0664905034695358E-2</v>
      </c>
    </row>
    <row r="538" spans="19:22" x14ac:dyDescent="0.35">
      <c r="S538">
        <f t="shared" ca="1" si="32"/>
        <v>-1.1082038098124702E-2</v>
      </c>
      <c r="T538">
        <f t="shared" ca="1" si="33"/>
        <v>2.2805319388004386E-4</v>
      </c>
      <c r="U538">
        <f t="shared" ca="1" si="34"/>
        <v>1.3492844462843713E-2</v>
      </c>
      <c r="V538">
        <f t="shared" ca="1" si="35"/>
        <v>-7.5912757116753304E-3</v>
      </c>
    </row>
    <row r="539" spans="19:22" x14ac:dyDescent="0.35">
      <c r="S539">
        <f t="shared" ca="1" si="32"/>
        <v>-1.7941828638337563E-2</v>
      </c>
      <c r="T539">
        <f t="shared" ca="1" si="33"/>
        <v>5.6461561467996023E-3</v>
      </c>
      <c r="U539">
        <f t="shared" ca="1" si="34"/>
        <v>3.4632821565021371E-2</v>
      </c>
      <c r="V539">
        <f t="shared" ca="1" si="35"/>
        <v>-1.0595499171142185E-2</v>
      </c>
    </row>
    <row r="540" spans="19:22" x14ac:dyDescent="0.35">
      <c r="S540">
        <f t="shared" ca="1" si="32"/>
        <v>4.069555140891596E-2</v>
      </c>
      <c r="T540">
        <f t="shared" ca="1" si="33"/>
        <v>-1.0937766108251893E-3</v>
      </c>
      <c r="U540">
        <f t="shared" ca="1" si="34"/>
        <v>3.1198932770231443E-2</v>
      </c>
      <c r="V540">
        <f t="shared" ca="1" si="35"/>
        <v>3.1862854873033503E-2</v>
      </c>
    </row>
    <row r="541" spans="19:22" x14ac:dyDescent="0.35">
      <c r="S541">
        <f t="shared" ca="1" si="32"/>
        <v>-1.0370488583346698E-2</v>
      </c>
      <c r="T541">
        <f t="shared" ca="1" si="33"/>
        <v>-1.7627809286468005E-3</v>
      </c>
      <c r="U541">
        <f t="shared" ca="1" si="34"/>
        <v>1.1755635944299599E-2</v>
      </c>
      <c r="V541">
        <f t="shared" ca="1" si="35"/>
        <v>-7.542640826024404E-3</v>
      </c>
    </row>
    <row r="542" spans="19:22" x14ac:dyDescent="0.35">
      <c r="S542">
        <f t="shared" ca="1" si="32"/>
        <v>-6.0597969071594284E-3</v>
      </c>
      <c r="T542">
        <f t="shared" ca="1" si="33"/>
        <v>2.0986166922649041E-2</v>
      </c>
      <c r="U542">
        <f t="shared" ca="1" si="34"/>
        <v>8.9734541140741204E-3</v>
      </c>
      <c r="V542">
        <f t="shared" ca="1" si="35"/>
        <v>1.0105840986394319E-4</v>
      </c>
    </row>
    <row r="543" spans="19:22" x14ac:dyDescent="0.35">
      <c r="S543">
        <f t="shared" ca="1" si="32"/>
        <v>-1.0463094939315526E-2</v>
      </c>
      <c r="T543">
        <f t="shared" ca="1" si="33"/>
        <v>2.5793823169251322E-2</v>
      </c>
      <c r="U543">
        <f t="shared" ca="1" si="34"/>
        <v>7.5365326817106578E-3</v>
      </c>
      <c r="V543">
        <f t="shared" ca="1" si="35"/>
        <v>-2.3117299365508462E-3</v>
      </c>
    </row>
    <row r="544" spans="19:22" x14ac:dyDescent="0.35">
      <c r="S544">
        <f t="shared" ca="1" si="32"/>
        <v>1.0421093889114157E-2</v>
      </c>
      <c r="T544">
        <f t="shared" ca="1" si="33"/>
        <v>2.0799484111124172E-2</v>
      </c>
      <c r="U544">
        <f t="shared" ca="1" si="34"/>
        <v>-1.068815488030497E-2</v>
      </c>
      <c r="V544">
        <f t="shared" ca="1" si="35"/>
        <v>1.1441309495045203E-2</v>
      </c>
    </row>
    <row r="545" spans="19:22" x14ac:dyDescent="0.35">
      <c r="S545">
        <f t="shared" ca="1" si="32"/>
        <v>2.7783553402485336E-2</v>
      </c>
      <c r="T545">
        <f t="shared" ca="1" si="33"/>
        <v>8.3873652088490829E-3</v>
      </c>
      <c r="U545">
        <f t="shared" ca="1" si="34"/>
        <v>1.1695214004472862E-2</v>
      </c>
      <c r="V545">
        <f t="shared" ca="1" si="35"/>
        <v>2.309989879385746E-2</v>
      </c>
    </row>
    <row r="546" spans="19:22" x14ac:dyDescent="0.35">
      <c r="S546">
        <f t="shared" ca="1" si="32"/>
        <v>-5.3311428100819933E-3</v>
      </c>
      <c r="T546">
        <f t="shared" ca="1" si="33"/>
        <v>-1.625355981178522E-2</v>
      </c>
      <c r="U546">
        <f t="shared" ca="1" si="34"/>
        <v>-3.3670030361375822E-2</v>
      </c>
      <c r="V546">
        <f t="shared" ca="1" si="35"/>
        <v>-8.9325705879873315E-3</v>
      </c>
    </row>
    <row r="547" spans="19:22" x14ac:dyDescent="0.35">
      <c r="S547">
        <f t="shared" ca="1" si="32"/>
        <v>1.1894262452067789E-2</v>
      </c>
      <c r="T547">
        <f t="shared" ca="1" si="33"/>
        <v>1.32464211008145E-2</v>
      </c>
      <c r="U547">
        <f t="shared" ca="1" si="34"/>
        <v>-2.8097823416596817E-2</v>
      </c>
      <c r="V547">
        <f t="shared" ca="1" si="35"/>
        <v>1.01650898883839E-2</v>
      </c>
    </row>
    <row r="548" spans="19:22" x14ac:dyDescent="0.35">
      <c r="S548">
        <f t="shared" ca="1" si="32"/>
        <v>1.9149908238893147E-3</v>
      </c>
      <c r="T548">
        <f t="shared" ca="1" si="33"/>
        <v>-2.7504290548569361E-4</v>
      </c>
      <c r="U548">
        <f t="shared" ca="1" si="34"/>
        <v>4.388305311215499E-3</v>
      </c>
      <c r="V548">
        <f t="shared" ca="1" si="35"/>
        <v>1.6006498023806222E-3</v>
      </c>
    </row>
    <row r="549" spans="19:22" x14ac:dyDescent="0.35">
      <c r="S549">
        <f t="shared" ca="1" si="32"/>
        <v>-6.9082533469152288E-3</v>
      </c>
      <c r="T549">
        <f t="shared" ca="1" si="33"/>
        <v>2.6362694301163874E-2</v>
      </c>
      <c r="U549">
        <f t="shared" ca="1" si="34"/>
        <v>3.1220007386993771E-3</v>
      </c>
      <c r="V549">
        <f t="shared" ca="1" si="35"/>
        <v>2.4744888698132226E-4</v>
      </c>
    </row>
    <row r="550" spans="19:22" x14ac:dyDescent="0.35">
      <c r="S550">
        <f t="shared" ca="1" si="32"/>
        <v>2.8166301855721792E-3</v>
      </c>
      <c r="T550">
        <f t="shared" ca="1" si="33"/>
        <v>2.7951042955604963E-3</v>
      </c>
      <c r="U550">
        <f t="shared" ca="1" si="34"/>
        <v>2.2711633257563191E-2</v>
      </c>
      <c r="V550">
        <f t="shared" ca="1" si="35"/>
        <v>3.807075161169393E-3</v>
      </c>
    </row>
    <row r="551" spans="19:22" x14ac:dyDescent="0.35">
      <c r="S551">
        <f t="shared" ca="1" si="32"/>
        <v>-3.2429424807823536E-2</v>
      </c>
      <c r="T551">
        <f t="shared" ca="1" si="33"/>
        <v>-2.9558471316247156E-2</v>
      </c>
      <c r="U551">
        <f t="shared" ca="1" si="34"/>
        <v>1.9588213551692036E-2</v>
      </c>
      <c r="V551">
        <f t="shared" ca="1" si="35"/>
        <v>-2.9254352191532478E-2</v>
      </c>
    </row>
    <row r="552" spans="19:22" x14ac:dyDescent="0.35">
      <c r="S552">
        <f t="shared" ca="1" si="32"/>
        <v>-1.5844317045987055E-2</v>
      </c>
      <c r="T552">
        <f t="shared" ca="1" si="33"/>
        <v>1.5930824538850554E-2</v>
      </c>
      <c r="U552">
        <f t="shared" ca="1" si="34"/>
        <v>1.4178333966518675E-2</v>
      </c>
      <c r="V552">
        <f t="shared" ca="1" si="35"/>
        <v>-7.9881561783942453E-3</v>
      </c>
    </row>
    <row r="553" spans="19:22" x14ac:dyDescent="0.35">
      <c r="S553">
        <f t="shared" ca="1" si="32"/>
        <v>3.7285527331962519E-2</v>
      </c>
      <c r="T553">
        <f t="shared" ca="1" si="33"/>
        <v>2.1923488037577043E-3</v>
      </c>
      <c r="U553">
        <f t="shared" ca="1" si="34"/>
        <v>6.8663902437323537E-3</v>
      </c>
      <c r="V553">
        <f t="shared" ca="1" si="35"/>
        <v>2.8745934771910047E-2</v>
      </c>
    </row>
    <row r="554" spans="19:22" x14ac:dyDescent="0.35">
      <c r="S554">
        <f t="shared" ca="1" si="32"/>
        <v>1.2439840645840394E-2</v>
      </c>
      <c r="T554">
        <f t="shared" ca="1" si="33"/>
        <v>-1.9300505357881758E-2</v>
      </c>
      <c r="U554">
        <f t="shared" ca="1" si="34"/>
        <v>1.8341275171066297E-2</v>
      </c>
      <c r="V554">
        <f t="shared" ca="1" si="35"/>
        <v>6.3868431713572579E-3</v>
      </c>
    </row>
    <row r="555" spans="19:22" x14ac:dyDescent="0.35">
      <c r="S555">
        <f t="shared" ca="1" si="32"/>
        <v>-4.713640381947562E-3</v>
      </c>
      <c r="T555">
        <f t="shared" ca="1" si="33"/>
        <v>8.9807497841428796E-4</v>
      </c>
      <c r="U555">
        <f t="shared" ca="1" si="34"/>
        <v>1.6289238087637589E-2</v>
      </c>
      <c r="V555">
        <f t="shared" ca="1" si="35"/>
        <v>-2.5411533863959343E-3</v>
      </c>
    </row>
    <row r="556" spans="19:22" x14ac:dyDescent="0.35">
      <c r="S556">
        <f t="shared" ca="1" si="32"/>
        <v>1.6216714713768749E-2</v>
      </c>
      <c r="T556">
        <f t="shared" ca="1" si="33"/>
        <v>6.4214916200750344E-3</v>
      </c>
      <c r="U556">
        <f t="shared" ca="1" si="34"/>
        <v>2.5892291860628136E-2</v>
      </c>
      <c r="V556">
        <f t="shared" ca="1" si="35"/>
        <v>1.4741448952372976E-2</v>
      </c>
    </row>
    <row r="557" spans="19:22" x14ac:dyDescent="0.35">
      <c r="S557">
        <f t="shared" ca="1" si="32"/>
        <v>-7.335365098588292E-3</v>
      </c>
      <c r="T557">
        <f t="shared" ca="1" si="33"/>
        <v>6.7949716889123546E-3</v>
      </c>
      <c r="U557">
        <f t="shared" ca="1" si="34"/>
        <v>2.9979445207816972E-2</v>
      </c>
      <c r="V557">
        <f t="shared" ca="1" si="35"/>
        <v>-2.6435572257678987E-3</v>
      </c>
    </row>
    <row r="558" spans="19:22" x14ac:dyDescent="0.35">
      <c r="S558">
        <f t="shared" ca="1" si="32"/>
        <v>-2.6011188075885667E-3</v>
      </c>
      <c r="T558">
        <f t="shared" ca="1" si="33"/>
        <v>-1.0750150405180415E-3</v>
      </c>
      <c r="U558">
        <f t="shared" ca="1" si="34"/>
        <v>3.2704961548332438E-3</v>
      </c>
      <c r="V558">
        <f t="shared" ca="1" si="35"/>
        <v>-2.002317306053371E-3</v>
      </c>
    </row>
    <row r="559" spans="19:22" x14ac:dyDescent="0.35">
      <c r="S559">
        <f t="shared" ca="1" si="32"/>
        <v>-1.4115450328313944E-2</v>
      </c>
      <c r="T559">
        <f t="shared" ca="1" si="33"/>
        <v>-1.6917458523002946E-2</v>
      </c>
      <c r="U559">
        <f t="shared" ca="1" si="34"/>
        <v>1.708857099050207E-2</v>
      </c>
      <c r="V559">
        <f t="shared" ca="1" si="35"/>
        <v>-1.3115650901310942E-2</v>
      </c>
    </row>
    <row r="560" spans="19:22" x14ac:dyDescent="0.35">
      <c r="S560">
        <f t="shared" ca="1" si="32"/>
        <v>4.9204620823701615E-3</v>
      </c>
      <c r="T560">
        <f t="shared" ca="1" si="33"/>
        <v>8.308964464062138E-3</v>
      </c>
      <c r="U560">
        <f t="shared" ca="1" si="34"/>
        <v>-1.0301010781126463E-2</v>
      </c>
      <c r="V560">
        <f t="shared" ca="1" si="35"/>
        <v>4.837088915533725E-3</v>
      </c>
    </row>
    <row r="561" spans="19:22" x14ac:dyDescent="0.35">
      <c r="S561">
        <f t="shared" ca="1" si="32"/>
        <v>5.0690092755512704E-3</v>
      </c>
      <c r="T561">
        <f t="shared" ca="1" si="33"/>
        <v>1.2034239380181921E-2</v>
      </c>
      <c r="U561">
        <f t="shared" ca="1" si="34"/>
        <v>2.0533883030582713E-2</v>
      </c>
      <c r="V561">
        <f t="shared" ca="1" si="35"/>
        <v>7.2352989842289729E-3</v>
      </c>
    </row>
    <row r="562" spans="19:22" x14ac:dyDescent="0.35">
      <c r="S562">
        <f t="shared" ca="1" si="32"/>
        <v>1.2722746413693822E-2</v>
      </c>
      <c r="T562">
        <f t="shared" ca="1" si="33"/>
        <v>5.3688459035473434E-3</v>
      </c>
      <c r="U562">
        <f t="shared" ca="1" si="34"/>
        <v>-1.4977818932494221E-2</v>
      </c>
      <c r="V562">
        <f t="shared" ca="1" si="35"/>
        <v>9.8669380443551242E-3</v>
      </c>
    </row>
    <row r="563" spans="19:22" x14ac:dyDescent="0.35">
      <c r="S563">
        <f t="shared" ca="1" si="32"/>
        <v>-2.3039578939068071E-2</v>
      </c>
      <c r="T563">
        <f t="shared" ca="1" si="33"/>
        <v>1.2576748366156191E-3</v>
      </c>
      <c r="U563">
        <f t="shared" ca="1" si="34"/>
        <v>8.2273385542916914E-3</v>
      </c>
      <c r="V563">
        <f t="shared" ca="1" si="35"/>
        <v>-1.6616782309263344E-2</v>
      </c>
    </row>
    <row r="564" spans="19:22" x14ac:dyDescent="0.35">
      <c r="S564">
        <f t="shared" ca="1" si="32"/>
        <v>-1.4567592516297278E-2</v>
      </c>
      <c r="T564">
        <f t="shared" ca="1" si="33"/>
        <v>-1.0628521997462826E-2</v>
      </c>
      <c r="U564">
        <f t="shared" ca="1" si="34"/>
        <v>-1.1208064772813157E-4</v>
      </c>
      <c r="V564">
        <f t="shared" ca="1" si="35"/>
        <v>-1.305700281910193E-2</v>
      </c>
    </row>
    <row r="565" spans="19:22" x14ac:dyDescent="0.35">
      <c r="S565">
        <f t="shared" ca="1" si="32"/>
        <v>1.4201917668908216E-3</v>
      </c>
      <c r="T565">
        <f t="shared" ca="1" si="33"/>
        <v>-1.4514316376948087E-2</v>
      </c>
      <c r="U565">
        <f t="shared" ca="1" si="34"/>
        <v>-2.0292807901515324E-3</v>
      </c>
      <c r="V565">
        <f t="shared" ca="1" si="35"/>
        <v>-1.939183489729078E-3</v>
      </c>
    </row>
    <row r="566" spans="19:22" x14ac:dyDescent="0.35">
      <c r="S566">
        <f t="shared" ca="1" si="32"/>
        <v>5.9939470740121362E-3</v>
      </c>
      <c r="T566">
        <f t="shared" ca="1" si="33"/>
        <v>-2.0416032391039455E-2</v>
      </c>
      <c r="U566">
        <f t="shared" ca="1" si="34"/>
        <v>2.1774942306543959E-2</v>
      </c>
      <c r="V566">
        <f t="shared" ca="1" si="35"/>
        <v>1.5010009426284087E-3</v>
      </c>
    </row>
    <row r="567" spans="19:22" x14ac:dyDescent="0.35">
      <c r="S567">
        <f t="shared" ca="1" si="32"/>
        <v>1.1700923887520897E-3</v>
      </c>
      <c r="T567">
        <f t="shared" ca="1" si="33"/>
        <v>-8.7656743416372057E-3</v>
      </c>
      <c r="U567">
        <f t="shared" ca="1" si="34"/>
        <v>2.7988512836108051E-2</v>
      </c>
      <c r="V567">
        <f t="shared" ca="1" si="35"/>
        <v>5.2386006504202874E-4</v>
      </c>
    </row>
    <row r="568" spans="19:22" x14ac:dyDescent="0.35">
      <c r="S568">
        <f t="shared" ca="1" si="32"/>
        <v>-9.1340952137780387E-3</v>
      </c>
      <c r="T568">
        <f t="shared" ca="1" si="33"/>
        <v>6.0988265114779892E-3</v>
      </c>
      <c r="U568">
        <f t="shared" ca="1" si="34"/>
        <v>-1.0705208488739466E-2</v>
      </c>
      <c r="V568">
        <f t="shared" ca="1" si="35"/>
        <v>-6.1660665324749049E-3</v>
      </c>
    </row>
    <row r="569" spans="19:22" x14ac:dyDescent="0.35">
      <c r="S569">
        <f t="shared" ca="1" si="32"/>
        <v>-7.4001910825362421E-3</v>
      </c>
      <c r="T569">
        <f t="shared" ca="1" si="33"/>
        <v>1.8783999521666071E-2</v>
      </c>
      <c r="U569">
        <f t="shared" ca="1" si="34"/>
        <v>-4.3704087093037044E-3</v>
      </c>
      <c r="V569">
        <f t="shared" ca="1" si="35"/>
        <v>-2.0118638430341529E-3</v>
      </c>
    </row>
    <row r="570" spans="19:22" x14ac:dyDescent="0.35">
      <c r="S570">
        <f t="shared" ca="1" si="32"/>
        <v>1.9218706515011534E-3</v>
      </c>
      <c r="T570">
        <f t="shared" ca="1" si="33"/>
        <v>-4.7755683372002911E-3</v>
      </c>
      <c r="U570">
        <f t="shared" ca="1" si="34"/>
        <v>-1.6224225680177187E-2</v>
      </c>
      <c r="V570">
        <f t="shared" ca="1" si="35"/>
        <v>-3.2492196282305267E-4</v>
      </c>
    </row>
    <row r="571" spans="19:22" x14ac:dyDescent="0.35">
      <c r="S571">
        <f t="shared" ca="1" si="32"/>
        <v>-5.8100161169405851E-4</v>
      </c>
      <c r="T571">
        <f t="shared" ca="1" si="33"/>
        <v>-1.8708630199628406E-3</v>
      </c>
      <c r="U571">
        <f t="shared" ca="1" si="34"/>
        <v>-5.5303005017417221E-3</v>
      </c>
      <c r="V571">
        <f t="shared" ca="1" si="35"/>
        <v>-1.086438837850198E-3</v>
      </c>
    </row>
    <row r="572" spans="19:22" x14ac:dyDescent="0.35">
      <c r="S572">
        <f t="shared" ca="1" si="32"/>
        <v>1.176204742820801E-2</v>
      </c>
      <c r="T572">
        <f t="shared" ca="1" si="33"/>
        <v>9.3534445704978372E-3</v>
      </c>
      <c r="U572">
        <f t="shared" ca="1" si="34"/>
        <v>-3.2173680717801953E-2</v>
      </c>
      <c r="V572">
        <f t="shared" ca="1" si="35"/>
        <v>9.0835404493654782E-3</v>
      </c>
    </row>
    <row r="573" spans="19:22" x14ac:dyDescent="0.35">
      <c r="S573">
        <f t="shared" ca="1" si="32"/>
        <v>6.5101763740597098E-3</v>
      </c>
      <c r="T573">
        <f t="shared" ca="1" si="33"/>
        <v>-1.4899728324135346E-2</v>
      </c>
      <c r="U573">
        <f t="shared" ca="1" si="34"/>
        <v>-1.3342698656323319E-2</v>
      </c>
      <c r="V573">
        <f t="shared" ca="1" si="35"/>
        <v>1.2355516829015466E-3</v>
      </c>
    </row>
    <row r="574" spans="19:22" x14ac:dyDescent="0.35">
      <c r="S574">
        <f t="shared" ca="1" si="32"/>
        <v>-1.3355032009907982E-2</v>
      </c>
      <c r="T574">
        <f t="shared" ca="1" si="33"/>
        <v>1.1512247037255003E-2</v>
      </c>
      <c r="U574">
        <f t="shared" ca="1" si="34"/>
        <v>-2.5673426575761557E-3</v>
      </c>
      <c r="V574">
        <f t="shared" ca="1" si="35"/>
        <v>-7.8421917328587946E-3</v>
      </c>
    </row>
    <row r="575" spans="19:22" x14ac:dyDescent="0.35">
      <c r="S575">
        <f t="shared" ca="1" si="32"/>
        <v>1.4846568306364724E-3</v>
      </c>
      <c r="T575">
        <f t="shared" ca="1" si="33"/>
        <v>2.404360491354389E-2</v>
      </c>
      <c r="U575">
        <f t="shared" ca="1" si="34"/>
        <v>1.696389298328399E-2</v>
      </c>
      <c r="V575">
        <f t="shared" ca="1" si="35"/>
        <v>6.7704082548503321E-3</v>
      </c>
    </row>
    <row r="576" spans="19:22" x14ac:dyDescent="0.35">
      <c r="S576">
        <f t="shared" ca="1" si="32"/>
        <v>-1.0720925319774657E-2</v>
      </c>
      <c r="T576">
        <f t="shared" ca="1" si="33"/>
        <v>-4.0179056287147318E-2</v>
      </c>
      <c r="U576">
        <f t="shared" ca="1" si="34"/>
        <v>3.1929890619939762E-3</v>
      </c>
      <c r="V576">
        <f t="shared" ca="1" si="35"/>
        <v>-1.5916855794160759E-2</v>
      </c>
    </row>
    <row r="577" spans="19:22" x14ac:dyDescent="0.35">
      <c r="S577">
        <f t="shared" ca="1" si="32"/>
        <v>-4.167428507234807E-3</v>
      </c>
      <c r="T577">
        <f t="shared" ca="1" si="33"/>
        <v>1.0659477613796629E-2</v>
      </c>
      <c r="U577">
        <f t="shared" ca="1" si="34"/>
        <v>1.8038614634974724E-2</v>
      </c>
      <c r="V577">
        <f t="shared" ca="1" si="35"/>
        <v>-9.1745125918043201E-5</v>
      </c>
    </row>
    <row r="578" spans="19:22" x14ac:dyDescent="0.35">
      <c r="S578">
        <f t="shared" ca="1" si="32"/>
        <v>-1.5684492287891881E-3</v>
      </c>
      <c r="T578">
        <f t="shared" ca="1" si="33"/>
        <v>4.9952487399931693E-4</v>
      </c>
      <c r="U578">
        <f t="shared" ca="1" si="34"/>
        <v>1.8499013093745225E-2</v>
      </c>
      <c r="V578">
        <f t="shared" ca="1" si="35"/>
        <v>-1.5148129210476634E-4</v>
      </c>
    </row>
    <row r="579" spans="19:22" x14ac:dyDescent="0.35">
      <c r="S579">
        <f t="shared" ca="1" si="32"/>
        <v>-2.2333168027620542E-2</v>
      </c>
      <c r="T579">
        <f t="shared" ca="1" si="33"/>
        <v>8.5018355311848974E-3</v>
      </c>
      <c r="U579">
        <f t="shared" ca="1" si="34"/>
        <v>-1.9716851398301274E-2</v>
      </c>
      <c r="V579">
        <f t="shared" ca="1" si="35"/>
        <v>-1.603535148439349E-2</v>
      </c>
    </row>
    <row r="580" spans="19:22" x14ac:dyDescent="0.35">
      <c r="S580">
        <f t="shared" ref="S580:S643" ca="1" si="36">_xlfn.NORM.INV(RAND(),$L$3,$M$3)</f>
        <v>6.9144676548074067E-3</v>
      </c>
      <c r="T580">
        <f t="shared" ref="T580:T643" ca="1" si="37">_xlfn.NORM.INV(RAND(),$N$3,$O$3)</f>
        <v>-2.8674511988966419E-2</v>
      </c>
      <c r="U580">
        <f t="shared" ref="U580:U643" ca="1" si="38">_xlfn.NORM.INV(RAND(),$P$3,$Q$3)</f>
        <v>1.3623347855232589E-2</v>
      </c>
      <c r="V580">
        <f t="shared" ref="V580:V643" ca="1" si="39">(0.75*S580)+(0.2*T580)+(0.05*U580)</f>
        <v>1.3211573607390011E-4</v>
      </c>
    </row>
    <row r="581" spans="19:22" x14ac:dyDescent="0.35">
      <c r="S581">
        <f t="shared" ca="1" si="36"/>
        <v>-6.3522834383862564E-3</v>
      </c>
      <c r="T581">
        <f t="shared" ca="1" si="37"/>
        <v>-4.2327701023613081E-3</v>
      </c>
      <c r="U581">
        <f t="shared" ca="1" si="38"/>
        <v>-1.3370290562351902E-4</v>
      </c>
      <c r="V581">
        <f t="shared" ca="1" si="39"/>
        <v>-5.6174517445431301E-3</v>
      </c>
    </row>
    <row r="582" spans="19:22" x14ac:dyDescent="0.35">
      <c r="S582">
        <f t="shared" ca="1" si="36"/>
        <v>-2.9470098024853399E-3</v>
      </c>
      <c r="T582">
        <f t="shared" ca="1" si="37"/>
        <v>1.2740551952270076E-3</v>
      </c>
      <c r="U582">
        <f t="shared" ca="1" si="38"/>
        <v>1.8519940555948012E-2</v>
      </c>
      <c r="V582">
        <f t="shared" ca="1" si="39"/>
        <v>-1.0294492850212028E-3</v>
      </c>
    </row>
    <row r="583" spans="19:22" x14ac:dyDescent="0.35">
      <c r="S583">
        <f t="shared" ca="1" si="36"/>
        <v>4.6897116473001987E-3</v>
      </c>
      <c r="T583">
        <f t="shared" ca="1" si="37"/>
        <v>2.4305581113124655E-2</v>
      </c>
      <c r="U583">
        <f t="shared" ca="1" si="38"/>
        <v>9.9654521227812501E-3</v>
      </c>
      <c r="V583">
        <f t="shared" ca="1" si="39"/>
        <v>8.8766725642391419E-3</v>
      </c>
    </row>
    <row r="584" spans="19:22" x14ac:dyDescent="0.35">
      <c r="S584">
        <f t="shared" ca="1" si="36"/>
        <v>1.282731110828478E-2</v>
      </c>
      <c r="T584">
        <f t="shared" ca="1" si="37"/>
        <v>-2.0437835262683186E-2</v>
      </c>
      <c r="U584">
        <f t="shared" ca="1" si="38"/>
        <v>7.5296870529062863E-3</v>
      </c>
      <c r="V584">
        <f t="shared" ca="1" si="39"/>
        <v>5.9094006313222622E-3</v>
      </c>
    </row>
    <row r="585" spans="19:22" x14ac:dyDescent="0.35">
      <c r="S585">
        <f t="shared" ca="1" si="36"/>
        <v>-2.2363584825844132E-2</v>
      </c>
      <c r="T585">
        <f t="shared" ca="1" si="37"/>
        <v>2.4802257052551187E-2</v>
      </c>
      <c r="U585">
        <f t="shared" ca="1" si="38"/>
        <v>-1.4681159059555771E-2</v>
      </c>
      <c r="V585">
        <f t="shared" ca="1" si="39"/>
        <v>-1.2546295161850648E-2</v>
      </c>
    </row>
    <row r="586" spans="19:22" x14ac:dyDescent="0.35">
      <c r="S586">
        <f t="shared" ca="1" si="36"/>
        <v>1.9957469873986117E-3</v>
      </c>
      <c r="T586">
        <f t="shared" ca="1" si="37"/>
        <v>1.9474204048262968E-2</v>
      </c>
      <c r="U586">
        <f t="shared" ca="1" si="38"/>
        <v>6.8979426108064399E-3</v>
      </c>
      <c r="V586">
        <f t="shared" ca="1" si="39"/>
        <v>5.7365481807418739E-3</v>
      </c>
    </row>
    <row r="587" spans="19:22" x14ac:dyDescent="0.35">
      <c r="S587">
        <f t="shared" ca="1" si="36"/>
        <v>-1.1697286781111874E-2</v>
      </c>
      <c r="T587">
        <f t="shared" ca="1" si="37"/>
        <v>9.9748458812601182E-3</v>
      </c>
      <c r="U587">
        <f t="shared" ca="1" si="38"/>
        <v>-8.5607538073770792E-3</v>
      </c>
      <c r="V587">
        <f t="shared" ca="1" si="39"/>
        <v>-7.2060335999507364E-3</v>
      </c>
    </row>
    <row r="588" spans="19:22" x14ac:dyDescent="0.35">
      <c r="S588">
        <f t="shared" ca="1" si="36"/>
        <v>1.9947288639190184E-2</v>
      </c>
      <c r="T588">
        <f t="shared" ca="1" si="37"/>
        <v>-5.3340610077731573E-3</v>
      </c>
      <c r="U588">
        <f t="shared" ca="1" si="38"/>
        <v>2.1602895438931319E-2</v>
      </c>
      <c r="V588">
        <f t="shared" ca="1" si="39"/>
        <v>1.4973799049784573E-2</v>
      </c>
    </row>
    <row r="589" spans="19:22" x14ac:dyDescent="0.35">
      <c r="S589">
        <f t="shared" ca="1" si="36"/>
        <v>-1.8592942376065187E-3</v>
      </c>
      <c r="T589">
        <f t="shared" ca="1" si="37"/>
        <v>-1.7214484375642923E-3</v>
      </c>
      <c r="U589">
        <f t="shared" ca="1" si="38"/>
        <v>-2.8089956811461168E-3</v>
      </c>
      <c r="V589">
        <f t="shared" ca="1" si="39"/>
        <v>-1.8792101497750533E-3</v>
      </c>
    </row>
    <row r="590" spans="19:22" x14ac:dyDescent="0.35">
      <c r="S590">
        <f t="shared" ca="1" si="36"/>
        <v>7.0389283373821949E-3</v>
      </c>
      <c r="T590">
        <f t="shared" ca="1" si="37"/>
        <v>2.137537698332986E-2</v>
      </c>
      <c r="U590">
        <f t="shared" ca="1" si="38"/>
        <v>-1.1717223415405542E-2</v>
      </c>
      <c r="V590">
        <f t="shared" ca="1" si="39"/>
        <v>8.9684104789323413E-3</v>
      </c>
    </row>
    <row r="591" spans="19:22" x14ac:dyDescent="0.35">
      <c r="S591">
        <f t="shared" ca="1" si="36"/>
        <v>-7.3573581522005608E-3</v>
      </c>
      <c r="T591">
        <f t="shared" ca="1" si="37"/>
        <v>-1.3761680559747799E-2</v>
      </c>
      <c r="U591">
        <f t="shared" ca="1" si="38"/>
        <v>-1.4082084725581612E-2</v>
      </c>
      <c r="V591">
        <f t="shared" ca="1" si="39"/>
        <v>-8.9744589623790613E-3</v>
      </c>
    </row>
    <row r="592" spans="19:22" x14ac:dyDescent="0.35">
      <c r="S592">
        <f t="shared" ca="1" si="36"/>
        <v>5.0129602924767914E-3</v>
      </c>
      <c r="T592">
        <f t="shared" ca="1" si="37"/>
        <v>2.7897180899463678E-2</v>
      </c>
      <c r="U592">
        <f t="shared" ca="1" si="38"/>
        <v>-1.6753564006060651E-2</v>
      </c>
      <c r="V592">
        <f t="shared" ca="1" si="39"/>
        <v>8.5014781989472977E-3</v>
      </c>
    </row>
    <row r="593" spans="19:22" x14ac:dyDescent="0.35">
      <c r="S593">
        <f t="shared" ca="1" si="36"/>
        <v>2.1706552470667249E-2</v>
      </c>
      <c r="T593">
        <f t="shared" ca="1" si="37"/>
        <v>2.2936784306541218E-2</v>
      </c>
      <c r="U593">
        <f t="shared" ca="1" si="38"/>
        <v>-2.8626676684378035E-3</v>
      </c>
      <c r="V593">
        <f t="shared" ca="1" si="39"/>
        <v>2.072413783088679E-2</v>
      </c>
    </row>
    <row r="594" spans="19:22" x14ac:dyDescent="0.35">
      <c r="S594">
        <f t="shared" ca="1" si="36"/>
        <v>-2.5995147734473738E-2</v>
      </c>
      <c r="T594">
        <f t="shared" ca="1" si="37"/>
        <v>1.01782212861778E-2</v>
      </c>
      <c r="U594">
        <f t="shared" ca="1" si="38"/>
        <v>-3.0901783632531463E-2</v>
      </c>
      <c r="V594">
        <f t="shared" ca="1" si="39"/>
        <v>-1.9005805725246318E-2</v>
      </c>
    </row>
    <row r="595" spans="19:22" x14ac:dyDescent="0.35">
      <c r="S595">
        <f t="shared" ca="1" si="36"/>
        <v>9.0723517860412969E-4</v>
      </c>
      <c r="T595">
        <f t="shared" ca="1" si="37"/>
        <v>-5.4013066229182333E-3</v>
      </c>
      <c r="U595">
        <f t="shared" ca="1" si="38"/>
        <v>-2.5255134301063478E-2</v>
      </c>
      <c r="V595">
        <f t="shared" ca="1" si="39"/>
        <v>-1.6625916556837236E-3</v>
      </c>
    </row>
    <row r="596" spans="19:22" x14ac:dyDescent="0.35">
      <c r="S596">
        <f t="shared" ca="1" si="36"/>
        <v>4.1011376156984553E-3</v>
      </c>
      <c r="T596">
        <f t="shared" ca="1" si="37"/>
        <v>8.7970538742077331E-3</v>
      </c>
      <c r="U596">
        <f t="shared" ca="1" si="38"/>
        <v>-2.5182081701958878E-2</v>
      </c>
      <c r="V596">
        <f t="shared" ca="1" si="39"/>
        <v>3.5761599015174438E-3</v>
      </c>
    </row>
    <row r="597" spans="19:22" x14ac:dyDescent="0.35">
      <c r="S597">
        <f t="shared" ca="1" si="36"/>
        <v>2.1101517270777259E-3</v>
      </c>
      <c r="T597">
        <f t="shared" ca="1" si="37"/>
        <v>-1.0926729364777654E-2</v>
      </c>
      <c r="U597">
        <f t="shared" ca="1" si="38"/>
        <v>6.4551583836535611E-3</v>
      </c>
      <c r="V597">
        <f t="shared" ca="1" si="39"/>
        <v>-2.7997415846455815E-4</v>
      </c>
    </row>
    <row r="598" spans="19:22" x14ac:dyDescent="0.35">
      <c r="S598">
        <f t="shared" ca="1" si="36"/>
        <v>-1.9411237750899302E-2</v>
      </c>
      <c r="T598">
        <f t="shared" ca="1" si="37"/>
        <v>-1.7843834305266097E-2</v>
      </c>
      <c r="U598">
        <f t="shared" ca="1" si="38"/>
        <v>4.8474389430855471E-3</v>
      </c>
      <c r="V598">
        <f t="shared" ca="1" si="39"/>
        <v>-1.788482322707342E-2</v>
      </c>
    </row>
    <row r="599" spans="19:22" x14ac:dyDescent="0.35">
      <c r="S599">
        <f t="shared" ca="1" si="36"/>
        <v>8.7286112553183054E-3</v>
      </c>
      <c r="T599">
        <f t="shared" ca="1" si="37"/>
        <v>-1.0890437488869616E-3</v>
      </c>
      <c r="U599">
        <f t="shared" ca="1" si="38"/>
        <v>-6.9971601576583158E-3</v>
      </c>
      <c r="V599">
        <f t="shared" ca="1" si="39"/>
        <v>5.9787916838284216E-3</v>
      </c>
    </row>
    <row r="600" spans="19:22" x14ac:dyDescent="0.35">
      <c r="S600">
        <f t="shared" ca="1" si="36"/>
        <v>6.8366932467588855E-3</v>
      </c>
      <c r="T600">
        <f t="shared" ca="1" si="37"/>
        <v>-1.0271533061485021E-2</v>
      </c>
      <c r="U600">
        <f t="shared" ca="1" si="38"/>
        <v>-2.1622962806574181E-2</v>
      </c>
      <c r="V600">
        <f t="shared" ca="1" si="39"/>
        <v>1.9920651824434504E-3</v>
      </c>
    </row>
    <row r="601" spans="19:22" x14ac:dyDescent="0.35">
      <c r="S601">
        <f t="shared" ca="1" si="36"/>
        <v>-3.6655130660401092E-3</v>
      </c>
      <c r="T601">
        <f t="shared" ca="1" si="37"/>
        <v>3.8670054355678184E-2</v>
      </c>
      <c r="U601">
        <f t="shared" ca="1" si="38"/>
        <v>-8.0625398551050151E-3</v>
      </c>
      <c r="V601">
        <f t="shared" ca="1" si="39"/>
        <v>4.5817490788503052E-3</v>
      </c>
    </row>
    <row r="602" spans="19:22" x14ac:dyDescent="0.35">
      <c r="S602">
        <f t="shared" ca="1" si="36"/>
        <v>-8.4762991611776941E-3</v>
      </c>
      <c r="T602">
        <f t="shared" ca="1" si="37"/>
        <v>1.1606368530928887E-3</v>
      </c>
      <c r="U602">
        <f t="shared" ca="1" si="38"/>
        <v>-1.217444089176084E-2</v>
      </c>
      <c r="V602">
        <f t="shared" ca="1" si="39"/>
        <v>-6.7338190448527346E-3</v>
      </c>
    </row>
    <row r="603" spans="19:22" x14ac:dyDescent="0.35">
      <c r="S603">
        <f t="shared" ca="1" si="36"/>
        <v>2.0329041267915814E-2</v>
      </c>
      <c r="T603">
        <f t="shared" ca="1" si="37"/>
        <v>1.3086415071457212E-2</v>
      </c>
      <c r="U603">
        <f t="shared" ca="1" si="38"/>
        <v>3.6816862981646097E-2</v>
      </c>
      <c r="V603">
        <f t="shared" ca="1" si="39"/>
        <v>1.9704907114310607E-2</v>
      </c>
    </row>
    <row r="604" spans="19:22" x14ac:dyDescent="0.35">
      <c r="S604">
        <f t="shared" ca="1" si="36"/>
        <v>-1.1692075066576874E-2</v>
      </c>
      <c r="T604">
        <f t="shared" ca="1" si="37"/>
        <v>-1.8851347337047235E-2</v>
      </c>
      <c r="U604">
        <f t="shared" ca="1" si="38"/>
        <v>-6.9803195000693033E-3</v>
      </c>
      <c r="V604">
        <f t="shared" ca="1" si="39"/>
        <v>-1.2888341742345568E-2</v>
      </c>
    </row>
    <row r="605" spans="19:22" x14ac:dyDescent="0.35">
      <c r="S605">
        <f t="shared" ca="1" si="36"/>
        <v>6.8624803782861218E-5</v>
      </c>
      <c r="T605">
        <f t="shared" ca="1" si="37"/>
        <v>-2.4401419643243867E-3</v>
      </c>
      <c r="U605">
        <f t="shared" ca="1" si="38"/>
        <v>7.3894167492523132E-3</v>
      </c>
      <c r="V605">
        <f t="shared" ca="1" si="39"/>
        <v>-6.708895256511574E-5</v>
      </c>
    </row>
    <row r="606" spans="19:22" x14ac:dyDescent="0.35">
      <c r="S606">
        <f t="shared" ca="1" si="36"/>
        <v>-2.5030493894093588E-2</v>
      </c>
      <c r="T606">
        <f t="shared" ca="1" si="37"/>
        <v>-1.5601076102472253E-2</v>
      </c>
      <c r="U606">
        <f t="shared" ca="1" si="38"/>
        <v>1.7280004195355844E-2</v>
      </c>
      <c r="V606">
        <f t="shared" ca="1" si="39"/>
        <v>-2.1029085431296848E-2</v>
      </c>
    </row>
    <row r="607" spans="19:22" x14ac:dyDescent="0.35">
      <c r="S607">
        <f t="shared" ca="1" si="36"/>
        <v>-1.5749923554675683E-2</v>
      </c>
      <c r="T607">
        <f t="shared" ca="1" si="37"/>
        <v>-2.5805491848538E-2</v>
      </c>
      <c r="U607">
        <f t="shared" ca="1" si="38"/>
        <v>3.7717433857779488E-2</v>
      </c>
      <c r="V607">
        <f t="shared" ca="1" si="39"/>
        <v>-1.5087669342825389E-2</v>
      </c>
    </row>
    <row r="608" spans="19:22" x14ac:dyDescent="0.35">
      <c r="S608">
        <f t="shared" ca="1" si="36"/>
        <v>-1.0515036265465629E-2</v>
      </c>
      <c r="T608">
        <f t="shared" ca="1" si="37"/>
        <v>-7.2355675552243127E-3</v>
      </c>
      <c r="U608">
        <f t="shared" ca="1" si="38"/>
        <v>1.8048513939747365E-2</v>
      </c>
      <c r="V608">
        <f t="shared" ca="1" si="39"/>
        <v>-8.4309650131567156E-3</v>
      </c>
    </row>
    <row r="609" spans="19:22" x14ac:dyDescent="0.35">
      <c r="S609">
        <f t="shared" ca="1" si="36"/>
        <v>7.7181246350734155E-3</v>
      </c>
      <c r="T609">
        <f t="shared" ca="1" si="37"/>
        <v>4.0730026890072941E-2</v>
      </c>
      <c r="U609">
        <f t="shared" ca="1" si="38"/>
        <v>-1.9696710472068703E-2</v>
      </c>
      <c r="V609">
        <f t="shared" ca="1" si="39"/>
        <v>1.2949763330716214E-2</v>
      </c>
    </row>
    <row r="610" spans="19:22" x14ac:dyDescent="0.35">
      <c r="S610">
        <f t="shared" ca="1" si="36"/>
        <v>7.4200054991234877E-3</v>
      </c>
      <c r="T610">
        <f t="shared" ca="1" si="37"/>
        <v>1.050819285163153E-2</v>
      </c>
      <c r="U610">
        <f t="shared" ca="1" si="38"/>
        <v>1.1573989858065254E-2</v>
      </c>
      <c r="V610">
        <f t="shared" ca="1" si="39"/>
        <v>8.2453421875721862E-3</v>
      </c>
    </row>
    <row r="611" spans="19:22" x14ac:dyDescent="0.35">
      <c r="S611">
        <f t="shared" ca="1" si="36"/>
        <v>1.5930164550729941E-2</v>
      </c>
      <c r="T611">
        <f t="shared" ca="1" si="37"/>
        <v>1.796468742096613E-2</v>
      </c>
      <c r="U611">
        <f t="shared" ca="1" si="38"/>
        <v>4.9953305222764872E-2</v>
      </c>
      <c r="V611">
        <f t="shared" ca="1" si="39"/>
        <v>1.8038226158378926E-2</v>
      </c>
    </row>
    <row r="612" spans="19:22" x14ac:dyDescent="0.35">
      <c r="S612">
        <f t="shared" ca="1" si="36"/>
        <v>-2.1414270466245316E-2</v>
      </c>
      <c r="T612">
        <f t="shared" ca="1" si="37"/>
        <v>1.0460617762740361E-2</v>
      </c>
      <c r="U612">
        <f t="shared" ca="1" si="38"/>
        <v>-1.1187293696167409E-2</v>
      </c>
      <c r="V612">
        <f t="shared" ca="1" si="39"/>
        <v>-1.4527943981944284E-2</v>
      </c>
    </row>
    <row r="613" spans="19:22" x14ac:dyDescent="0.35">
      <c r="S613">
        <f t="shared" ca="1" si="36"/>
        <v>-1.1004914221198057E-2</v>
      </c>
      <c r="T613">
        <f t="shared" ca="1" si="37"/>
        <v>-1.41673262381258E-2</v>
      </c>
      <c r="U613">
        <f t="shared" ca="1" si="38"/>
        <v>-7.2918172435013492E-3</v>
      </c>
      <c r="V613">
        <f t="shared" ca="1" si="39"/>
        <v>-1.145174177569877E-2</v>
      </c>
    </row>
    <row r="614" spans="19:22" x14ac:dyDescent="0.35">
      <c r="S614">
        <f t="shared" ca="1" si="36"/>
        <v>1.0533553311386144E-2</v>
      </c>
      <c r="T614">
        <f t="shared" ca="1" si="37"/>
        <v>-3.5989505369189469E-2</v>
      </c>
      <c r="U614">
        <f t="shared" ca="1" si="38"/>
        <v>-5.714089593558523E-3</v>
      </c>
      <c r="V614">
        <f t="shared" ca="1" si="39"/>
        <v>4.1655943002378871E-4</v>
      </c>
    </row>
    <row r="615" spans="19:22" x14ac:dyDescent="0.35">
      <c r="S615">
        <f t="shared" ca="1" si="36"/>
        <v>2.4340404740356952E-2</v>
      </c>
      <c r="T615">
        <f t="shared" ca="1" si="37"/>
        <v>2.8535175043512941E-3</v>
      </c>
      <c r="U615">
        <f t="shared" ca="1" si="38"/>
        <v>3.0116581977982283E-3</v>
      </c>
      <c r="V615">
        <f t="shared" ca="1" si="39"/>
        <v>1.8976589966027881E-2</v>
      </c>
    </row>
    <row r="616" spans="19:22" x14ac:dyDescent="0.35">
      <c r="S616">
        <f t="shared" ca="1" si="36"/>
        <v>-1.7906448559187552E-2</v>
      </c>
      <c r="T616">
        <f t="shared" ca="1" si="37"/>
        <v>-5.7480302875087376E-3</v>
      </c>
      <c r="U616">
        <f t="shared" ca="1" si="38"/>
        <v>-1.7786243846871688E-2</v>
      </c>
      <c r="V616">
        <f t="shared" ca="1" si="39"/>
        <v>-1.5468754669235998E-2</v>
      </c>
    </row>
    <row r="617" spans="19:22" x14ac:dyDescent="0.35">
      <c r="S617">
        <f t="shared" ca="1" si="36"/>
        <v>-2.195383215030389E-2</v>
      </c>
      <c r="T617">
        <f t="shared" ca="1" si="37"/>
        <v>-2.7105436581385078E-3</v>
      </c>
      <c r="U617">
        <f t="shared" ca="1" si="38"/>
        <v>2.3974792850737437E-2</v>
      </c>
      <c r="V617">
        <f t="shared" ca="1" si="39"/>
        <v>-1.5808743201818749E-2</v>
      </c>
    </row>
    <row r="618" spans="19:22" x14ac:dyDescent="0.35">
      <c r="S618">
        <f t="shared" ca="1" si="36"/>
        <v>2.0116026660368085E-3</v>
      </c>
      <c r="T618">
        <f t="shared" ca="1" si="37"/>
        <v>-9.8612940995529211E-3</v>
      </c>
      <c r="U618">
        <f t="shared" ca="1" si="38"/>
        <v>3.1299863163389459E-2</v>
      </c>
      <c r="V618">
        <f t="shared" ca="1" si="39"/>
        <v>1.1014363377864949E-3</v>
      </c>
    </row>
    <row r="619" spans="19:22" x14ac:dyDescent="0.35">
      <c r="S619">
        <f t="shared" ca="1" si="36"/>
        <v>-5.8944108166482604E-3</v>
      </c>
      <c r="T619">
        <f t="shared" ca="1" si="37"/>
        <v>-2.4447154781840432E-3</v>
      </c>
      <c r="U619">
        <f t="shared" ca="1" si="38"/>
        <v>-6.9978660343664153E-3</v>
      </c>
      <c r="V619">
        <f t="shared" ca="1" si="39"/>
        <v>-5.2596445098413254E-3</v>
      </c>
    </row>
    <row r="620" spans="19:22" x14ac:dyDescent="0.35">
      <c r="S620">
        <f t="shared" ca="1" si="36"/>
        <v>1.26348168584928E-2</v>
      </c>
      <c r="T620">
        <f t="shared" ca="1" si="37"/>
        <v>-3.108248281304973E-4</v>
      </c>
      <c r="U620">
        <f t="shared" ca="1" si="38"/>
        <v>1.344239143705638E-2</v>
      </c>
      <c r="V620">
        <f t="shared" ca="1" si="39"/>
        <v>1.0086067250096319E-2</v>
      </c>
    </row>
    <row r="621" spans="19:22" x14ac:dyDescent="0.35">
      <c r="S621">
        <f t="shared" ca="1" si="36"/>
        <v>-7.3500057395346503E-3</v>
      </c>
      <c r="T621">
        <f t="shared" ca="1" si="37"/>
        <v>-4.3913381575219823E-3</v>
      </c>
      <c r="U621">
        <f t="shared" ca="1" si="38"/>
        <v>2.2266325453166397E-2</v>
      </c>
      <c r="V621">
        <f t="shared" ca="1" si="39"/>
        <v>-5.2774556634970649E-3</v>
      </c>
    </row>
    <row r="622" spans="19:22" x14ac:dyDescent="0.35">
      <c r="S622">
        <f t="shared" ca="1" si="36"/>
        <v>8.3471261525261565E-3</v>
      </c>
      <c r="T622">
        <f t="shared" ca="1" si="37"/>
        <v>-2.2935951766629801E-3</v>
      </c>
      <c r="U622">
        <f t="shared" ca="1" si="38"/>
        <v>1.7411792907995199E-2</v>
      </c>
      <c r="V622">
        <f t="shared" ca="1" si="39"/>
        <v>6.6722152244617821E-3</v>
      </c>
    </row>
    <row r="623" spans="19:22" x14ac:dyDescent="0.35">
      <c r="S623">
        <f t="shared" ca="1" si="36"/>
        <v>-1.6703277350061486E-2</v>
      </c>
      <c r="T623">
        <f t="shared" ca="1" si="37"/>
        <v>-9.0604291963226283E-3</v>
      </c>
      <c r="U623">
        <f t="shared" ca="1" si="38"/>
        <v>-4.8256855096618298E-3</v>
      </c>
      <c r="V623">
        <f t="shared" ca="1" si="39"/>
        <v>-1.4580828127293732E-2</v>
      </c>
    </row>
    <row r="624" spans="19:22" x14ac:dyDescent="0.35">
      <c r="S624">
        <f t="shared" ca="1" si="36"/>
        <v>-5.2706951004936869E-3</v>
      </c>
      <c r="T624">
        <f t="shared" ca="1" si="37"/>
        <v>-1.2280916446087193E-2</v>
      </c>
      <c r="U624">
        <f t="shared" ca="1" si="38"/>
        <v>-4.023503056133206E-3</v>
      </c>
      <c r="V624">
        <f t="shared" ca="1" si="39"/>
        <v>-6.6103797673943638E-3</v>
      </c>
    </row>
    <row r="625" spans="19:22" x14ac:dyDescent="0.35">
      <c r="S625">
        <f t="shared" ca="1" si="36"/>
        <v>-9.130288269466073E-3</v>
      </c>
      <c r="T625">
        <f t="shared" ca="1" si="37"/>
        <v>1.0333531241143159E-2</v>
      </c>
      <c r="U625">
        <f t="shared" ca="1" si="38"/>
        <v>6.0224453253085307E-2</v>
      </c>
      <c r="V625">
        <f t="shared" ca="1" si="39"/>
        <v>-1.7697872912166568E-3</v>
      </c>
    </row>
    <row r="626" spans="19:22" x14ac:dyDescent="0.35">
      <c r="S626">
        <f t="shared" ca="1" si="36"/>
        <v>-1.3932038141126033E-2</v>
      </c>
      <c r="T626">
        <f t="shared" ca="1" si="37"/>
        <v>5.1705934139343441E-6</v>
      </c>
      <c r="U626">
        <f t="shared" ca="1" si="38"/>
        <v>-1.4774119825272101E-2</v>
      </c>
      <c r="V626">
        <f t="shared" ca="1" si="39"/>
        <v>-1.1186700478425344E-2</v>
      </c>
    </row>
    <row r="627" spans="19:22" x14ac:dyDescent="0.35">
      <c r="S627">
        <f t="shared" ca="1" si="36"/>
        <v>4.1602153677478763E-2</v>
      </c>
      <c r="T627">
        <f t="shared" ca="1" si="37"/>
        <v>2.2551852023032108E-2</v>
      </c>
      <c r="U627">
        <f t="shared" ca="1" si="38"/>
        <v>-1.7399242093634362E-3</v>
      </c>
      <c r="V627">
        <f t="shared" ca="1" si="39"/>
        <v>3.5624989452247326E-2</v>
      </c>
    </row>
    <row r="628" spans="19:22" x14ac:dyDescent="0.35">
      <c r="S628">
        <f t="shared" ca="1" si="36"/>
        <v>1.0776479943734747E-2</v>
      </c>
      <c r="T628">
        <f t="shared" ca="1" si="37"/>
        <v>-3.4843158696645318E-3</v>
      </c>
      <c r="U628">
        <f t="shared" ca="1" si="38"/>
        <v>9.3320689275779682E-3</v>
      </c>
      <c r="V628">
        <f t="shared" ca="1" si="39"/>
        <v>7.8521002302470513E-3</v>
      </c>
    </row>
    <row r="629" spans="19:22" x14ac:dyDescent="0.35">
      <c r="S629">
        <f t="shared" ca="1" si="36"/>
        <v>-5.3118252731546162E-3</v>
      </c>
      <c r="T629">
        <f t="shared" ca="1" si="37"/>
        <v>-2.2392566813939429E-2</v>
      </c>
      <c r="U629">
        <f t="shared" ca="1" si="38"/>
        <v>2.2073495028034015E-2</v>
      </c>
      <c r="V629">
        <f t="shared" ca="1" si="39"/>
        <v>-7.3587075662521475E-3</v>
      </c>
    </row>
    <row r="630" spans="19:22" x14ac:dyDescent="0.35">
      <c r="S630">
        <f t="shared" ca="1" si="36"/>
        <v>1.9562573657883494E-2</v>
      </c>
      <c r="T630">
        <f t="shared" ca="1" si="37"/>
        <v>-2.3162954620527677E-2</v>
      </c>
      <c r="U630">
        <f t="shared" ca="1" si="38"/>
        <v>4.6704963578952643E-3</v>
      </c>
      <c r="V630">
        <f t="shared" ca="1" si="39"/>
        <v>1.0272864137201847E-2</v>
      </c>
    </row>
    <row r="631" spans="19:22" x14ac:dyDescent="0.35">
      <c r="S631">
        <f t="shared" ca="1" si="36"/>
        <v>-3.3084779091443903E-2</v>
      </c>
      <c r="T631">
        <f t="shared" ca="1" si="37"/>
        <v>2.548215126924475E-2</v>
      </c>
      <c r="U631">
        <f t="shared" ca="1" si="38"/>
        <v>2.9155044540748423E-2</v>
      </c>
      <c r="V631">
        <f t="shared" ca="1" si="39"/>
        <v>-1.8259401837696556E-2</v>
      </c>
    </row>
    <row r="632" spans="19:22" x14ac:dyDescent="0.35">
      <c r="S632">
        <f t="shared" ca="1" si="36"/>
        <v>-1.4300042930275054E-2</v>
      </c>
      <c r="T632">
        <f t="shared" ca="1" si="37"/>
        <v>3.7497123215216215E-3</v>
      </c>
      <c r="U632">
        <f t="shared" ca="1" si="38"/>
        <v>1.5656577007986054E-2</v>
      </c>
      <c r="V632">
        <f t="shared" ca="1" si="39"/>
        <v>-9.1922608830026648E-3</v>
      </c>
    </row>
    <row r="633" spans="19:22" x14ac:dyDescent="0.35">
      <c r="S633">
        <f t="shared" ca="1" si="36"/>
        <v>-1.6410992496081779E-2</v>
      </c>
      <c r="T633">
        <f t="shared" ca="1" si="37"/>
        <v>1.6619822891853115E-2</v>
      </c>
      <c r="U633">
        <f t="shared" ca="1" si="38"/>
        <v>1.8489764384970592E-2</v>
      </c>
      <c r="V633">
        <f t="shared" ca="1" si="39"/>
        <v>-8.0597915744421815E-3</v>
      </c>
    </row>
    <row r="634" spans="19:22" x14ac:dyDescent="0.35">
      <c r="S634">
        <f t="shared" ca="1" si="36"/>
        <v>-9.2091293019025012E-3</v>
      </c>
      <c r="T634">
        <f t="shared" ca="1" si="37"/>
        <v>4.3387557241129013E-2</v>
      </c>
      <c r="U634">
        <f t="shared" ca="1" si="38"/>
        <v>1.3150665766516127E-2</v>
      </c>
      <c r="V634">
        <f t="shared" ca="1" si="39"/>
        <v>2.4281977601247327E-3</v>
      </c>
    </row>
    <row r="635" spans="19:22" x14ac:dyDescent="0.35">
      <c r="S635">
        <f t="shared" ca="1" si="36"/>
        <v>1.7037980325782243E-2</v>
      </c>
      <c r="T635">
        <f t="shared" ca="1" si="37"/>
        <v>8.5906904522788687E-3</v>
      </c>
      <c r="U635">
        <f t="shared" ca="1" si="38"/>
        <v>1.0042051189791859E-2</v>
      </c>
      <c r="V635">
        <f t="shared" ca="1" si="39"/>
        <v>1.4998725894282049E-2</v>
      </c>
    </row>
    <row r="636" spans="19:22" x14ac:dyDescent="0.35">
      <c r="S636">
        <f t="shared" ca="1" si="36"/>
        <v>8.3444563961660081E-3</v>
      </c>
      <c r="T636">
        <f t="shared" ca="1" si="37"/>
        <v>1.9481057263572129E-2</v>
      </c>
      <c r="U636">
        <f t="shared" ca="1" si="38"/>
        <v>-2.3712016284018967E-2</v>
      </c>
      <c r="V636">
        <f t="shared" ca="1" si="39"/>
        <v>8.9689529356379825E-3</v>
      </c>
    </row>
    <row r="637" spans="19:22" x14ac:dyDescent="0.35">
      <c r="S637">
        <f t="shared" ca="1" si="36"/>
        <v>-1.9554722842169341E-2</v>
      </c>
      <c r="T637">
        <f t="shared" ca="1" si="37"/>
        <v>-8.7884369224499239E-3</v>
      </c>
      <c r="U637">
        <f t="shared" ca="1" si="38"/>
        <v>3.7342285273448537E-2</v>
      </c>
      <c r="V637">
        <f t="shared" ca="1" si="39"/>
        <v>-1.4556615252444564E-2</v>
      </c>
    </row>
    <row r="638" spans="19:22" x14ac:dyDescent="0.35">
      <c r="S638">
        <f t="shared" ca="1" si="36"/>
        <v>1.3505038815109942E-2</v>
      </c>
      <c r="T638">
        <f t="shared" ca="1" si="37"/>
        <v>6.4835735721052463E-4</v>
      </c>
      <c r="U638">
        <f t="shared" ca="1" si="38"/>
        <v>3.0453511840364697E-2</v>
      </c>
      <c r="V638">
        <f t="shared" ca="1" si="39"/>
        <v>1.1781126174792798E-2</v>
      </c>
    </row>
    <row r="639" spans="19:22" x14ac:dyDescent="0.35">
      <c r="S639">
        <f t="shared" ca="1" si="36"/>
        <v>4.4950222739501139E-3</v>
      </c>
      <c r="T639">
        <f t="shared" ca="1" si="37"/>
        <v>-2.1895110501289804E-2</v>
      </c>
      <c r="U639">
        <f t="shared" ca="1" si="38"/>
        <v>-6.2429913318384914E-3</v>
      </c>
      <c r="V639">
        <f t="shared" ca="1" si="39"/>
        <v>-1.3199049613872998E-3</v>
      </c>
    </row>
    <row r="640" spans="19:22" x14ac:dyDescent="0.35">
      <c r="S640">
        <f t="shared" ca="1" si="36"/>
        <v>-8.7059309248090754E-3</v>
      </c>
      <c r="T640">
        <f t="shared" ca="1" si="37"/>
        <v>-4.8131595147595727E-3</v>
      </c>
      <c r="U640">
        <f t="shared" ca="1" si="38"/>
        <v>1.3182326475770072E-2</v>
      </c>
      <c r="V640">
        <f t="shared" ca="1" si="39"/>
        <v>-6.8329637727702177E-3</v>
      </c>
    </row>
    <row r="641" spans="19:22" x14ac:dyDescent="0.35">
      <c r="S641">
        <f t="shared" ca="1" si="36"/>
        <v>-9.557854548326401E-3</v>
      </c>
      <c r="T641">
        <f t="shared" ca="1" si="37"/>
        <v>-2.5034367419992005E-2</v>
      </c>
      <c r="U641">
        <f t="shared" ca="1" si="38"/>
        <v>-5.4090714685807707E-2</v>
      </c>
      <c r="V641">
        <f t="shared" ca="1" si="39"/>
        <v>-1.4879800129533587E-2</v>
      </c>
    </row>
    <row r="642" spans="19:22" x14ac:dyDescent="0.35">
      <c r="S642">
        <f t="shared" ca="1" si="36"/>
        <v>1.4168087964525817E-3</v>
      </c>
      <c r="T642">
        <f t="shared" ca="1" si="37"/>
        <v>-1.0841380457991176E-2</v>
      </c>
      <c r="U642">
        <f t="shared" ca="1" si="38"/>
        <v>3.2815877615765425E-2</v>
      </c>
      <c r="V642">
        <f t="shared" ca="1" si="39"/>
        <v>5.3512438652947238E-4</v>
      </c>
    </row>
    <row r="643" spans="19:22" x14ac:dyDescent="0.35">
      <c r="S643">
        <f t="shared" ca="1" si="36"/>
        <v>-3.2196959924823065E-4</v>
      </c>
      <c r="T643">
        <f t="shared" ca="1" si="37"/>
        <v>1.1140981659240845E-2</v>
      </c>
      <c r="U643">
        <f t="shared" ca="1" si="38"/>
        <v>1.1546726387210994E-2</v>
      </c>
      <c r="V643">
        <f t="shared" ca="1" si="39"/>
        <v>2.564055451772546E-3</v>
      </c>
    </row>
    <row r="644" spans="19:22" x14ac:dyDescent="0.35">
      <c r="S644">
        <f t="shared" ref="S644:S707" ca="1" si="40">_xlfn.NORM.INV(RAND(),$L$3,$M$3)</f>
        <v>3.0721834475295395E-3</v>
      </c>
      <c r="T644">
        <f t="shared" ref="T644:T707" ca="1" si="41">_xlfn.NORM.INV(RAND(),$N$3,$O$3)</f>
        <v>-2.0937362692296166E-2</v>
      </c>
      <c r="U644">
        <f t="shared" ref="U644:U707" ca="1" si="42">_xlfn.NORM.INV(RAND(),$P$3,$Q$3)</f>
        <v>-3.4703258351164779E-2</v>
      </c>
      <c r="V644">
        <f t="shared" ref="V644:V707" ca="1" si="43">(0.75*S644)+(0.2*T644)+(0.05*U644)</f>
        <v>-3.6184978703703175E-3</v>
      </c>
    </row>
    <row r="645" spans="19:22" x14ac:dyDescent="0.35">
      <c r="S645">
        <f t="shared" ca="1" si="40"/>
        <v>-3.4406537893913367E-3</v>
      </c>
      <c r="T645">
        <f t="shared" ca="1" si="41"/>
        <v>1.0110855394479226E-3</v>
      </c>
      <c r="U645">
        <f t="shared" ca="1" si="42"/>
        <v>-1.1027375145986998E-2</v>
      </c>
      <c r="V645">
        <f t="shared" ca="1" si="43"/>
        <v>-2.9296419914532678E-3</v>
      </c>
    </row>
    <row r="646" spans="19:22" x14ac:dyDescent="0.35">
      <c r="S646">
        <f t="shared" ca="1" si="40"/>
        <v>5.8071281663233873E-3</v>
      </c>
      <c r="T646">
        <f t="shared" ca="1" si="41"/>
        <v>9.2589975793795267E-3</v>
      </c>
      <c r="U646">
        <f t="shared" ca="1" si="42"/>
        <v>2.4817722545563449E-3</v>
      </c>
      <c r="V646">
        <f t="shared" ca="1" si="43"/>
        <v>6.3312342533462631E-3</v>
      </c>
    </row>
    <row r="647" spans="19:22" x14ac:dyDescent="0.35">
      <c r="S647">
        <f t="shared" ca="1" si="40"/>
        <v>1.6340788466505878E-2</v>
      </c>
      <c r="T647">
        <f t="shared" ca="1" si="41"/>
        <v>9.6779164223203297E-3</v>
      </c>
      <c r="U647">
        <f t="shared" ca="1" si="42"/>
        <v>-2.8843284753710324E-2</v>
      </c>
      <c r="V647">
        <f t="shared" ca="1" si="43"/>
        <v>1.2749010396657958E-2</v>
      </c>
    </row>
    <row r="648" spans="19:22" x14ac:dyDescent="0.35">
      <c r="S648">
        <f t="shared" ca="1" si="40"/>
        <v>-1.9951466781932842E-3</v>
      </c>
      <c r="T648">
        <f t="shared" ca="1" si="41"/>
        <v>-8.7899458856626981E-3</v>
      </c>
      <c r="U648">
        <f t="shared" ca="1" si="42"/>
        <v>3.6086649570074972E-2</v>
      </c>
      <c r="V648">
        <f t="shared" ca="1" si="43"/>
        <v>-1.4500167072737543E-3</v>
      </c>
    </row>
    <row r="649" spans="19:22" x14ac:dyDescent="0.35">
      <c r="S649">
        <f t="shared" ca="1" si="40"/>
        <v>-1.3128001229730894E-2</v>
      </c>
      <c r="T649">
        <f t="shared" ca="1" si="41"/>
        <v>-3.0997923303766158E-2</v>
      </c>
      <c r="U649">
        <f t="shared" ca="1" si="42"/>
        <v>2.9198526651330228E-2</v>
      </c>
      <c r="V649">
        <f t="shared" ca="1" si="43"/>
        <v>-1.4585659250484892E-2</v>
      </c>
    </row>
    <row r="650" spans="19:22" x14ac:dyDescent="0.35">
      <c r="S650">
        <f t="shared" ca="1" si="40"/>
        <v>-2.6305867780928298E-2</v>
      </c>
      <c r="T650">
        <f t="shared" ca="1" si="41"/>
        <v>-2.8041402177782806E-2</v>
      </c>
      <c r="U650">
        <f t="shared" ca="1" si="42"/>
        <v>1.1322946207684164E-2</v>
      </c>
      <c r="V650">
        <f t="shared" ca="1" si="43"/>
        <v>-2.4771533960868578E-2</v>
      </c>
    </row>
    <row r="651" spans="19:22" x14ac:dyDescent="0.35">
      <c r="S651">
        <f t="shared" ca="1" si="40"/>
        <v>4.0885401017441217E-3</v>
      </c>
      <c r="T651">
        <f t="shared" ca="1" si="41"/>
        <v>7.328769487723207E-3</v>
      </c>
      <c r="U651">
        <f t="shared" ca="1" si="42"/>
        <v>8.1117707154286234E-3</v>
      </c>
      <c r="V651">
        <f t="shared" ca="1" si="43"/>
        <v>4.9377475096241633E-3</v>
      </c>
    </row>
    <row r="652" spans="19:22" x14ac:dyDescent="0.35">
      <c r="S652">
        <f t="shared" ca="1" si="40"/>
        <v>-1.4034504202500332E-2</v>
      </c>
      <c r="T652">
        <f t="shared" ca="1" si="41"/>
        <v>9.8288400359637981E-3</v>
      </c>
      <c r="U652">
        <f t="shared" ca="1" si="42"/>
        <v>-1.0145494974097405E-2</v>
      </c>
      <c r="V652">
        <f t="shared" ca="1" si="43"/>
        <v>-9.0673848933873601E-3</v>
      </c>
    </row>
    <row r="653" spans="19:22" x14ac:dyDescent="0.35">
      <c r="S653">
        <f t="shared" ca="1" si="40"/>
        <v>-1.8731549476380116E-2</v>
      </c>
      <c r="T653">
        <f t="shared" ca="1" si="41"/>
        <v>-5.8188168818235205E-3</v>
      </c>
      <c r="U653">
        <f t="shared" ca="1" si="42"/>
        <v>-1.0821759053870179E-2</v>
      </c>
      <c r="V653">
        <f t="shared" ca="1" si="43"/>
        <v>-1.5753513436343302E-2</v>
      </c>
    </row>
    <row r="654" spans="19:22" x14ac:dyDescent="0.35">
      <c r="S654">
        <f t="shared" ca="1" si="40"/>
        <v>-8.3691199817425063E-3</v>
      </c>
      <c r="T654">
        <f t="shared" ca="1" si="41"/>
        <v>1.6775135762563165E-2</v>
      </c>
      <c r="U654">
        <f t="shared" ca="1" si="42"/>
        <v>-6.0186619540691787E-2</v>
      </c>
      <c r="V654">
        <f t="shared" ca="1" si="43"/>
        <v>-5.9311438108288362E-3</v>
      </c>
    </row>
    <row r="655" spans="19:22" x14ac:dyDescent="0.35">
      <c r="S655">
        <f t="shared" ca="1" si="40"/>
        <v>-2.6102467513847094E-2</v>
      </c>
      <c r="T655">
        <f t="shared" ca="1" si="41"/>
        <v>-1.9122673017492118E-3</v>
      </c>
      <c r="U655">
        <f t="shared" ca="1" si="42"/>
        <v>-2.2355937369798722E-2</v>
      </c>
      <c r="V655">
        <f t="shared" ca="1" si="43"/>
        <v>-2.10771009642251E-2</v>
      </c>
    </row>
    <row r="656" spans="19:22" x14ac:dyDescent="0.35">
      <c r="S656">
        <f t="shared" ca="1" si="40"/>
        <v>-1.0749177543127512E-2</v>
      </c>
      <c r="T656">
        <f t="shared" ca="1" si="41"/>
        <v>9.0455735278397974E-3</v>
      </c>
      <c r="U656">
        <f t="shared" ca="1" si="42"/>
        <v>-4.3507072571639426E-3</v>
      </c>
      <c r="V656">
        <f t="shared" ca="1" si="43"/>
        <v>-6.4703038146358711E-3</v>
      </c>
    </row>
    <row r="657" spans="19:22" x14ac:dyDescent="0.35">
      <c r="S657">
        <f t="shared" ca="1" si="40"/>
        <v>-2.353874194273009E-2</v>
      </c>
      <c r="T657">
        <f t="shared" ca="1" si="41"/>
        <v>-1.0595247949001919E-2</v>
      </c>
      <c r="U657">
        <f t="shared" ca="1" si="42"/>
        <v>3.0469990110263905E-2</v>
      </c>
      <c r="V657">
        <f t="shared" ca="1" si="43"/>
        <v>-1.8249606541334756E-2</v>
      </c>
    </row>
    <row r="658" spans="19:22" x14ac:dyDescent="0.35">
      <c r="S658">
        <f t="shared" ca="1" si="40"/>
        <v>1.634537047207844E-2</v>
      </c>
      <c r="T658">
        <f t="shared" ca="1" si="41"/>
        <v>-6.7624631739278815E-3</v>
      </c>
      <c r="U658">
        <f t="shared" ca="1" si="42"/>
        <v>-6.0066460665004588E-3</v>
      </c>
      <c r="V658">
        <f t="shared" ca="1" si="43"/>
        <v>1.0606202915948229E-2</v>
      </c>
    </row>
    <row r="659" spans="19:22" x14ac:dyDescent="0.35">
      <c r="S659">
        <f t="shared" ca="1" si="40"/>
        <v>-9.8549438370900012E-3</v>
      </c>
      <c r="T659">
        <f t="shared" ca="1" si="41"/>
        <v>8.0448914174189763E-3</v>
      </c>
      <c r="U659">
        <f t="shared" ca="1" si="42"/>
        <v>-1.1944594848604396E-2</v>
      </c>
      <c r="V659">
        <f t="shared" ca="1" si="43"/>
        <v>-6.3794593367639263E-3</v>
      </c>
    </row>
    <row r="660" spans="19:22" x14ac:dyDescent="0.35">
      <c r="S660">
        <f t="shared" ca="1" si="40"/>
        <v>-5.8113989056062677E-3</v>
      </c>
      <c r="T660">
        <f t="shared" ca="1" si="41"/>
        <v>3.0788162130843595E-3</v>
      </c>
      <c r="U660">
        <f t="shared" ca="1" si="42"/>
        <v>2.7480350025259642E-2</v>
      </c>
      <c r="V660">
        <f t="shared" ca="1" si="43"/>
        <v>-2.3687684353248467E-3</v>
      </c>
    </row>
    <row r="661" spans="19:22" x14ac:dyDescent="0.35">
      <c r="S661">
        <f t="shared" ca="1" si="40"/>
        <v>1.6530940456533025E-3</v>
      </c>
      <c r="T661">
        <f t="shared" ca="1" si="41"/>
        <v>6.8320688413434972E-4</v>
      </c>
      <c r="U661">
        <f t="shared" ca="1" si="42"/>
        <v>3.2769593131561713E-2</v>
      </c>
      <c r="V661">
        <f t="shared" ca="1" si="43"/>
        <v>3.0149415676449325E-3</v>
      </c>
    </row>
    <row r="662" spans="19:22" x14ac:dyDescent="0.35">
      <c r="S662">
        <f t="shared" ca="1" si="40"/>
        <v>7.9349953219417218E-3</v>
      </c>
      <c r="T662">
        <f t="shared" ca="1" si="41"/>
        <v>-2.2218349725428373E-3</v>
      </c>
      <c r="U662">
        <f t="shared" ca="1" si="42"/>
        <v>-1.6834557956164398E-2</v>
      </c>
      <c r="V662">
        <f t="shared" ca="1" si="43"/>
        <v>4.6651515991395038E-3</v>
      </c>
    </row>
    <row r="663" spans="19:22" x14ac:dyDescent="0.35">
      <c r="S663">
        <f t="shared" ca="1" si="40"/>
        <v>5.2233924533172903E-3</v>
      </c>
      <c r="T663">
        <f t="shared" ca="1" si="41"/>
        <v>2.2955028143478617E-2</v>
      </c>
      <c r="U663">
        <f t="shared" ca="1" si="42"/>
        <v>1.7137162490677274E-2</v>
      </c>
      <c r="V663">
        <f t="shared" ca="1" si="43"/>
        <v>9.3654080932175556E-3</v>
      </c>
    </row>
    <row r="664" spans="19:22" x14ac:dyDescent="0.35">
      <c r="S664">
        <f t="shared" ca="1" si="40"/>
        <v>-5.2009651734455636E-3</v>
      </c>
      <c r="T664">
        <f t="shared" ca="1" si="41"/>
        <v>-1.3007541569304436E-3</v>
      </c>
      <c r="U664">
        <f t="shared" ca="1" si="42"/>
        <v>1.2819955317501431E-2</v>
      </c>
      <c r="V664">
        <f t="shared" ca="1" si="43"/>
        <v>-3.5198769455951897E-3</v>
      </c>
    </row>
    <row r="665" spans="19:22" x14ac:dyDescent="0.35">
      <c r="S665">
        <f t="shared" ca="1" si="40"/>
        <v>-1.8102797113995584E-2</v>
      </c>
      <c r="T665">
        <f t="shared" ca="1" si="41"/>
        <v>3.1108645063279889E-2</v>
      </c>
      <c r="U665">
        <f t="shared" ca="1" si="42"/>
        <v>-9.3158407705415738E-3</v>
      </c>
      <c r="V665">
        <f t="shared" ca="1" si="43"/>
        <v>-7.8211608613677902E-3</v>
      </c>
    </row>
    <row r="666" spans="19:22" x14ac:dyDescent="0.35">
      <c r="S666">
        <f t="shared" ca="1" si="40"/>
        <v>-5.0283983681706085E-3</v>
      </c>
      <c r="T666">
        <f t="shared" ca="1" si="41"/>
        <v>2.4194011141947219E-2</v>
      </c>
      <c r="U666">
        <f t="shared" ca="1" si="42"/>
        <v>-1.9372775469207744E-2</v>
      </c>
      <c r="V666">
        <f t="shared" ca="1" si="43"/>
        <v>9.8864678801100555E-5</v>
      </c>
    </row>
    <row r="667" spans="19:22" x14ac:dyDescent="0.35">
      <c r="S667">
        <f t="shared" ca="1" si="40"/>
        <v>3.4642854981995722E-2</v>
      </c>
      <c r="T667">
        <f t="shared" ca="1" si="41"/>
        <v>-8.4446803245257357E-3</v>
      </c>
      <c r="U667">
        <f t="shared" ca="1" si="42"/>
        <v>1.7121247773505849E-3</v>
      </c>
      <c r="V667">
        <f t="shared" ca="1" si="43"/>
        <v>2.4378811410459174E-2</v>
      </c>
    </row>
    <row r="668" spans="19:22" x14ac:dyDescent="0.35">
      <c r="S668">
        <f t="shared" ca="1" si="40"/>
        <v>1.0555715022520359E-2</v>
      </c>
      <c r="T668">
        <f t="shared" ca="1" si="41"/>
        <v>2.5915835627533901E-3</v>
      </c>
      <c r="U668">
        <f t="shared" ca="1" si="42"/>
        <v>8.8776054580905935E-3</v>
      </c>
      <c r="V668">
        <f t="shared" ca="1" si="43"/>
        <v>8.8789832523454761E-3</v>
      </c>
    </row>
    <row r="669" spans="19:22" x14ac:dyDescent="0.35">
      <c r="S669">
        <f t="shared" ca="1" si="40"/>
        <v>-1.8646053818476428E-2</v>
      </c>
      <c r="T669">
        <f t="shared" ca="1" si="41"/>
        <v>3.5061584667163354E-3</v>
      </c>
      <c r="U669">
        <f t="shared" ca="1" si="42"/>
        <v>-1.266689974441735E-2</v>
      </c>
      <c r="V669">
        <f t="shared" ca="1" si="43"/>
        <v>-1.3916653657734921E-2</v>
      </c>
    </row>
    <row r="670" spans="19:22" x14ac:dyDescent="0.35">
      <c r="S670">
        <f t="shared" ca="1" si="40"/>
        <v>-1.5853125028520341E-3</v>
      </c>
      <c r="T670">
        <f t="shared" ca="1" si="41"/>
        <v>1.7747259088356507E-2</v>
      </c>
      <c r="U670">
        <f t="shared" ca="1" si="42"/>
        <v>-1.2150703860144749E-2</v>
      </c>
      <c r="V670">
        <f t="shared" ca="1" si="43"/>
        <v>1.7529322475250387E-3</v>
      </c>
    </row>
    <row r="671" spans="19:22" x14ac:dyDescent="0.35">
      <c r="S671">
        <f t="shared" ca="1" si="40"/>
        <v>-8.9743538306949304E-4</v>
      </c>
      <c r="T671">
        <f t="shared" ca="1" si="41"/>
        <v>1.7458070790698779E-3</v>
      </c>
      <c r="U671">
        <f t="shared" ca="1" si="42"/>
        <v>9.6199755632985851E-4</v>
      </c>
      <c r="V671">
        <f t="shared" ca="1" si="43"/>
        <v>-2.7581524367165122E-4</v>
      </c>
    </row>
    <row r="672" spans="19:22" x14ac:dyDescent="0.35">
      <c r="S672">
        <f t="shared" ca="1" si="40"/>
        <v>4.2633535936610442E-2</v>
      </c>
      <c r="T672">
        <f t="shared" ca="1" si="41"/>
        <v>-7.588749208283272E-5</v>
      </c>
      <c r="U672">
        <f t="shared" ca="1" si="42"/>
        <v>-1.4586703200255289E-3</v>
      </c>
      <c r="V672">
        <f t="shared" ca="1" si="43"/>
        <v>3.1887040938039991E-2</v>
      </c>
    </row>
    <row r="673" spans="19:22" x14ac:dyDescent="0.35">
      <c r="S673">
        <f t="shared" ca="1" si="40"/>
        <v>-3.145273132099434E-2</v>
      </c>
      <c r="T673">
        <f t="shared" ca="1" si="41"/>
        <v>-2.4327144171281772E-2</v>
      </c>
      <c r="U673">
        <f t="shared" ca="1" si="42"/>
        <v>-2.5548689964343028E-3</v>
      </c>
      <c r="V673">
        <f t="shared" ca="1" si="43"/>
        <v>-2.8582720774823822E-2</v>
      </c>
    </row>
    <row r="674" spans="19:22" x14ac:dyDescent="0.35">
      <c r="S674">
        <f t="shared" ca="1" si="40"/>
        <v>-1.0710104309079928E-2</v>
      </c>
      <c r="T674">
        <f t="shared" ca="1" si="41"/>
        <v>5.3798600738976833E-3</v>
      </c>
      <c r="U674">
        <f t="shared" ca="1" si="42"/>
        <v>4.0038464656936799E-3</v>
      </c>
      <c r="V674">
        <f t="shared" ca="1" si="43"/>
        <v>-6.756413893745726E-3</v>
      </c>
    </row>
    <row r="675" spans="19:22" x14ac:dyDescent="0.35">
      <c r="S675">
        <f t="shared" ca="1" si="40"/>
        <v>1.8065855551108116E-2</v>
      </c>
      <c r="T675">
        <f t="shared" ca="1" si="41"/>
        <v>-1.624942645060062E-2</v>
      </c>
      <c r="U675">
        <f t="shared" ca="1" si="42"/>
        <v>3.0965166618539167E-2</v>
      </c>
      <c r="V675">
        <f t="shared" ca="1" si="43"/>
        <v>1.184776470413792E-2</v>
      </c>
    </row>
    <row r="676" spans="19:22" x14ac:dyDescent="0.35">
      <c r="S676">
        <f t="shared" ca="1" si="40"/>
        <v>-7.7749608741516808E-3</v>
      </c>
      <c r="T676">
        <f t="shared" ca="1" si="41"/>
        <v>-4.782531473642478E-4</v>
      </c>
      <c r="U676">
        <f t="shared" ca="1" si="42"/>
        <v>-2.7944328770904839E-3</v>
      </c>
      <c r="V676">
        <f t="shared" ca="1" si="43"/>
        <v>-6.0665929289411349E-3</v>
      </c>
    </row>
    <row r="677" spans="19:22" x14ac:dyDescent="0.35">
      <c r="S677">
        <f t="shared" ca="1" si="40"/>
        <v>2.1024410720297544E-2</v>
      </c>
      <c r="T677">
        <f t="shared" ca="1" si="41"/>
        <v>-1.2679958259663555E-3</v>
      </c>
      <c r="U677">
        <f t="shared" ca="1" si="42"/>
        <v>1.6655807587114133E-2</v>
      </c>
      <c r="V677">
        <f t="shared" ca="1" si="43"/>
        <v>1.6347499254385597E-2</v>
      </c>
    </row>
    <row r="678" spans="19:22" x14ac:dyDescent="0.35">
      <c r="S678">
        <f t="shared" ca="1" si="40"/>
        <v>-5.1502969167322461E-3</v>
      </c>
      <c r="T678">
        <f t="shared" ca="1" si="41"/>
        <v>2.3158348088753132E-3</v>
      </c>
      <c r="U678">
        <f t="shared" ca="1" si="42"/>
        <v>1.6079529361186663E-2</v>
      </c>
      <c r="V678">
        <f t="shared" ca="1" si="43"/>
        <v>-2.5955792577147885E-3</v>
      </c>
    </row>
    <row r="679" spans="19:22" x14ac:dyDescent="0.35">
      <c r="S679">
        <f t="shared" ca="1" si="40"/>
        <v>-1.1500362655156228E-2</v>
      </c>
      <c r="T679">
        <f t="shared" ca="1" si="41"/>
        <v>-1.9596925344951091E-3</v>
      </c>
      <c r="U679">
        <f t="shared" ca="1" si="42"/>
        <v>-1.1068230768307489E-2</v>
      </c>
      <c r="V679">
        <f t="shared" ca="1" si="43"/>
        <v>-9.5706220366815684E-3</v>
      </c>
    </row>
    <row r="680" spans="19:22" x14ac:dyDescent="0.35">
      <c r="S680">
        <f t="shared" ca="1" si="40"/>
        <v>6.3467793882569252E-3</v>
      </c>
      <c r="T680">
        <f t="shared" ca="1" si="41"/>
        <v>7.9309112098897658E-3</v>
      </c>
      <c r="U680">
        <f t="shared" ca="1" si="42"/>
        <v>7.4319188114298331E-3</v>
      </c>
      <c r="V680">
        <f t="shared" ca="1" si="43"/>
        <v>6.7178627237421398E-3</v>
      </c>
    </row>
    <row r="681" spans="19:22" x14ac:dyDescent="0.35">
      <c r="S681">
        <f t="shared" ca="1" si="40"/>
        <v>-1.3039769852008425E-2</v>
      </c>
      <c r="T681">
        <f t="shared" ca="1" si="41"/>
        <v>2.1052424603599695E-2</v>
      </c>
      <c r="U681">
        <f t="shared" ca="1" si="42"/>
        <v>1.7028128736132214E-2</v>
      </c>
      <c r="V681">
        <f t="shared" ca="1" si="43"/>
        <v>-4.7179360314797683E-3</v>
      </c>
    </row>
    <row r="682" spans="19:22" x14ac:dyDescent="0.35">
      <c r="S682">
        <f t="shared" ca="1" si="40"/>
        <v>1.9382880968744836E-2</v>
      </c>
      <c r="T682">
        <f t="shared" ca="1" si="41"/>
        <v>-6.513168956382231E-3</v>
      </c>
      <c r="U682">
        <f t="shared" ca="1" si="42"/>
        <v>-3.8902589036662544E-3</v>
      </c>
      <c r="V682">
        <f t="shared" ca="1" si="43"/>
        <v>1.3040013990098867E-2</v>
      </c>
    </row>
    <row r="683" spans="19:22" x14ac:dyDescent="0.35">
      <c r="S683">
        <f t="shared" ca="1" si="40"/>
        <v>1.4561002272956237E-2</v>
      </c>
      <c r="T683">
        <f t="shared" ca="1" si="41"/>
        <v>6.612523444237587E-4</v>
      </c>
      <c r="U683">
        <f t="shared" ca="1" si="42"/>
        <v>-4.5812231349552455E-3</v>
      </c>
      <c r="V683">
        <f t="shared" ca="1" si="43"/>
        <v>1.0823941016854167E-2</v>
      </c>
    </row>
    <row r="684" spans="19:22" x14ac:dyDescent="0.35">
      <c r="S684">
        <f t="shared" ca="1" si="40"/>
        <v>2.5907231304001695E-2</v>
      </c>
      <c r="T684">
        <f t="shared" ca="1" si="41"/>
        <v>-1.0262871478366008E-2</v>
      </c>
      <c r="U684">
        <f t="shared" ca="1" si="42"/>
        <v>5.9062192457787549E-3</v>
      </c>
      <c r="V684">
        <f t="shared" ca="1" si="43"/>
        <v>1.7673160144617006E-2</v>
      </c>
    </row>
    <row r="685" spans="19:22" x14ac:dyDescent="0.35">
      <c r="S685">
        <f t="shared" ca="1" si="40"/>
        <v>4.4898994002080979E-3</v>
      </c>
      <c r="T685">
        <f t="shared" ca="1" si="41"/>
        <v>1.8017077623759425E-2</v>
      </c>
      <c r="U685">
        <f t="shared" ca="1" si="42"/>
        <v>4.1108956175485815E-2</v>
      </c>
      <c r="V685">
        <f t="shared" ca="1" si="43"/>
        <v>9.0262878836822498E-3</v>
      </c>
    </row>
    <row r="686" spans="19:22" x14ac:dyDescent="0.35">
      <c r="S686">
        <f t="shared" ca="1" si="40"/>
        <v>-8.6078837403261877E-3</v>
      </c>
      <c r="T686">
        <f t="shared" ca="1" si="41"/>
        <v>2.1995177152836234E-2</v>
      </c>
      <c r="U686">
        <f t="shared" ca="1" si="42"/>
        <v>1.0973460795734793E-2</v>
      </c>
      <c r="V686">
        <f t="shared" ca="1" si="43"/>
        <v>-1.5082043348906547E-3</v>
      </c>
    </row>
    <row r="687" spans="19:22" x14ac:dyDescent="0.35">
      <c r="S687">
        <f t="shared" ca="1" si="40"/>
        <v>1.9380610187566285E-2</v>
      </c>
      <c r="T687">
        <f t="shared" ca="1" si="41"/>
        <v>9.7920600085016265E-3</v>
      </c>
      <c r="U687">
        <f t="shared" ca="1" si="42"/>
        <v>1.8508900866269389E-3</v>
      </c>
      <c r="V687">
        <f t="shared" ca="1" si="43"/>
        <v>1.6586414146706384E-2</v>
      </c>
    </row>
    <row r="688" spans="19:22" x14ac:dyDescent="0.35">
      <c r="S688">
        <f t="shared" ca="1" si="40"/>
        <v>5.1740628144801744E-3</v>
      </c>
      <c r="T688">
        <f t="shared" ca="1" si="41"/>
        <v>-5.2238313621489913E-4</v>
      </c>
      <c r="U688">
        <f t="shared" ca="1" si="42"/>
        <v>-2.014273524432187E-2</v>
      </c>
      <c r="V688">
        <f t="shared" ca="1" si="43"/>
        <v>2.7689337214010573E-3</v>
      </c>
    </row>
    <row r="689" spans="19:22" x14ac:dyDescent="0.35">
      <c r="S689">
        <f t="shared" ca="1" si="40"/>
        <v>-6.7125628752873201E-3</v>
      </c>
      <c r="T689">
        <f t="shared" ca="1" si="41"/>
        <v>3.9269496345974448E-3</v>
      </c>
      <c r="U689">
        <f t="shared" ca="1" si="42"/>
        <v>-3.392959855563113E-2</v>
      </c>
      <c r="V689">
        <f t="shared" ca="1" si="43"/>
        <v>-5.9455121573275573E-3</v>
      </c>
    </row>
    <row r="690" spans="19:22" x14ac:dyDescent="0.35">
      <c r="S690">
        <f t="shared" ca="1" si="40"/>
        <v>7.249273905719493E-3</v>
      </c>
      <c r="T690">
        <f t="shared" ca="1" si="41"/>
        <v>1.271016035807088E-2</v>
      </c>
      <c r="U690">
        <f t="shared" ca="1" si="42"/>
        <v>1.77253950551658E-2</v>
      </c>
      <c r="V690">
        <f t="shared" ca="1" si="43"/>
        <v>8.8652572536620858E-3</v>
      </c>
    </row>
    <row r="691" spans="19:22" x14ac:dyDescent="0.35">
      <c r="S691">
        <f t="shared" ca="1" si="40"/>
        <v>-5.2429812247312274E-3</v>
      </c>
      <c r="T691">
        <f t="shared" ca="1" si="41"/>
        <v>-6.5134296019376189E-3</v>
      </c>
      <c r="U691">
        <f t="shared" ca="1" si="42"/>
        <v>1.6905867973812105E-2</v>
      </c>
      <c r="V691">
        <f t="shared" ca="1" si="43"/>
        <v>-4.3896284402453389E-3</v>
      </c>
    </row>
    <row r="692" spans="19:22" x14ac:dyDescent="0.35">
      <c r="S692">
        <f t="shared" ca="1" si="40"/>
        <v>-6.1460635175563817E-3</v>
      </c>
      <c r="T692">
        <f t="shared" ca="1" si="41"/>
        <v>-1.5596818503574765E-2</v>
      </c>
      <c r="U692">
        <f t="shared" ca="1" si="42"/>
        <v>-2.9491871571488401E-2</v>
      </c>
      <c r="V692">
        <f t="shared" ca="1" si="43"/>
        <v>-9.2035049174566605E-3</v>
      </c>
    </row>
    <row r="693" spans="19:22" x14ac:dyDescent="0.35">
      <c r="S693">
        <f t="shared" ca="1" si="40"/>
        <v>-9.7598432334740706E-3</v>
      </c>
      <c r="T693">
        <f t="shared" ca="1" si="41"/>
        <v>-9.0385382233174071E-4</v>
      </c>
      <c r="U693">
        <f t="shared" ca="1" si="42"/>
        <v>-8.3386239153890925E-3</v>
      </c>
      <c r="V693">
        <f t="shared" ca="1" si="43"/>
        <v>-7.9175843853413561E-3</v>
      </c>
    </row>
    <row r="694" spans="19:22" x14ac:dyDescent="0.35">
      <c r="S694">
        <f t="shared" ca="1" si="40"/>
        <v>-1.9421995183034543E-2</v>
      </c>
      <c r="T694">
        <f t="shared" ca="1" si="41"/>
        <v>-2.7945803490673722E-2</v>
      </c>
      <c r="U694">
        <f t="shared" ca="1" si="42"/>
        <v>-2.0865318876361855E-2</v>
      </c>
      <c r="V694">
        <f t="shared" ca="1" si="43"/>
        <v>-2.1198923029228742E-2</v>
      </c>
    </row>
    <row r="695" spans="19:22" x14ac:dyDescent="0.35">
      <c r="S695">
        <f t="shared" ca="1" si="40"/>
        <v>2.6831377632524453E-2</v>
      </c>
      <c r="T695">
        <f t="shared" ca="1" si="41"/>
        <v>-6.559100198907989E-3</v>
      </c>
      <c r="U695">
        <f t="shared" ca="1" si="42"/>
        <v>2.4703353414927669E-2</v>
      </c>
      <c r="V695">
        <f t="shared" ca="1" si="43"/>
        <v>2.0046880855358128E-2</v>
      </c>
    </row>
    <row r="696" spans="19:22" x14ac:dyDescent="0.35">
      <c r="S696">
        <f t="shared" ca="1" si="40"/>
        <v>-8.5958149786751672E-3</v>
      </c>
      <c r="T696">
        <f t="shared" ca="1" si="41"/>
        <v>-1.3609412988145441E-3</v>
      </c>
      <c r="U696">
        <f t="shared" ca="1" si="42"/>
        <v>1.4224720799123743E-2</v>
      </c>
      <c r="V696">
        <f t="shared" ca="1" si="43"/>
        <v>-6.0078134538130963E-3</v>
      </c>
    </row>
    <row r="697" spans="19:22" x14ac:dyDescent="0.35">
      <c r="S697">
        <f t="shared" ca="1" si="40"/>
        <v>2.9993307767211725E-2</v>
      </c>
      <c r="T697">
        <f t="shared" ca="1" si="41"/>
        <v>1.7894554800519276E-2</v>
      </c>
      <c r="U697">
        <f t="shared" ca="1" si="42"/>
        <v>-3.4182927037330361E-3</v>
      </c>
      <c r="V697">
        <f t="shared" ca="1" si="43"/>
        <v>2.5902977150325999E-2</v>
      </c>
    </row>
    <row r="698" spans="19:22" x14ac:dyDescent="0.35">
      <c r="S698">
        <f t="shared" ca="1" si="40"/>
        <v>4.4938522963124238E-3</v>
      </c>
      <c r="T698">
        <f t="shared" ca="1" si="41"/>
        <v>-4.9878293128899596E-3</v>
      </c>
      <c r="U698">
        <f t="shared" ca="1" si="42"/>
        <v>2.5426351000777513E-3</v>
      </c>
      <c r="V698">
        <f t="shared" ca="1" si="43"/>
        <v>2.4999551146602135E-3</v>
      </c>
    </row>
    <row r="699" spans="19:22" x14ac:dyDescent="0.35">
      <c r="S699">
        <f t="shared" ca="1" si="40"/>
        <v>3.4590454908724075E-2</v>
      </c>
      <c r="T699">
        <f t="shared" ca="1" si="41"/>
        <v>-2.8209477901705391E-3</v>
      </c>
      <c r="U699">
        <f t="shared" ca="1" si="42"/>
        <v>-1.7064268688869776E-3</v>
      </c>
      <c r="V699">
        <f t="shared" ca="1" si="43"/>
        <v>2.5293330280064599E-2</v>
      </c>
    </row>
    <row r="700" spans="19:22" x14ac:dyDescent="0.35">
      <c r="S700">
        <f t="shared" ca="1" si="40"/>
        <v>1.2863812185454711E-2</v>
      </c>
      <c r="T700">
        <f t="shared" ca="1" si="41"/>
        <v>-1.041347508510173E-2</v>
      </c>
      <c r="U700">
        <f t="shared" ca="1" si="42"/>
        <v>1.655252225031989E-2</v>
      </c>
      <c r="V700">
        <f t="shared" ca="1" si="43"/>
        <v>8.3927902345866823E-3</v>
      </c>
    </row>
    <row r="701" spans="19:22" x14ac:dyDescent="0.35">
      <c r="S701">
        <f t="shared" ca="1" si="40"/>
        <v>-1.9814316399939785E-2</v>
      </c>
      <c r="T701">
        <f t="shared" ca="1" si="41"/>
        <v>1.4194815185315223E-2</v>
      </c>
      <c r="U701">
        <f t="shared" ca="1" si="42"/>
        <v>2.3979463996359102E-2</v>
      </c>
      <c r="V701">
        <f t="shared" ca="1" si="43"/>
        <v>-1.0822801063073838E-2</v>
      </c>
    </row>
    <row r="702" spans="19:22" x14ac:dyDescent="0.35">
      <c r="S702">
        <f t="shared" ca="1" si="40"/>
        <v>3.6945689351731664E-3</v>
      </c>
      <c r="T702">
        <f t="shared" ca="1" si="41"/>
        <v>-1.4977180387684362E-2</v>
      </c>
      <c r="U702">
        <f t="shared" ca="1" si="42"/>
        <v>-3.3345740935847065E-2</v>
      </c>
      <c r="V702">
        <f t="shared" ca="1" si="43"/>
        <v>-1.8917964229493512E-3</v>
      </c>
    </row>
    <row r="703" spans="19:22" x14ac:dyDescent="0.35">
      <c r="S703">
        <f t="shared" ca="1" si="40"/>
        <v>-2.5465905418425657E-3</v>
      </c>
      <c r="T703">
        <f t="shared" ca="1" si="41"/>
        <v>5.583101130093289E-4</v>
      </c>
      <c r="U703">
        <f t="shared" ca="1" si="42"/>
        <v>2.6383260892748287E-2</v>
      </c>
      <c r="V703">
        <f t="shared" ca="1" si="43"/>
        <v>-4.791178391426443E-4</v>
      </c>
    </row>
    <row r="704" spans="19:22" x14ac:dyDescent="0.35">
      <c r="S704">
        <f t="shared" ca="1" si="40"/>
        <v>-1.2695261490793126E-2</v>
      </c>
      <c r="T704">
        <f t="shared" ca="1" si="41"/>
        <v>-2.1149248088578532E-2</v>
      </c>
      <c r="U704">
        <f t="shared" ca="1" si="42"/>
        <v>-2.4792583393371759E-2</v>
      </c>
      <c r="V704">
        <f t="shared" ca="1" si="43"/>
        <v>-1.4990924905479139E-2</v>
      </c>
    </row>
    <row r="705" spans="19:22" x14ac:dyDescent="0.35">
      <c r="S705">
        <f t="shared" ca="1" si="40"/>
        <v>8.328214396829306E-3</v>
      </c>
      <c r="T705">
        <f t="shared" ca="1" si="41"/>
        <v>-2.8867822132289434E-2</v>
      </c>
      <c r="U705">
        <f t="shared" ca="1" si="42"/>
        <v>1.2467051661285911E-2</v>
      </c>
      <c r="V705">
        <f t="shared" ca="1" si="43"/>
        <v>1.0959489542283877E-3</v>
      </c>
    </row>
    <row r="706" spans="19:22" x14ac:dyDescent="0.35">
      <c r="S706">
        <f t="shared" ca="1" si="40"/>
        <v>-2.5623285953339093E-3</v>
      </c>
      <c r="T706">
        <f t="shared" ca="1" si="41"/>
        <v>-7.0128745697409242E-3</v>
      </c>
      <c r="U706">
        <f t="shared" ca="1" si="42"/>
        <v>-2.1390962484146559E-2</v>
      </c>
      <c r="V706">
        <f t="shared" ca="1" si="43"/>
        <v>-4.3938694846559455E-3</v>
      </c>
    </row>
    <row r="707" spans="19:22" x14ac:dyDescent="0.35">
      <c r="S707">
        <f t="shared" ca="1" si="40"/>
        <v>8.8879667598811569E-3</v>
      </c>
      <c r="T707">
        <f t="shared" ca="1" si="41"/>
        <v>-7.66277357921315E-3</v>
      </c>
      <c r="U707">
        <f t="shared" ca="1" si="42"/>
        <v>1.3130916192725345E-3</v>
      </c>
      <c r="V707">
        <f t="shared" ca="1" si="43"/>
        <v>5.199074935031865E-3</v>
      </c>
    </row>
    <row r="708" spans="19:22" x14ac:dyDescent="0.35">
      <c r="S708">
        <f t="shared" ref="S708:S771" ca="1" si="44">_xlfn.NORM.INV(RAND(),$L$3,$M$3)</f>
        <v>-3.0535395016183142E-3</v>
      </c>
      <c r="T708">
        <f t="shared" ref="T708:T771" ca="1" si="45">_xlfn.NORM.INV(RAND(),$N$3,$O$3)</f>
        <v>-1.745093436728358E-2</v>
      </c>
      <c r="U708">
        <f t="shared" ref="U708:U771" ca="1" si="46">_xlfn.NORM.INV(RAND(),$P$3,$Q$3)</f>
        <v>4.8820324581333494E-2</v>
      </c>
      <c r="V708">
        <f t="shared" ref="V708:V771" ca="1" si="47">(0.75*S708)+(0.2*T708)+(0.05*U708)</f>
        <v>-3.3393252706037774E-3</v>
      </c>
    </row>
    <row r="709" spans="19:22" x14ac:dyDescent="0.35">
      <c r="S709">
        <f t="shared" ca="1" si="44"/>
        <v>-3.1940646634761635E-2</v>
      </c>
      <c r="T709">
        <f t="shared" ca="1" si="45"/>
        <v>4.2207775244031027E-3</v>
      </c>
      <c r="U709">
        <f t="shared" ca="1" si="46"/>
        <v>-3.8252554017108788E-2</v>
      </c>
      <c r="V709">
        <f t="shared" ca="1" si="47"/>
        <v>-2.5023957172046047E-2</v>
      </c>
    </row>
    <row r="710" spans="19:22" x14ac:dyDescent="0.35">
      <c r="S710">
        <f t="shared" ca="1" si="44"/>
        <v>-1.8000443518561685E-2</v>
      </c>
      <c r="T710">
        <f t="shared" ca="1" si="45"/>
        <v>1.6638411571746527E-2</v>
      </c>
      <c r="U710">
        <f t="shared" ca="1" si="46"/>
        <v>7.912418998014677E-3</v>
      </c>
      <c r="V710">
        <f t="shared" ca="1" si="47"/>
        <v>-9.7770293746712242E-3</v>
      </c>
    </row>
    <row r="711" spans="19:22" x14ac:dyDescent="0.35">
      <c r="S711">
        <f t="shared" ca="1" si="44"/>
        <v>-7.370315104354366E-3</v>
      </c>
      <c r="T711">
        <f t="shared" ca="1" si="45"/>
        <v>-6.1319573906523286E-3</v>
      </c>
      <c r="U711">
        <f t="shared" ca="1" si="46"/>
        <v>-2.4459288251935798E-2</v>
      </c>
      <c r="V711">
        <f t="shared" ca="1" si="47"/>
        <v>-7.9770922189930302E-3</v>
      </c>
    </row>
    <row r="712" spans="19:22" x14ac:dyDescent="0.35">
      <c r="S712">
        <f t="shared" ca="1" si="44"/>
        <v>2.0581465723120983E-2</v>
      </c>
      <c r="T712">
        <f t="shared" ca="1" si="45"/>
        <v>-2.4075803377456007E-2</v>
      </c>
      <c r="U712">
        <f t="shared" ca="1" si="46"/>
        <v>8.334603907451674E-4</v>
      </c>
      <c r="V712">
        <f t="shared" ca="1" si="47"/>
        <v>1.0662611636386793E-2</v>
      </c>
    </row>
    <row r="713" spans="19:22" x14ac:dyDescent="0.35">
      <c r="S713">
        <f t="shared" ca="1" si="44"/>
        <v>-7.3328876554505686E-3</v>
      </c>
      <c r="T713">
        <f t="shared" ca="1" si="45"/>
        <v>-2.7758265421287405E-2</v>
      </c>
      <c r="U713">
        <f t="shared" ca="1" si="46"/>
        <v>-2.6080560631263567E-3</v>
      </c>
      <c r="V713">
        <f t="shared" ca="1" si="47"/>
        <v>-1.1181721629001724E-2</v>
      </c>
    </row>
    <row r="714" spans="19:22" x14ac:dyDescent="0.35">
      <c r="S714">
        <f t="shared" ca="1" si="44"/>
        <v>1.1309286518754262E-2</v>
      </c>
      <c r="T714">
        <f t="shared" ca="1" si="45"/>
        <v>-1.1197279746578519E-3</v>
      </c>
      <c r="U714">
        <f t="shared" ca="1" si="46"/>
        <v>5.3259124012016556E-3</v>
      </c>
      <c r="V714">
        <f t="shared" ca="1" si="47"/>
        <v>8.524314914194208E-3</v>
      </c>
    </row>
    <row r="715" spans="19:22" x14ac:dyDescent="0.35">
      <c r="S715">
        <f t="shared" ca="1" si="44"/>
        <v>-1.6501552436330398E-2</v>
      </c>
      <c r="T715">
        <f t="shared" ca="1" si="45"/>
        <v>3.4319488178308944E-3</v>
      </c>
      <c r="U715">
        <f t="shared" ca="1" si="46"/>
        <v>1.2275093080817841E-2</v>
      </c>
      <c r="V715">
        <f t="shared" ca="1" si="47"/>
        <v>-1.1076019909640727E-2</v>
      </c>
    </row>
    <row r="716" spans="19:22" x14ac:dyDescent="0.35">
      <c r="S716">
        <f t="shared" ca="1" si="44"/>
        <v>-3.4037367244075058E-2</v>
      </c>
      <c r="T716">
        <f t="shared" ca="1" si="45"/>
        <v>-6.8801168292421267E-3</v>
      </c>
      <c r="U716">
        <f t="shared" ca="1" si="46"/>
        <v>3.1566373044261522E-3</v>
      </c>
      <c r="V716">
        <f t="shared" ca="1" si="47"/>
        <v>-2.6746216933683412E-2</v>
      </c>
    </row>
    <row r="717" spans="19:22" x14ac:dyDescent="0.35">
      <c r="S717">
        <f t="shared" ca="1" si="44"/>
        <v>6.3817949866296596E-3</v>
      </c>
      <c r="T717">
        <f t="shared" ca="1" si="45"/>
        <v>-2.1614030747823258E-2</v>
      </c>
      <c r="U717">
        <f t="shared" ca="1" si="46"/>
        <v>8.4529736674810087E-3</v>
      </c>
      <c r="V717">
        <f t="shared" ca="1" si="47"/>
        <v>8.8618877378164346E-4</v>
      </c>
    </row>
    <row r="718" spans="19:22" x14ac:dyDescent="0.35">
      <c r="S718">
        <f t="shared" ca="1" si="44"/>
        <v>-8.0405253425615067E-3</v>
      </c>
      <c r="T718">
        <f t="shared" ca="1" si="45"/>
        <v>1.267342026357119E-2</v>
      </c>
      <c r="U718">
        <f t="shared" ca="1" si="46"/>
        <v>-3.4542114818624611E-2</v>
      </c>
      <c r="V718">
        <f t="shared" ca="1" si="47"/>
        <v>-5.2228156951381229E-3</v>
      </c>
    </row>
    <row r="719" spans="19:22" x14ac:dyDescent="0.35">
      <c r="S719">
        <f t="shared" ca="1" si="44"/>
        <v>-4.4010537930993989E-3</v>
      </c>
      <c r="T719">
        <f t="shared" ca="1" si="45"/>
        <v>-2.8684624936549034E-3</v>
      </c>
      <c r="U719">
        <f t="shared" ca="1" si="46"/>
        <v>1.9466376696029464E-2</v>
      </c>
      <c r="V719">
        <f t="shared" ca="1" si="47"/>
        <v>-2.9011640087540569E-3</v>
      </c>
    </row>
    <row r="720" spans="19:22" x14ac:dyDescent="0.35">
      <c r="S720">
        <f t="shared" ca="1" si="44"/>
        <v>3.3123705413937728E-2</v>
      </c>
      <c r="T720">
        <f t="shared" ca="1" si="45"/>
        <v>1.8090323528010068E-2</v>
      </c>
      <c r="U720">
        <f t="shared" ca="1" si="46"/>
        <v>-1.3101179409044312E-2</v>
      </c>
      <c r="V720">
        <f t="shared" ca="1" si="47"/>
        <v>2.7805784795603097E-2</v>
      </c>
    </row>
    <row r="721" spans="19:22" x14ac:dyDescent="0.35">
      <c r="S721">
        <f t="shared" ca="1" si="44"/>
        <v>2.993504466200191E-3</v>
      </c>
      <c r="T721">
        <f t="shared" ca="1" si="45"/>
        <v>3.0420387268186924E-3</v>
      </c>
      <c r="U721">
        <f t="shared" ca="1" si="46"/>
        <v>1.3971261296376014E-2</v>
      </c>
      <c r="V721">
        <f t="shared" ca="1" si="47"/>
        <v>3.5520991598326826E-3</v>
      </c>
    </row>
    <row r="722" spans="19:22" x14ac:dyDescent="0.35">
      <c r="S722">
        <f t="shared" ca="1" si="44"/>
        <v>-8.1631653491560322E-3</v>
      </c>
      <c r="T722">
        <f t="shared" ca="1" si="45"/>
        <v>2.633648178794629E-2</v>
      </c>
      <c r="U722">
        <f t="shared" ca="1" si="46"/>
        <v>-2.7059629170426932E-3</v>
      </c>
      <c r="V722">
        <f t="shared" ca="1" si="47"/>
        <v>-9.9037580012990129E-4</v>
      </c>
    </row>
    <row r="723" spans="19:22" x14ac:dyDescent="0.35">
      <c r="S723">
        <f t="shared" ca="1" si="44"/>
        <v>1.0428955928028462E-2</v>
      </c>
      <c r="T723">
        <f t="shared" ca="1" si="45"/>
        <v>2.0467440351124168E-2</v>
      </c>
      <c r="U723">
        <f t="shared" ca="1" si="46"/>
        <v>1.5108681497659635E-2</v>
      </c>
      <c r="V723">
        <f t="shared" ca="1" si="47"/>
        <v>1.2670639091129161E-2</v>
      </c>
    </row>
    <row r="724" spans="19:22" x14ac:dyDescent="0.35">
      <c r="S724">
        <f t="shared" ca="1" si="44"/>
        <v>1.8518596948760853E-2</v>
      </c>
      <c r="T724">
        <f t="shared" ca="1" si="45"/>
        <v>1.0010438140136668E-2</v>
      </c>
      <c r="U724">
        <f t="shared" ca="1" si="46"/>
        <v>4.0777257718901373E-2</v>
      </c>
      <c r="V724">
        <f t="shared" ca="1" si="47"/>
        <v>1.7929898225543042E-2</v>
      </c>
    </row>
    <row r="725" spans="19:22" x14ac:dyDescent="0.35">
      <c r="S725">
        <f t="shared" ca="1" si="44"/>
        <v>2.989097345861739E-3</v>
      </c>
      <c r="T725">
        <f t="shared" ca="1" si="45"/>
        <v>2.7985733306688979E-2</v>
      </c>
      <c r="U725">
        <f t="shared" ca="1" si="46"/>
        <v>-2.5555645960024635E-2</v>
      </c>
      <c r="V725">
        <f t="shared" ca="1" si="47"/>
        <v>6.5611873727328693E-3</v>
      </c>
    </row>
    <row r="726" spans="19:22" x14ac:dyDescent="0.35">
      <c r="S726">
        <f t="shared" ca="1" si="44"/>
        <v>2.2763329830152904E-2</v>
      </c>
      <c r="T726">
        <f t="shared" ca="1" si="45"/>
        <v>-8.2418820485244976E-3</v>
      </c>
      <c r="U726">
        <f t="shared" ca="1" si="46"/>
        <v>-7.8878247200953391E-3</v>
      </c>
      <c r="V726">
        <f t="shared" ca="1" si="47"/>
        <v>1.502972972690501E-2</v>
      </c>
    </row>
    <row r="727" spans="19:22" x14ac:dyDescent="0.35">
      <c r="S727">
        <f t="shared" ca="1" si="44"/>
        <v>6.6044043202480706E-3</v>
      </c>
      <c r="T727">
        <f t="shared" ca="1" si="45"/>
        <v>4.604156828597733E-2</v>
      </c>
      <c r="U727">
        <f t="shared" ca="1" si="46"/>
        <v>2.0707428790852713E-2</v>
      </c>
      <c r="V727">
        <f t="shared" ca="1" si="47"/>
        <v>1.5196988336924153E-2</v>
      </c>
    </row>
    <row r="728" spans="19:22" x14ac:dyDescent="0.35">
      <c r="S728">
        <f t="shared" ca="1" si="44"/>
        <v>-2.6305723603253246E-3</v>
      </c>
      <c r="T728">
        <f t="shared" ca="1" si="45"/>
        <v>2.3526095665413131E-2</v>
      </c>
      <c r="U728">
        <f t="shared" ca="1" si="46"/>
        <v>1.4801297070331865E-2</v>
      </c>
      <c r="V728">
        <f t="shared" ca="1" si="47"/>
        <v>3.4723547163552264E-3</v>
      </c>
    </row>
    <row r="729" spans="19:22" x14ac:dyDescent="0.35">
      <c r="S729">
        <f t="shared" ca="1" si="44"/>
        <v>6.2869392197009693E-3</v>
      </c>
      <c r="T729">
        <f t="shared" ca="1" si="45"/>
        <v>-2.9519906760597348E-2</v>
      </c>
      <c r="U729">
        <f t="shared" ca="1" si="46"/>
        <v>-1.889315846211892E-2</v>
      </c>
      <c r="V729">
        <f t="shared" ca="1" si="47"/>
        <v>-2.1334348604496894E-3</v>
      </c>
    </row>
    <row r="730" spans="19:22" x14ac:dyDescent="0.35">
      <c r="S730">
        <f t="shared" ca="1" si="44"/>
        <v>-3.1699993950356685E-2</v>
      </c>
      <c r="T730">
        <f t="shared" ca="1" si="45"/>
        <v>-2.0078156716205511E-2</v>
      </c>
      <c r="U730">
        <f t="shared" ca="1" si="46"/>
        <v>1.5131515472754339E-2</v>
      </c>
      <c r="V730">
        <f t="shared" ca="1" si="47"/>
        <v>-2.7034051032370894E-2</v>
      </c>
    </row>
    <row r="731" spans="19:22" x14ac:dyDescent="0.35">
      <c r="S731">
        <f t="shared" ca="1" si="44"/>
        <v>-3.6738564098993749E-3</v>
      </c>
      <c r="T731">
        <f t="shared" ca="1" si="45"/>
        <v>1.5533139340400542E-2</v>
      </c>
      <c r="U731">
        <f t="shared" ca="1" si="46"/>
        <v>2.0038069403459542E-3</v>
      </c>
      <c r="V731">
        <f t="shared" ca="1" si="47"/>
        <v>4.5142590767287489E-4</v>
      </c>
    </row>
    <row r="732" spans="19:22" x14ac:dyDescent="0.35">
      <c r="S732">
        <f t="shared" ca="1" si="44"/>
        <v>3.2120360073438388E-2</v>
      </c>
      <c r="T732">
        <f t="shared" ca="1" si="45"/>
        <v>-6.4595778967731733E-3</v>
      </c>
      <c r="U732">
        <f t="shared" ca="1" si="46"/>
        <v>-2.1309485128733156E-2</v>
      </c>
      <c r="V732">
        <f t="shared" ca="1" si="47"/>
        <v>2.1732880219287501E-2</v>
      </c>
    </row>
    <row r="733" spans="19:22" x14ac:dyDescent="0.35">
      <c r="S733">
        <f t="shared" ca="1" si="44"/>
        <v>9.3707026589849151E-3</v>
      </c>
      <c r="T733">
        <f t="shared" ca="1" si="45"/>
        <v>-1.9281315018467814E-2</v>
      </c>
      <c r="U733">
        <f t="shared" ca="1" si="46"/>
        <v>-3.7456532238080509E-3</v>
      </c>
      <c r="V733">
        <f t="shared" ca="1" si="47"/>
        <v>2.9844813293547203E-3</v>
      </c>
    </row>
    <row r="734" spans="19:22" x14ac:dyDescent="0.35">
      <c r="S734">
        <f t="shared" ca="1" si="44"/>
        <v>-1.8733409025637218E-2</v>
      </c>
      <c r="T734">
        <f t="shared" ca="1" si="45"/>
        <v>6.1051994404206595E-3</v>
      </c>
      <c r="U734">
        <f t="shared" ca="1" si="46"/>
        <v>-1.4351195994283058E-2</v>
      </c>
      <c r="V734">
        <f t="shared" ca="1" si="47"/>
        <v>-1.3546576680857934E-2</v>
      </c>
    </row>
    <row r="735" spans="19:22" x14ac:dyDescent="0.35">
      <c r="S735">
        <f t="shared" ca="1" si="44"/>
        <v>-8.8815178293476186E-3</v>
      </c>
      <c r="T735">
        <f t="shared" ca="1" si="45"/>
        <v>1.6307899539656296E-2</v>
      </c>
      <c r="U735">
        <f t="shared" ca="1" si="46"/>
        <v>5.9021444450758813E-3</v>
      </c>
      <c r="V735">
        <f t="shared" ca="1" si="47"/>
        <v>-3.1044512418256609E-3</v>
      </c>
    </row>
    <row r="736" spans="19:22" x14ac:dyDescent="0.35">
      <c r="S736">
        <f t="shared" ca="1" si="44"/>
        <v>8.3583218956515149E-3</v>
      </c>
      <c r="T736">
        <f t="shared" ca="1" si="45"/>
        <v>9.0845841409149478E-3</v>
      </c>
      <c r="U736">
        <f t="shared" ca="1" si="46"/>
        <v>2.6129808024993161E-2</v>
      </c>
      <c r="V736">
        <f t="shared" ca="1" si="47"/>
        <v>9.392148651171283E-3</v>
      </c>
    </row>
    <row r="737" spans="19:22" x14ac:dyDescent="0.35">
      <c r="S737">
        <f t="shared" ca="1" si="44"/>
        <v>2.8247062660473349E-3</v>
      </c>
      <c r="T737">
        <f t="shared" ca="1" si="45"/>
        <v>8.4915374869472329E-3</v>
      </c>
      <c r="U737">
        <f t="shared" ca="1" si="46"/>
        <v>1.8836764479464949E-2</v>
      </c>
      <c r="V737">
        <f t="shared" ca="1" si="47"/>
        <v>4.7586754208981952E-3</v>
      </c>
    </row>
    <row r="738" spans="19:22" x14ac:dyDescent="0.35">
      <c r="S738">
        <f t="shared" ca="1" si="44"/>
        <v>-7.6859923569337352E-3</v>
      </c>
      <c r="T738">
        <f t="shared" ca="1" si="45"/>
        <v>8.2090366345403658E-3</v>
      </c>
      <c r="U738">
        <f t="shared" ca="1" si="46"/>
        <v>5.4359768073171631E-3</v>
      </c>
      <c r="V738">
        <f t="shared" ca="1" si="47"/>
        <v>-3.8508881004263701E-3</v>
      </c>
    </row>
    <row r="739" spans="19:22" x14ac:dyDescent="0.35">
      <c r="S739">
        <f t="shared" ca="1" si="44"/>
        <v>-1.3288413418945037E-2</v>
      </c>
      <c r="T739">
        <f t="shared" ca="1" si="45"/>
        <v>-1.21342529553223E-2</v>
      </c>
      <c r="U739">
        <f t="shared" ca="1" si="46"/>
        <v>1.7021276763636489E-2</v>
      </c>
      <c r="V739">
        <f t="shared" ca="1" si="47"/>
        <v>-1.1542096817091414E-2</v>
      </c>
    </row>
    <row r="740" spans="19:22" x14ac:dyDescent="0.35">
      <c r="S740">
        <f t="shared" ca="1" si="44"/>
        <v>-1.4835336048143884E-2</v>
      </c>
      <c r="T740">
        <f t="shared" ca="1" si="45"/>
        <v>-1.8567722630765726E-2</v>
      </c>
      <c r="U740">
        <f t="shared" ca="1" si="46"/>
        <v>-8.2202448127257563E-3</v>
      </c>
      <c r="V740">
        <f t="shared" ca="1" si="47"/>
        <v>-1.5251058802897347E-2</v>
      </c>
    </row>
    <row r="741" spans="19:22" x14ac:dyDescent="0.35">
      <c r="S741">
        <f t="shared" ca="1" si="44"/>
        <v>-4.7843902800956649E-3</v>
      </c>
      <c r="T741">
        <f t="shared" ca="1" si="45"/>
        <v>1.68593475867393E-2</v>
      </c>
      <c r="U741">
        <f t="shared" ca="1" si="46"/>
        <v>-4.9095723681641381E-3</v>
      </c>
      <c r="V741">
        <f t="shared" ca="1" si="47"/>
        <v>-4.6190181113209527E-4</v>
      </c>
    </row>
    <row r="742" spans="19:22" x14ac:dyDescent="0.35">
      <c r="S742">
        <f t="shared" ca="1" si="44"/>
        <v>-1.0963304210544419E-2</v>
      </c>
      <c r="T742">
        <f t="shared" ca="1" si="45"/>
        <v>-2.0148610286507981E-2</v>
      </c>
      <c r="U742">
        <f t="shared" ca="1" si="46"/>
        <v>-3.1724936403709464E-2</v>
      </c>
      <c r="V742">
        <f t="shared" ca="1" si="47"/>
        <v>-1.3838447035395383E-2</v>
      </c>
    </row>
    <row r="743" spans="19:22" x14ac:dyDescent="0.35">
      <c r="S743">
        <f t="shared" ca="1" si="44"/>
        <v>2.6336273062692168E-2</v>
      </c>
      <c r="T743">
        <f t="shared" ca="1" si="45"/>
        <v>7.971327904162705E-3</v>
      </c>
      <c r="U743">
        <f t="shared" ca="1" si="46"/>
        <v>7.1713753886044557E-3</v>
      </c>
      <c r="V743">
        <f t="shared" ca="1" si="47"/>
        <v>2.170503914728189E-2</v>
      </c>
    </row>
    <row r="744" spans="19:22" x14ac:dyDescent="0.35">
      <c r="S744">
        <f t="shared" ca="1" si="44"/>
        <v>-4.4965125944742852E-3</v>
      </c>
      <c r="T744">
        <f t="shared" ca="1" si="45"/>
        <v>-5.4451139533286067E-3</v>
      </c>
      <c r="U744">
        <f t="shared" ca="1" si="46"/>
        <v>-3.3174818664989713E-3</v>
      </c>
      <c r="V744">
        <f t="shared" ca="1" si="47"/>
        <v>-4.6272813298463833E-3</v>
      </c>
    </row>
    <row r="745" spans="19:22" x14ac:dyDescent="0.35">
      <c r="S745">
        <f t="shared" ca="1" si="44"/>
        <v>-3.5715782674880015E-3</v>
      </c>
      <c r="T745">
        <f t="shared" ca="1" si="45"/>
        <v>1.3216881620782224E-2</v>
      </c>
      <c r="U745">
        <f t="shared" ca="1" si="46"/>
        <v>6.1409203483771633E-3</v>
      </c>
      <c r="V745">
        <f t="shared" ca="1" si="47"/>
        <v>2.717386409593019E-4</v>
      </c>
    </row>
    <row r="746" spans="19:22" x14ac:dyDescent="0.35">
      <c r="S746">
        <f t="shared" ca="1" si="44"/>
        <v>-8.0533548033658742E-3</v>
      </c>
      <c r="T746">
        <f t="shared" ca="1" si="45"/>
        <v>1.1374250762260887E-3</v>
      </c>
      <c r="U746">
        <f t="shared" ca="1" si="46"/>
        <v>-1.271934473096265E-2</v>
      </c>
      <c r="V746">
        <f t="shared" ca="1" si="47"/>
        <v>-6.4484983238273213E-3</v>
      </c>
    </row>
    <row r="747" spans="19:22" x14ac:dyDescent="0.35">
      <c r="S747">
        <f t="shared" ca="1" si="44"/>
        <v>-1.1962484854401397E-3</v>
      </c>
      <c r="T747">
        <f t="shared" ca="1" si="45"/>
        <v>2.2192337505406298E-3</v>
      </c>
      <c r="U747">
        <f t="shared" ca="1" si="46"/>
        <v>-1.8890793526083128E-2</v>
      </c>
      <c r="V747">
        <f t="shared" ca="1" si="47"/>
        <v>-1.3978792902761353E-3</v>
      </c>
    </row>
    <row r="748" spans="19:22" x14ac:dyDescent="0.35">
      <c r="S748">
        <f t="shared" ca="1" si="44"/>
        <v>6.3637068436622254E-3</v>
      </c>
      <c r="T748">
        <f t="shared" ca="1" si="45"/>
        <v>9.8914843696394413E-3</v>
      </c>
      <c r="U748">
        <f t="shared" ca="1" si="46"/>
        <v>1.9529271279889151E-2</v>
      </c>
      <c r="V748">
        <f t="shared" ca="1" si="47"/>
        <v>7.7275405706690144E-3</v>
      </c>
    </row>
    <row r="749" spans="19:22" x14ac:dyDescent="0.35">
      <c r="S749">
        <f t="shared" ca="1" si="44"/>
        <v>-4.0019881576263943E-3</v>
      </c>
      <c r="T749">
        <f t="shared" ca="1" si="45"/>
        <v>-1.1218124442999152E-2</v>
      </c>
      <c r="U749">
        <f t="shared" ca="1" si="46"/>
        <v>1.6551941578014751E-2</v>
      </c>
      <c r="V749">
        <f t="shared" ca="1" si="47"/>
        <v>-4.417518927918888E-3</v>
      </c>
    </row>
    <row r="750" spans="19:22" x14ac:dyDescent="0.35">
      <c r="S750">
        <f t="shared" ca="1" si="44"/>
        <v>3.1531483906961149E-3</v>
      </c>
      <c r="T750">
        <f t="shared" ca="1" si="45"/>
        <v>3.0977800754187742E-3</v>
      </c>
      <c r="U750">
        <f t="shared" ca="1" si="46"/>
        <v>1.8853939575749393E-2</v>
      </c>
      <c r="V750">
        <f t="shared" ca="1" si="47"/>
        <v>3.9271142868933101E-3</v>
      </c>
    </row>
    <row r="751" spans="19:22" x14ac:dyDescent="0.35">
      <c r="S751">
        <f t="shared" ca="1" si="44"/>
        <v>-1.6479140977614742E-2</v>
      </c>
      <c r="T751">
        <f t="shared" ca="1" si="45"/>
        <v>-3.4321542166536531E-2</v>
      </c>
      <c r="U751">
        <f t="shared" ca="1" si="46"/>
        <v>-7.1436811485587996E-3</v>
      </c>
      <c r="V751">
        <f t="shared" ca="1" si="47"/>
        <v>-1.9580848223946304E-2</v>
      </c>
    </row>
    <row r="752" spans="19:22" x14ac:dyDescent="0.35">
      <c r="S752">
        <f t="shared" ca="1" si="44"/>
        <v>9.6095577926645929E-4</v>
      </c>
      <c r="T752">
        <f t="shared" ca="1" si="45"/>
        <v>-2.6144727809784378E-2</v>
      </c>
      <c r="U752">
        <f t="shared" ca="1" si="46"/>
        <v>2.5924284871522665E-2</v>
      </c>
      <c r="V752">
        <f t="shared" ca="1" si="47"/>
        <v>-3.212014483930898E-3</v>
      </c>
    </row>
    <row r="753" spans="19:22" x14ac:dyDescent="0.35">
      <c r="S753">
        <f t="shared" ca="1" si="44"/>
        <v>9.0668587469353683E-3</v>
      </c>
      <c r="T753">
        <f t="shared" ca="1" si="45"/>
        <v>-4.2525765141510526E-2</v>
      </c>
      <c r="U753">
        <f t="shared" ca="1" si="46"/>
        <v>-8.8812051026085324E-3</v>
      </c>
      <c r="V753">
        <f t="shared" ca="1" si="47"/>
        <v>-2.1490692232310057E-3</v>
      </c>
    </row>
    <row r="754" spans="19:22" x14ac:dyDescent="0.35">
      <c r="S754">
        <f t="shared" ca="1" si="44"/>
        <v>1.3957030695368418E-2</v>
      </c>
      <c r="T754">
        <f t="shared" ca="1" si="45"/>
        <v>4.0595163916295734E-3</v>
      </c>
      <c r="U754">
        <f t="shared" ca="1" si="46"/>
        <v>2.1705361916817437E-2</v>
      </c>
      <c r="V754">
        <f t="shared" ca="1" si="47"/>
        <v>1.2364944395693101E-2</v>
      </c>
    </row>
    <row r="755" spans="19:22" x14ac:dyDescent="0.35">
      <c r="S755">
        <f t="shared" ca="1" si="44"/>
        <v>-2.1058996352271535E-2</v>
      </c>
      <c r="T755">
        <f t="shared" ca="1" si="45"/>
        <v>2.5260170128048418E-2</v>
      </c>
      <c r="U755">
        <f t="shared" ca="1" si="46"/>
        <v>2.8591075877209136E-2</v>
      </c>
      <c r="V755">
        <f t="shared" ca="1" si="47"/>
        <v>-9.3126594447335079E-3</v>
      </c>
    </row>
    <row r="756" spans="19:22" x14ac:dyDescent="0.35">
      <c r="S756">
        <f t="shared" ca="1" si="44"/>
        <v>-1.5730561463891562E-3</v>
      </c>
      <c r="T756">
        <f t="shared" ca="1" si="45"/>
        <v>1.5175457423641701E-2</v>
      </c>
      <c r="U756">
        <f t="shared" ca="1" si="46"/>
        <v>9.966899325147667E-3</v>
      </c>
      <c r="V756">
        <f t="shared" ca="1" si="47"/>
        <v>2.3536443411938568E-3</v>
      </c>
    </row>
    <row r="757" spans="19:22" x14ac:dyDescent="0.35">
      <c r="S757">
        <f t="shared" ca="1" si="44"/>
        <v>2.4548231008362496E-3</v>
      </c>
      <c r="T757">
        <f t="shared" ca="1" si="45"/>
        <v>6.3976185826863903E-3</v>
      </c>
      <c r="U757">
        <f t="shared" ca="1" si="46"/>
        <v>2.1189110651688284E-2</v>
      </c>
      <c r="V757">
        <f t="shared" ca="1" si="47"/>
        <v>4.1800965747488799E-3</v>
      </c>
    </row>
    <row r="758" spans="19:22" x14ac:dyDescent="0.35">
      <c r="S758">
        <f t="shared" ca="1" si="44"/>
        <v>-2.0670087140940253E-2</v>
      </c>
      <c r="T758">
        <f t="shared" ca="1" si="45"/>
        <v>1.2984500058604244E-2</v>
      </c>
      <c r="U758">
        <f t="shared" ca="1" si="46"/>
        <v>3.0867944102833764E-2</v>
      </c>
      <c r="V758">
        <f t="shared" ca="1" si="47"/>
        <v>-1.1362268138842653E-2</v>
      </c>
    </row>
    <row r="759" spans="19:22" x14ac:dyDescent="0.35">
      <c r="S759">
        <f t="shared" ca="1" si="44"/>
        <v>9.8672350648053081E-5</v>
      </c>
      <c r="T759">
        <f t="shared" ca="1" si="45"/>
        <v>2.5575422917161916E-2</v>
      </c>
      <c r="U759">
        <f t="shared" ca="1" si="46"/>
        <v>1.2795858175500163E-2</v>
      </c>
      <c r="V759">
        <f t="shared" ca="1" si="47"/>
        <v>5.8288817551934323E-3</v>
      </c>
    </row>
    <row r="760" spans="19:22" x14ac:dyDescent="0.35">
      <c r="S760">
        <f t="shared" ca="1" si="44"/>
        <v>-1.4474871801445134E-2</v>
      </c>
      <c r="T760">
        <f t="shared" ca="1" si="45"/>
        <v>3.9770123381376539E-2</v>
      </c>
      <c r="U760">
        <f t="shared" ca="1" si="46"/>
        <v>-2.869874217665816E-2</v>
      </c>
      <c r="V760">
        <f t="shared" ca="1" si="47"/>
        <v>-4.3370662836414503E-3</v>
      </c>
    </row>
    <row r="761" spans="19:22" x14ac:dyDescent="0.35">
      <c r="S761">
        <f t="shared" ca="1" si="44"/>
        <v>1.4042072048732302E-2</v>
      </c>
      <c r="T761">
        <f t="shared" ca="1" si="45"/>
        <v>2.9990397789061776E-3</v>
      </c>
      <c r="U761">
        <f t="shared" ca="1" si="46"/>
        <v>2.1095595872752334E-2</v>
      </c>
      <c r="V761">
        <f t="shared" ca="1" si="47"/>
        <v>1.218614178596808E-2</v>
      </c>
    </row>
    <row r="762" spans="19:22" x14ac:dyDescent="0.35">
      <c r="S762">
        <f t="shared" ca="1" si="44"/>
        <v>3.7487613373208529E-3</v>
      </c>
      <c r="T762">
        <f t="shared" ca="1" si="45"/>
        <v>4.4524514371449282E-2</v>
      </c>
      <c r="U762">
        <f t="shared" ca="1" si="46"/>
        <v>1.1514643034344695E-2</v>
      </c>
      <c r="V762">
        <f t="shared" ca="1" si="47"/>
        <v>1.2292206028997731E-2</v>
      </c>
    </row>
    <row r="763" spans="19:22" x14ac:dyDescent="0.35">
      <c r="S763">
        <f t="shared" ca="1" si="44"/>
        <v>-1.3450237891772247E-2</v>
      </c>
      <c r="T763">
        <f t="shared" ca="1" si="45"/>
        <v>-2.5376443263203815E-2</v>
      </c>
      <c r="U763">
        <f t="shared" ca="1" si="46"/>
        <v>-4.947664909509885E-3</v>
      </c>
      <c r="V763">
        <f t="shared" ca="1" si="47"/>
        <v>-1.5410350316945444E-2</v>
      </c>
    </row>
    <row r="764" spans="19:22" x14ac:dyDescent="0.35">
      <c r="S764">
        <f t="shared" ca="1" si="44"/>
        <v>-3.5552240446622051E-2</v>
      </c>
      <c r="T764">
        <f t="shared" ca="1" si="45"/>
        <v>3.5016385301047337E-2</v>
      </c>
      <c r="U764">
        <f t="shared" ca="1" si="46"/>
        <v>-1.7751372136928897E-2</v>
      </c>
      <c r="V764">
        <f t="shared" ca="1" si="47"/>
        <v>-2.0548471881603515E-2</v>
      </c>
    </row>
    <row r="765" spans="19:22" x14ac:dyDescent="0.35">
      <c r="S765">
        <f t="shared" ca="1" si="44"/>
        <v>-4.6783042762056359E-3</v>
      </c>
      <c r="T765">
        <f t="shared" ca="1" si="45"/>
        <v>1.1037602311736317E-3</v>
      </c>
      <c r="U765">
        <f t="shared" ca="1" si="46"/>
        <v>-1.572973909867962E-2</v>
      </c>
      <c r="V765">
        <f t="shared" ca="1" si="47"/>
        <v>-4.0744631158534817E-3</v>
      </c>
    </row>
    <row r="766" spans="19:22" x14ac:dyDescent="0.35">
      <c r="S766">
        <f t="shared" ca="1" si="44"/>
        <v>-3.1305739095432175E-2</v>
      </c>
      <c r="T766">
        <f t="shared" ca="1" si="45"/>
        <v>-1.8658501470146353E-2</v>
      </c>
      <c r="U766">
        <f t="shared" ca="1" si="46"/>
        <v>1.7681823845513893E-3</v>
      </c>
      <c r="V766">
        <f t="shared" ca="1" si="47"/>
        <v>-2.7122595496375832E-2</v>
      </c>
    </row>
    <row r="767" spans="19:22" x14ac:dyDescent="0.35">
      <c r="S767">
        <f t="shared" ca="1" si="44"/>
        <v>9.1384486800341752E-3</v>
      </c>
      <c r="T767">
        <f t="shared" ca="1" si="45"/>
        <v>-2.3693935195049476E-2</v>
      </c>
      <c r="U767">
        <f t="shared" ca="1" si="46"/>
        <v>2.9048138006145068E-2</v>
      </c>
      <c r="V767">
        <f t="shared" ca="1" si="47"/>
        <v>3.5674563713229894E-3</v>
      </c>
    </row>
    <row r="768" spans="19:22" x14ac:dyDescent="0.35">
      <c r="S768">
        <f t="shared" ca="1" si="44"/>
        <v>-5.4240343751014615E-3</v>
      </c>
      <c r="T768">
        <f t="shared" ca="1" si="45"/>
        <v>-8.0930948894492143E-3</v>
      </c>
      <c r="U768">
        <f t="shared" ca="1" si="46"/>
        <v>-2.6536866080298593E-2</v>
      </c>
      <c r="V768">
        <f t="shared" ca="1" si="47"/>
        <v>-7.0134880632308693E-3</v>
      </c>
    </row>
    <row r="769" spans="19:22" x14ac:dyDescent="0.35">
      <c r="S769">
        <f t="shared" ca="1" si="44"/>
        <v>-1.1486954752262175E-3</v>
      </c>
      <c r="T769">
        <f t="shared" ca="1" si="45"/>
        <v>2.350324630771556E-2</v>
      </c>
      <c r="U769">
        <f t="shared" ca="1" si="46"/>
        <v>3.1631671617529974E-3</v>
      </c>
      <c r="V769">
        <f t="shared" ca="1" si="47"/>
        <v>3.9972860132110989E-3</v>
      </c>
    </row>
    <row r="770" spans="19:22" x14ac:dyDescent="0.35">
      <c r="S770">
        <f t="shared" ca="1" si="44"/>
        <v>-2.2930046188644776E-2</v>
      </c>
      <c r="T770">
        <f t="shared" ca="1" si="45"/>
        <v>2.2086876161571904E-2</v>
      </c>
      <c r="U770">
        <f t="shared" ca="1" si="46"/>
        <v>1.6647692630337992E-2</v>
      </c>
      <c r="V770">
        <f t="shared" ca="1" si="47"/>
        <v>-1.1947774777652301E-2</v>
      </c>
    </row>
    <row r="771" spans="19:22" x14ac:dyDescent="0.35">
      <c r="S771">
        <f t="shared" ca="1" si="44"/>
        <v>1.1443309339821323E-2</v>
      </c>
      <c r="T771">
        <f t="shared" ca="1" si="45"/>
        <v>-2.3935467027961392E-2</v>
      </c>
      <c r="U771">
        <f t="shared" ca="1" si="46"/>
        <v>8.6890984393589703E-4</v>
      </c>
      <c r="V771">
        <f t="shared" ca="1" si="47"/>
        <v>3.8388340914705084E-3</v>
      </c>
    </row>
    <row r="772" spans="19:22" x14ac:dyDescent="0.35">
      <c r="S772">
        <f t="shared" ref="S772:S835" ca="1" si="48">_xlfn.NORM.INV(RAND(),$L$3,$M$3)</f>
        <v>9.6089793378486537E-3</v>
      </c>
      <c r="T772">
        <f t="shared" ref="T772:T835" ca="1" si="49">_xlfn.NORM.INV(RAND(),$N$3,$O$3)</f>
        <v>-1.0928642103293125E-2</v>
      </c>
      <c r="U772">
        <f t="shared" ref="U772:U835" ca="1" si="50">_xlfn.NORM.INV(RAND(),$P$3,$Q$3)</f>
        <v>-1.2993813772143089E-3</v>
      </c>
      <c r="V772">
        <f t="shared" ref="V772:V835" ca="1" si="51">(0.75*S772)+(0.2*T772)+(0.05*U772)</f>
        <v>4.9560370138671487E-3</v>
      </c>
    </row>
    <row r="773" spans="19:22" x14ac:dyDescent="0.35">
      <c r="S773">
        <f t="shared" ca="1" si="48"/>
        <v>2.3835922306461314E-2</v>
      </c>
      <c r="T773">
        <f t="shared" ca="1" si="49"/>
        <v>-8.0295818183109546E-3</v>
      </c>
      <c r="U773">
        <f t="shared" ca="1" si="50"/>
        <v>2.2684756465317934E-2</v>
      </c>
      <c r="V773">
        <f t="shared" ca="1" si="51"/>
        <v>1.7405263189449693E-2</v>
      </c>
    </row>
    <row r="774" spans="19:22" x14ac:dyDescent="0.35">
      <c r="S774">
        <f t="shared" ca="1" si="48"/>
        <v>-4.6766343619940726E-3</v>
      </c>
      <c r="T774">
        <f t="shared" ca="1" si="49"/>
        <v>-8.5800550636357612E-3</v>
      </c>
      <c r="U774">
        <f t="shared" ca="1" si="50"/>
        <v>2.9662551003725387E-2</v>
      </c>
      <c r="V774">
        <f t="shared" ca="1" si="51"/>
        <v>-3.7403592340364373E-3</v>
      </c>
    </row>
    <row r="775" spans="19:22" x14ac:dyDescent="0.35">
      <c r="S775">
        <f t="shared" ca="1" si="48"/>
        <v>5.1963788482950989E-3</v>
      </c>
      <c r="T775">
        <f t="shared" ca="1" si="49"/>
        <v>1.7533886093641933E-2</v>
      </c>
      <c r="U775">
        <f t="shared" ca="1" si="50"/>
        <v>-2.4136528574103415E-2</v>
      </c>
      <c r="V775">
        <f t="shared" ca="1" si="51"/>
        <v>6.1972349262445405E-3</v>
      </c>
    </row>
    <row r="776" spans="19:22" x14ac:dyDescent="0.35">
      <c r="S776">
        <f t="shared" ca="1" si="48"/>
        <v>-7.3342202460253691E-3</v>
      </c>
      <c r="T776">
        <f t="shared" ca="1" si="49"/>
        <v>9.7597069885941787E-3</v>
      </c>
      <c r="U776">
        <f t="shared" ca="1" si="50"/>
        <v>2.2581633628566244E-2</v>
      </c>
      <c r="V776">
        <f t="shared" ca="1" si="51"/>
        <v>-2.4196421053718788E-3</v>
      </c>
    </row>
    <row r="777" spans="19:22" x14ac:dyDescent="0.35">
      <c r="S777">
        <f t="shared" ca="1" si="48"/>
        <v>-5.3396383066452238E-3</v>
      </c>
      <c r="T777">
        <f t="shared" ca="1" si="49"/>
        <v>1.5697382874728293E-2</v>
      </c>
      <c r="U777">
        <f t="shared" ca="1" si="50"/>
        <v>1.7600055143098477E-2</v>
      </c>
      <c r="V777">
        <f t="shared" ca="1" si="51"/>
        <v>1.4750602116664802E-5</v>
      </c>
    </row>
    <row r="778" spans="19:22" x14ac:dyDescent="0.35">
      <c r="S778">
        <f t="shared" ca="1" si="48"/>
        <v>1.1207596349582767E-2</v>
      </c>
      <c r="T778">
        <f t="shared" ca="1" si="49"/>
        <v>-2.4300322769232435E-4</v>
      </c>
      <c r="U778">
        <f t="shared" ca="1" si="50"/>
        <v>-8.0355778232824547E-3</v>
      </c>
      <c r="V778">
        <f t="shared" ca="1" si="51"/>
        <v>7.9553177254844884E-3</v>
      </c>
    </row>
    <row r="779" spans="19:22" x14ac:dyDescent="0.35">
      <c r="S779">
        <f t="shared" ca="1" si="48"/>
        <v>-1.872189442625562E-2</v>
      </c>
      <c r="T779">
        <f t="shared" ca="1" si="49"/>
        <v>-3.2217217148644271E-3</v>
      </c>
      <c r="U779">
        <f t="shared" ca="1" si="50"/>
        <v>-2.1097442842620936E-2</v>
      </c>
      <c r="V779">
        <f t="shared" ca="1" si="51"/>
        <v>-1.5740637304795649E-2</v>
      </c>
    </row>
    <row r="780" spans="19:22" x14ac:dyDescent="0.35">
      <c r="S780">
        <f t="shared" ca="1" si="48"/>
        <v>3.4754186974112042E-4</v>
      </c>
      <c r="T780">
        <f t="shared" ca="1" si="49"/>
        <v>-2.499714845762612E-3</v>
      </c>
      <c r="U780">
        <f t="shared" ca="1" si="50"/>
        <v>2.7665226832737234E-2</v>
      </c>
      <c r="V780">
        <f t="shared" ca="1" si="51"/>
        <v>1.1439747747901798E-3</v>
      </c>
    </row>
    <row r="781" spans="19:22" x14ac:dyDescent="0.35">
      <c r="S781">
        <f t="shared" ca="1" si="48"/>
        <v>-2.6447945374226216E-4</v>
      </c>
      <c r="T781">
        <f t="shared" ca="1" si="49"/>
        <v>-2.2962790207803573E-2</v>
      </c>
      <c r="U781">
        <f t="shared" ca="1" si="50"/>
        <v>2.5354123058904676E-2</v>
      </c>
      <c r="V781">
        <f t="shared" ca="1" si="51"/>
        <v>-3.5232114789221771E-3</v>
      </c>
    </row>
    <row r="782" spans="19:22" x14ac:dyDescent="0.35">
      <c r="S782">
        <f t="shared" ca="1" si="48"/>
        <v>-2.6378825043527072E-2</v>
      </c>
      <c r="T782">
        <f t="shared" ca="1" si="49"/>
        <v>-3.5232368789212248E-3</v>
      </c>
      <c r="U782">
        <f t="shared" ca="1" si="50"/>
        <v>-3.0974682597942275E-2</v>
      </c>
      <c r="V782">
        <f t="shared" ca="1" si="51"/>
        <v>-2.2037500288326666E-2</v>
      </c>
    </row>
    <row r="783" spans="19:22" x14ac:dyDescent="0.35">
      <c r="S783">
        <f t="shared" ca="1" si="48"/>
        <v>6.0614653441802314E-3</v>
      </c>
      <c r="T783">
        <f t="shared" ca="1" si="49"/>
        <v>6.1549458044640433E-4</v>
      </c>
      <c r="U783">
        <f t="shared" ca="1" si="50"/>
        <v>1.5290448941626133E-2</v>
      </c>
      <c r="V783">
        <f t="shared" ca="1" si="51"/>
        <v>5.4337203713057617E-3</v>
      </c>
    </row>
    <row r="784" spans="19:22" x14ac:dyDescent="0.35">
      <c r="S784">
        <f t="shared" ca="1" si="48"/>
        <v>-5.6586718420387171E-3</v>
      </c>
      <c r="T784">
        <f t="shared" ca="1" si="49"/>
        <v>-1.674308378249478E-2</v>
      </c>
      <c r="U784">
        <f t="shared" ca="1" si="50"/>
        <v>1.0978594171314663E-2</v>
      </c>
      <c r="V784">
        <f t="shared" ca="1" si="51"/>
        <v>-7.0436909294622606E-3</v>
      </c>
    </row>
    <row r="785" spans="19:22" x14ac:dyDescent="0.35">
      <c r="S785">
        <f t="shared" ca="1" si="48"/>
        <v>6.9922628842103377E-3</v>
      </c>
      <c r="T785">
        <f t="shared" ca="1" si="49"/>
        <v>8.5128554096027733E-3</v>
      </c>
      <c r="U785">
        <f t="shared" ca="1" si="50"/>
        <v>1.7669875299981038E-2</v>
      </c>
      <c r="V785">
        <f t="shared" ca="1" si="51"/>
        <v>7.8302620100773601E-3</v>
      </c>
    </row>
    <row r="786" spans="19:22" x14ac:dyDescent="0.35">
      <c r="S786">
        <f t="shared" ca="1" si="48"/>
        <v>-2.4660239719013023E-2</v>
      </c>
      <c r="T786">
        <f t="shared" ca="1" si="49"/>
        <v>1.7730830170637986E-2</v>
      </c>
      <c r="U786">
        <f t="shared" ca="1" si="50"/>
        <v>2.0170466032495747E-2</v>
      </c>
      <c r="V786">
        <f t="shared" ca="1" si="51"/>
        <v>-1.3940490453507386E-2</v>
      </c>
    </row>
    <row r="787" spans="19:22" x14ac:dyDescent="0.35">
      <c r="S787">
        <f t="shared" ca="1" si="48"/>
        <v>-1.5554871476565191E-2</v>
      </c>
      <c r="T787">
        <f t="shared" ca="1" si="49"/>
        <v>-1.1049645533306935E-2</v>
      </c>
      <c r="U787">
        <f t="shared" ca="1" si="50"/>
        <v>5.0629908388247775E-2</v>
      </c>
      <c r="V787">
        <f t="shared" ca="1" si="51"/>
        <v>-1.1344587294672893E-2</v>
      </c>
    </row>
    <row r="788" spans="19:22" x14ac:dyDescent="0.35">
      <c r="S788">
        <f t="shared" ca="1" si="48"/>
        <v>-9.6976400097689274E-3</v>
      </c>
      <c r="T788">
        <f t="shared" ca="1" si="49"/>
        <v>2.3238242989181007E-2</v>
      </c>
      <c r="U788">
        <f t="shared" ca="1" si="50"/>
        <v>-1.3715815109253309E-2</v>
      </c>
      <c r="V788">
        <f t="shared" ca="1" si="51"/>
        <v>-3.3113721649531591E-3</v>
      </c>
    </row>
    <row r="789" spans="19:22" x14ac:dyDescent="0.35">
      <c r="S789">
        <f t="shared" ca="1" si="48"/>
        <v>-3.1454514473955142E-2</v>
      </c>
      <c r="T789">
        <f t="shared" ca="1" si="49"/>
        <v>2.23749041601554E-2</v>
      </c>
      <c r="U789">
        <f t="shared" ca="1" si="50"/>
        <v>-9.37719126699889E-3</v>
      </c>
      <c r="V789">
        <f t="shared" ca="1" si="51"/>
        <v>-1.9584764586785222E-2</v>
      </c>
    </row>
    <row r="790" spans="19:22" x14ac:dyDescent="0.35">
      <c r="S790">
        <f t="shared" ca="1" si="48"/>
        <v>-2.1449701628738094E-2</v>
      </c>
      <c r="T790">
        <f t="shared" ca="1" si="49"/>
        <v>1.7487818837655458E-2</v>
      </c>
      <c r="U790">
        <f t="shared" ca="1" si="50"/>
        <v>2.1063718280263606E-2</v>
      </c>
      <c r="V790">
        <f t="shared" ca="1" si="51"/>
        <v>-1.15365265400093E-2</v>
      </c>
    </row>
    <row r="791" spans="19:22" x14ac:dyDescent="0.35">
      <c r="S791">
        <f t="shared" ca="1" si="48"/>
        <v>-9.1522528465910382E-3</v>
      </c>
      <c r="T791">
        <f t="shared" ca="1" si="49"/>
        <v>2.3402073427049402E-2</v>
      </c>
      <c r="U791">
        <f t="shared" ca="1" si="50"/>
        <v>-2.056668487459596E-2</v>
      </c>
      <c r="V791">
        <f t="shared" ca="1" si="51"/>
        <v>-3.2121091932631957E-3</v>
      </c>
    </row>
    <row r="792" spans="19:22" x14ac:dyDescent="0.35">
      <c r="S792">
        <f t="shared" ca="1" si="48"/>
        <v>7.7356974182602803E-3</v>
      </c>
      <c r="T792">
        <f t="shared" ca="1" si="49"/>
        <v>-1.1281793761211058E-2</v>
      </c>
      <c r="U792">
        <f t="shared" ca="1" si="50"/>
        <v>9.4144111264726077E-4</v>
      </c>
      <c r="V792">
        <f t="shared" ca="1" si="51"/>
        <v>3.5924863670853614E-3</v>
      </c>
    </row>
    <row r="793" spans="19:22" x14ac:dyDescent="0.35">
      <c r="S793">
        <f t="shared" ca="1" si="48"/>
        <v>-2.3872940816217151E-4</v>
      </c>
      <c r="T793">
        <f t="shared" ca="1" si="49"/>
        <v>-6.8111082091897946E-3</v>
      </c>
      <c r="U793">
        <f t="shared" ca="1" si="50"/>
        <v>-2.6335523114897758E-2</v>
      </c>
      <c r="V793">
        <f t="shared" ca="1" si="51"/>
        <v>-2.8580448537044757E-3</v>
      </c>
    </row>
    <row r="794" spans="19:22" x14ac:dyDescent="0.35">
      <c r="S794">
        <f t="shared" ca="1" si="48"/>
        <v>4.9710770777917964E-3</v>
      </c>
      <c r="T794">
        <f t="shared" ca="1" si="49"/>
        <v>3.1601041686155754E-2</v>
      </c>
      <c r="U794">
        <f t="shared" ca="1" si="50"/>
        <v>1.6361606214797875E-2</v>
      </c>
      <c r="V794">
        <f t="shared" ca="1" si="51"/>
        <v>1.0866596456314893E-2</v>
      </c>
    </row>
    <row r="795" spans="19:22" x14ac:dyDescent="0.35">
      <c r="S795">
        <f t="shared" ca="1" si="48"/>
        <v>-1.834942962801768E-2</v>
      </c>
      <c r="T795">
        <f t="shared" ca="1" si="49"/>
        <v>1.8351710899084332E-2</v>
      </c>
      <c r="U795">
        <f t="shared" ca="1" si="50"/>
        <v>-1.2445899459215929E-2</v>
      </c>
      <c r="V795">
        <f t="shared" ca="1" si="51"/>
        <v>-1.071402501415719E-2</v>
      </c>
    </row>
    <row r="796" spans="19:22" x14ac:dyDescent="0.35">
      <c r="S796">
        <f t="shared" ca="1" si="48"/>
        <v>1.0734172162794013E-2</v>
      </c>
      <c r="T796">
        <f t="shared" ca="1" si="49"/>
        <v>5.989591346273037E-3</v>
      </c>
      <c r="U796">
        <f t="shared" ca="1" si="50"/>
        <v>3.1315307006977143E-3</v>
      </c>
      <c r="V796">
        <f t="shared" ca="1" si="51"/>
        <v>9.405123926385003E-3</v>
      </c>
    </row>
    <row r="797" spans="19:22" x14ac:dyDescent="0.35">
      <c r="S797">
        <f t="shared" ca="1" si="48"/>
        <v>1.7300662540485776E-2</v>
      </c>
      <c r="T797">
        <f t="shared" ca="1" si="49"/>
        <v>-2.0509165330740253E-3</v>
      </c>
      <c r="U797">
        <f t="shared" ca="1" si="50"/>
        <v>1.2173564972077595E-3</v>
      </c>
      <c r="V797">
        <f t="shared" ca="1" si="51"/>
        <v>1.2626181423609915E-2</v>
      </c>
    </row>
    <row r="798" spans="19:22" x14ac:dyDescent="0.35">
      <c r="S798">
        <f t="shared" ca="1" si="48"/>
        <v>-2.8869050598729559E-2</v>
      </c>
      <c r="T798">
        <f t="shared" ca="1" si="49"/>
        <v>2.7520247870089103E-3</v>
      </c>
      <c r="U798">
        <f t="shared" ca="1" si="50"/>
        <v>-3.9978682603283536E-2</v>
      </c>
      <c r="V798">
        <f t="shared" ca="1" si="51"/>
        <v>-2.3100317121809561E-2</v>
      </c>
    </row>
    <row r="799" spans="19:22" x14ac:dyDescent="0.35">
      <c r="S799">
        <f t="shared" ca="1" si="48"/>
        <v>1.3914027056379773E-2</v>
      </c>
      <c r="T799">
        <f t="shared" ca="1" si="49"/>
        <v>4.4790476461240422E-3</v>
      </c>
      <c r="U799">
        <f t="shared" ca="1" si="50"/>
        <v>1.7759156611417536E-2</v>
      </c>
      <c r="V799">
        <f t="shared" ca="1" si="51"/>
        <v>1.2219287652080517E-2</v>
      </c>
    </row>
    <row r="800" spans="19:22" x14ac:dyDescent="0.35">
      <c r="S800">
        <f t="shared" ca="1" si="48"/>
        <v>1.1701743383854485E-2</v>
      </c>
      <c r="T800">
        <f t="shared" ca="1" si="49"/>
        <v>-1.0744477872095098E-2</v>
      </c>
      <c r="U800">
        <f t="shared" ca="1" si="50"/>
        <v>-2.0406512479589696E-2</v>
      </c>
      <c r="V800">
        <f t="shared" ca="1" si="51"/>
        <v>5.6070863394923594E-3</v>
      </c>
    </row>
    <row r="801" spans="19:22" x14ac:dyDescent="0.35">
      <c r="S801">
        <f t="shared" ca="1" si="48"/>
        <v>-1.4688448604202304E-2</v>
      </c>
      <c r="T801">
        <f t="shared" ca="1" si="49"/>
        <v>-3.660247947874281E-3</v>
      </c>
      <c r="U801">
        <f t="shared" ca="1" si="50"/>
        <v>-1.3057271506225302E-2</v>
      </c>
      <c r="V801">
        <f t="shared" ca="1" si="51"/>
        <v>-1.240124961803785E-2</v>
      </c>
    </row>
    <row r="802" spans="19:22" x14ac:dyDescent="0.35">
      <c r="S802">
        <f t="shared" ca="1" si="48"/>
        <v>-2.1080367450668085E-2</v>
      </c>
      <c r="T802">
        <f t="shared" ca="1" si="49"/>
        <v>1.1266841930893128E-2</v>
      </c>
      <c r="U802">
        <f t="shared" ca="1" si="50"/>
        <v>-1.6935637967037866E-2</v>
      </c>
      <c r="V802">
        <f t="shared" ca="1" si="51"/>
        <v>-1.4403689100174331E-2</v>
      </c>
    </row>
    <row r="803" spans="19:22" x14ac:dyDescent="0.35">
      <c r="S803">
        <f t="shared" ca="1" si="48"/>
        <v>-1.2678118659916894E-2</v>
      </c>
      <c r="T803">
        <f t="shared" ca="1" si="49"/>
        <v>-2.674540335720944E-2</v>
      </c>
      <c r="U803">
        <f t="shared" ca="1" si="50"/>
        <v>7.6227200978432165E-3</v>
      </c>
      <c r="V803">
        <f t="shared" ca="1" si="51"/>
        <v>-1.4476533661487399E-2</v>
      </c>
    </row>
    <row r="804" spans="19:22" x14ac:dyDescent="0.35">
      <c r="S804">
        <f t="shared" ca="1" si="48"/>
        <v>-1.5612139213482135E-3</v>
      </c>
      <c r="T804">
        <f t="shared" ca="1" si="49"/>
        <v>-2.8744993217693842E-2</v>
      </c>
      <c r="U804">
        <f t="shared" ca="1" si="50"/>
        <v>1.8077458824115045E-2</v>
      </c>
      <c r="V804">
        <f t="shared" ca="1" si="51"/>
        <v>-6.0160361433441775E-3</v>
      </c>
    </row>
    <row r="805" spans="19:22" x14ac:dyDescent="0.35">
      <c r="S805">
        <f t="shared" ca="1" si="48"/>
        <v>-3.7378661157857203E-3</v>
      </c>
      <c r="T805">
        <f t="shared" ca="1" si="49"/>
        <v>-1.7128707442859326E-2</v>
      </c>
      <c r="U805">
        <f t="shared" ca="1" si="50"/>
        <v>4.4407713521353847E-3</v>
      </c>
      <c r="V805">
        <f t="shared" ca="1" si="51"/>
        <v>-6.0071025078043856E-3</v>
      </c>
    </row>
    <row r="806" spans="19:22" x14ac:dyDescent="0.35">
      <c r="S806">
        <f t="shared" ca="1" si="48"/>
        <v>6.5666465901158353E-4</v>
      </c>
      <c r="T806">
        <f t="shared" ca="1" si="49"/>
        <v>1.4579365188361941E-2</v>
      </c>
      <c r="U806">
        <f t="shared" ca="1" si="50"/>
        <v>-5.1180839639265611E-2</v>
      </c>
      <c r="V806">
        <f t="shared" ca="1" si="51"/>
        <v>8.4932954996779506E-4</v>
      </c>
    </row>
    <row r="807" spans="19:22" x14ac:dyDescent="0.35">
      <c r="S807">
        <f t="shared" ca="1" si="48"/>
        <v>3.6415754713320573E-3</v>
      </c>
      <c r="T807">
        <f t="shared" ca="1" si="49"/>
        <v>1.9156022076150952E-2</v>
      </c>
      <c r="U807">
        <f t="shared" ca="1" si="50"/>
        <v>2.492353267083517E-2</v>
      </c>
      <c r="V807">
        <f t="shared" ca="1" si="51"/>
        <v>7.8085626522709922E-3</v>
      </c>
    </row>
    <row r="808" spans="19:22" x14ac:dyDescent="0.35">
      <c r="S808">
        <f t="shared" ca="1" si="48"/>
        <v>-3.0754447625497771E-4</v>
      </c>
      <c r="T808">
        <f t="shared" ca="1" si="49"/>
        <v>1.7661447599787196E-2</v>
      </c>
      <c r="U808">
        <f t="shared" ca="1" si="50"/>
        <v>-2.4571032229522099E-2</v>
      </c>
      <c r="V808">
        <f t="shared" ca="1" si="51"/>
        <v>2.0730795512901011E-3</v>
      </c>
    </row>
    <row r="809" spans="19:22" x14ac:dyDescent="0.35">
      <c r="S809">
        <f t="shared" ca="1" si="48"/>
        <v>-3.6792730840743498E-2</v>
      </c>
      <c r="T809">
        <f t="shared" ca="1" si="49"/>
        <v>1.1349359426871354E-2</v>
      </c>
      <c r="U809">
        <f t="shared" ca="1" si="50"/>
        <v>3.0225334234903708E-4</v>
      </c>
      <c r="V809">
        <f t="shared" ca="1" si="51"/>
        <v>-2.5309563578065901E-2</v>
      </c>
    </row>
    <row r="810" spans="19:22" x14ac:dyDescent="0.35">
      <c r="S810">
        <f t="shared" ca="1" si="48"/>
        <v>5.4993696863543055E-3</v>
      </c>
      <c r="T810">
        <f t="shared" ca="1" si="49"/>
        <v>-4.8441992483442171E-3</v>
      </c>
      <c r="U810">
        <f t="shared" ca="1" si="50"/>
        <v>1.0097898959916444E-2</v>
      </c>
      <c r="V810">
        <f t="shared" ca="1" si="51"/>
        <v>3.6605823630927081E-3</v>
      </c>
    </row>
    <row r="811" spans="19:22" x14ac:dyDescent="0.35">
      <c r="S811">
        <f t="shared" ca="1" si="48"/>
        <v>7.0212687529281562E-3</v>
      </c>
      <c r="T811">
        <f t="shared" ca="1" si="49"/>
        <v>-2.1259305063967567E-2</v>
      </c>
      <c r="U811">
        <f t="shared" ca="1" si="50"/>
        <v>1.9976696427879914E-2</v>
      </c>
      <c r="V811">
        <f t="shared" ca="1" si="51"/>
        <v>2.0129253732965998E-3</v>
      </c>
    </row>
    <row r="812" spans="19:22" x14ac:dyDescent="0.35">
      <c r="S812">
        <f t="shared" ca="1" si="48"/>
        <v>-4.5640388579852986E-3</v>
      </c>
      <c r="T812">
        <f t="shared" ca="1" si="49"/>
        <v>2.1772014356062477E-2</v>
      </c>
      <c r="U812">
        <f t="shared" ca="1" si="50"/>
        <v>-1.6161486688148895E-2</v>
      </c>
      <c r="V812">
        <f t="shared" ca="1" si="51"/>
        <v>1.2329939331607697E-4</v>
      </c>
    </row>
    <row r="813" spans="19:22" x14ac:dyDescent="0.35">
      <c r="S813">
        <f t="shared" ca="1" si="48"/>
        <v>-4.5013543108834361E-3</v>
      </c>
      <c r="T813">
        <f t="shared" ca="1" si="49"/>
        <v>-3.1285057211959191E-2</v>
      </c>
      <c r="U813">
        <f t="shared" ca="1" si="50"/>
        <v>-1.6877167983507056E-2</v>
      </c>
      <c r="V813">
        <f t="shared" ca="1" si="51"/>
        <v>-1.0476885574729769E-2</v>
      </c>
    </row>
    <row r="814" spans="19:22" x14ac:dyDescent="0.35">
      <c r="S814">
        <f t="shared" ca="1" si="48"/>
        <v>-1.3122668240949958E-2</v>
      </c>
      <c r="T814">
        <f t="shared" ca="1" si="49"/>
        <v>6.7959195457524069E-3</v>
      </c>
      <c r="U814">
        <f t="shared" ca="1" si="50"/>
        <v>-2.829672588502101E-2</v>
      </c>
      <c r="V814">
        <f t="shared" ca="1" si="51"/>
        <v>-9.8976535658130381E-3</v>
      </c>
    </row>
    <row r="815" spans="19:22" x14ac:dyDescent="0.35">
      <c r="S815">
        <f t="shared" ca="1" si="48"/>
        <v>-9.0349698274273856E-3</v>
      </c>
      <c r="T815">
        <f t="shared" ca="1" si="49"/>
        <v>1.7154539487404974E-2</v>
      </c>
      <c r="U815">
        <f t="shared" ca="1" si="50"/>
        <v>-9.5676144501263983E-3</v>
      </c>
      <c r="V815">
        <f t="shared" ca="1" si="51"/>
        <v>-3.8237001955958639E-3</v>
      </c>
    </row>
    <row r="816" spans="19:22" x14ac:dyDescent="0.35">
      <c r="S816">
        <f t="shared" ca="1" si="48"/>
        <v>2.8510998896226186E-2</v>
      </c>
      <c r="T816">
        <f t="shared" ca="1" si="49"/>
        <v>2.3577175129924521E-2</v>
      </c>
      <c r="U816">
        <f t="shared" ca="1" si="50"/>
        <v>-1.7982815665101078E-2</v>
      </c>
      <c r="V816">
        <f t="shared" ca="1" si="51"/>
        <v>2.5199543414899491E-2</v>
      </c>
    </row>
    <row r="817" spans="19:22" x14ac:dyDescent="0.35">
      <c r="S817">
        <f t="shared" ca="1" si="48"/>
        <v>8.2178849630858922E-3</v>
      </c>
      <c r="T817">
        <f t="shared" ca="1" si="49"/>
        <v>1.1977359000994701E-3</v>
      </c>
      <c r="U817">
        <f t="shared" ca="1" si="50"/>
        <v>2.7384441652178949E-2</v>
      </c>
      <c r="V817">
        <f t="shared" ca="1" si="51"/>
        <v>7.7721829849432605E-3</v>
      </c>
    </row>
    <row r="818" spans="19:22" x14ac:dyDescent="0.35">
      <c r="S818">
        <f t="shared" ca="1" si="48"/>
        <v>2.5905232807701399E-2</v>
      </c>
      <c r="T818">
        <f t="shared" ca="1" si="49"/>
        <v>3.3673400865195602E-2</v>
      </c>
      <c r="U818">
        <f t="shared" ca="1" si="50"/>
        <v>5.8286570927440886E-3</v>
      </c>
      <c r="V818">
        <f t="shared" ca="1" si="51"/>
        <v>2.6455037633452375E-2</v>
      </c>
    </row>
    <row r="819" spans="19:22" x14ac:dyDescent="0.35">
      <c r="S819">
        <f t="shared" ca="1" si="48"/>
        <v>3.9255539905563583E-3</v>
      </c>
      <c r="T819">
        <f t="shared" ca="1" si="49"/>
        <v>-1.980711347144129E-2</v>
      </c>
      <c r="U819">
        <f t="shared" ca="1" si="50"/>
        <v>2.5733179874315851E-2</v>
      </c>
      <c r="V819">
        <f t="shared" ca="1" si="51"/>
        <v>2.6940179234480354E-4</v>
      </c>
    </row>
    <row r="820" spans="19:22" x14ac:dyDescent="0.35">
      <c r="S820">
        <f t="shared" ca="1" si="48"/>
        <v>-1.1914010450677871E-2</v>
      </c>
      <c r="T820">
        <f t="shared" ca="1" si="49"/>
        <v>-8.7221488680591062E-3</v>
      </c>
      <c r="U820">
        <f t="shared" ca="1" si="50"/>
        <v>4.3390526645546339E-3</v>
      </c>
      <c r="V820">
        <f t="shared" ca="1" si="51"/>
        <v>-1.0462984978392492E-2</v>
      </c>
    </row>
    <row r="821" spans="19:22" x14ac:dyDescent="0.35">
      <c r="S821">
        <f t="shared" ca="1" si="48"/>
        <v>-1.4275065103852772E-2</v>
      </c>
      <c r="T821">
        <f t="shared" ca="1" si="49"/>
        <v>3.8520020480340124E-2</v>
      </c>
      <c r="U821">
        <f t="shared" ca="1" si="50"/>
        <v>-2.7585877291254157E-3</v>
      </c>
      <c r="V821">
        <f t="shared" ca="1" si="51"/>
        <v>-3.1402241182778247E-3</v>
      </c>
    </row>
    <row r="822" spans="19:22" x14ac:dyDescent="0.35">
      <c r="S822">
        <f t="shared" ca="1" si="48"/>
        <v>-1.3051500016239739E-2</v>
      </c>
      <c r="T822">
        <f t="shared" ca="1" si="49"/>
        <v>8.624528499717881E-3</v>
      </c>
      <c r="U822">
        <f t="shared" ca="1" si="50"/>
        <v>4.0397332946594351E-3</v>
      </c>
      <c r="V822">
        <f t="shared" ca="1" si="51"/>
        <v>-7.8617326475032574E-3</v>
      </c>
    </row>
    <row r="823" spans="19:22" x14ac:dyDescent="0.35">
      <c r="S823">
        <f t="shared" ca="1" si="48"/>
        <v>3.8771389225239039E-2</v>
      </c>
      <c r="T823">
        <f t="shared" ca="1" si="49"/>
        <v>-1.713200451172299E-2</v>
      </c>
      <c r="U823">
        <f t="shared" ca="1" si="50"/>
        <v>-4.8502192773431478E-3</v>
      </c>
      <c r="V823">
        <f t="shared" ca="1" si="51"/>
        <v>2.5409630052717524E-2</v>
      </c>
    </row>
    <row r="824" spans="19:22" x14ac:dyDescent="0.35">
      <c r="S824">
        <f t="shared" ca="1" si="48"/>
        <v>-1.9862281188518439E-2</v>
      </c>
      <c r="T824">
        <f t="shared" ca="1" si="49"/>
        <v>-1.1028011477952545E-2</v>
      </c>
      <c r="U824">
        <f t="shared" ca="1" si="50"/>
        <v>1.5425480949376229E-2</v>
      </c>
      <c r="V824">
        <f t="shared" ca="1" si="51"/>
        <v>-1.6331039139510527E-2</v>
      </c>
    </row>
    <row r="825" spans="19:22" x14ac:dyDescent="0.35">
      <c r="S825">
        <f t="shared" ca="1" si="48"/>
        <v>1.5744386723819937E-2</v>
      </c>
      <c r="T825">
        <f t="shared" ca="1" si="49"/>
        <v>3.3804332100925129E-2</v>
      </c>
      <c r="U825">
        <f t="shared" ca="1" si="50"/>
        <v>-1.7919961757164846E-2</v>
      </c>
      <c r="V825">
        <f t="shared" ca="1" si="51"/>
        <v>1.7673158375191737E-2</v>
      </c>
    </row>
    <row r="826" spans="19:22" x14ac:dyDescent="0.35">
      <c r="S826">
        <f t="shared" ca="1" si="48"/>
        <v>1.1877188254193108E-2</v>
      </c>
      <c r="T826">
        <f t="shared" ca="1" si="49"/>
        <v>-4.6022535942889962E-3</v>
      </c>
      <c r="U826">
        <f t="shared" ca="1" si="50"/>
        <v>1.2289939117160229E-2</v>
      </c>
      <c r="V826">
        <f t="shared" ca="1" si="51"/>
        <v>8.6019374276450431E-3</v>
      </c>
    </row>
    <row r="827" spans="19:22" x14ac:dyDescent="0.35">
      <c r="S827">
        <f t="shared" ca="1" si="48"/>
        <v>-1.6028793689897094E-2</v>
      </c>
      <c r="T827">
        <f t="shared" ca="1" si="49"/>
        <v>5.0540965495812287E-3</v>
      </c>
      <c r="U827">
        <f t="shared" ca="1" si="50"/>
        <v>9.9110216984200795E-3</v>
      </c>
      <c r="V827">
        <f t="shared" ca="1" si="51"/>
        <v>-1.051522487258557E-2</v>
      </c>
    </row>
    <row r="828" spans="19:22" x14ac:dyDescent="0.35">
      <c r="S828">
        <f t="shared" ca="1" si="48"/>
        <v>-1.2644342626132588E-2</v>
      </c>
      <c r="T828">
        <f t="shared" ca="1" si="49"/>
        <v>6.7142545001899097E-3</v>
      </c>
      <c r="U828">
        <f t="shared" ca="1" si="50"/>
        <v>-2.6300599026244441E-3</v>
      </c>
      <c r="V828">
        <f t="shared" ca="1" si="51"/>
        <v>-8.2719090646926827E-3</v>
      </c>
    </row>
    <row r="829" spans="19:22" x14ac:dyDescent="0.35">
      <c r="S829">
        <f t="shared" ca="1" si="48"/>
        <v>1.394324336127536E-2</v>
      </c>
      <c r="T829">
        <f t="shared" ca="1" si="49"/>
        <v>3.3937885288472122E-4</v>
      </c>
      <c r="U829">
        <f t="shared" ca="1" si="50"/>
        <v>6.7098148916670073E-3</v>
      </c>
      <c r="V829">
        <f t="shared" ca="1" si="51"/>
        <v>1.0860799036116815E-2</v>
      </c>
    </row>
    <row r="830" spans="19:22" x14ac:dyDescent="0.35">
      <c r="S830">
        <f t="shared" ca="1" si="48"/>
        <v>-1.3293296652579802E-2</v>
      </c>
      <c r="T830">
        <f t="shared" ca="1" si="49"/>
        <v>1.1634385660077934E-2</v>
      </c>
      <c r="U830">
        <f t="shared" ca="1" si="50"/>
        <v>3.3838031649261115E-2</v>
      </c>
      <c r="V830">
        <f t="shared" ca="1" si="51"/>
        <v>-5.9511937749562073E-3</v>
      </c>
    </row>
    <row r="831" spans="19:22" x14ac:dyDescent="0.35">
      <c r="S831">
        <f t="shared" ca="1" si="48"/>
        <v>-5.7916936339755462E-3</v>
      </c>
      <c r="T831">
        <f t="shared" ca="1" si="49"/>
        <v>6.7618561316051557E-3</v>
      </c>
      <c r="U831">
        <f t="shared" ca="1" si="50"/>
        <v>1.0878346457264838E-3</v>
      </c>
      <c r="V831">
        <f t="shared" ca="1" si="51"/>
        <v>-2.9370072668743045E-3</v>
      </c>
    </row>
    <row r="832" spans="19:22" x14ac:dyDescent="0.35">
      <c r="S832">
        <f t="shared" ca="1" si="48"/>
        <v>-5.507561711061558E-3</v>
      </c>
      <c r="T832">
        <f t="shared" ca="1" si="49"/>
        <v>-2.4088782197531168E-2</v>
      </c>
      <c r="U832">
        <f t="shared" ca="1" si="50"/>
        <v>4.8503241866175145E-3</v>
      </c>
      <c r="V832">
        <f t="shared" ca="1" si="51"/>
        <v>-8.7059115134715277E-3</v>
      </c>
    </row>
    <row r="833" spans="19:22" x14ac:dyDescent="0.35">
      <c r="S833">
        <f t="shared" ca="1" si="48"/>
        <v>1.7768377897254779E-2</v>
      </c>
      <c r="T833">
        <f t="shared" ca="1" si="49"/>
        <v>1.1202296389789099E-2</v>
      </c>
      <c r="U833">
        <f t="shared" ca="1" si="50"/>
        <v>2.0791471078012748E-2</v>
      </c>
      <c r="V833">
        <f t="shared" ca="1" si="51"/>
        <v>1.6606316254799542E-2</v>
      </c>
    </row>
    <row r="834" spans="19:22" x14ac:dyDescent="0.35">
      <c r="S834">
        <f t="shared" ca="1" si="48"/>
        <v>1.8002843375757437E-2</v>
      </c>
      <c r="T834">
        <f t="shared" ca="1" si="49"/>
        <v>2.6817151010183706E-3</v>
      </c>
      <c r="U834">
        <f t="shared" ca="1" si="50"/>
        <v>9.2441921148246771E-4</v>
      </c>
      <c r="V834">
        <f t="shared" ca="1" si="51"/>
        <v>1.4084696512595874E-2</v>
      </c>
    </row>
    <row r="835" spans="19:22" x14ac:dyDescent="0.35">
      <c r="S835">
        <f t="shared" ca="1" si="48"/>
        <v>2.599724990688548E-3</v>
      </c>
      <c r="T835">
        <f t="shared" ca="1" si="49"/>
        <v>-6.8339944447743384E-3</v>
      </c>
      <c r="U835">
        <f t="shared" ca="1" si="50"/>
        <v>-1.3863446926038032E-2</v>
      </c>
      <c r="V835">
        <f t="shared" ca="1" si="51"/>
        <v>-1.1017749224035854E-4</v>
      </c>
    </row>
    <row r="836" spans="19:22" x14ac:dyDescent="0.35">
      <c r="S836">
        <f t="shared" ref="S836:S899" ca="1" si="52">_xlfn.NORM.INV(RAND(),$L$3,$M$3)</f>
        <v>2.9844925077220901E-2</v>
      </c>
      <c r="T836">
        <f t="shared" ref="T836:T899" ca="1" si="53">_xlfn.NORM.INV(RAND(),$N$3,$O$3)</f>
        <v>2.2991657635154168E-3</v>
      </c>
      <c r="U836">
        <f t="shared" ref="U836:U899" ca="1" si="54">_xlfn.NORM.INV(RAND(),$P$3,$Q$3)</f>
        <v>1.5557178959084608E-2</v>
      </c>
      <c r="V836">
        <f t="shared" ref="V836:V899" ca="1" si="55">(0.75*S836)+(0.2*T836)+(0.05*U836)</f>
        <v>2.3621385908572989E-2</v>
      </c>
    </row>
    <row r="837" spans="19:22" x14ac:dyDescent="0.35">
      <c r="S837">
        <f t="shared" ca="1" si="52"/>
        <v>4.1600405198769837E-3</v>
      </c>
      <c r="T837">
        <f t="shared" ca="1" si="53"/>
        <v>1.4018649969314021E-2</v>
      </c>
      <c r="U837">
        <f t="shared" ca="1" si="54"/>
        <v>-1.4977773600826369E-3</v>
      </c>
      <c r="V837">
        <f t="shared" ca="1" si="55"/>
        <v>5.8488715157664099E-3</v>
      </c>
    </row>
    <row r="838" spans="19:22" x14ac:dyDescent="0.35">
      <c r="S838">
        <f t="shared" ca="1" si="52"/>
        <v>1.8441994499719134E-2</v>
      </c>
      <c r="T838">
        <f t="shared" ca="1" si="53"/>
        <v>9.5138669323750931E-3</v>
      </c>
      <c r="U838">
        <f t="shared" ca="1" si="54"/>
        <v>7.0558257963121715E-3</v>
      </c>
      <c r="V838">
        <f t="shared" ca="1" si="55"/>
        <v>1.6087060551079977E-2</v>
      </c>
    </row>
    <row r="839" spans="19:22" x14ac:dyDescent="0.35">
      <c r="S839">
        <f t="shared" ca="1" si="52"/>
        <v>1.3220478353446249E-3</v>
      </c>
      <c r="T839">
        <f t="shared" ca="1" si="53"/>
        <v>-2.3132707605621354E-2</v>
      </c>
      <c r="U839">
        <f t="shared" ca="1" si="54"/>
        <v>-2.6476412548235689E-4</v>
      </c>
      <c r="V839">
        <f t="shared" ca="1" si="55"/>
        <v>-3.64824385088992E-3</v>
      </c>
    </row>
    <row r="840" spans="19:22" x14ac:dyDescent="0.35">
      <c r="S840">
        <f t="shared" ca="1" si="52"/>
        <v>7.1307222959659348E-3</v>
      </c>
      <c r="T840">
        <f t="shared" ca="1" si="53"/>
        <v>9.0686019901863851E-3</v>
      </c>
      <c r="U840">
        <f t="shared" ca="1" si="54"/>
        <v>2.4602407943580453E-2</v>
      </c>
      <c r="V840">
        <f t="shared" ca="1" si="55"/>
        <v>8.3918825171907518E-3</v>
      </c>
    </row>
    <row r="841" spans="19:22" x14ac:dyDescent="0.35">
      <c r="S841">
        <f t="shared" ca="1" si="52"/>
        <v>-2.3731837273057783E-2</v>
      </c>
      <c r="T841">
        <f t="shared" ca="1" si="53"/>
        <v>-9.8677346481034559E-3</v>
      </c>
      <c r="U841">
        <f t="shared" ca="1" si="54"/>
        <v>1.4630368378382178E-2</v>
      </c>
      <c r="V841">
        <f t="shared" ca="1" si="55"/>
        <v>-1.9040906465494924E-2</v>
      </c>
    </row>
    <row r="842" spans="19:22" x14ac:dyDescent="0.35">
      <c r="S842">
        <f t="shared" ca="1" si="52"/>
        <v>4.9613736746187444E-3</v>
      </c>
      <c r="T842">
        <f t="shared" ca="1" si="53"/>
        <v>8.241587525872696E-3</v>
      </c>
      <c r="U842">
        <f t="shared" ca="1" si="54"/>
        <v>2.3737866659373615E-2</v>
      </c>
      <c r="V842">
        <f t="shared" ca="1" si="55"/>
        <v>6.5562410941072784E-3</v>
      </c>
    </row>
    <row r="843" spans="19:22" x14ac:dyDescent="0.35">
      <c r="S843">
        <f t="shared" ca="1" si="52"/>
        <v>2.0564440345813079E-2</v>
      </c>
      <c r="T843">
        <f t="shared" ca="1" si="53"/>
        <v>-2.6675098492808289E-4</v>
      </c>
      <c r="U843">
        <f t="shared" ca="1" si="54"/>
        <v>-4.5043576961377493E-2</v>
      </c>
      <c r="V843">
        <f t="shared" ca="1" si="55"/>
        <v>1.311780121430532E-2</v>
      </c>
    </row>
    <row r="844" spans="19:22" x14ac:dyDescent="0.35">
      <c r="S844">
        <f t="shared" ca="1" si="52"/>
        <v>9.8220931753402966E-3</v>
      </c>
      <c r="T844">
        <f t="shared" ca="1" si="53"/>
        <v>3.1377258312440065E-2</v>
      </c>
      <c r="U844">
        <f t="shared" ca="1" si="54"/>
        <v>1.0924517046526953E-3</v>
      </c>
      <c r="V844">
        <f t="shared" ca="1" si="55"/>
        <v>1.3696644129225872E-2</v>
      </c>
    </row>
    <row r="845" spans="19:22" x14ac:dyDescent="0.35">
      <c r="S845">
        <f t="shared" ca="1" si="52"/>
        <v>-3.2498828260077481E-2</v>
      </c>
      <c r="T845">
        <f t="shared" ca="1" si="53"/>
        <v>9.4851751014324755E-3</v>
      </c>
      <c r="U845">
        <f t="shared" ca="1" si="54"/>
        <v>-5.7635190319443672E-3</v>
      </c>
      <c r="V845">
        <f t="shared" ca="1" si="55"/>
        <v>-2.2765262126368833E-2</v>
      </c>
    </row>
    <row r="846" spans="19:22" x14ac:dyDescent="0.35">
      <c r="S846">
        <f t="shared" ca="1" si="52"/>
        <v>-3.069662668745924E-4</v>
      </c>
      <c r="T846">
        <f t="shared" ca="1" si="53"/>
        <v>8.51060932250065E-3</v>
      </c>
      <c r="U846">
        <f t="shared" ca="1" si="54"/>
        <v>2.2464522925104626E-2</v>
      </c>
      <c r="V846">
        <f t="shared" ca="1" si="55"/>
        <v>2.5951233105994172E-3</v>
      </c>
    </row>
    <row r="847" spans="19:22" x14ac:dyDescent="0.35">
      <c r="S847">
        <f t="shared" ca="1" si="52"/>
        <v>-1.8750407101232346E-3</v>
      </c>
      <c r="T847">
        <f t="shared" ca="1" si="53"/>
        <v>-1.8530460720369445E-3</v>
      </c>
      <c r="U847">
        <f t="shared" ca="1" si="54"/>
        <v>-1.0913800660409237E-2</v>
      </c>
      <c r="V847">
        <f t="shared" ca="1" si="55"/>
        <v>-2.3225797800202771E-3</v>
      </c>
    </row>
    <row r="848" spans="19:22" x14ac:dyDescent="0.35">
      <c r="S848">
        <f t="shared" ca="1" si="52"/>
        <v>1.9655524761853158E-2</v>
      </c>
      <c r="T848">
        <f t="shared" ca="1" si="53"/>
        <v>-1.6272022136464812E-2</v>
      </c>
      <c r="U848">
        <f t="shared" ca="1" si="54"/>
        <v>6.2157290146150641E-3</v>
      </c>
      <c r="V848">
        <f t="shared" ca="1" si="55"/>
        <v>1.179802559482766E-2</v>
      </c>
    </row>
    <row r="849" spans="19:22" x14ac:dyDescent="0.35">
      <c r="S849">
        <f t="shared" ca="1" si="52"/>
        <v>-1.3765857764857134E-2</v>
      </c>
      <c r="T849">
        <f t="shared" ca="1" si="53"/>
        <v>-1.4310545437590279E-2</v>
      </c>
      <c r="U849">
        <f t="shared" ca="1" si="54"/>
        <v>1.1915779003264874E-2</v>
      </c>
      <c r="V849">
        <f t="shared" ca="1" si="55"/>
        <v>-1.2590713460997664E-2</v>
      </c>
    </row>
    <row r="850" spans="19:22" x14ac:dyDescent="0.35">
      <c r="S850">
        <f t="shared" ca="1" si="52"/>
        <v>-7.4596919448800519E-3</v>
      </c>
      <c r="T850">
        <f t="shared" ca="1" si="53"/>
        <v>1.0957725459631308E-2</v>
      </c>
      <c r="U850">
        <f t="shared" ca="1" si="54"/>
        <v>1.1747802360796035E-2</v>
      </c>
      <c r="V850">
        <f t="shared" ca="1" si="55"/>
        <v>-2.8158337486939751E-3</v>
      </c>
    </row>
    <row r="851" spans="19:22" x14ac:dyDescent="0.35">
      <c r="S851">
        <f t="shared" ca="1" si="52"/>
        <v>-2.0266567901529586E-3</v>
      </c>
      <c r="T851">
        <f t="shared" ca="1" si="53"/>
        <v>2.5771467766260183E-2</v>
      </c>
      <c r="U851">
        <f t="shared" ca="1" si="54"/>
        <v>5.9221273145047991E-3</v>
      </c>
      <c r="V851">
        <f t="shared" ca="1" si="55"/>
        <v>3.930407326362558E-3</v>
      </c>
    </row>
    <row r="852" spans="19:22" x14ac:dyDescent="0.35">
      <c r="S852">
        <f t="shared" ca="1" si="52"/>
        <v>7.4814236690418905E-3</v>
      </c>
      <c r="T852">
        <f t="shared" ca="1" si="53"/>
        <v>-5.1620771265134778E-3</v>
      </c>
      <c r="U852">
        <f t="shared" ca="1" si="54"/>
        <v>6.0324541902285244E-3</v>
      </c>
      <c r="V852">
        <f t="shared" ca="1" si="55"/>
        <v>4.8802750359901483E-3</v>
      </c>
    </row>
    <row r="853" spans="19:22" x14ac:dyDescent="0.35">
      <c r="S853">
        <f t="shared" ca="1" si="52"/>
        <v>-2.3563826290040033E-2</v>
      </c>
      <c r="T853">
        <f t="shared" ca="1" si="53"/>
        <v>1.7920592880152717E-2</v>
      </c>
      <c r="U853">
        <f t="shared" ca="1" si="54"/>
        <v>-1.2089589000536348E-2</v>
      </c>
      <c r="V853">
        <f t="shared" ca="1" si="55"/>
        <v>-1.46932305915263E-2</v>
      </c>
    </row>
    <row r="854" spans="19:22" x14ac:dyDescent="0.35">
      <c r="S854">
        <f t="shared" ca="1" si="52"/>
        <v>1.7658582424957665E-2</v>
      </c>
      <c r="T854">
        <f t="shared" ca="1" si="53"/>
        <v>2.2974682094894519E-2</v>
      </c>
      <c r="U854">
        <f t="shared" ca="1" si="54"/>
        <v>3.2796709004865136E-2</v>
      </c>
      <c r="V854">
        <f t="shared" ca="1" si="55"/>
        <v>1.947870868794041E-2</v>
      </c>
    </row>
    <row r="855" spans="19:22" x14ac:dyDescent="0.35">
      <c r="S855">
        <f t="shared" ca="1" si="52"/>
        <v>1.0862927144676576E-2</v>
      </c>
      <c r="T855">
        <f t="shared" ca="1" si="53"/>
        <v>-1.1413762586604543E-3</v>
      </c>
      <c r="U855">
        <f t="shared" ca="1" si="54"/>
        <v>4.7399664562344998E-3</v>
      </c>
      <c r="V855">
        <f t="shared" ca="1" si="55"/>
        <v>8.1559184295870672E-3</v>
      </c>
    </row>
    <row r="856" spans="19:22" x14ac:dyDescent="0.35">
      <c r="S856">
        <f t="shared" ca="1" si="52"/>
        <v>1.1797347586014108E-2</v>
      </c>
      <c r="T856">
        <f t="shared" ca="1" si="53"/>
        <v>-1.0146302659033006E-2</v>
      </c>
      <c r="U856">
        <f t="shared" ca="1" si="54"/>
        <v>2.5644740584956541E-2</v>
      </c>
      <c r="V856">
        <f t="shared" ca="1" si="55"/>
        <v>8.1009871869518052E-3</v>
      </c>
    </row>
    <row r="857" spans="19:22" x14ac:dyDescent="0.35">
      <c r="S857">
        <f t="shared" ca="1" si="52"/>
        <v>1.325375474094268E-2</v>
      </c>
      <c r="T857">
        <f t="shared" ca="1" si="53"/>
        <v>8.0756422385505535E-3</v>
      </c>
      <c r="U857">
        <f t="shared" ca="1" si="54"/>
        <v>1.0038827252387264E-2</v>
      </c>
      <c r="V857">
        <f t="shared" ca="1" si="55"/>
        <v>1.2057385866036484E-2</v>
      </c>
    </row>
    <row r="858" spans="19:22" x14ac:dyDescent="0.35">
      <c r="S858">
        <f t="shared" ca="1" si="52"/>
        <v>-2.969256505335445E-2</v>
      </c>
      <c r="T858">
        <f t="shared" ca="1" si="53"/>
        <v>7.0274884735660919E-3</v>
      </c>
      <c r="U858">
        <f t="shared" ca="1" si="54"/>
        <v>-7.8725211674043425E-3</v>
      </c>
      <c r="V858">
        <f t="shared" ca="1" si="55"/>
        <v>-2.1257552153672834E-2</v>
      </c>
    </row>
    <row r="859" spans="19:22" x14ac:dyDescent="0.35">
      <c r="S859">
        <f t="shared" ca="1" si="52"/>
        <v>3.8601164710658428E-3</v>
      </c>
      <c r="T859">
        <f t="shared" ca="1" si="53"/>
        <v>-4.2036307228024823E-2</v>
      </c>
      <c r="U859">
        <f t="shared" ca="1" si="54"/>
        <v>-1.6504694342201632E-2</v>
      </c>
      <c r="V859">
        <f t="shared" ca="1" si="55"/>
        <v>-6.3374088094156648E-3</v>
      </c>
    </row>
    <row r="860" spans="19:22" x14ac:dyDescent="0.35">
      <c r="S860">
        <f t="shared" ca="1" si="52"/>
        <v>-1.3442692711762143E-2</v>
      </c>
      <c r="T860">
        <f t="shared" ca="1" si="53"/>
        <v>-8.9329945961596872E-3</v>
      </c>
      <c r="U860">
        <f t="shared" ca="1" si="54"/>
        <v>-7.9860953267921874E-3</v>
      </c>
      <c r="V860">
        <f t="shared" ca="1" si="55"/>
        <v>-1.2267923219393155E-2</v>
      </c>
    </row>
    <row r="861" spans="19:22" x14ac:dyDescent="0.35">
      <c r="S861">
        <f t="shared" ca="1" si="52"/>
        <v>4.5742566939898158E-3</v>
      </c>
      <c r="T861">
        <f t="shared" ca="1" si="53"/>
        <v>3.2184968531328451E-3</v>
      </c>
      <c r="U861">
        <f t="shared" ca="1" si="54"/>
        <v>-1.4589203560231717E-2</v>
      </c>
      <c r="V861">
        <f t="shared" ca="1" si="55"/>
        <v>3.3449317131073446E-3</v>
      </c>
    </row>
    <row r="862" spans="19:22" x14ac:dyDescent="0.35">
      <c r="S862">
        <f t="shared" ca="1" si="52"/>
        <v>1.3130129011348255E-2</v>
      </c>
      <c r="T862">
        <f t="shared" ca="1" si="53"/>
        <v>-1.1465668060102843E-2</v>
      </c>
      <c r="U862">
        <f t="shared" ca="1" si="54"/>
        <v>7.6664404922014463E-3</v>
      </c>
      <c r="V862">
        <f t="shared" ca="1" si="55"/>
        <v>7.9377851711006954E-3</v>
      </c>
    </row>
    <row r="863" spans="19:22" x14ac:dyDescent="0.35">
      <c r="S863">
        <f t="shared" ca="1" si="52"/>
        <v>5.7232036755427099E-3</v>
      </c>
      <c r="T863">
        <f t="shared" ca="1" si="53"/>
        <v>1.3970741069505295E-3</v>
      </c>
      <c r="U863">
        <f t="shared" ca="1" si="54"/>
        <v>-3.3378763259254207E-2</v>
      </c>
      <c r="V863">
        <f t="shared" ca="1" si="55"/>
        <v>2.9028794150844283E-3</v>
      </c>
    </row>
    <row r="864" spans="19:22" x14ac:dyDescent="0.35">
      <c r="S864">
        <f t="shared" ca="1" si="52"/>
        <v>2.1033242398792361E-2</v>
      </c>
      <c r="T864">
        <f t="shared" ca="1" si="53"/>
        <v>4.0052471627560378E-3</v>
      </c>
      <c r="U864">
        <f t="shared" ca="1" si="54"/>
        <v>-9.0971221640314143E-3</v>
      </c>
      <c r="V864">
        <f t="shared" ca="1" si="55"/>
        <v>1.6121125123443908E-2</v>
      </c>
    </row>
    <row r="865" spans="19:22" x14ac:dyDescent="0.35">
      <c r="S865">
        <f t="shared" ca="1" si="52"/>
        <v>9.4017509765932754E-3</v>
      </c>
      <c r="T865">
        <f t="shared" ca="1" si="53"/>
        <v>2.5954476180131691E-2</v>
      </c>
      <c r="U865">
        <f t="shared" ca="1" si="54"/>
        <v>-3.0501923796529218E-4</v>
      </c>
      <c r="V865">
        <f t="shared" ca="1" si="55"/>
        <v>1.222695750657303E-2</v>
      </c>
    </row>
    <row r="866" spans="19:22" x14ac:dyDescent="0.35">
      <c r="S866">
        <f t="shared" ca="1" si="52"/>
        <v>-1.8431477449578769E-3</v>
      </c>
      <c r="T866">
        <f t="shared" ca="1" si="53"/>
        <v>-2.9705373318608865E-2</v>
      </c>
      <c r="U866">
        <f t="shared" ca="1" si="54"/>
        <v>1.5756352174314304E-4</v>
      </c>
      <c r="V866">
        <f t="shared" ca="1" si="55"/>
        <v>-7.3155572963530232E-3</v>
      </c>
    </row>
    <row r="867" spans="19:22" x14ac:dyDescent="0.35">
      <c r="S867">
        <f t="shared" ca="1" si="52"/>
        <v>1.1332261805887986E-2</v>
      </c>
      <c r="T867">
        <f t="shared" ca="1" si="53"/>
        <v>2.416749847825085E-3</v>
      </c>
      <c r="U867">
        <f t="shared" ca="1" si="54"/>
        <v>3.9060694102318126E-2</v>
      </c>
      <c r="V867">
        <f t="shared" ca="1" si="55"/>
        <v>1.0935581029096914E-2</v>
      </c>
    </row>
    <row r="868" spans="19:22" x14ac:dyDescent="0.35">
      <c r="S868">
        <f t="shared" ca="1" si="52"/>
        <v>7.1263616753233575E-3</v>
      </c>
      <c r="T868">
        <f t="shared" ca="1" si="53"/>
        <v>-1.5680811212968632E-2</v>
      </c>
      <c r="U868">
        <f t="shared" ca="1" si="54"/>
        <v>3.5399500548742843E-2</v>
      </c>
      <c r="V868">
        <f t="shared" ca="1" si="55"/>
        <v>3.9785840413359341E-3</v>
      </c>
    </row>
    <row r="869" spans="19:22" x14ac:dyDescent="0.35">
      <c r="S869">
        <f t="shared" ca="1" si="52"/>
        <v>-2.2855809605219966E-2</v>
      </c>
      <c r="T869">
        <f t="shared" ca="1" si="53"/>
        <v>-2.7576785404350049E-2</v>
      </c>
      <c r="U869">
        <f t="shared" ca="1" si="54"/>
        <v>-2.1066828242298709E-3</v>
      </c>
      <c r="V869">
        <f t="shared" ca="1" si="55"/>
        <v>-2.2762548425996478E-2</v>
      </c>
    </row>
    <row r="870" spans="19:22" x14ac:dyDescent="0.35">
      <c r="S870">
        <f t="shared" ca="1" si="52"/>
        <v>6.6096283901048783E-3</v>
      </c>
      <c r="T870">
        <f t="shared" ca="1" si="53"/>
        <v>5.9891741368612913E-3</v>
      </c>
      <c r="U870">
        <f t="shared" ca="1" si="54"/>
        <v>3.9081772802270244E-2</v>
      </c>
      <c r="V870">
        <f t="shared" ca="1" si="55"/>
        <v>8.1091447600644302E-3</v>
      </c>
    </row>
    <row r="871" spans="19:22" x14ac:dyDescent="0.35">
      <c r="S871">
        <f t="shared" ca="1" si="52"/>
        <v>-6.0926059113603683E-3</v>
      </c>
      <c r="T871">
        <f t="shared" ca="1" si="53"/>
        <v>-5.254744652585722E-3</v>
      </c>
      <c r="U871">
        <f t="shared" ca="1" si="54"/>
        <v>-1.5406325361393915E-2</v>
      </c>
      <c r="V871">
        <f t="shared" ca="1" si="55"/>
        <v>-6.3907196321071162E-3</v>
      </c>
    </row>
    <row r="872" spans="19:22" x14ac:dyDescent="0.35">
      <c r="S872">
        <f t="shared" ca="1" si="52"/>
        <v>5.4873522704109515E-3</v>
      </c>
      <c r="T872">
        <f t="shared" ca="1" si="53"/>
        <v>-3.5580687232630581E-3</v>
      </c>
      <c r="U872">
        <f t="shared" ca="1" si="54"/>
        <v>-3.2979624448439208E-2</v>
      </c>
      <c r="V872">
        <f t="shared" ca="1" si="55"/>
        <v>1.7549192357336416E-3</v>
      </c>
    </row>
    <row r="873" spans="19:22" x14ac:dyDescent="0.35">
      <c r="S873">
        <f t="shared" ca="1" si="52"/>
        <v>-2.3659061400017733E-2</v>
      </c>
      <c r="T873">
        <f t="shared" ca="1" si="53"/>
        <v>-9.8195142346032237E-3</v>
      </c>
      <c r="U873">
        <f t="shared" ca="1" si="54"/>
        <v>4.5108594939221832E-4</v>
      </c>
      <c r="V873">
        <f t="shared" ca="1" si="55"/>
        <v>-1.9685644599464331E-2</v>
      </c>
    </row>
    <row r="874" spans="19:22" x14ac:dyDescent="0.35">
      <c r="S874">
        <f t="shared" ca="1" si="52"/>
        <v>2.6367174733782358E-2</v>
      </c>
      <c r="T874">
        <f t="shared" ca="1" si="53"/>
        <v>3.2926197850272941E-3</v>
      </c>
      <c r="U874">
        <f t="shared" ca="1" si="54"/>
        <v>-1.2330268154127794E-2</v>
      </c>
      <c r="V874">
        <f t="shared" ca="1" si="55"/>
        <v>1.9817391599635838E-2</v>
      </c>
    </row>
    <row r="875" spans="19:22" x14ac:dyDescent="0.35">
      <c r="S875">
        <f t="shared" ca="1" si="52"/>
        <v>-1.4644687251392376E-2</v>
      </c>
      <c r="T875">
        <f t="shared" ca="1" si="53"/>
        <v>9.2807191586561921E-3</v>
      </c>
      <c r="U875">
        <f t="shared" ca="1" si="54"/>
        <v>1.0763061963688203E-2</v>
      </c>
      <c r="V875">
        <f t="shared" ca="1" si="55"/>
        <v>-8.5892185086286332E-3</v>
      </c>
    </row>
    <row r="876" spans="19:22" x14ac:dyDescent="0.35">
      <c r="S876">
        <f t="shared" ca="1" si="52"/>
        <v>1.5822325904134314E-2</v>
      </c>
      <c r="T876">
        <f t="shared" ca="1" si="53"/>
        <v>-1.8430320997657971E-3</v>
      </c>
      <c r="U876">
        <f t="shared" ca="1" si="54"/>
        <v>2.2848865040392595E-2</v>
      </c>
      <c r="V876">
        <f t="shared" ca="1" si="55"/>
        <v>1.2640581260167205E-2</v>
      </c>
    </row>
    <row r="877" spans="19:22" x14ac:dyDescent="0.35">
      <c r="S877">
        <f t="shared" ca="1" si="52"/>
        <v>9.4601530573043928E-3</v>
      </c>
      <c r="T877">
        <f t="shared" ca="1" si="53"/>
        <v>3.2409046790263085E-3</v>
      </c>
      <c r="U877">
        <f t="shared" ca="1" si="54"/>
        <v>2.3314222020876501E-2</v>
      </c>
      <c r="V877">
        <f t="shared" ca="1" si="55"/>
        <v>8.909006829827381E-3</v>
      </c>
    </row>
    <row r="878" spans="19:22" x14ac:dyDescent="0.35">
      <c r="S878">
        <f t="shared" ca="1" si="52"/>
        <v>-2.8647971632534924E-3</v>
      </c>
      <c r="T878">
        <f t="shared" ca="1" si="53"/>
        <v>2.0027768390113533E-2</v>
      </c>
      <c r="U878">
        <f t="shared" ca="1" si="54"/>
        <v>-9.3356866743374584E-3</v>
      </c>
      <c r="V878">
        <f t="shared" ca="1" si="55"/>
        <v>1.3901714718657146E-3</v>
      </c>
    </row>
    <row r="879" spans="19:22" x14ac:dyDescent="0.35">
      <c r="S879">
        <f t="shared" ca="1" si="52"/>
        <v>1.5572565365837834E-2</v>
      </c>
      <c r="T879">
        <f t="shared" ca="1" si="53"/>
        <v>1.5605638537563797E-2</v>
      </c>
      <c r="U879">
        <f t="shared" ca="1" si="54"/>
        <v>-3.142116616972666E-3</v>
      </c>
      <c r="V879">
        <f t="shared" ca="1" si="55"/>
        <v>1.4643445901042501E-2</v>
      </c>
    </row>
    <row r="880" spans="19:22" x14ac:dyDescent="0.35">
      <c r="S880">
        <f t="shared" ca="1" si="52"/>
        <v>1.6577441527574359E-3</v>
      </c>
      <c r="T880">
        <f t="shared" ca="1" si="53"/>
        <v>-1.6084476012565786E-2</v>
      </c>
      <c r="U880">
        <f t="shared" ca="1" si="54"/>
        <v>2.3859748641838815E-2</v>
      </c>
      <c r="V880">
        <f t="shared" ca="1" si="55"/>
        <v>-7.805996558531399E-4</v>
      </c>
    </row>
    <row r="881" spans="19:22" x14ac:dyDescent="0.35">
      <c r="S881">
        <f t="shared" ca="1" si="52"/>
        <v>1.9871190892578289E-2</v>
      </c>
      <c r="T881">
        <f t="shared" ca="1" si="53"/>
        <v>2.0505964529199058E-2</v>
      </c>
      <c r="U881">
        <f t="shared" ca="1" si="54"/>
        <v>4.7357934746965341E-3</v>
      </c>
      <c r="V881">
        <f t="shared" ca="1" si="55"/>
        <v>1.9241375749008357E-2</v>
      </c>
    </row>
    <row r="882" spans="19:22" x14ac:dyDescent="0.35">
      <c r="S882">
        <f t="shared" ca="1" si="52"/>
        <v>2.4284318799438539E-3</v>
      </c>
      <c r="T882">
        <f t="shared" ca="1" si="53"/>
        <v>7.7547008336737561E-4</v>
      </c>
      <c r="U882">
        <f t="shared" ca="1" si="54"/>
        <v>8.6852107002267313E-3</v>
      </c>
      <c r="V882">
        <f t="shared" ca="1" si="55"/>
        <v>2.4106784616427022E-3</v>
      </c>
    </row>
    <row r="883" spans="19:22" x14ac:dyDescent="0.35">
      <c r="S883">
        <f t="shared" ca="1" si="52"/>
        <v>1.3999495614808731E-2</v>
      </c>
      <c r="T883">
        <f t="shared" ca="1" si="53"/>
        <v>1.7351832460450122E-3</v>
      </c>
      <c r="U883">
        <f t="shared" ca="1" si="54"/>
        <v>4.8746191969411191E-2</v>
      </c>
      <c r="V883">
        <f t="shared" ca="1" si="55"/>
        <v>1.328396795878611E-2</v>
      </c>
    </row>
    <row r="884" spans="19:22" x14ac:dyDescent="0.35">
      <c r="S884">
        <f t="shared" ca="1" si="52"/>
        <v>-2.1180428481609826E-2</v>
      </c>
      <c r="T884">
        <f t="shared" ca="1" si="53"/>
        <v>-4.4675904933782571E-3</v>
      </c>
      <c r="U884">
        <f t="shared" ca="1" si="54"/>
        <v>-2.7356373961594023E-2</v>
      </c>
      <c r="V884">
        <f t="shared" ca="1" si="55"/>
        <v>-1.8146658157962722E-2</v>
      </c>
    </row>
    <row r="885" spans="19:22" x14ac:dyDescent="0.35">
      <c r="S885">
        <f t="shared" ca="1" si="52"/>
        <v>-9.9993746817261201E-3</v>
      </c>
      <c r="T885">
        <f t="shared" ca="1" si="53"/>
        <v>-4.6135557229091241E-3</v>
      </c>
      <c r="U885">
        <f t="shared" ca="1" si="54"/>
        <v>-1.2522419538307071E-2</v>
      </c>
      <c r="V885">
        <f t="shared" ca="1" si="55"/>
        <v>-9.0483631327917691E-3</v>
      </c>
    </row>
    <row r="886" spans="19:22" x14ac:dyDescent="0.35">
      <c r="S886">
        <f t="shared" ca="1" si="52"/>
        <v>-9.9842715918848739E-3</v>
      </c>
      <c r="T886">
        <f t="shared" ca="1" si="53"/>
        <v>-9.9509315768452847E-3</v>
      </c>
      <c r="U886">
        <f t="shared" ca="1" si="54"/>
        <v>1.8627924296843054E-2</v>
      </c>
      <c r="V886">
        <f t="shared" ca="1" si="55"/>
        <v>-8.5469937944405612E-3</v>
      </c>
    </row>
    <row r="887" spans="19:22" x14ac:dyDescent="0.35">
      <c r="S887">
        <f t="shared" ca="1" si="52"/>
        <v>9.3593049265895609E-3</v>
      </c>
      <c r="T887">
        <f t="shared" ca="1" si="53"/>
        <v>2.5613440241245004E-2</v>
      </c>
      <c r="U887">
        <f t="shared" ca="1" si="54"/>
        <v>1.3753886427880694E-2</v>
      </c>
      <c r="V887">
        <f t="shared" ca="1" si="55"/>
        <v>1.2829861064585207E-2</v>
      </c>
    </row>
    <row r="888" spans="19:22" x14ac:dyDescent="0.35">
      <c r="S888">
        <f t="shared" ca="1" si="52"/>
        <v>-3.1667331550517014E-2</v>
      </c>
      <c r="T888">
        <f t="shared" ca="1" si="53"/>
        <v>2.7673488750436671E-2</v>
      </c>
      <c r="U888">
        <f t="shared" ca="1" si="54"/>
        <v>8.8739741707533331E-3</v>
      </c>
      <c r="V888">
        <f t="shared" ca="1" si="55"/>
        <v>-1.7772102204262761E-2</v>
      </c>
    </row>
    <row r="889" spans="19:22" x14ac:dyDescent="0.35">
      <c r="S889">
        <f t="shared" ca="1" si="52"/>
        <v>1.6420166832704332E-2</v>
      </c>
      <c r="T889">
        <f t="shared" ca="1" si="53"/>
        <v>-1.7539278788048514E-2</v>
      </c>
      <c r="U889">
        <f t="shared" ca="1" si="54"/>
        <v>9.8404127336226442E-4</v>
      </c>
      <c r="V889">
        <f t="shared" ca="1" si="55"/>
        <v>8.8564714305866578E-3</v>
      </c>
    </row>
    <row r="890" spans="19:22" x14ac:dyDescent="0.35">
      <c r="S890">
        <f t="shared" ca="1" si="52"/>
        <v>-1.3963424425156336E-2</v>
      </c>
      <c r="T890">
        <f t="shared" ca="1" si="53"/>
        <v>7.0218788638481975E-3</v>
      </c>
      <c r="U890">
        <f t="shared" ca="1" si="54"/>
        <v>-2.0700085131003087E-2</v>
      </c>
      <c r="V890">
        <f t="shared" ca="1" si="55"/>
        <v>-1.0103196802647766E-2</v>
      </c>
    </row>
    <row r="891" spans="19:22" x14ac:dyDescent="0.35">
      <c r="S891">
        <f t="shared" ca="1" si="52"/>
        <v>8.6479792285794662E-3</v>
      </c>
      <c r="T891">
        <f t="shared" ca="1" si="53"/>
        <v>2.062149874394241E-2</v>
      </c>
      <c r="U891">
        <f t="shared" ca="1" si="54"/>
        <v>1.5731991379197646E-2</v>
      </c>
      <c r="V891">
        <f t="shared" ca="1" si="55"/>
        <v>1.1396883739182963E-2</v>
      </c>
    </row>
    <row r="892" spans="19:22" x14ac:dyDescent="0.35">
      <c r="S892">
        <f t="shared" ca="1" si="52"/>
        <v>-4.83028110577584E-3</v>
      </c>
      <c r="T892">
        <f t="shared" ca="1" si="53"/>
        <v>-2.8025864073255889E-4</v>
      </c>
      <c r="U892">
        <f t="shared" ca="1" si="54"/>
        <v>-8.3439406760431722E-3</v>
      </c>
      <c r="V892">
        <f t="shared" ca="1" si="55"/>
        <v>-4.0959595912805503E-3</v>
      </c>
    </row>
    <row r="893" spans="19:22" x14ac:dyDescent="0.35">
      <c r="S893">
        <f t="shared" ca="1" si="52"/>
        <v>-7.6296633156211794E-4</v>
      </c>
      <c r="T893">
        <f t="shared" ca="1" si="53"/>
        <v>-2.5138013185449933E-3</v>
      </c>
      <c r="U893">
        <f t="shared" ca="1" si="54"/>
        <v>6.9843889804081273E-4</v>
      </c>
      <c r="V893">
        <f t="shared" ca="1" si="55"/>
        <v>-1.0400630674785465E-3</v>
      </c>
    </row>
    <row r="894" spans="19:22" x14ac:dyDescent="0.35">
      <c r="S894">
        <f t="shared" ca="1" si="52"/>
        <v>-3.3692726874043786E-3</v>
      </c>
      <c r="T894">
        <f t="shared" ca="1" si="53"/>
        <v>-2.149026579241858E-2</v>
      </c>
      <c r="U894">
        <f t="shared" ca="1" si="54"/>
        <v>-1.9435743208866374E-2</v>
      </c>
      <c r="V894">
        <f t="shared" ca="1" si="55"/>
        <v>-7.7967948344803192E-3</v>
      </c>
    </row>
    <row r="895" spans="19:22" x14ac:dyDescent="0.35">
      <c r="S895">
        <f t="shared" ca="1" si="52"/>
        <v>1.2945770191840315E-2</v>
      </c>
      <c r="T895">
        <f t="shared" ca="1" si="53"/>
        <v>-1.3872514037558445E-2</v>
      </c>
      <c r="U895">
        <f t="shared" ca="1" si="54"/>
        <v>3.1955118336511164E-2</v>
      </c>
      <c r="V895">
        <f t="shared" ca="1" si="55"/>
        <v>8.5325807531941057E-3</v>
      </c>
    </row>
    <row r="896" spans="19:22" x14ac:dyDescent="0.35">
      <c r="S896">
        <f t="shared" ca="1" si="52"/>
        <v>-7.2408896187743741E-3</v>
      </c>
      <c r="T896">
        <f t="shared" ca="1" si="53"/>
        <v>5.2198784522547751E-3</v>
      </c>
      <c r="U896">
        <f t="shared" ca="1" si="54"/>
        <v>2.2458743619584699E-2</v>
      </c>
      <c r="V896">
        <f t="shared" ca="1" si="55"/>
        <v>-3.2637543426505908E-3</v>
      </c>
    </row>
    <row r="897" spans="19:22" x14ac:dyDescent="0.35">
      <c r="S897">
        <f t="shared" ca="1" si="52"/>
        <v>1.9964528585507142E-3</v>
      </c>
      <c r="T897">
        <f t="shared" ca="1" si="53"/>
        <v>-8.3075954088375759E-3</v>
      </c>
      <c r="U897">
        <f t="shared" ca="1" si="54"/>
        <v>5.0805343481943304E-3</v>
      </c>
      <c r="V897">
        <f t="shared" ca="1" si="55"/>
        <v>8.9847279555236865E-5</v>
      </c>
    </row>
    <row r="898" spans="19:22" x14ac:dyDescent="0.35">
      <c r="S898">
        <f t="shared" ca="1" si="52"/>
        <v>-7.9635119253209652E-3</v>
      </c>
      <c r="T898">
        <f t="shared" ca="1" si="53"/>
        <v>1.5362873959035709E-2</v>
      </c>
      <c r="U898">
        <f t="shared" ca="1" si="54"/>
        <v>-5.2324598948213542E-3</v>
      </c>
      <c r="V898">
        <f t="shared" ca="1" si="55"/>
        <v>-3.1616821469246494E-3</v>
      </c>
    </row>
    <row r="899" spans="19:22" x14ac:dyDescent="0.35">
      <c r="S899">
        <f t="shared" ca="1" si="52"/>
        <v>-1.4850860149303985E-3</v>
      </c>
      <c r="T899">
        <f t="shared" ca="1" si="53"/>
        <v>-4.3038821696865038E-3</v>
      </c>
      <c r="U899">
        <f t="shared" ca="1" si="54"/>
        <v>6.2450827177610562E-3</v>
      </c>
      <c r="V899">
        <f t="shared" ca="1" si="55"/>
        <v>-1.6623368092470467E-3</v>
      </c>
    </row>
    <row r="900" spans="19:22" x14ac:dyDescent="0.35">
      <c r="S900">
        <f t="shared" ref="S900:S963" ca="1" si="56">_xlfn.NORM.INV(RAND(),$L$3,$M$3)</f>
        <v>2.3961521192535983E-2</v>
      </c>
      <c r="T900">
        <f t="shared" ref="T900:T963" ca="1" si="57">_xlfn.NORM.INV(RAND(),$N$3,$O$3)</f>
        <v>7.5675231273222051E-4</v>
      </c>
      <c r="U900">
        <f t="shared" ref="U900:U963" ca="1" si="58">_xlfn.NORM.INV(RAND(),$P$3,$Q$3)</f>
        <v>4.4973272241709064E-2</v>
      </c>
      <c r="V900">
        <f t="shared" ref="V900:V963" ca="1" si="59">(0.75*S900)+(0.2*T900)+(0.05*U900)</f>
        <v>2.0371154969033883E-2</v>
      </c>
    </row>
    <row r="901" spans="19:22" x14ac:dyDescent="0.35">
      <c r="S901">
        <f t="shared" ca="1" si="56"/>
        <v>-2.5389486031062315E-2</v>
      </c>
      <c r="T901">
        <f t="shared" ca="1" si="57"/>
        <v>-5.4955145894794704E-3</v>
      </c>
      <c r="U901">
        <f t="shared" ca="1" si="58"/>
        <v>-3.5647366634969056E-2</v>
      </c>
      <c r="V901">
        <f t="shared" ca="1" si="59"/>
        <v>-2.1923585772941089E-2</v>
      </c>
    </row>
    <row r="902" spans="19:22" x14ac:dyDescent="0.35">
      <c r="S902">
        <f t="shared" ca="1" si="56"/>
        <v>-2.0747521822868327E-2</v>
      </c>
      <c r="T902">
        <f t="shared" ca="1" si="57"/>
        <v>1.1047479843607694E-3</v>
      </c>
      <c r="U902">
        <f t="shared" ca="1" si="58"/>
        <v>6.8258609087623141E-3</v>
      </c>
      <c r="V902">
        <f t="shared" ca="1" si="59"/>
        <v>-1.4998398724840975E-2</v>
      </c>
    </row>
    <row r="903" spans="19:22" x14ac:dyDescent="0.35">
      <c r="S903">
        <f t="shared" ca="1" si="56"/>
        <v>1.8704458910948718E-3</v>
      </c>
      <c r="T903">
        <f t="shared" ca="1" si="57"/>
        <v>1.0239439311157204E-2</v>
      </c>
      <c r="U903">
        <f t="shared" ca="1" si="58"/>
        <v>-1.9123528316594196E-2</v>
      </c>
      <c r="V903">
        <f t="shared" ca="1" si="59"/>
        <v>2.4945458647228852E-3</v>
      </c>
    </row>
    <row r="904" spans="19:22" x14ac:dyDescent="0.35">
      <c r="S904">
        <f t="shared" ca="1" si="56"/>
        <v>1.6995222335899545E-2</v>
      </c>
      <c r="T904">
        <f t="shared" ca="1" si="57"/>
        <v>1.6119638922995675E-2</v>
      </c>
      <c r="U904">
        <f t="shared" ca="1" si="58"/>
        <v>1.8115600062002649E-2</v>
      </c>
      <c r="V904">
        <f t="shared" ca="1" si="59"/>
        <v>1.6876124539623928E-2</v>
      </c>
    </row>
    <row r="905" spans="19:22" x14ac:dyDescent="0.35">
      <c r="S905">
        <f t="shared" ca="1" si="56"/>
        <v>-2.4304690852002282E-2</v>
      </c>
      <c r="T905">
        <f t="shared" ca="1" si="57"/>
        <v>-1.1462551372693214E-2</v>
      </c>
      <c r="U905">
        <f t="shared" ca="1" si="58"/>
        <v>3.4207430908181737E-4</v>
      </c>
      <c r="V905">
        <f t="shared" ca="1" si="59"/>
        <v>-2.0503924698086266E-2</v>
      </c>
    </row>
    <row r="906" spans="19:22" x14ac:dyDescent="0.35">
      <c r="S906">
        <f t="shared" ca="1" si="56"/>
        <v>9.836534044695382E-3</v>
      </c>
      <c r="T906">
        <f t="shared" ca="1" si="57"/>
        <v>-2.3582954804525768E-4</v>
      </c>
      <c r="U906">
        <f t="shared" ca="1" si="58"/>
        <v>-6.6206469823993823E-3</v>
      </c>
      <c r="V906">
        <f t="shared" ca="1" si="59"/>
        <v>6.9992022747925164E-3</v>
      </c>
    </row>
    <row r="907" spans="19:22" x14ac:dyDescent="0.35">
      <c r="S907">
        <f t="shared" ca="1" si="56"/>
        <v>2.2665345708369422E-2</v>
      </c>
      <c r="T907">
        <f t="shared" ca="1" si="57"/>
        <v>-3.2995903544426039E-2</v>
      </c>
      <c r="U907">
        <f t="shared" ca="1" si="58"/>
        <v>-6.9620609621034472E-3</v>
      </c>
      <c r="V907">
        <f t="shared" ca="1" si="59"/>
        <v>1.0051725524286688E-2</v>
      </c>
    </row>
    <row r="908" spans="19:22" x14ac:dyDescent="0.35">
      <c r="S908">
        <f t="shared" ca="1" si="56"/>
        <v>-3.5514960378584814E-2</v>
      </c>
      <c r="T908">
        <f t="shared" ca="1" si="57"/>
        <v>1.5448267024258278E-2</v>
      </c>
      <c r="U908">
        <f t="shared" ca="1" si="58"/>
        <v>8.5725086261817761E-3</v>
      </c>
      <c r="V908">
        <f t="shared" ca="1" si="59"/>
        <v>-2.3117941447777866E-2</v>
      </c>
    </row>
    <row r="909" spans="19:22" x14ac:dyDescent="0.35">
      <c r="S909">
        <f t="shared" ca="1" si="56"/>
        <v>-3.1716860191525191E-2</v>
      </c>
      <c r="T909">
        <f t="shared" ca="1" si="57"/>
        <v>-2.8188530688718714E-3</v>
      </c>
      <c r="U909">
        <f t="shared" ca="1" si="58"/>
        <v>8.670568772411031E-3</v>
      </c>
      <c r="V909">
        <f t="shared" ca="1" si="59"/>
        <v>-2.3917887318797713E-2</v>
      </c>
    </row>
    <row r="910" spans="19:22" x14ac:dyDescent="0.35">
      <c r="S910">
        <f t="shared" ca="1" si="56"/>
        <v>-2.6800188215299798E-2</v>
      </c>
      <c r="T910">
        <f t="shared" ca="1" si="57"/>
        <v>-9.2881182386430079E-3</v>
      </c>
      <c r="U910">
        <f t="shared" ca="1" si="58"/>
        <v>-1.3424853406742158E-2</v>
      </c>
      <c r="V910">
        <f t="shared" ca="1" si="59"/>
        <v>-2.262900747954056E-2</v>
      </c>
    </row>
    <row r="911" spans="19:22" x14ac:dyDescent="0.35">
      <c r="S911">
        <f t="shared" ca="1" si="56"/>
        <v>1.7972421760280189E-3</v>
      </c>
      <c r="T911">
        <f t="shared" ca="1" si="57"/>
        <v>-8.0350025336130438E-3</v>
      </c>
      <c r="U911">
        <f t="shared" ca="1" si="58"/>
        <v>1.3438301501971778E-2</v>
      </c>
      <c r="V911">
        <f t="shared" ca="1" si="59"/>
        <v>4.1284620039699427E-4</v>
      </c>
    </row>
    <row r="912" spans="19:22" x14ac:dyDescent="0.35">
      <c r="S912">
        <f t="shared" ca="1" si="56"/>
        <v>-1.4462880371107429E-3</v>
      </c>
      <c r="T912">
        <f t="shared" ca="1" si="57"/>
        <v>-1.9200487186249379E-2</v>
      </c>
      <c r="U912">
        <f t="shared" ca="1" si="58"/>
        <v>-1.7527954901091877E-3</v>
      </c>
      <c r="V912">
        <f t="shared" ca="1" si="59"/>
        <v>-5.0124532395883926E-3</v>
      </c>
    </row>
    <row r="913" spans="19:22" x14ac:dyDescent="0.35">
      <c r="S913">
        <f t="shared" ca="1" si="56"/>
        <v>1.1586962788859258E-2</v>
      </c>
      <c r="T913">
        <f t="shared" ca="1" si="57"/>
        <v>2.2525741804317694E-2</v>
      </c>
      <c r="U913">
        <f t="shared" ca="1" si="58"/>
        <v>-4.4834973262848328E-3</v>
      </c>
      <c r="V913">
        <f t="shared" ca="1" si="59"/>
        <v>1.2971195586193741E-2</v>
      </c>
    </row>
    <row r="914" spans="19:22" x14ac:dyDescent="0.35">
      <c r="S914">
        <f t="shared" ca="1" si="56"/>
        <v>1.7977503656852575E-2</v>
      </c>
      <c r="T914">
        <f t="shared" ca="1" si="57"/>
        <v>-9.1922496483150826E-4</v>
      </c>
      <c r="U914">
        <f t="shared" ca="1" si="58"/>
        <v>1.269833352976887E-2</v>
      </c>
      <c r="V914">
        <f t="shared" ca="1" si="59"/>
        <v>1.3934199426161573E-2</v>
      </c>
    </row>
    <row r="915" spans="19:22" x14ac:dyDescent="0.35">
      <c r="S915">
        <f t="shared" ca="1" si="56"/>
        <v>-2.3639768098149331E-2</v>
      </c>
      <c r="T915">
        <f t="shared" ca="1" si="57"/>
        <v>-2.5738207691106182E-2</v>
      </c>
      <c r="U915">
        <f t="shared" ca="1" si="58"/>
        <v>3.088557710345665E-2</v>
      </c>
      <c r="V915">
        <f t="shared" ca="1" si="59"/>
        <v>-2.1333188756660404E-2</v>
      </c>
    </row>
    <row r="916" spans="19:22" x14ac:dyDescent="0.35">
      <c r="S916">
        <f t="shared" ca="1" si="56"/>
        <v>-1.458865572482133E-2</v>
      </c>
      <c r="T916">
        <f t="shared" ca="1" si="57"/>
        <v>-2.0455748619500835E-2</v>
      </c>
      <c r="U916">
        <f t="shared" ca="1" si="58"/>
        <v>-3.6695525141778158E-2</v>
      </c>
      <c r="V916">
        <f t="shared" ca="1" si="59"/>
        <v>-1.6867417774605074E-2</v>
      </c>
    </row>
    <row r="917" spans="19:22" x14ac:dyDescent="0.35">
      <c r="S917">
        <f t="shared" ca="1" si="56"/>
        <v>3.9503259776372483E-3</v>
      </c>
      <c r="T917">
        <f t="shared" ca="1" si="57"/>
        <v>-8.1010933120046879E-3</v>
      </c>
      <c r="U917">
        <f t="shared" ca="1" si="58"/>
        <v>4.937151998971169E-2</v>
      </c>
      <c r="V917">
        <f t="shared" ca="1" si="59"/>
        <v>3.8111018203125834E-3</v>
      </c>
    </row>
    <row r="918" spans="19:22" x14ac:dyDescent="0.35">
      <c r="S918">
        <f t="shared" ca="1" si="56"/>
        <v>1.7042120723152417E-2</v>
      </c>
      <c r="T918">
        <f t="shared" ca="1" si="57"/>
        <v>6.1013303746207878E-3</v>
      </c>
      <c r="U918">
        <f t="shared" ca="1" si="58"/>
        <v>-3.8532196211166991E-2</v>
      </c>
      <c r="V918">
        <f t="shared" ca="1" si="59"/>
        <v>1.2075246806730121E-2</v>
      </c>
    </row>
    <row r="919" spans="19:22" x14ac:dyDescent="0.35">
      <c r="S919">
        <f t="shared" ca="1" si="56"/>
        <v>-2.3784939288971817E-2</v>
      </c>
      <c r="T919">
        <f t="shared" ca="1" si="57"/>
        <v>1.9937967681012594E-2</v>
      </c>
      <c r="U919">
        <f t="shared" ca="1" si="58"/>
        <v>-3.6392502833365974E-2</v>
      </c>
      <c r="V919">
        <f t="shared" ca="1" si="59"/>
        <v>-1.567073607219464E-2</v>
      </c>
    </row>
    <row r="920" spans="19:22" x14ac:dyDescent="0.35">
      <c r="S920">
        <f t="shared" ca="1" si="56"/>
        <v>-1.0302957884032826E-2</v>
      </c>
      <c r="T920">
        <f t="shared" ca="1" si="57"/>
        <v>-1.0349948793603686E-2</v>
      </c>
      <c r="U920">
        <f t="shared" ca="1" si="58"/>
        <v>1.0943024799547644E-2</v>
      </c>
      <c r="V920">
        <f t="shared" ca="1" si="59"/>
        <v>-9.2500569317679731E-3</v>
      </c>
    </row>
    <row r="921" spans="19:22" x14ac:dyDescent="0.35">
      <c r="S921">
        <f t="shared" ca="1" si="56"/>
        <v>-8.8061995983306392E-3</v>
      </c>
      <c r="T921">
        <f t="shared" ca="1" si="57"/>
        <v>8.7093018620453488E-4</v>
      </c>
      <c r="U921">
        <f t="shared" ca="1" si="58"/>
        <v>-8.2518563992621981E-3</v>
      </c>
      <c r="V921">
        <f t="shared" ca="1" si="59"/>
        <v>-6.8430564814701824E-3</v>
      </c>
    </row>
    <row r="922" spans="19:22" x14ac:dyDescent="0.35">
      <c r="S922">
        <f t="shared" ca="1" si="56"/>
        <v>-1.4469191135100491E-2</v>
      </c>
      <c r="T922">
        <f t="shared" ca="1" si="57"/>
        <v>-9.7322296909690721E-3</v>
      </c>
      <c r="U922">
        <f t="shared" ca="1" si="58"/>
        <v>-1.8021477192151597E-3</v>
      </c>
      <c r="V922">
        <f t="shared" ca="1" si="59"/>
        <v>-1.2888446675479939E-2</v>
      </c>
    </row>
    <row r="923" spans="19:22" x14ac:dyDescent="0.35">
      <c r="S923">
        <f t="shared" ca="1" si="56"/>
        <v>7.8869782923099967E-3</v>
      </c>
      <c r="T923">
        <f t="shared" ca="1" si="57"/>
        <v>-1.4453046877742062E-2</v>
      </c>
      <c r="U923">
        <f t="shared" ca="1" si="58"/>
        <v>-3.1076299186021998E-2</v>
      </c>
      <c r="V923">
        <f t="shared" ca="1" si="59"/>
        <v>1.4708093843829846E-3</v>
      </c>
    </row>
    <row r="924" spans="19:22" x14ac:dyDescent="0.35">
      <c r="S924">
        <f t="shared" ca="1" si="56"/>
        <v>-1.671441584663963E-2</v>
      </c>
      <c r="T924">
        <f t="shared" ca="1" si="57"/>
        <v>-1.2936275295348536E-3</v>
      </c>
      <c r="U924">
        <f t="shared" ca="1" si="58"/>
        <v>2.2158078424938634E-2</v>
      </c>
      <c r="V924">
        <f t="shared" ca="1" si="59"/>
        <v>-1.1686633469639761E-2</v>
      </c>
    </row>
    <row r="925" spans="19:22" x14ac:dyDescent="0.35">
      <c r="S925">
        <f t="shared" ca="1" si="56"/>
        <v>-1.1807493149159907E-3</v>
      </c>
      <c r="T925">
        <f t="shared" ca="1" si="57"/>
        <v>2.8271385784301439E-2</v>
      </c>
      <c r="U925">
        <f t="shared" ca="1" si="58"/>
        <v>-9.4754046751936005E-3</v>
      </c>
      <c r="V925">
        <f t="shared" ca="1" si="59"/>
        <v>4.2949449369136146E-3</v>
      </c>
    </row>
    <row r="926" spans="19:22" x14ac:dyDescent="0.35">
      <c r="S926">
        <f t="shared" ca="1" si="56"/>
        <v>2.92926865935614E-2</v>
      </c>
      <c r="T926">
        <f t="shared" ca="1" si="57"/>
        <v>-1.4239763648990393E-2</v>
      </c>
      <c r="U926">
        <f t="shared" ca="1" si="58"/>
        <v>-8.2408101962596E-3</v>
      </c>
      <c r="V926">
        <f t="shared" ca="1" si="59"/>
        <v>1.8709521705559992E-2</v>
      </c>
    </row>
    <row r="927" spans="19:22" x14ac:dyDescent="0.35">
      <c r="S927">
        <f t="shared" ca="1" si="56"/>
        <v>-6.470836939750388E-4</v>
      </c>
      <c r="T927">
        <f t="shared" ca="1" si="57"/>
        <v>3.2123571579428329E-4</v>
      </c>
      <c r="U927">
        <f t="shared" ca="1" si="58"/>
        <v>-3.3109030799533937E-2</v>
      </c>
      <c r="V927">
        <f t="shared" ca="1" si="59"/>
        <v>-2.0765171672991194E-3</v>
      </c>
    </row>
    <row r="928" spans="19:22" x14ac:dyDescent="0.35">
      <c r="S928">
        <f t="shared" ca="1" si="56"/>
        <v>-1.6026594834213731E-2</v>
      </c>
      <c r="T928">
        <f t="shared" ca="1" si="57"/>
        <v>1.1332402095008638E-2</v>
      </c>
      <c r="U928">
        <f t="shared" ca="1" si="58"/>
        <v>-4.0306961938350858E-2</v>
      </c>
      <c r="V928">
        <f t="shared" ca="1" si="59"/>
        <v>-1.1768813803576115E-2</v>
      </c>
    </row>
    <row r="929" spans="19:22" x14ac:dyDescent="0.35">
      <c r="S929">
        <f t="shared" ca="1" si="56"/>
        <v>5.9815593531284544E-3</v>
      </c>
      <c r="T929">
        <f t="shared" ca="1" si="57"/>
        <v>-3.8584448440229041E-2</v>
      </c>
      <c r="U929">
        <f t="shared" ca="1" si="58"/>
        <v>-1.0877538784854278E-2</v>
      </c>
      <c r="V929">
        <f t="shared" ca="1" si="59"/>
        <v>-3.7745971124421821E-3</v>
      </c>
    </row>
    <row r="930" spans="19:22" x14ac:dyDescent="0.35">
      <c r="S930">
        <f t="shared" ca="1" si="56"/>
        <v>4.5643664029190956E-4</v>
      </c>
      <c r="T930">
        <f t="shared" ca="1" si="57"/>
        <v>2.5120444365928085E-3</v>
      </c>
      <c r="U930">
        <f t="shared" ca="1" si="58"/>
        <v>4.3604325701711216E-2</v>
      </c>
      <c r="V930">
        <f t="shared" ca="1" si="59"/>
        <v>3.024952652623055E-3</v>
      </c>
    </row>
    <row r="931" spans="19:22" x14ac:dyDescent="0.35">
      <c r="S931">
        <f t="shared" ca="1" si="56"/>
        <v>1.5541735207902583E-2</v>
      </c>
      <c r="T931">
        <f t="shared" ca="1" si="57"/>
        <v>6.4332982548083017E-3</v>
      </c>
      <c r="U931">
        <f t="shared" ca="1" si="58"/>
        <v>6.862078420050103E-3</v>
      </c>
      <c r="V931">
        <f t="shared" ca="1" si="59"/>
        <v>1.3286064977891102E-2</v>
      </c>
    </row>
    <row r="932" spans="19:22" x14ac:dyDescent="0.35">
      <c r="S932">
        <f t="shared" ca="1" si="56"/>
        <v>1.7864623701383711E-2</v>
      </c>
      <c r="T932">
        <f t="shared" ca="1" si="57"/>
        <v>1.8276943971392491E-2</v>
      </c>
      <c r="U932">
        <f t="shared" ca="1" si="58"/>
        <v>5.6637756663251099E-3</v>
      </c>
      <c r="V932">
        <f t="shared" ca="1" si="59"/>
        <v>1.7337045353632539E-2</v>
      </c>
    </row>
    <row r="933" spans="19:22" x14ac:dyDescent="0.35">
      <c r="S933">
        <f t="shared" ca="1" si="56"/>
        <v>-4.5546212138249647E-3</v>
      </c>
      <c r="T933">
        <f t="shared" ca="1" si="57"/>
        <v>1.432051032531924E-2</v>
      </c>
      <c r="U933">
        <f t="shared" ca="1" si="58"/>
        <v>-1.8720548993042093E-2</v>
      </c>
      <c r="V933">
        <f t="shared" ca="1" si="59"/>
        <v>-1.4878912949569799E-3</v>
      </c>
    </row>
    <row r="934" spans="19:22" x14ac:dyDescent="0.35">
      <c r="S934">
        <f t="shared" ca="1" si="56"/>
        <v>-4.1642095172957742E-3</v>
      </c>
      <c r="T934">
        <f t="shared" ca="1" si="57"/>
        <v>-1.246495235995645E-2</v>
      </c>
      <c r="U934">
        <f t="shared" ca="1" si="58"/>
        <v>1.2981677488494643E-2</v>
      </c>
      <c r="V934">
        <f t="shared" ca="1" si="59"/>
        <v>-4.9670637355383887E-3</v>
      </c>
    </row>
    <row r="935" spans="19:22" x14ac:dyDescent="0.35">
      <c r="S935">
        <f t="shared" ca="1" si="56"/>
        <v>-1.6527456648265937E-2</v>
      </c>
      <c r="T935">
        <f t="shared" ca="1" si="57"/>
        <v>5.8153935916352819E-3</v>
      </c>
      <c r="U935">
        <f t="shared" ca="1" si="58"/>
        <v>-1.3835350016343773E-2</v>
      </c>
      <c r="V935">
        <f t="shared" ca="1" si="59"/>
        <v>-1.1924281268689586E-2</v>
      </c>
    </row>
    <row r="936" spans="19:22" x14ac:dyDescent="0.35">
      <c r="S936">
        <f t="shared" ca="1" si="56"/>
        <v>-2.9716068038909932E-3</v>
      </c>
      <c r="T936">
        <f t="shared" ca="1" si="57"/>
        <v>2.1762546066372026E-3</v>
      </c>
      <c r="U936">
        <f t="shared" ca="1" si="58"/>
        <v>1.1144622159660493E-2</v>
      </c>
      <c r="V936">
        <f t="shared" ca="1" si="59"/>
        <v>-1.2362230736077796E-3</v>
      </c>
    </row>
    <row r="937" spans="19:22" x14ac:dyDescent="0.35">
      <c r="S937">
        <f t="shared" ca="1" si="56"/>
        <v>5.9315710527722606E-3</v>
      </c>
      <c r="T937">
        <f t="shared" ca="1" si="57"/>
        <v>-5.2417464534910436E-3</v>
      </c>
      <c r="U937">
        <f t="shared" ca="1" si="58"/>
        <v>2.79548322017612E-2</v>
      </c>
      <c r="V937">
        <f t="shared" ca="1" si="59"/>
        <v>4.798070608969046E-3</v>
      </c>
    </row>
    <row r="938" spans="19:22" x14ac:dyDescent="0.35">
      <c r="S938">
        <f t="shared" ca="1" si="56"/>
        <v>3.4355674329770102E-3</v>
      </c>
      <c r="T938">
        <f t="shared" ca="1" si="57"/>
        <v>2.8289808261985593E-2</v>
      </c>
      <c r="U938">
        <f t="shared" ca="1" si="58"/>
        <v>2.6558307906521642E-2</v>
      </c>
      <c r="V938">
        <f t="shared" ca="1" si="59"/>
        <v>9.5625526224559585E-3</v>
      </c>
    </row>
    <row r="939" spans="19:22" x14ac:dyDescent="0.35">
      <c r="S939">
        <f t="shared" ca="1" si="56"/>
        <v>-8.1088680740836229E-3</v>
      </c>
      <c r="T939">
        <f t="shared" ca="1" si="57"/>
        <v>-2.364028345674029E-4</v>
      </c>
      <c r="U939">
        <f t="shared" ca="1" si="58"/>
        <v>-2.8924162365830033E-2</v>
      </c>
      <c r="V939">
        <f t="shared" ca="1" si="59"/>
        <v>-7.5751397407676996E-3</v>
      </c>
    </row>
    <row r="940" spans="19:22" x14ac:dyDescent="0.35">
      <c r="S940">
        <f t="shared" ca="1" si="56"/>
        <v>2.6808344556958137E-2</v>
      </c>
      <c r="T940">
        <f t="shared" ca="1" si="57"/>
        <v>-2.3528687256588299E-2</v>
      </c>
      <c r="U940">
        <f t="shared" ca="1" si="58"/>
        <v>1.0323593412896485E-2</v>
      </c>
      <c r="V940">
        <f t="shared" ca="1" si="59"/>
        <v>1.5916700637045769E-2</v>
      </c>
    </row>
    <row r="941" spans="19:22" x14ac:dyDescent="0.35">
      <c r="S941">
        <f t="shared" ca="1" si="56"/>
        <v>-6.9394213784530635E-3</v>
      </c>
      <c r="T941">
        <f t="shared" ca="1" si="57"/>
        <v>6.9519133569883743E-3</v>
      </c>
      <c r="U941">
        <f t="shared" ca="1" si="58"/>
        <v>9.3851555323804254E-3</v>
      </c>
      <c r="V941">
        <f t="shared" ca="1" si="59"/>
        <v>-3.3449255858231013E-3</v>
      </c>
    </row>
    <row r="942" spans="19:22" x14ac:dyDescent="0.35">
      <c r="S942">
        <f t="shared" ca="1" si="56"/>
        <v>1.2718010066762046E-2</v>
      </c>
      <c r="T942">
        <f t="shared" ca="1" si="57"/>
        <v>2.6118742762787729E-2</v>
      </c>
      <c r="U942">
        <f t="shared" ca="1" si="58"/>
        <v>1.6648692347770101E-2</v>
      </c>
      <c r="V942">
        <f t="shared" ca="1" si="59"/>
        <v>1.5594690720017585E-2</v>
      </c>
    </row>
    <row r="943" spans="19:22" x14ac:dyDescent="0.35">
      <c r="S943">
        <f t="shared" ca="1" si="56"/>
        <v>-1.2719962443307713E-2</v>
      </c>
      <c r="T943">
        <f t="shared" ca="1" si="57"/>
        <v>-3.5714713739062858E-3</v>
      </c>
      <c r="U943">
        <f t="shared" ca="1" si="58"/>
        <v>-1.2538025249203855E-2</v>
      </c>
      <c r="V943">
        <f t="shared" ca="1" si="59"/>
        <v>-1.0881167369722236E-2</v>
      </c>
    </row>
    <row r="944" spans="19:22" x14ac:dyDescent="0.35">
      <c r="S944">
        <f t="shared" ca="1" si="56"/>
        <v>-2.429243274281494E-3</v>
      </c>
      <c r="T944">
        <f t="shared" ca="1" si="57"/>
        <v>1.8065594369111884E-2</v>
      </c>
      <c r="U944">
        <f t="shared" ca="1" si="58"/>
        <v>1.8561858289229869E-3</v>
      </c>
      <c r="V944">
        <f t="shared" ca="1" si="59"/>
        <v>1.8839957095574062E-3</v>
      </c>
    </row>
    <row r="945" spans="19:22" x14ac:dyDescent="0.35">
      <c r="S945">
        <f t="shared" ca="1" si="56"/>
        <v>1.1986787414342337E-2</v>
      </c>
      <c r="T945">
        <f t="shared" ca="1" si="57"/>
        <v>-7.1371047650678988E-3</v>
      </c>
      <c r="U945">
        <f t="shared" ca="1" si="58"/>
        <v>-4.8193109523705734E-4</v>
      </c>
      <c r="V945">
        <f t="shared" ca="1" si="59"/>
        <v>7.5385730529813197E-3</v>
      </c>
    </row>
    <row r="946" spans="19:22" x14ac:dyDescent="0.35">
      <c r="S946">
        <f t="shared" ca="1" si="56"/>
        <v>5.6168551168214662E-3</v>
      </c>
      <c r="T946">
        <f t="shared" ca="1" si="57"/>
        <v>9.1686152027537567E-4</v>
      </c>
      <c r="U946">
        <f t="shared" ca="1" si="58"/>
        <v>1.7659767897598575E-2</v>
      </c>
      <c r="V946">
        <f t="shared" ca="1" si="59"/>
        <v>5.2790020365511029E-3</v>
      </c>
    </row>
    <row r="947" spans="19:22" x14ac:dyDescent="0.35">
      <c r="S947">
        <f t="shared" ca="1" si="56"/>
        <v>2.8081806323454628E-3</v>
      </c>
      <c r="T947">
        <f t="shared" ca="1" si="57"/>
        <v>8.7652335129274495E-3</v>
      </c>
      <c r="U947">
        <f t="shared" ca="1" si="58"/>
        <v>-2.5491961635378358E-2</v>
      </c>
      <c r="V947">
        <f t="shared" ca="1" si="59"/>
        <v>2.5845840950756691E-3</v>
      </c>
    </row>
    <row r="948" spans="19:22" x14ac:dyDescent="0.35">
      <c r="S948">
        <f t="shared" ca="1" si="56"/>
        <v>5.2517878107975952E-2</v>
      </c>
      <c r="T948">
        <f t="shared" ca="1" si="57"/>
        <v>4.8474284311044082E-3</v>
      </c>
      <c r="U948">
        <f t="shared" ca="1" si="58"/>
        <v>8.3824905775890506E-3</v>
      </c>
      <c r="V948">
        <f t="shared" ca="1" si="59"/>
        <v>4.0777018796082302E-2</v>
      </c>
    </row>
    <row r="949" spans="19:22" x14ac:dyDescent="0.35">
      <c r="S949">
        <f t="shared" ca="1" si="56"/>
        <v>-1.3489855303765579E-2</v>
      </c>
      <c r="T949">
        <f t="shared" ca="1" si="57"/>
        <v>-1.5904112589965567E-2</v>
      </c>
      <c r="U949">
        <f t="shared" ca="1" si="58"/>
        <v>2.3514367037511807E-3</v>
      </c>
      <c r="V949">
        <f t="shared" ca="1" si="59"/>
        <v>-1.318064216062974E-2</v>
      </c>
    </row>
    <row r="950" spans="19:22" x14ac:dyDescent="0.35">
      <c r="S950">
        <f t="shared" ca="1" si="56"/>
        <v>-8.9115474571417243E-3</v>
      </c>
      <c r="T950">
        <f t="shared" ca="1" si="57"/>
        <v>5.0537989755771989E-3</v>
      </c>
      <c r="U950">
        <f t="shared" ca="1" si="58"/>
        <v>-1.6766255081209578E-2</v>
      </c>
      <c r="V950">
        <f t="shared" ca="1" si="59"/>
        <v>-6.5112135518013321E-3</v>
      </c>
    </row>
    <row r="951" spans="19:22" x14ac:dyDescent="0.35">
      <c r="S951">
        <f t="shared" ca="1" si="56"/>
        <v>3.1689105794643828E-3</v>
      </c>
      <c r="T951">
        <f t="shared" ca="1" si="57"/>
        <v>-2.2790810906925574E-2</v>
      </c>
      <c r="U951">
        <f t="shared" ca="1" si="58"/>
        <v>1.0742165322296367E-3</v>
      </c>
      <c r="V951">
        <f t="shared" ca="1" si="59"/>
        <v>-2.1277684201753467E-3</v>
      </c>
    </row>
    <row r="952" spans="19:22" x14ac:dyDescent="0.35">
      <c r="S952">
        <f t="shared" ca="1" si="56"/>
        <v>1.6337555189873648E-2</v>
      </c>
      <c r="T952">
        <f t="shared" ca="1" si="57"/>
        <v>-4.1857915019481752E-3</v>
      </c>
      <c r="U952">
        <f t="shared" ca="1" si="58"/>
        <v>-3.9949739751544068E-2</v>
      </c>
      <c r="V952">
        <f t="shared" ca="1" si="59"/>
        <v>9.418521104438398E-3</v>
      </c>
    </row>
    <row r="953" spans="19:22" x14ac:dyDescent="0.35">
      <c r="S953">
        <f t="shared" ca="1" si="56"/>
        <v>-6.7672836363538505E-3</v>
      </c>
      <c r="T953">
        <f t="shared" ca="1" si="57"/>
        <v>1.269506596356201E-2</v>
      </c>
      <c r="U953">
        <f t="shared" ca="1" si="58"/>
        <v>8.4824540709516564E-3</v>
      </c>
      <c r="V953">
        <f t="shared" ca="1" si="59"/>
        <v>-2.1123268310054028E-3</v>
      </c>
    </row>
    <row r="954" spans="19:22" x14ac:dyDescent="0.35">
      <c r="S954">
        <f t="shared" ca="1" si="56"/>
        <v>1.7376677192286388E-2</v>
      </c>
      <c r="T954">
        <f t="shared" ca="1" si="57"/>
        <v>-7.5525731992540828E-3</v>
      </c>
      <c r="U954">
        <f t="shared" ca="1" si="58"/>
        <v>-1.7664142336954562E-2</v>
      </c>
      <c r="V954">
        <f t="shared" ca="1" si="59"/>
        <v>1.0638786137516247E-2</v>
      </c>
    </row>
    <row r="955" spans="19:22" x14ac:dyDescent="0.35">
      <c r="S955">
        <f t="shared" ca="1" si="56"/>
        <v>-2.5218487534668771E-3</v>
      </c>
      <c r="T955">
        <f t="shared" ca="1" si="57"/>
        <v>-1.8633502893755048E-3</v>
      </c>
      <c r="U955">
        <f t="shared" ca="1" si="58"/>
        <v>1.2988240030184107E-2</v>
      </c>
      <c r="V955">
        <f t="shared" ca="1" si="59"/>
        <v>-1.6146446214660532E-3</v>
      </c>
    </row>
    <row r="956" spans="19:22" x14ac:dyDescent="0.35">
      <c r="S956">
        <f t="shared" ca="1" si="56"/>
        <v>1.7581359711565207E-2</v>
      </c>
      <c r="T956">
        <f t="shared" ca="1" si="57"/>
        <v>1.5873701367248864E-2</v>
      </c>
      <c r="U956">
        <f t="shared" ca="1" si="58"/>
        <v>8.3435077587402182E-3</v>
      </c>
      <c r="V956">
        <f t="shared" ca="1" si="59"/>
        <v>1.677793544506069E-2</v>
      </c>
    </row>
    <row r="957" spans="19:22" x14ac:dyDescent="0.35">
      <c r="S957">
        <f t="shared" ca="1" si="56"/>
        <v>-6.4567990892182552E-4</v>
      </c>
      <c r="T957">
        <f t="shared" ca="1" si="57"/>
        <v>-3.756941282519426E-3</v>
      </c>
      <c r="U957">
        <f t="shared" ca="1" si="58"/>
        <v>5.5779708617911393E-2</v>
      </c>
      <c r="V957">
        <f t="shared" ca="1" si="59"/>
        <v>1.5533372427003157E-3</v>
      </c>
    </row>
    <row r="958" spans="19:22" x14ac:dyDescent="0.35">
      <c r="S958">
        <f t="shared" ca="1" si="56"/>
        <v>5.5445284991585773E-3</v>
      </c>
      <c r="T958">
        <f t="shared" ca="1" si="57"/>
        <v>-3.043443934525623E-3</v>
      </c>
      <c r="U958">
        <f t="shared" ca="1" si="58"/>
        <v>1.2065183472155388E-2</v>
      </c>
      <c r="V958">
        <f t="shared" ca="1" si="59"/>
        <v>4.1529667610715783E-3</v>
      </c>
    </row>
    <row r="959" spans="19:22" x14ac:dyDescent="0.35">
      <c r="S959">
        <f t="shared" ca="1" si="56"/>
        <v>-1.0858166211355406E-2</v>
      </c>
      <c r="T959">
        <f t="shared" ca="1" si="57"/>
        <v>-4.548538458901611E-2</v>
      </c>
      <c r="U959">
        <f t="shared" ca="1" si="58"/>
        <v>6.1434398052431895E-3</v>
      </c>
      <c r="V959">
        <f t="shared" ca="1" si="59"/>
        <v>-1.6933529586057618E-2</v>
      </c>
    </row>
    <row r="960" spans="19:22" x14ac:dyDescent="0.35">
      <c r="S960">
        <f t="shared" ca="1" si="56"/>
        <v>-1.0272430577901196E-2</v>
      </c>
      <c r="T960">
        <f t="shared" ca="1" si="57"/>
        <v>1.3959797211944712E-3</v>
      </c>
      <c r="U960">
        <f t="shared" ca="1" si="58"/>
        <v>1.2020442914117238E-2</v>
      </c>
      <c r="V960">
        <f t="shared" ca="1" si="59"/>
        <v>-6.8241048434811409E-3</v>
      </c>
    </row>
    <row r="961" spans="19:22" x14ac:dyDescent="0.35">
      <c r="S961">
        <f t="shared" ca="1" si="56"/>
        <v>-8.6099015284781064E-3</v>
      </c>
      <c r="T961">
        <f t="shared" ca="1" si="57"/>
        <v>-1.5955464172381688E-2</v>
      </c>
      <c r="U961">
        <f t="shared" ca="1" si="58"/>
        <v>2.4037309588105172E-2</v>
      </c>
      <c r="V961">
        <f t="shared" ca="1" si="59"/>
        <v>-8.4466535014296601E-3</v>
      </c>
    </row>
    <row r="962" spans="19:22" x14ac:dyDescent="0.35">
      <c r="S962">
        <f t="shared" ca="1" si="56"/>
        <v>1.6978479146053868E-2</v>
      </c>
      <c r="T962">
        <f t="shared" ca="1" si="57"/>
        <v>-1.5676507450276142E-2</v>
      </c>
      <c r="U962">
        <f t="shared" ca="1" si="58"/>
        <v>-1.3818334530619668E-2</v>
      </c>
      <c r="V962">
        <f t="shared" ca="1" si="59"/>
        <v>8.9076411429541893E-3</v>
      </c>
    </row>
    <row r="963" spans="19:22" x14ac:dyDescent="0.35">
      <c r="S963">
        <f t="shared" ca="1" si="56"/>
        <v>-9.9997916494628455E-3</v>
      </c>
      <c r="T963">
        <f t="shared" ca="1" si="57"/>
        <v>-1.2117152042694494E-3</v>
      </c>
      <c r="U963">
        <f t="shared" ca="1" si="58"/>
        <v>-2.4383340614671397E-2</v>
      </c>
      <c r="V963">
        <f t="shared" ca="1" si="59"/>
        <v>-8.9613538086845933E-3</v>
      </c>
    </row>
    <row r="964" spans="19:22" x14ac:dyDescent="0.35">
      <c r="S964">
        <f t="shared" ref="S964:S1002" ca="1" si="60">_xlfn.NORM.INV(RAND(),$L$3,$M$3)</f>
        <v>2.2731602271134065E-4</v>
      </c>
      <c r="T964">
        <f t="shared" ref="T964:T1002" ca="1" si="61">_xlfn.NORM.INV(RAND(),$N$3,$O$3)</f>
        <v>-1.7330473686588712E-2</v>
      </c>
      <c r="U964">
        <f t="shared" ref="U964:U1002" ca="1" si="62">_xlfn.NORM.INV(RAND(),$P$3,$Q$3)</f>
        <v>9.055623252034262E-3</v>
      </c>
      <c r="V964">
        <f t="shared" ref="V964:V1002" ca="1" si="63">(0.75*S964)+(0.2*T964)+(0.05*U964)</f>
        <v>-2.842826557682524E-3</v>
      </c>
    </row>
    <row r="965" spans="19:22" x14ac:dyDescent="0.35">
      <c r="S965">
        <f t="shared" ca="1" si="60"/>
        <v>-1.3279697763150993E-3</v>
      </c>
      <c r="T965">
        <f t="shared" ca="1" si="61"/>
        <v>-1.1746271351028402E-2</v>
      </c>
      <c r="U965">
        <f t="shared" ca="1" si="62"/>
        <v>-1.0821957078427874E-2</v>
      </c>
      <c r="V965">
        <f t="shared" ca="1" si="63"/>
        <v>-3.8863294563633985E-3</v>
      </c>
    </row>
    <row r="966" spans="19:22" x14ac:dyDescent="0.35">
      <c r="S966">
        <f t="shared" ca="1" si="60"/>
        <v>-1.8618888041235269E-2</v>
      </c>
      <c r="T966">
        <f t="shared" ca="1" si="61"/>
        <v>-2.6819697894352604E-3</v>
      </c>
      <c r="U966">
        <f t="shared" ca="1" si="62"/>
        <v>9.1167819972803842E-3</v>
      </c>
      <c r="V966">
        <f t="shared" ca="1" si="63"/>
        <v>-1.4044720888949485E-2</v>
      </c>
    </row>
    <row r="967" spans="19:22" x14ac:dyDescent="0.35">
      <c r="S967">
        <f t="shared" ca="1" si="60"/>
        <v>1.7662768493661087E-2</v>
      </c>
      <c r="T967">
        <f t="shared" ca="1" si="61"/>
        <v>-1.1941846240042972E-2</v>
      </c>
      <c r="U967">
        <f t="shared" ca="1" si="62"/>
        <v>1.0631827495959407E-2</v>
      </c>
      <c r="V967">
        <f t="shared" ca="1" si="63"/>
        <v>1.1390298497035191E-2</v>
      </c>
    </row>
    <row r="968" spans="19:22" x14ac:dyDescent="0.35">
      <c r="S968">
        <f t="shared" ca="1" si="60"/>
        <v>-1.2451046302508557E-2</v>
      </c>
      <c r="T968">
        <f t="shared" ca="1" si="61"/>
        <v>-2.4620502365872571E-2</v>
      </c>
      <c r="U968">
        <f t="shared" ca="1" si="62"/>
        <v>-3.406658878111702E-2</v>
      </c>
      <c r="V968">
        <f t="shared" ca="1" si="63"/>
        <v>-1.5965714639111783E-2</v>
      </c>
    </row>
    <row r="969" spans="19:22" x14ac:dyDescent="0.35">
      <c r="S969">
        <f t="shared" ca="1" si="60"/>
        <v>7.2843677529720752E-3</v>
      </c>
      <c r="T969">
        <f t="shared" ca="1" si="61"/>
        <v>5.7240738708525165E-3</v>
      </c>
      <c r="U969">
        <f t="shared" ca="1" si="62"/>
        <v>1.7713036783414793E-2</v>
      </c>
      <c r="V969">
        <f t="shared" ca="1" si="63"/>
        <v>7.4937424280702991E-3</v>
      </c>
    </row>
    <row r="970" spans="19:22" x14ac:dyDescent="0.35">
      <c r="S970">
        <f t="shared" ca="1" si="60"/>
        <v>-2.9701684956590351E-2</v>
      </c>
      <c r="T970">
        <f t="shared" ca="1" si="61"/>
        <v>-2.2336987875124E-2</v>
      </c>
      <c r="U970">
        <f t="shared" ca="1" si="62"/>
        <v>-1.0115240032320406E-2</v>
      </c>
      <c r="V970">
        <f t="shared" ca="1" si="63"/>
        <v>-2.7249423294083582E-2</v>
      </c>
    </row>
    <row r="971" spans="19:22" x14ac:dyDescent="0.35">
      <c r="S971">
        <f t="shared" ca="1" si="60"/>
        <v>1.0502317285909403E-2</v>
      </c>
      <c r="T971">
        <f t="shared" ca="1" si="61"/>
        <v>1.198293060049177E-2</v>
      </c>
      <c r="U971">
        <f t="shared" ca="1" si="62"/>
        <v>3.8041675778845173E-2</v>
      </c>
      <c r="V971">
        <f t="shared" ca="1" si="63"/>
        <v>1.2175407873472665E-2</v>
      </c>
    </row>
    <row r="972" spans="19:22" x14ac:dyDescent="0.35">
      <c r="S972">
        <f t="shared" ca="1" si="60"/>
        <v>9.2348660895631152E-3</v>
      </c>
      <c r="T972">
        <f t="shared" ca="1" si="61"/>
        <v>-1.7786060894590113E-2</v>
      </c>
      <c r="U972">
        <f t="shared" ca="1" si="62"/>
        <v>-8.191176043500037E-4</v>
      </c>
      <c r="V972">
        <f t="shared" ca="1" si="63"/>
        <v>3.3279815080368134E-3</v>
      </c>
    </row>
    <row r="973" spans="19:22" x14ac:dyDescent="0.35">
      <c r="S973">
        <f t="shared" ca="1" si="60"/>
        <v>1.9236682411658979E-2</v>
      </c>
      <c r="T973">
        <f t="shared" ca="1" si="61"/>
        <v>-8.2804211202293244E-3</v>
      </c>
      <c r="U973">
        <f t="shared" ca="1" si="62"/>
        <v>4.7707357453936382E-3</v>
      </c>
      <c r="V973">
        <f t="shared" ca="1" si="63"/>
        <v>1.3009964371968052E-2</v>
      </c>
    </row>
    <row r="974" spans="19:22" x14ac:dyDescent="0.35">
      <c r="S974">
        <f t="shared" ca="1" si="60"/>
        <v>7.945875308797451E-3</v>
      </c>
      <c r="T974">
        <f t="shared" ca="1" si="61"/>
        <v>9.7933044357772256E-4</v>
      </c>
      <c r="U974">
        <f t="shared" ca="1" si="62"/>
        <v>-3.7068327464984917E-2</v>
      </c>
      <c r="V974">
        <f t="shared" ca="1" si="63"/>
        <v>4.3018561970643871E-3</v>
      </c>
    </row>
    <row r="975" spans="19:22" x14ac:dyDescent="0.35">
      <c r="S975">
        <f t="shared" ca="1" si="60"/>
        <v>-1.9244946147607724E-2</v>
      </c>
      <c r="T975">
        <f t="shared" ca="1" si="61"/>
        <v>-9.4796494671876039E-4</v>
      </c>
      <c r="U975">
        <f t="shared" ca="1" si="62"/>
        <v>9.6145636990235331E-3</v>
      </c>
      <c r="V975">
        <f t="shared" ca="1" si="63"/>
        <v>-1.4142574415098367E-2</v>
      </c>
    </row>
    <row r="976" spans="19:22" x14ac:dyDescent="0.35">
      <c r="S976">
        <f t="shared" ca="1" si="60"/>
        <v>-4.6448446011964298E-3</v>
      </c>
      <c r="T976">
        <f t="shared" ca="1" si="61"/>
        <v>-2.1305972320735896E-2</v>
      </c>
      <c r="U976">
        <f t="shared" ca="1" si="62"/>
        <v>-1.445632800948447E-2</v>
      </c>
      <c r="V976">
        <f t="shared" ca="1" si="63"/>
        <v>-8.4676443155187256E-3</v>
      </c>
    </row>
    <row r="977" spans="19:22" x14ac:dyDescent="0.35">
      <c r="S977">
        <f t="shared" ca="1" si="60"/>
        <v>-9.5796660389987627E-4</v>
      </c>
      <c r="T977">
        <f t="shared" ca="1" si="61"/>
        <v>-3.9642519740239197E-2</v>
      </c>
      <c r="U977">
        <f t="shared" ca="1" si="62"/>
        <v>2.889300127380388E-2</v>
      </c>
      <c r="V977">
        <f t="shared" ca="1" si="63"/>
        <v>-7.2023288372825532E-3</v>
      </c>
    </row>
    <row r="978" spans="19:22" x14ac:dyDescent="0.35">
      <c r="S978">
        <f t="shared" ca="1" si="60"/>
        <v>1.7068425129116473E-2</v>
      </c>
      <c r="T978">
        <f t="shared" ca="1" si="61"/>
        <v>5.8418601723561701E-3</v>
      </c>
      <c r="U978">
        <f t="shared" ca="1" si="62"/>
        <v>2.5109913817004336E-3</v>
      </c>
      <c r="V978">
        <f t="shared" ca="1" si="63"/>
        <v>1.409524045039361E-2</v>
      </c>
    </row>
    <row r="979" spans="19:22" x14ac:dyDescent="0.35">
      <c r="S979">
        <f t="shared" ca="1" si="60"/>
        <v>-5.4929741157092472E-3</v>
      </c>
      <c r="T979">
        <f t="shared" ca="1" si="61"/>
        <v>1.8233780098261328E-2</v>
      </c>
      <c r="U979">
        <f t="shared" ca="1" si="62"/>
        <v>-1.8231933101616714E-2</v>
      </c>
      <c r="V979">
        <f t="shared" ca="1" si="63"/>
        <v>-1.3845712222105059E-3</v>
      </c>
    </row>
    <row r="980" spans="19:22" x14ac:dyDescent="0.35">
      <c r="S980">
        <f t="shared" ca="1" si="60"/>
        <v>2.6135205308570431E-2</v>
      </c>
      <c r="T980">
        <f t="shared" ca="1" si="61"/>
        <v>9.6846407038509458E-3</v>
      </c>
      <c r="U980">
        <f t="shared" ca="1" si="62"/>
        <v>7.7038471702153832E-3</v>
      </c>
      <c r="V980">
        <f t="shared" ca="1" si="63"/>
        <v>2.1923524480708782E-2</v>
      </c>
    </row>
    <row r="981" spans="19:22" x14ac:dyDescent="0.35">
      <c r="S981">
        <f t="shared" ca="1" si="60"/>
        <v>-1.8755417929294419E-2</v>
      </c>
      <c r="T981">
        <f t="shared" ca="1" si="61"/>
        <v>-8.8690643759775246E-3</v>
      </c>
      <c r="U981">
        <f t="shared" ca="1" si="62"/>
        <v>5.6912395049040698E-3</v>
      </c>
      <c r="V981">
        <f t="shared" ca="1" si="63"/>
        <v>-1.5555814346921118E-2</v>
      </c>
    </row>
    <row r="982" spans="19:22" x14ac:dyDescent="0.35">
      <c r="S982">
        <f t="shared" ca="1" si="60"/>
        <v>-1.0236226178864863E-2</v>
      </c>
      <c r="T982">
        <f t="shared" ca="1" si="61"/>
        <v>-9.576041916334245E-3</v>
      </c>
      <c r="U982">
        <f t="shared" ca="1" si="62"/>
        <v>-1.2269889864571684E-2</v>
      </c>
      <c r="V982">
        <f t="shared" ca="1" si="63"/>
        <v>-1.020587251064408E-2</v>
      </c>
    </row>
    <row r="983" spans="19:22" x14ac:dyDescent="0.35">
      <c r="S983">
        <f t="shared" ca="1" si="60"/>
        <v>-3.48372651866696E-3</v>
      </c>
      <c r="T983">
        <f t="shared" ca="1" si="61"/>
        <v>-1.2621200667457005E-2</v>
      </c>
      <c r="U983">
        <f t="shared" ca="1" si="62"/>
        <v>-1.4687563322273152E-2</v>
      </c>
      <c r="V983">
        <f t="shared" ca="1" si="63"/>
        <v>-5.8714131886052788E-3</v>
      </c>
    </row>
    <row r="984" spans="19:22" x14ac:dyDescent="0.35">
      <c r="S984">
        <f t="shared" ca="1" si="60"/>
        <v>2.9700422822574207E-2</v>
      </c>
      <c r="T984">
        <f t="shared" ca="1" si="61"/>
        <v>3.7730863731082641E-3</v>
      </c>
      <c r="U984">
        <f t="shared" ca="1" si="62"/>
        <v>3.6599685622422493E-3</v>
      </c>
      <c r="V984">
        <f t="shared" ca="1" si="63"/>
        <v>2.3212932819664422E-2</v>
      </c>
    </row>
    <row r="985" spans="19:22" x14ac:dyDescent="0.35">
      <c r="S985">
        <f t="shared" ca="1" si="60"/>
        <v>1.1297487198960399E-2</v>
      </c>
      <c r="T985">
        <f t="shared" ca="1" si="61"/>
        <v>3.821898280157842E-2</v>
      </c>
      <c r="U985">
        <f t="shared" ca="1" si="62"/>
        <v>-4.9101768529020012E-3</v>
      </c>
      <c r="V985">
        <f t="shared" ca="1" si="63"/>
        <v>1.5871403116890882E-2</v>
      </c>
    </row>
    <row r="986" spans="19:22" x14ac:dyDescent="0.35">
      <c r="S986">
        <f t="shared" ca="1" si="60"/>
        <v>9.4031633276427974E-3</v>
      </c>
      <c r="T986">
        <f t="shared" ca="1" si="61"/>
        <v>-6.9069189023462929E-3</v>
      </c>
      <c r="U986">
        <f t="shared" ca="1" si="62"/>
        <v>-8.3361911576539929E-4</v>
      </c>
      <c r="V986">
        <f t="shared" ca="1" si="63"/>
        <v>5.6293077594745692E-3</v>
      </c>
    </row>
    <row r="987" spans="19:22" x14ac:dyDescent="0.35">
      <c r="S987">
        <f t="shared" ca="1" si="60"/>
        <v>1.232740578582909E-3</v>
      </c>
      <c r="T987">
        <f t="shared" ca="1" si="61"/>
        <v>-1.7644705437541836E-3</v>
      </c>
      <c r="U987">
        <f t="shared" ca="1" si="62"/>
        <v>1.1269961328535059E-2</v>
      </c>
      <c r="V987">
        <f t="shared" ca="1" si="63"/>
        <v>1.135159391613098E-3</v>
      </c>
    </row>
    <row r="988" spans="19:22" x14ac:dyDescent="0.35">
      <c r="S988">
        <f t="shared" ca="1" si="60"/>
        <v>2.582355400626605E-4</v>
      </c>
      <c r="T988">
        <f t="shared" ca="1" si="61"/>
        <v>-2.4928333782502646E-2</v>
      </c>
      <c r="U988">
        <f t="shared" ca="1" si="62"/>
        <v>1.415451672217178E-2</v>
      </c>
      <c r="V988">
        <f t="shared" ca="1" si="63"/>
        <v>-4.0842642653449454E-3</v>
      </c>
    </row>
    <row r="989" spans="19:22" x14ac:dyDescent="0.35">
      <c r="S989">
        <f t="shared" ca="1" si="60"/>
        <v>-2.3389627321973271E-2</v>
      </c>
      <c r="T989">
        <f t="shared" ca="1" si="61"/>
        <v>-2.3427324712479252E-2</v>
      </c>
      <c r="U989">
        <f t="shared" ca="1" si="62"/>
        <v>-1.8981399409956461E-2</v>
      </c>
      <c r="V989">
        <f t="shared" ca="1" si="63"/>
        <v>-2.3176755404473628E-2</v>
      </c>
    </row>
    <row r="990" spans="19:22" x14ac:dyDescent="0.35">
      <c r="S990">
        <f t="shared" ca="1" si="60"/>
        <v>-2.0000488940084028E-3</v>
      </c>
      <c r="T990">
        <f t="shared" ca="1" si="61"/>
        <v>-1.4718901161526366E-2</v>
      </c>
      <c r="U990">
        <f t="shared" ca="1" si="62"/>
        <v>-1.5669951542153136E-2</v>
      </c>
      <c r="V990">
        <f t="shared" ca="1" si="63"/>
        <v>-5.2273144799192322E-3</v>
      </c>
    </row>
    <row r="991" spans="19:22" x14ac:dyDescent="0.35">
      <c r="S991">
        <f t="shared" ca="1" si="60"/>
        <v>-2.6664693585272323E-2</v>
      </c>
      <c r="T991">
        <f t="shared" ca="1" si="61"/>
        <v>9.9324398984132582E-3</v>
      </c>
      <c r="U991">
        <f t="shared" ca="1" si="62"/>
        <v>4.0940567119475392E-2</v>
      </c>
      <c r="V991">
        <f t="shared" ca="1" si="63"/>
        <v>-1.596500385329782E-2</v>
      </c>
    </row>
    <row r="992" spans="19:22" x14ac:dyDescent="0.35">
      <c r="S992">
        <f t="shared" ca="1" si="60"/>
        <v>8.5099547383496003E-3</v>
      </c>
      <c r="T992">
        <f t="shared" ca="1" si="61"/>
        <v>6.981047300979812E-3</v>
      </c>
      <c r="U992">
        <f t="shared" ca="1" si="62"/>
        <v>5.0608025956991494E-3</v>
      </c>
      <c r="V992">
        <f t="shared" ca="1" si="63"/>
        <v>8.0317156437431196E-3</v>
      </c>
    </row>
    <row r="993" spans="19:22" x14ac:dyDescent="0.35">
      <c r="S993">
        <f t="shared" ca="1" si="60"/>
        <v>1.2374673084328993E-2</v>
      </c>
      <c r="T993">
        <f t="shared" ca="1" si="61"/>
        <v>8.3996820865321121E-4</v>
      </c>
      <c r="U993">
        <f t="shared" ca="1" si="62"/>
        <v>8.1694119808800626E-3</v>
      </c>
      <c r="V993">
        <f t="shared" ca="1" si="63"/>
        <v>9.8574690540213904E-3</v>
      </c>
    </row>
    <row r="994" spans="19:22" x14ac:dyDescent="0.35">
      <c r="S994">
        <f t="shared" ca="1" si="60"/>
        <v>-2.3085025235578399E-2</v>
      </c>
      <c r="T994">
        <f t="shared" ca="1" si="61"/>
        <v>1.1417555656084832E-2</v>
      </c>
      <c r="U994">
        <f t="shared" ca="1" si="62"/>
        <v>1.0906220205782177E-2</v>
      </c>
      <c r="V994">
        <f t="shared" ca="1" si="63"/>
        <v>-1.4484946785177723E-2</v>
      </c>
    </row>
    <row r="995" spans="19:22" x14ac:dyDescent="0.35">
      <c r="S995">
        <f t="shared" ca="1" si="60"/>
        <v>2.5020204106020419E-2</v>
      </c>
      <c r="T995">
        <f t="shared" ca="1" si="61"/>
        <v>-7.9653761892933515E-3</v>
      </c>
      <c r="U995">
        <f t="shared" ca="1" si="62"/>
        <v>-9.4479531365850265E-3</v>
      </c>
      <c r="V995">
        <f t="shared" ca="1" si="63"/>
        <v>1.6699680184827394E-2</v>
      </c>
    </row>
    <row r="996" spans="19:22" x14ac:dyDescent="0.35">
      <c r="S996">
        <f t="shared" ca="1" si="60"/>
        <v>-2.9823569753329895E-3</v>
      </c>
      <c r="T996">
        <f t="shared" ca="1" si="61"/>
        <v>-4.8301947289426514E-3</v>
      </c>
      <c r="U996">
        <f t="shared" ca="1" si="62"/>
        <v>-7.46767397076853E-3</v>
      </c>
      <c r="V996">
        <f t="shared" ca="1" si="63"/>
        <v>-3.5761903758266987E-3</v>
      </c>
    </row>
    <row r="997" spans="19:22" x14ac:dyDescent="0.35">
      <c r="S997">
        <f t="shared" ca="1" si="60"/>
        <v>3.0761151621720231E-2</v>
      </c>
      <c r="T997">
        <f t="shared" ca="1" si="61"/>
        <v>-2.4612926625109565E-2</v>
      </c>
      <c r="U997">
        <f t="shared" ca="1" si="62"/>
        <v>-8.7660169610509642E-3</v>
      </c>
      <c r="V997">
        <f t="shared" ca="1" si="63"/>
        <v>1.7709977543215714E-2</v>
      </c>
    </row>
    <row r="998" spans="19:22" x14ac:dyDescent="0.35">
      <c r="S998">
        <f t="shared" ca="1" si="60"/>
        <v>7.5113949140193197E-3</v>
      </c>
      <c r="T998">
        <f t="shared" ca="1" si="61"/>
        <v>-2.3194948050770169E-2</v>
      </c>
      <c r="U998">
        <f t="shared" ca="1" si="62"/>
        <v>1.3785831078960357E-2</v>
      </c>
      <c r="V998">
        <f t="shared" ca="1" si="63"/>
        <v>1.683848129308474E-3</v>
      </c>
    </row>
    <row r="999" spans="19:22" x14ac:dyDescent="0.35">
      <c r="S999">
        <f t="shared" ca="1" si="60"/>
        <v>6.8865828929760842E-3</v>
      </c>
      <c r="T999">
        <f t="shared" ca="1" si="61"/>
        <v>-2.0500124073350785E-2</v>
      </c>
      <c r="U999">
        <f t="shared" ca="1" si="62"/>
        <v>6.8052528458477533E-3</v>
      </c>
      <c r="V999">
        <f t="shared" ca="1" si="63"/>
        <v>1.4051749973542933E-3</v>
      </c>
    </row>
    <row r="1000" spans="19:22" x14ac:dyDescent="0.35">
      <c r="S1000">
        <f t="shared" ca="1" si="60"/>
        <v>-5.9699871252534547E-3</v>
      </c>
      <c r="T1000">
        <f t="shared" ca="1" si="61"/>
        <v>-3.5429430363479564E-4</v>
      </c>
      <c r="U1000">
        <f t="shared" ca="1" si="62"/>
        <v>1.8644321365694553E-2</v>
      </c>
      <c r="V1000">
        <f t="shared" ca="1" si="63"/>
        <v>-3.6161331363823222E-3</v>
      </c>
    </row>
    <row r="1001" spans="19:22" x14ac:dyDescent="0.35">
      <c r="S1001">
        <f t="shared" ca="1" si="60"/>
        <v>-9.5462545889934778E-3</v>
      </c>
      <c r="T1001">
        <f t="shared" ca="1" si="61"/>
        <v>-1.3299153620871289E-2</v>
      </c>
      <c r="U1001">
        <f t="shared" ca="1" si="62"/>
        <v>-1.1828457592782456E-2</v>
      </c>
      <c r="V1001">
        <f t="shared" ca="1" si="63"/>
        <v>-1.0410944545558489E-2</v>
      </c>
    </row>
    <row r="1002" spans="19:22" x14ac:dyDescent="0.35">
      <c r="S1002">
        <f t="shared" ca="1" si="60"/>
        <v>1.0698851989496383E-2</v>
      </c>
      <c r="T1002">
        <f t="shared" ca="1" si="61"/>
        <v>5.8271433306750858E-2</v>
      </c>
      <c r="U1002">
        <f t="shared" ca="1" si="62"/>
        <v>-6.0456843931409503E-3</v>
      </c>
      <c r="V1002">
        <f t="shared" ca="1" si="63"/>
        <v>1.9376141433815414E-2</v>
      </c>
    </row>
  </sheetData>
  <mergeCells count="3">
    <mergeCell ref="L1:Q1"/>
    <mergeCell ref="B1:H1"/>
    <mergeCell ref="S1:V1"/>
  </mergeCells>
  <dataValidations count="1">
    <dataValidation type="list" allowBlank="1" showInputMessage="1" showErrorMessage="1" sqref="J2:J4" xr:uid="{07E180E6-8EC9-462A-B655-1BB06DB4897F}">
      <formula1>$B$3:$B$5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Executive_Summary_Dashboard</vt:lpstr>
      <vt:lpstr>Raw</vt:lpstr>
      <vt:lpstr>Hitorical_Sim</vt:lpstr>
      <vt:lpstr>Monte_Carlo</vt:lpstr>
      <vt:lpstr>Backtest_&amp;_ES</vt:lpstr>
      <vt:lpstr>Scenario_Analysis</vt:lpstr>
      <vt:lpstr>Executive_Summary_Dashboard!Print_Area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Reza</dc:creator>
  <cp:lastModifiedBy>Ahmad Reza</cp:lastModifiedBy>
  <cp:lastPrinted>2026-01-31T15:47:32Z</cp:lastPrinted>
  <dcterms:created xsi:type="dcterms:W3CDTF">2026-01-24T02:02:05Z</dcterms:created>
  <dcterms:modified xsi:type="dcterms:W3CDTF">2026-01-31T15:54:55Z</dcterms:modified>
</cp:coreProperties>
</file>